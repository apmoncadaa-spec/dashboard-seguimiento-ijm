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sheetMetadata+xml" PartName="/xl/metadata.xml"/>
  <Override ContentType="application/vnd.openxmlformats-officedocument.spreadsheetml.comments+xml" PartName="/xl/comments1.xml"/>
  <Override ContentType="application/vnd.ms-excel.threadedcomments+xml" PartName="/xl/threadedComments/threadedComment1.xml"/>
  <Override ContentType="application/vnd.openxmlformats-officedocument.spreadsheetml.comments+xml" PartName="/xl/comments2.xml"/>
  <Override ContentType="application/vnd.ms-excel.threadedcomments+xml" PartName="/xl/threadedComments/threadedComment2.xml"/>
  <Override ContentType="application/vnd.ms-excel.person+xml" PartName="/xl/persons/pers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 Target="docProps/custom.xml" Type="http://schemas.openxmlformats.org/officeDocument/2006/relationships/custom-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poyoconsultoria0.sharepoint.com/sites/fileserver/Polticas Pblicas/6 Proyectos/2025/2025-070-O IJM - Linea de base/04. Analisis/03. Programacion/06. Dashboard Seguimiento Web/data/"/>
    </mc:Choice>
  </mc:AlternateContent>
  <xr:revisionPtr revIDLastSave="1421" documentId="8_{1F76FD1E-0D89-40D4-8D42-21081E327455}" xr6:coauthVersionLast="47" xr6:coauthVersionMax="47" xr10:uidLastSave="{84F9F501-E5D9-4DA0-B51D-0D467B148635}"/>
  <bookViews>
    <workbookView xWindow="-110" yWindow="-110" windowWidth="19420" windowHeight="10300" tabRatio="844" firstSheet="2" activeTab="2"/>
  </bookViews>
  <sheets>
    <sheet name="Seguimiento entrevistas" sheetId="23" r:id="rId1"/>
    <sheet name="Seguimiento grupos focales" sheetId="24" r:id="rId2"/>
    <sheet name="Sobrevivientes" sheetId="21" r:id="rId3"/>
    <sheet name="Entrevistas" sheetId="10" state="hidden" r:id="rId4"/>
    <sheet name="Reunión de validación" sheetId="11" state="hidden" r:id="rId5"/>
    <sheet name="Listas" sheetId="12" state="hidden" r:id="rId6"/>
    <sheet name="Insumos Dashboard &gt;&gt;" sheetId="13" r:id="rId7"/>
    <sheet name="Dashboard - Entrevistas(0)" sheetId="14" state="hidden" r:id="rId8"/>
    <sheet name="Dashboard - Reunión(0)" sheetId="15" state="hidden" r:id="rId9"/>
    <sheet name="Dashboard - Entrevistas" sheetId="19" r:id="rId10"/>
    <sheet name="Dashboard - Sobrevivientes" sheetId="22" r:id="rId11"/>
    <sheet name="Dashboard - Reunión" sheetId="20" r:id="rId12"/>
    <sheet name="Meta" sheetId="16" r:id="rId13"/>
  </sheets>
  <definedNames>
    <definedName name="_xlnm._FilterDatabase" localSheetId="9" hidden="true">'Dashboard - Entrevistas'!$A$1:$V$995</definedName>
    <definedName name="_xlnm._FilterDatabase" localSheetId="11" hidden="true">'Dashboard - Reunión'!$A$1:$U$996</definedName>
    <definedName name="_xlnm._FilterDatabase" localSheetId="8" hidden="true">'Dashboard - Reunión(0)'!$A$1:$R$31</definedName>
    <definedName name="_xlnm._FilterDatabase" localSheetId="3" hidden="true">Entrevistas!$A$1:$Z$22</definedName>
    <definedName name="_xlnm._FilterDatabase" localSheetId="12" hidden="true">Meta!$A$1:$E$30</definedName>
    <definedName name="_xlnm._FilterDatabase" localSheetId="4" hidden="true">'Reunión de validación'!$A$1:$T$31</definedName>
  </definedName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tc={154957EE-EDB2-4FA5-8785-5C8F90C77E59}</author>
    <author>Usuario invitado</author>
    <author>tc={DBB25C24-010C-4634-A1C8-BDBF9F9F3460}</author>
    <author>tc={D85E1D29-8C8D-41F9-BC54-AABC4F6BFE78}</author>
    <author>tc={04BF6F80-43C9-446A-992C-A0AAE35D257F}</author>
    <author>tc={220541CE-6CA8-4E01-9C24-585F70D2FDD8}</author>
  </authors>
  <commentList>
    <comment ref="E17" author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Gracia SMP</t>
      </text>
    </comment>
    <comment ref="W17" authorId="1">
      <text>
        <r>
          <rPr>
            <sz val="11"/>
            <color theme="1"/>
            <rFont val="Aptos Narrow"/>
            <family val="2"/>
            <scheme val="minor"/>
          </rPr>
          <t>Usuario desconocido:
15-05</t>
        </r>
      </text>
    </comment>
    <comment ref="E18" authorId="2">
      <text>
        <t>[Comentario encadenado]
Su versión de Excel le permite leer este comentario encadenado; sin embargo, las ediciones que se apliquen se quitarán si el archivo se abre en una versión más reciente de Excel. Más información: https://go.microsoft.com/fwlink/?linkid=870924
Comentario:
    San Juan Bosco Huánuco</t>
      </text>
    </comment>
    <comment ref="W18" authorId="1">
      <text>
        <r>
          <rPr>
            <sz val="11"/>
            <color theme="1"/>
            <rFont val="Aptos Narrow"/>
            <family val="2"/>
            <scheme val="minor"/>
          </rPr>
          <t>Usuario desconocido:
15-05</t>
        </r>
      </text>
    </comment>
    <comment ref="E19" authorId="3">
      <text>
        <t>[Comentario encadenado]
Su versión de Excel le permite leer este comentario encadenado; sin embargo, las ediciones que se apliquen se quitarán si el archivo se abre en una versión más reciente de Excel. Más información: https://go.microsoft.com/fwlink/?linkid=870924
Comentario:
    Virgen del carmen. Lima</t>
      </text>
    </comment>
    <comment ref="E20" authorId="4">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San Ricardo</t>
      </text>
    </comment>
    <comment ref="E21" authorId="5">
      <text>
        <t>[Comentario encadenado]
Su versión de Excel le permite leer este comentario encadenado; sin embargo, las ediciones que se apliquen se quitarán si el archivo se abre en una versión más reciente de Excel. Más información: https://go.microsoft.com/fwlink/?linkid=870924
Comentario:
    CAR San Ricardo</t>
      </text>
    </comment>
    <comment ref="W42" authorId="1">
      <text>
        <r>
          <rPr>
            <sz val="11"/>
            <color theme="1"/>
            <rFont val="Aptos Narrow"/>
            <family val="2"/>
            <scheme val="minor"/>
          </rPr>
          <t>Usuario desconocido:
14-may</t>
        </r>
      </text>
    </comment>
  </commentList>
</comments>
</file>

<file path=xl/comments2.xml><?xml version="1.0" encoding="utf-8"?>
<comments xmlns="http://schemas.openxmlformats.org/spreadsheetml/2006/main">
  <authors>
    <author>tc={7E8D7FCC-49A0-4E05-B3D9-A030207166B8}</author>
    <author>tc={D3A0CC08-C2D9-45E4-BCCA-9E8F56518034}</author>
    <author>tc={88973129-DE01-4849-80F6-A05D7CED341B}</author>
  </authors>
  <commentList>
    <comment ref="S10" author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la duración de las entrevistas completas.</t>
      </text>
    </comment>
    <comment ref="D14" authorId="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los contactos pendientes. </t>
      </text>
    </comment>
    <comment ref="L17" authorId="2">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ayúdennos completando la información pendiente.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<sst xmlns="http://schemas.openxmlformats.org/spreadsheetml/2006/main" xmlns:r="http://schemas.openxmlformats.org/officeDocument/2006/relationships" xmlns:xdr="http://schemas.openxmlformats.org/drawingml/2006/spreadsheetDrawing" count="39815" uniqueCount="1806">
  <si>
    <t>Identificador</t>
  </si>
  <si>
    <t>Nombre</t>
  </si>
  <si>
    <t>Institución</t>
  </si>
  <si>
    <t>Correo</t>
  </si>
  <si>
    <t>Número</t>
  </si>
  <si>
    <t>Otro contacto</t>
  </si>
  <si>
    <t>Tipo de entrevistas</t>
  </si>
  <si>
    <t>Tipo de actor</t>
  </si>
  <si>
    <t>Distrito judicial</t>
  </si>
  <si>
    <t>Contacto</t>
  </si>
  <si>
    <t>Fecha de primer contacto</t>
  </si>
  <si>
    <t>Fecha de segundo contacto</t>
  </si>
  <si>
    <t>Fecha de tercer contacto</t>
  </si>
  <si>
    <t>Respuesta del actor</t>
  </si>
  <si>
    <t>Fecha de inicio de entrevista</t>
  </si>
  <si>
    <t>Fecha de fin de entrevista</t>
  </si>
  <si>
    <t>Resultado</t>
  </si>
  <si>
    <t>Duración total (min)</t>
  </si>
  <si>
    <t>Modalidad</t>
  </si>
  <si>
    <t>Observaciones</t>
  </si>
  <si>
    <t>Ministerio Público</t>
  </si>
  <si>
    <t>Actores clave</t>
  </si>
  <si>
    <t>Funcionarios</t>
  </si>
  <si>
    <t>Cajamarca</t>
  </si>
  <si>
    <t>Contactado</t>
  </si>
  <si>
    <t>Presencial</t>
  </si>
  <si>
    <t>Carmen Miranda Vidaurre</t>
  </si>
  <si>
    <t>cmirandadj@mpfn.gob.pe</t>
  </si>
  <si>
    <t>Otros</t>
  </si>
  <si>
    <t>En coordinación</t>
  </si>
  <si>
    <t>A distancia asistido</t>
  </si>
  <si>
    <t>Marco de la Cruz Espejo</t>
  </si>
  <si>
    <t>mdelacruzdj@mpfn.gob.pe</t>
  </si>
  <si>
    <t>Autoadministrado</t>
  </si>
  <si>
    <t>Karen De Los Milagros Ucañan Cachy</t>
  </si>
  <si>
    <t>Centros de Acogida Residencial</t>
  </si>
  <si>
    <t>karen.uc7@hotmail.com</t>
  </si>
  <si>
    <t>Actores locales</t>
  </si>
  <si>
    <t>Sin respuesta</t>
  </si>
  <si>
    <t>María Barbara Venemans De Wilde</t>
  </si>
  <si>
    <t>alanyasantacruz@loscachorros.nl</t>
  </si>
  <si>
    <t>Ayacucho</t>
  </si>
  <si>
    <t>María Magdalena Resurrección Valdivia</t>
  </si>
  <si>
    <t>car.pillcomozo@inabif.gob.pe</t>
  </si>
  <si>
    <t>Huánuco</t>
  </si>
  <si>
    <t>-</t>
  </si>
  <si>
    <t>Angie Vargas</t>
  </si>
  <si>
    <t>Manuela Ramos</t>
  </si>
  <si>
    <t>985 062 650 (Rocío Gutíerrez, directora)</t>
  </si>
  <si>
    <t>Nacional</t>
  </si>
  <si>
    <t>Intikilla Delgado</t>
  </si>
  <si>
    <t>Asociación Kallpa</t>
  </si>
  <si>
    <t>comunicaciones@kallpa.org.pe</t>
  </si>
  <si>
    <t>Rosa Peña</t>
  </si>
  <si>
    <t>Kids Alive</t>
  </si>
  <si>
    <t>rosa.pena@kidsalive.org</t>
  </si>
  <si>
    <t>Ucayali</t>
  </si>
  <si>
    <t>Kelly Sopla Rojas</t>
  </si>
  <si>
    <t>CEM</t>
  </si>
  <si>
    <t>kellysopla_obst@yahoo.es</t>
  </si>
  <si>
    <t>Acompañantes</t>
  </si>
  <si>
    <t>Lima Norte</t>
  </si>
  <si>
    <t>Felix Dulio Sobrado Chavez</t>
  </si>
  <si>
    <t>Silvio Mestanza Dominguez</t>
  </si>
  <si>
    <t>silvio.mestanza@aurora.gob.pe</t>
  </si>
  <si>
    <t>Loreto</t>
  </si>
  <si>
    <t>Otro medio de contacto</t>
  </si>
  <si>
    <t>Asistencia al grupo focal</t>
  </si>
  <si>
    <t xml:space="preserve">Milagritos Llontop </t>
  </si>
  <si>
    <t>Defensa Pública</t>
  </si>
  <si>
    <t>illontop@minjus.gob.pe</t>
  </si>
  <si>
    <t>Instituciones públicas</t>
  </si>
  <si>
    <t xml:space="preserve">Victoria Pomalaya Trillo </t>
  </si>
  <si>
    <t>vpomalaya@mpfn.gob.pe; victoriapomalaya@gmail.com</t>
  </si>
  <si>
    <t>Katherine Olivera Rojas</t>
  </si>
  <si>
    <t>Programa Aurora</t>
  </si>
  <si>
    <t>kolivera@aurora.gob.pe</t>
  </si>
  <si>
    <t>Defensoría del Pueblo</t>
  </si>
  <si>
    <t>odcallao@defensoria.gob.pe</t>
  </si>
  <si>
    <t xml:space="preserve">Beatriz Gamarra </t>
  </si>
  <si>
    <t>UNICEF</t>
  </si>
  <si>
    <t>bgamarra@unicef.org</t>
  </si>
  <si>
    <t>Multilaterales</t>
  </si>
  <si>
    <t xml:space="preserve">Amelia Cabrera </t>
  </si>
  <si>
    <t>World Vision Perú</t>
  </si>
  <si>
    <t>amelia_cabrera_salazar@wvi.org</t>
  </si>
  <si>
    <t>Silvia Romero Borda</t>
  </si>
  <si>
    <t>GIZ</t>
  </si>
  <si>
    <t>silvia.romeroborda@giz.de</t>
  </si>
  <si>
    <t>Magaly Arenas Astete</t>
  </si>
  <si>
    <t>Policía Nacional del Perú</t>
  </si>
  <si>
    <t xml:space="preserve">Eric León </t>
  </si>
  <si>
    <t xml:space="preserve">Neil Avila </t>
  </si>
  <si>
    <t>Poder Judicial</t>
  </si>
  <si>
    <t xml:space="preserve">Norma Rojas </t>
  </si>
  <si>
    <t>Ministerio del Interior</t>
  </si>
  <si>
    <t xml:space="preserve">Lourdes Febres Chirinos </t>
  </si>
  <si>
    <t>Acción Por los niños</t>
  </si>
  <si>
    <t>ONG</t>
  </si>
  <si>
    <t xml:space="preserve">Maria Elena Bazán </t>
  </si>
  <si>
    <t>Respuestas</t>
  </si>
  <si>
    <t>Distrito Judicial</t>
  </si>
  <si>
    <t>Asistencia</t>
  </si>
  <si>
    <t>Tipo de actor (confianza)</t>
  </si>
  <si>
    <t>Tipo de actor (gf)</t>
  </si>
  <si>
    <t>Asistió</t>
  </si>
  <si>
    <t>No contactado</t>
  </si>
  <si>
    <t>Puente Piedra - Ventanilla</t>
  </si>
  <si>
    <t>No asistió</t>
  </si>
  <si>
    <t>Apurímac</t>
  </si>
  <si>
    <t>Líderes comunitarios</t>
  </si>
  <si>
    <t>Prensa</t>
  </si>
  <si>
    <t>Observaciones AC</t>
  </si>
  <si>
    <t>arebaza@mpfn.gob.pe</t>
  </si>
  <si>
    <t>Confirmó participación con IJM, se le envió cuestionario, aun sin respuesta.</t>
  </si>
  <si>
    <t>Coordinación directa con IJM.</t>
  </si>
  <si>
    <t>Modalidad establecida</t>
  </si>
  <si>
    <t>Modalidad aplicada</t>
  </si>
  <si>
    <t>No aplica</t>
  </si>
  <si>
    <t>Fecha de grupo focal</t>
  </si>
  <si>
    <t>Observaciones (22102025)</t>
  </si>
  <si>
    <t>Completa</t>
  </si>
  <si>
    <t>Incompleta</t>
  </si>
  <si>
    <t>No realizada</t>
  </si>
  <si>
    <t>Slección</t>
  </si>
  <si>
    <t>Sí</t>
  </si>
  <si>
    <t>No</t>
  </si>
  <si>
    <t>Actor considerado inicialmente</t>
  </si>
  <si>
    <t>Tipo de grupo focal</t>
  </si>
  <si>
    <t>Reunión de validación</t>
  </si>
  <si>
    <t>Por definir</t>
  </si>
  <si>
    <t>Aceptada</t>
  </si>
  <si>
    <t>Rechazada</t>
  </si>
  <si>
    <t>Dummy Contacto</t>
  </si>
  <si>
    <t>Dummy coordinación</t>
  </si>
  <si>
    <t>Dummy aceptada</t>
  </si>
  <si>
    <t>Dummy realizada</t>
  </si>
  <si>
    <t>Dummy sin respuesta</t>
  </si>
  <si>
    <t>Dummy considerado inicialmente</t>
  </si>
  <si>
    <t>Dummy asistencia</t>
  </si>
  <si>
    <t>Dummy aceptado</t>
  </si>
  <si>
    <t>Encargado de contacto</t>
  </si>
  <si>
    <t>Edgar Alfredo Rebaza Vargas</t>
  </si>
  <si>
    <t>APOYO</t>
  </si>
  <si>
    <t>Luego del ingreso por Mesa de Partes Virtual, delegaron a Ana Susana Cercado Silva, Fiscal Provincial de la Fiscalia Provincial Corporativa Especailizada en Delitos de Violencia contra las Mujeres y los Integrantes del Grupo Familiar - Cajamrca</t>
  </si>
  <si>
    <t>Se ingresó oficio por Mesa de Partes Virtual. Respondieron solicitando información detallada del estudio, incluso compartir instrumentos, e indicando que solo puede tener una duración de 10 minutos.</t>
  </si>
  <si>
    <t>Se ingresó oficio por Mesa de Partes Virtual, en seguimiento.</t>
  </si>
  <si>
    <t>Pese a que brindó contacto y mostró disposición en la visita presencial, actualmente no responde.</t>
  </si>
  <si>
    <t>María deriva a Delmir, Área promoción interinstitucional, para realizar entrevista 23/10.</t>
  </si>
  <si>
    <t>Realizada</t>
  </si>
  <si>
    <t>IJM</t>
  </si>
  <si>
    <t>No se logró contacto por ningun medio, se reemplaza por Kathia Villar de AMAR C, en seguimiento.</t>
  </si>
  <si>
    <t>Solciitó entrevista "virtual" y a título personal, no como CEM.</t>
  </si>
  <si>
    <t>Solicitió ser contactado desde el 21/10, no respondió más, aparentemente bloqueó nuestros números. Se está intentando contacto con responsables del CEM Iquitos o CEM Nauta, como reemplazos.</t>
  </si>
  <si>
    <t>Ana Susana Cercado Silva</t>
  </si>
  <si>
    <t>Entrevistada fue derivada por Edgar Alfredo Rebaza Vargas</t>
  </si>
  <si>
    <t>Luz Esperanza Rumay Cerna</t>
  </si>
  <si>
    <t>Delmir</t>
  </si>
  <si>
    <t>Sobreviviente 1</t>
  </si>
  <si>
    <t>n.a.</t>
  </si>
  <si>
    <t>Sobrevivientes y líderes sobrevivientes</t>
  </si>
  <si>
    <t>Sobreviviente</t>
  </si>
  <si>
    <t>Sobreviviente 2</t>
  </si>
  <si>
    <t>Sobreviviente 3</t>
  </si>
  <si>
    <t>Sobreviviente 4</t>
  </si>
  <si>
    <t>Sobreviviente 5</t>
  </si>
  <si>
    <t>Líder sobreviviente 1</t>
  </si>
  <si>
    <t>Líder sobreviviente</t>
  </si>
  <si>
    <t>Indicó disposición. Su disponibilidad cambió por el estado de emergencia y, por lo tanto, incremento de actividades laborales de ella y su equipo completo durante distintos horarios no previstos.</t>
  </si>
  <si>
    <t>Estela Lozano Reyes</t>
  </si>
  <si>
    <t>En coordinación. Antes era "Delcy Yaniri Heredia". Indicó disposición, pero su disponibilidad cambió por el estado de emergencia y, por lo tanto, incremento de actividades laborales durante distintos horarios no previstos. No tiene a quien derivar.</t>
  </si>
  <si>
    <t>Se complementará con una entrevista para indagar sobre el grupo focal de adolescentes entre lunes 10 y martes 11.</t>
  </si>
  <si>
    <t>Mostró disposición para participar, en horarios que se ajusten a su agenda.</t>
  </si>
  <si>
    <t>Meta</t>
  </si>
  <si>
    <t>Reconocimiento - 1</t>
  </si>
  <si>
    <t>Cinthia Navarro</t>
  </si>
  <si>
    <t>Oxfam</t>
  </si>
  <si>
    <t>alexandra.alayza@oxfam.org</t>
  </si>
  <si>
    <t>Sofía García</t>
  </si>
  <si>
    <t>IPRODES</t>
  </si>
  <si>
    <t>comunicaciones@iprodes.org</t>
  </si>
  <si>
    <t>Jenny Dador</t>
  </si>
  <si>
    <t>Coordinadora de Derechos Humanos</t>
  </si>
  <si>
    <t>WhatsApp</t>
  </si>
  <si>
    <t>Se encuentra interesada en participar. Volver a consultar disponibilidad.</t>
  </si>
  <si>
    <t>Carol Tremont</t>
  </si>
  <si>
    <t>Asociación Protección Población Vulnerable</t>
  </si>
  <si>
    <t>info@appv.pe</t>
  </si>
  <si>
    <t>Correo (correo no se envió con éxito, por algún problema con su correo institucional)</t>
  </si>
  <si>
    <t>Rosario Cosar</t>
  </si>
  <si>
    <t>Oscar Andrés Alva Arías</t>
  </si>
  <si>
    <t>MIMP</t>
  </si>
  <si>
    <t>mesadepartesdigital@mimp.gob.pe</t>
  </si>
  <si>
    <t>Correo, carta entregada a la mesa de partes (en trámite)</t>
  </si>
  <si>
    <t>Silvia Arteaga</t>
  </si>
  <si>
    <t>car.sricardo@inabif.gob.pe</t>
  </si>
  <si>
    <t>Lime Este</t>
  </si>
  <si>
    <t>Angel Grimaldo Palacios Trujillo</t>
  </si>
  <si>
    <t>asistenciaeconomica@waminam.gob.pe</t>
  </si>
  <si>
    <t>Entregada a la mesa de partes (en trámite)</t>
  </si>
  <si>
    <t>Helen Arlene Maza Gonzales</t>
  </si>
  <si>
    <t>helen.maza@waminam.gob.pe</t>
  </si>
  <si>
    <t>Randall está coordinando por WhatsApp con una empleada del CEM Ventanilla para transmitirla la carta</t>
  </si>
  <si>
    <t>Enviar detalles del GF a su correo</t>
  </si>
  <si>
    <t>Magaly Blas</t>
  </si>
  <si>
    <t>Colegio Médico del Perú</t>
  </si>
  <si>
    <t>magaly.blas.b@upch.pe</t>
  </si>
  <si>
    <t>Eutropia Ayllon León de Lima Norte</t>
  </si>
  <si>
    <t>Orientadora Judicial</t>
  </si>
  <si>
    <t>Enviar detalles del GF a su número celular</t>
  </si>
  <si>
    <t>Carmen Rosa Villela Vargas</t>
  </si>
  <si>
    <t>Lima</t>
  </si>
  <si>
    <t>Arlette Contreras</t>
  </si>
  <si>
    <t>Ni una menos</t>
  </si>
  <si>
    <t>arlettecontreras@agendamujer.com</t>
  </si>
  <si>
    <t>Katherine Flores Mendoza</t>
  </si>
  <si>
    <t>Familias Unidas Por Justicia: Familiares de Víctimas de Feminicidio</t>
  </si>
  <si>
    <t>familiasunidasporjusticia@gmail.com</t>
  </si>
  <si>
    <t>Judith Gisella Caruhapoma Ortega</t>
  </si>
  <si>
    <t>mp.1d.1fvcm.ci@mpfn.gob.pe</t>
  </si>
  <si>
    <t>Vanessa Díaz</t>
  </si>
  <si>
    <t>Wami Ñan</t>
  </si>
  <si>
    <t>vanessa.diaz@waminam.gob.pe</t>
  </si>
  <si>
    <t>Enviar detalles del GF al correo</t>
  </si>
  <si>
    <t>Zoila Cabanillas</t>
  </si>
  <si>
    <t>zoila.cabanillas@waminam.gob.pe</t>
  </si>
  <si>
    <t>Medio de contacto</t>
  </si>
  <si>
    <t>Nota: El contacto deberá iniciarse con al menos 2 semanas de anticipación</t>
  </si>
  <si>
    <t>Leyenda:</t>
  </si>
  <si>
    <t>Actor que ya participó en algúna actividad</t>
  </si>
  <si>
    <t>Actor que será contactado por parte de APOYO</t>
  </si>
  <si>
    <t>#</t>
  </si>
  <si>
    <t>Alcance (nivel nacional o distrito judicial)</t>
  </si>
  <si>
    <t>Actividad piloto</t>
  </si>
  <si>
    <t>¿Asistió?</t>
  </si>
  <si>
    <t>Actividad campo</t>
  </si>
  <si>
    <t>Contacto personal</t>
  </si>
  <si>
    <t>Contacto de institución (mesa de partes)</t>
  </si>
  <si>
    <t>Estrategia de acercamiento</t>
  </si>
  <si>
    <t>Encargado</t>
  </si>
  <si>
    <t>¿Contactado?</t>
  </si>
  <si>
    <t>Respuesta</t>
  </si>
  <si>
    <t>Fecha de inicio de actividad</t>
  </si>
  <si>
    <t>Fecha de fin de actividad</t>
  </si>
  <si>
    <t>Guadalupe Hinojosa Valencia</t>
  </si>
  <si>
    <t xml:space="preserve">Paz y esperanza </t>
  </si>
  <si>
    <t>N/A</t>
  </si>
  <si>
    <t>Entrevista de actores clave</t>
  </si>
  <si>
    <t>- Correo: aspazes@pazyesperanza.org
- Tlf: +51 965789056
- Dirección: Jr. Pachacutec 980 Jesús María
Lima 11, Perú</t>
  </si>
  <si>
    <t>- Enviar oficio formal
- Confirmar recepción del oficio
- Dar seguimiento telefónico</t>
  </si>
  <si>
    <t>Isabel López Meza</t>
  </si>
  <si>
    <t>Víctor García</t>
  </si>
  <si>
    <t>Plan International</t>
  </si>
  <si>
    <t>- Dirección: Av. Juan de Arona, N° 755, Piso 9, San Isidro
- Correo: informes.peru@plan-international.org</t>
  </si>
  <si>
    <t>Marlene Molero Suárez</t>
  </si>
  <si>
    <t>Care Perú</t>
  </si>
  <si>
    <t>- Tlf: +51 (01) 6409393
- Correo: central@care.org.pe
-Dirección: Calle Amador Merino Reyna 267, piso 9, oficina 901, San Isidro. Lima – Perú</t>
  </si>
  <si>
    <t>Marilú Martens Cortés</t>
  </si>
  <si>
    <t xml:space="preserve">Save the children </t>
  </si>
  <si>
    <t>Luisa Martinez</t>
  </si>
  <si>
    <t>Rafael Casas</t>
  </si>
  <si>
    <t>Aldeas Infantiles SOS</t>
  </si>
  <si>
    <t>- Tlf. +51 (01) 200-7800
- Dirección:  Calle Ricardo Angulo 744. Urb. Córpac - San Isidro.
-Correo: empresas.amigas@aldeasinfantiles.org.pe</t>
  </si>
  <si>
    <t>Sonia Gleci Frisancho Pacheco</t>
  </si>
  <si>
    <t>- Enviar oficio formal
- Confirmar recepción del oficio</t>
  </si>
  <si>
    <t>Sofía Blamey Andrusco</t>
  </si>
  <si>
    <t>Organización para la Cooperación y el Desarrollo Económico</t>
  </si>
  <si>
    <t>Grupo focal de reconocimiento</t>
  </si>
  <si>
    <t>https://www.linkedin.com/in/sofia-blamey-andrusco-7520096b/?locale=fr_FR</t>
  </si>
  <si>
    <t>Alejandra Saffon</t>
  </si>
  <si>
    <t>Elena Portilla Odlianitskaya</t>
  </si>
  <si>
    <t>https://www.linkedin.com/in/elena-portilla-odlianitskaya/</t>
  </si>
  <si>
    <t>Alejandra Alayza</t>
  </si>
  <si>
    <t>Miguel Lévano</t>
  </si>
  <si>
    <t>miguel.levano@oxfam.org</t>
  </si>
  <si>
    <t>Reunión de reconocimiento</t>
  </si>
  <si>
    <t>Sofia Garcia</t>
  </si>
  <si>
    <t>Instituto Promoviendo Desarrollo Social-IPRODES</t>
  </si>
  <si>
    <t>Distrito Judicial: Huánuco</t>
  </si>
  <si>
    <t>+51 992917139</t>
  </si>
  <si>
    <t>- Convocar mediante llamada</t>
  </si>
  <si>
    <t>Esteban Caballero</t>
  </si>
  <si>
    <t>UNFPA</t>
  </si>
  <si>
    <t>Distrito Judicial: Ucayali</t>
  </si>
  <si>
    <t>caballero@unfpa.org.pe</t>
  </si>
  <si>
    <t>Hugo González Coltrinari</t>
  </si>
  <si>
    <t>Distrito Judicial: Lima</t>
  </si>
  <si>
    <t>gonzalez@unfpa.org</t>
  </si>
  <si>
    <t>Sandra Contreras</t>
  </si>
  <si>
    <t>World Vision</t>
  </si>
  <si>
    <t>(01) 513-6500</t>
  </si>
  <si>
    <t>Distrito Judicial: Apurímac</t>
  </si>
  <si>
    <t>Tomás Lopes-Teixeira</t>
  </si>
  <si>
    <t>Banco Interamericano de Desarrollo</t>
  </si>
  <si>
    <t>(51-1) 215-7800
BIDPeru@iadb.orgv</t>
  </si>
  <si>
    <t>Distrito Judicial: Lima Norte</t>
  </si>
  <si>
    <t>silvia.romeroborda@giz.de
giz-peru@giz.de
+51 1 4229067</t>
  </si>
  <si>
    <t>Issam Abousleiman</t>
  </si>
  <si>
    <t>World Bank</t>
  </si>
  <si>
    <t>+51 1 622-2300</t>
  </si>
  <si>
    <t>María Pía Molero</t>
  </si>
  <si>
    <t>ONU Mujer</t>
  </si>
  <si>
    <t>Lissette Tobar</t>
  </si>
  <si>
    <t>Fundación Arbol de la Vida</t>
  </si>
  <si>
    <t>+51 (01) 2512724 
peru.fondazione@alberodellavita.org</t>
  </si>
  <si>
    <t>Distrito Judicial: Lima Este</t>
  </si>
  <si>
    <t>Carlos Jesús Vilela</t>
  </si>
  <si>
    <t xml:space="preserve">Ministerio de la Mujer </t>
  </si>
  <si>
    <t>Distrito Judicial: Ayacucho</t>
  </si>
  <si>
    <t>mesadepartesdigital@mimp.gob.pe.</t>
  </si>
  <si>
    <t>- Enviar oficio formal
- Confirmar recepción del oficio
- Dar seguimiento telefónico a través del punto focal identificado
-Confirmar participación</t>
  </si>
  <si>
    <t>Distrito Judicial: Cajamarca</t>
  </si>
  <si>
    <t>+51 981164882
oalva@mimp.gob.pe</t>
  </si>
  <si>
    <t>Mónica Mendez Cabezas</t>
  </si>
  <si>
    <t>Distrito Judicial: Loreto</t>
  </si>
  <si>
    <t>+(01) 626 1600 Anexo 7170
mmendez@mimp.gob.pe</t>
  </si>
  <si>
    <t>Kenny Jorge Perez Diaz</t>
  </si>
  <si>
    <t>+51 (01) 6261600
kperez@mimp.gob.pe</t>
  </si>
  <si>
    <t>Laura Esther Agama Fernández</t>
  </si>
  <si>
    <t>01- 4197260 / Anexo 3602
lagama@aurora.gob.pe</t>
  </si>
  <si>
    <t>Doris Godoy Cortez</t>
  </si>
  <si>
    <t>Psicólogos</t>
  </si>
  <si>
    <t>+51 962960076
dgodoy@pazyesperanza.org</t>
  </si>
  <si>
    <t>- Enviar correos con convocatoria
- Dar seguimiento telefónico</t>
  </si>
  <si>
    <t>+51 914777004</t>
  </si>
  <si>
    <t>968 072 723
linkedin.com/in/angie-rosmery-vargas-sacsahuillca-782694225
postmast@manuela.org.pe</t>
  </si>
  <si>
    <t>Gloria Cano</t>
  </si>
  <si>
    <t>Asociación Pro Derechos Humanos (APRODEH)</t>
  </si>
  <si>
    <t>Jharith Mogollón Villafuerte</t>
  </si>
  <si>
    <t>Rossina Guerrero</t>
  </si>
  <si>
    <t>Promoción y Defensa de los Derechos Sexuales y Reproductivos (PROMSEX)</t>
  </si>
  <si>
    <t>Maria Elena Bazan Ponce de Leon</t>
  </si>
  <si>
    <t>Distrito Judicial: Cusco</t>
  </si>
  <si>
    <t>Augusto Altamirano Vega</t>
  </si>
  <si>
    <t>Sara Estela Rivera Almerco</t>
  </si>
  <si>
    <t>aisanjuanb@gmail.com</t>
  </si>
  <si>
    <t>María Luci Malpartida Galán</t>
  </si>
  <si>
    <t>Soledad Chavez Bedoya</t>
  </si>
  <si>
    <t>(01) 352-1199</t>
  </si>
  <si>
    <t>Rosa Viviana Ciriaco Marcatinco</t>
  </si>
  <si>
    <t>care.dia@inabif.gob.pe</t>
  </si>
  <si>
    <t>Israel Mendez Miguel</t>
  </si>
  <si>
    <t>israel_8699@hotmail.com
israelmemi4@gmail.com</t>
  </si>
  <si>
    <t>Martha Fernandez Albornett</t>
  </si>
  <si>
    <t>Rocío Roncal Rojas</t>
  </si>
  <si>
    <t>Intikilla Eutropía Delgado Castro</t>
  </si>
  <si>
    <t>https://www.linkedin.com/in/intikilla-eutrop%C3%ADa-delgado-castro-9a585934/</t>
  </si>
  <si>
    <t>Lourdes Febres</t>
  </si>
  <si>
    <t>Acción por los niños</t>
  </si>
  <si>
    <t>- Enviar correos con convocatoria</t>
  </si>
  <si>
    <t>Pascual Benjamín Rivera Montoya</t>
  </si>
  <si>
    <t>Centro de Protección del Menor</t>
  </si>
  <si>
    <t>cenann.cep@iglesiacatolica.org.pe</t>
  </si>
  <si>
    <t>Coronel Ernesto Peña</t>
  </si>
  <si>
    <t>Jueces de Paz</t>
  </si>
  <si>
    <t>Fátima Joyo Zaga</t>
  </si>
  <si>
    <t>rjoyo@pj.gob.pe</t>
  </si>
  <si>
    <t>Epifania Chagua Timoteo</t>
  </si>
  <si>
    <t>echagua@pj.gob.pe</t>
  </si>
  <si>
    <t>Banesa Farfan Saravia</t>
  </si>
  <si>
    <t>Asociación Sin Fines de Lucro Ñañaykuna</t>
  </si>
  <si>
    <t>+51 982074717
https://www.linkedin.com/in/banesa-farfan-saravia-b76753115/</t>
  </si>
  <si>
    <t>Rocío Silva Santiesteban</t>
  </si>
  <si>
    <t>DEMUS Estudio para la Defensa de los Derechos de la Mujer</t>
  </si>
  <si>
    <t>(01) 4638515
(01) 4631226
(01) 4600879
https://www.linkedin.com/in/rocio-silva-santisteban-manrique-78666079/</t>
  </si>
  <si>
    <t>Asociación Madres Luchando por Justicia</t>
  </si>
  <si>
    <t>+51 933 376 762
madresluchandoporjusticia@gmail.com</t>
  </si>
  <si>
    <t>Laura Maurtua</t>
  </si>
  <si>
    <t>Mujeres Uniendo Esfuerzos por Alcanzar sus Sueños</t>
  </si>
  <si>
    <t>https://www.facebook.com/ongmujeresuniendoesfuerzos</t>
  </si>
  <si>
    <t>Flavia Martinez Tarazona</t>
  </si>
  <si>
    <t>Hablemos sin Tabúes</t>
  </si>
  <si>
    <t>https://www.linkedin.com/in/flavia-martinez-tarazona-6b67b714a/</t>
  </si>
  <si>
    <t>Tukuy Sunquywan Yanapsqayki</t>
  </si>
  <si>
    <t>Distrito Judicial: Arequipa</t>
  </si>
  <si>
    <t>Cecilia Ancajima</t>
  </si>
  <si>
    <t>Asociación La Casa de la Mujer</t>
  </si>
  <si>
    <t>Distrito Judicial: Amazonas</t>
  </si>
  <si>
    <t>nfo@proa.pe</t>
  </si>
  <si>
    <t>Inppares</t>
  </si>
  <si>
    <t>Mama Alice</t>
  </si>
  <si>
    <t>Flavio Flores Chuquipoma</t>
  </si>
  <si>
    <t>Central Única Nacional de Rondas Campesinas del Perú - CUNARC-P</t>
  </si>
  <si>
    <t>914771267.
cunarc.rondascampesinas@gmail.com</t>
  </si>
  <si>
    <t>Mendoza Barrantes Mericia</t>
  </si>
  <si>
    <t xml:space="preserve">Estrategias Rurales </t>
  </si>
  <si>
    <t>Calizaya Cruz Nicanor Efrain</t>
  </si>
  <si>
    <t>Ketty Marcelo López</t>
  </si>
  <si>
    <t>Organización Nacional de Mujeres Indígenas Andinas y Amazónicas del Perú (ONAMIAP)</t>
  </si>
  <si>
    <t>51(1) 428-0635
onamiap@onamiap.org / presidenciaonamiap@gmail.com / presidencia@onamiap.org</t>
  </si>
  <si>
    <t>Federación de Rondas Campesinas de Cajamarca y Norte del Perú (FEROCAFENOP)</t>
  </si>
  <si>
    <t>https://www.facebook.com/fero.cafenop?mibextid=ZbWKwL</t>
  </si>
  <si>
    <t>Gabriela Osco Chuquizuta</t>
  </si>
  <si>
    <t>Red Interquorum</t>
  </si>
  <si>
    <t>redinterquorum@gmail.com</t>
  </si>
  <si>
    <t>Kathia Villar</t>
  </si>
  <si>
    <t>Asociación Amar C</t>
  </si>
  <si>
    <t>Asociación Igualdad y Desarrollo</t>
  </si>
  <si>
    <t>957 367 738</t>
  </si>
  <si>
    <t>Inés Agresott</t>
  </si>
  <si>
    <t>Mujeres Migrantes Maltratadas</t>
  </si>
  <si>
    <t>madresmigrantesextranjerasperu@gmail.com</t>
  </si>
  <si>
    <t>Alejandra Ballón-Gutiérrez</t>
  </si>
  <si>
    <t>Alfombra Roja</t>
  </si>
  <si>
    <t>alfroja.pe@gmail.com</t>
  </si>
  <si>
    <t>Mercedes Neves Murillo</t>
  </si>
  <si>
    <t>Foro Regional Por Los Derechos Sexuales Y Reproductivos (FORDES)</t>
  </si>
  <si>
    <t>Distrito Judicial: Piura</t>
  </si>
  <si>
    <t>memebun@fordesarequipa.org</t>
  </si>
  <si>
    <t>Rosemary Pioc</t>
  </si>
  <si>
    <t>Consejo de Mujeres Awajún Wampis Umukai Yawi - COMUAWUY</t>
  </si>
  <si>
    <t>Distrito Judicial: Puno</t>
  </si>
  <si>
    <t>Sandy Evangelista</t>
  </si>
  <si>
    <t>Distrito Judicial: Huancavelica</t>
  </si>
  <si>
    <t>Henry Mercado</t>
  </si>
  <si>
    <t>Abogados</t>
  </si>
  <si>
    <t>Distrito Judicial: Puente Piedra-Ventanilla</t>
  </si>
  <si>
    <t>+51 966020010</t>
  </si>
  <si>
    <t>Lorena Ruiz</t>
  </si>
  <si>
    <t>Distrito Judicial: Madre de Dios</t>
  </si>
  <si>
    <t>+51 982125194
lorena.ruiz@kidsalive.org</t>
  </si>
  <si>
    <t>María Ysabel Cedano</t>
  </si>
  <si>
    <t>myc@demus.org.pe</t>
  </si>
  <si>
    <t>Rocío Villanueva Flores</t>
  </si>
  <si>
    <t>Distrito Judicial: Ica</t>
  </si>
  <si>
    <t>mrvillan@pucp.edu.pe</t>
  </si>
  <si>
    <t>Eliana Revollar Añaños</t>
  </si>
  <si>
    <t>https://www.linkedin.com/in/eliana-revollar-a%C3%B1a%C3%B1os-18b46b225/?originalSubdomain=pe</t>
  </si>
  <si>
    <t>Jacqueline Julissa Pérez Castañeda</t>
  </si>
  <si>
    <t>Ministerio Público (Fiscalía)</t>
  </si>
  <si>
    <t>Funcionarios del Sistema</t>
  </si>
  <si>
    <t>+51 999269930
jjperezdc@mpfn.gob.pe</t>
  </si>
  <si>
    <t>mesa_de_partes_gg@mpfn.gob.pe
mesadepartes1FSuprP@mpfn.gob.pe</t>
  </si>
  <si>
    <t>- Enviar oficio formal 
- Confirmar recepción del oficio
- Definir punto focal
- Dar seguimiento telefónico</t>
  </si>
  <si>
    <t>Delia Milagros Espinoza Valenzuela</t>
  </si>
  <si>
    <t>Distrito Judicial: Sullana</t>
  </si>
  <si>
    <t>6255555 / Anexo 11161
dmespinoza@mpfn.gob.pe</t>
  </si>
  <si>
    <t>999112384 
jcaruhapomadj@mpfn.gob.pe</t>
  </si>
  <si>
    <t>Ingrid Carola Chumbe Rodriguez</t>
  </si>
  <si>
    <t>Distrito Judicial: Huaura</t>
  </si>
  <si>
    <t>965664009 
ichumbe@mpfn.gob.pe</t>
  </si>
  <si>
    <t>Juan Carlos Villena Campana</t>
  </si>
  <si>
    <t>Distrito Judicial: Áncash</t>
  </si>
  <si>
    <t>6255555 / Anexo 11951
jvillenadj@mpfn.gob.pe</t>
  </si>
  <si>
    <t>Sebastian Ticona Flores</t>
  </si>
  <si>
    <t>061-639760
Anexo: 60001</t>
  </si>
  <si>
    <t>Griselda Venero De Monteagudo</t>
  </si>
  <si>
    <t>Distrito Judicial: Tacna</t>
  </si>
  <si>
    <t xml:space="preserve"> 084-603991
Anexo: 60001</t>
  </si>
  <si>
    <t>Sofia Milla Meza</t>
  </si>
  <si>
    <t>Distrito Judicial: Junín</t>
  </si>
  <si>
    <t>073-603548
Anexo: 73001</t>
  </si>
  <si>
    <t>Jhonny Ruelas Roque</t>
  </si>
  <si>
    <t xml:space="preserve"> 073-603548
Anexo: 73001</t>
  </si>
  <si>
    <t>Gilder Zapana Mayta</t>
  </si>
  <si>
    <t>41635375
Anexo: 73001</t>
  </si>
  <si>
    <t>Helem Retamozo Meza</t>
  </si>
  <si>
    <t>067-630897
Anexo: 67001</t>
  </si>
  <si>
    <t>Diana Ildaura Suquilanda Zavalaga</t>
  </si>
  <si>
    <t xml:space="preserve">965193302
dsuquilandadj@mpfn.gob.pe </t>
  </si>
  <si>
    <t>Pedro Luza Chullo</t>
  </si>
  <si>
    <t>82624299
Anexo: 44002</t>
  </si>
  <si>
    <t>Mirco Coz Berrospi</t>
  </si>
  <si>
    <t>62634599
Anexo: 44002</t>
  </si>
  <si>
    <t>Maria Elena Tores Quispe</t>
  </si>
  <si>
    <t xml:space="preserve"> 056-639199
Anexo: 44002</t>
  </si>
  <si>
    <t>Claudia Belinda Chirito Cano</t>
  </si>
  <si>
    <t>963311494 
cchirito@mpfn.gob.pe</t>
  </si>
  <si>
    <t>Marco Antonio Yaipen Zapata</t>
  </si>
  <si>
    <t>01-6255555
Anexo: 31001</t>
  </si>
  <si>
    <t>Gladys Pendola Arviza</t>
  </si>
  <si>
    <t xml:space="preserve"> 073-603549
Anexo: 70001</t>
  </si>
  <si>
    <t>Fritz Elias Espinoza</t>
  </si>
  <si>
    <t xml:space="preserve"> 066-635555
Anexo:  066-635555</t>
  </si>
  <si>
    <t>Raúl Solórzano Cosar</t>
  </si>
  <si>
    <t>01-6255555
Anexo: 18001</t>
  </si>
  <si>
    <t>Marco Leopoldo De La Cruz Espejo</t>
  </si>
  <si>
    <t>043-708998
Anexo: 43001</t>
  </si>
  <si>
    <t>Cristian Araujo Morales</t>
  </si>
  <si>
    <t xml:space="preserve">987589991
 076-601170
Anexo: 76001
caraujo@mpfn.gob.pe </t>
  </si>
  <si>
    <t>Luis Antonio Tejada Llerena</t>
  </si>
  <si>
    <t>052-600801
Anexo: 52001</t>
  </si>
  <si>
    <t>Miguel Angel Villalobos Caballero</t>
  </si>
  <si>
    <t xml:space="preserve"> 064-602987
Anexo: 64001</t>
  </si>
  <si>
    <t xml:space="preserve">Lilian Rueda Curimanea </t>
  </si>
  <si>
    <t xml:space="preserve">990 502 145
lruedadj@mpfn.gob.pe </t>
  </si>
  <si>
    <t>Jorge Fernandez Mavila</t>
  </si>
  <si>
    <t>987589316 
presidencia_apurimacdf@mpfn.gob.pe</t>
  </si>
  <si>
    <t>Armando Molero Pimienta</t>
  </si>
  <si>
    <t>01-6255555 Anexo 83635
1rafsp_abancay@mpfn.gob.pe</t>
  </si>
  <si>
    <t>Rodolfo Huaman Flores</t>
  </si>
  <si>
    <t>John Henrry Martel Trujillo</t>
  </si>
  <si>
    <t>62265 
jmartel@mpfn.gob.pe</t>
  </si>
  <si>
    <t>Mariano Rodolfo Valdivia Valdarrago</t>
  </si>
  <si>
    <t>Distrito Judicial: Lambayeque</t>
  </si>
  <si>
    <t>62385 
mvaldiviavdj@mpfn.gob.pe</t>
  </si>
  <si>
    <t>Rodolfo Vega Billan</t>
  </si>
  <si>
    <t>62390 
rvegadj@mpfn.gob.pe</t>
  </si>
  <si>
    <t>Fanny Elizabeth Suarez Coaguila</t>
  </si>
  <si>
    <t>Distrito Judicial: Ancash</t>
  </si>
  <si>
    <t xml:space="preserve">987589297 
pjfs.ucayali@mpfn.gob.pe </t>
  </si>
  <si>
    <t>Cesar Manuel Calderón Moreno</t>
  </si>
  <si>
    <t>944992076
 2fsup.penal.ucayali.mesadepartes@mpfn.gob.pe</t>
  </si>
  <si>
    <t>Liz Ivone Torres Díaz</t>
  </si>
  <si>
    <t>ltorresd@pj.gob.pe</t>
  </si>
  <si>
    <t>Abilio Escobar Quispe</t>
  </si>
  <si>
    <t>963758699 
aescobardj@mpfn.gob.pe</t>
  </si>
  <si>
    <t>Diana Suquilanda Zavalaga</t>
  </si>
  <si>
    <t>965193302 
dsuquilandadj@mpfn.gob.pe</t>
  </si>
  <si>
    <t>Luis Alberto Garcia Santos</t>
  </si>
  <si>
    <t>938 429 907 
mpfscivilyfamilia@gmail.com</t>
  </si>
  <si>
    <t>Henry Rómulo Lahud Ordóñez</t>
  </si>
  <si>
    <t>Esperanza Huamán Aguado</t>
  </si>
  <si>
    <t>Lizbeth Benites Chuman</t>
  </si>
  <si>
    <t xml:space="preserve">949750695
lbenitesdj@mpfn.gob.pe </t>
  </si>
  <si>
    <t>German Davila Gabriel</t>
  </si>
  <si>
    <t>gdaviladj@mpfn.gob.pe</t>
  </si>
  <si>
    <t>Fernando Hoyos Portal</t>
  </si>
  <si>
    <t>fhoyosdj@mpfn.gob.pe</t>
  </si>
  <si>
    <t xml:space="preserve">Victoria  Cuba Sotomayor </t>
  </si>
  <si>
    <t>916188244 
fpcyf.ramoncastilla@gmail.com</t>
  </si>
  <si>
    <t>Ingrid Chumbe Rodriguez</t>
  </si>
  <si>
    <t>965 664 009 
ingridchumbe@gmail.com</t>
  </si>
  <si>
    <t>Rocio Estacion Casanova</t>
  </si>
  <si>
    <t>01-6255555 ANEXO 65221 
4fpcyf.maynas@gmail.com</t>
  </si>
  <si>
    <t>Miranda Vidaurre</t>
  </si>
  <si>
    <t>4100700, anexo: 16030
mesa_de_partes_gg@mpfn.gob.pe
mesadepartes1FSuprP@mpfn.gob.pe</t>
  </si>
  <si>
    <t>987589991
arebaza@mpfn.gob.pe</t>
  </si>
  <si>
    <t>945 023 096, 061579750 anexo 3019
vpomalaya@mpfn.gob.pe; victoriapomalaya@gmail.com</t>
  </si>
  <si>
    <t>https://sistemas.mininter.gob.pe/mesadepartesdigital/</t>
  </si>
  <si>
    <t>Luis Humberto Castilla Malca</t>
  </si>
  <si>
    <t xml:space="preserve">lcastillama@pj.gob.pe </t>
  </si>
  <si>
    <t>servicedesk@pj.gob.pe.</t>
  </si>
  <si>
    <t>- Enviar oficio dirigido a la Comisión de Acceso a la Justicia
- Confirmar recepción del oficio
- Definir punto focal
- Dar seguimiento telefónico</t>
  </si>
  <si>
    <t>Juan Carlos Santillan Tuesta</t>
  </si>
  <si>
    <t>4100700
Anexo: 16001</t>
  </si>
  <si>
    <t>Carmen Maria Lopez Vasquez</t>
  </si>
  <si>
    <t>4100700
Anexo: 16030</t>
  </si>
  <si>
    <t>Sandra Teresa Sulca Martinez</t>
  </si>
  <si>
    <t>4100700
Anexo: 16346</t>
  </si>
  <si>
    <t>Geronimo De La Cruz Jaime</t>
  </si>
  <si>
    <t>jgeronimo@pj.gob.pe</t>
  </si>
  <si>
    <t>Jim Ramirez Figueroa</t>
  </si>
  <si>
    <t>Distrito Judicial: Selva Central</t>
  </si>
  <si>
    <t>jramirezfi@pj.gob.pe</t>
  </si>
  <si>
    <t>Rocio Marin Sandoval</t>
  </si>
  <si>
    <t>rmarin@pj.gob.pe</t>
  </si>
  <si>
    <t>Hermogenes Lima Chayña</t>
  </si>
  <si>
    <t>hlima@pj.gob.pe</t>
  </si>
  <si>
    <t>Jessenia Tafur Rios</t>
  </si>
  <si>
    <t>jtafur@pj.gob.pe</t>
  </si>
  <si>
    <t>Federick Rivera Berrospi</t>
  </si>
  <si>
    <t>friverab@pj.gob.pe</t>
  </si>
  <si>
    <t>Rosario Marlene Dávila Arquiñigo</t>
  </si>
  <si>
    <t>Distrito Judicial: Moquegua</t>
  </si>
  <si>
    <t>rdavilaa@pj.gob.pe</t>
  </si>
  <si>
    <t>Silvia Salazar Mendoza</t>
  </si>
  <si>
    <t>Distrito Judicial: Pasco</t>
  </si>
  <si>
    <t>Ssalazar@pj.gob.pe</t>
  </si>
  <si>
    <t>Jorge Eduardo Ángeles Valiente</t>
  </si>
  <si>
    <t>jangelesv@pj.gob.pe</t>
  </si>
  <si>
    <t>Raquel Ocampo Alvarado</t>
  </si>
  <si>
    <t>rocampo@pj.gob.pe
'(076)584400</t>
  </si>
  <si>
    <t>Loaiza Suarez</t>
  </si>
  <si>
    <t>jloaiza@pj.gob.pe</t>
  </si>
  <si>
    <t>Ana Cecilia Garay Molina</t>
  </si>
  <si>
    <t>agaray@pj.gob.pe
062-591030</t>
  </si>
  <si>
    <t>Janet Ofelia Lourdes Tello Gilardi</t>
  </si>
  <si>
    <t>(01) 410 10 10 / Anexo 11002
jtello@pj.gob.pe</t>
  </si>
  <si>
    <t>Ana Maria Aranda Rodriguez</t>
  </si>
  <si>
    <t>(01) 410 10 10 / Anexo 11334
aaranda@pj.gob.pe</t>
  </si>
  <si>
    <t>Claudia Cabaillas Quevedo</t>
  </si>
  <si>
    <t>ccabanillas@pj.gob.pe</t>
  </si>
  <si>
    <t>Allen Jonny Neyra Ascencios</t>
  </si>
  <si>
    <t>(067) 59 20 30 / Anexo 46113
aneyra@pj.gob.pe</t>
  </si>
  <si>
    <t>Yone Pedro Li Córdova</t>
  </si>
  <si>
    <t>(073) 286550 / Anexo 28084
yli@pj.gob.pe</t>
  </si>
  <si>
    <t>Jenny Maribel Bazan Escalante</t>
  </si>
  <si>
    <t>(064) 42 05 55 / Anexo 34001
jbazane@pj.gob.pe</t>
  </si>
  <si>
    <t xml:space="preserve">969 003 637  
jangelesv@pj.gob.pe 
jorgeangeles1970@gmail.com </t>
  </si>
  <si>
    <t>Cabrera Barrantes Norberto</t>
  </si>
  <si>
    <t>(041) 57 95 30 / Anexo 27073
ncabrerab@pj.gob.pe</t>
  </si>
  <si>
    <t>Reynaldo Elias Cajamarca Porras</t>
  </si>
  <si>
    <t>(065) 58 12 12 / Anexo 30002
rcajamarca@pj.gob.pe</t>
  </si>
  <si>
    <t>Marino Gabriel Cusimayta Barreto</t>
  </si>
  <si>
    <t>Distrito Judicial: La Libertad</t>
  </si>
  <si>
    <t>(01) 410 00 00 / Anexo 32151
mcusimayta@pj.gob.pe</t>
  </si>
  <si>
    <t>Jorge Guillermo Fernández Ceballos</t>
  </si>
  <si>
    <t>(053) 46 35 55 / Anexo 54532
jfernandezcg@pj.gob.pe</t>
  </si>
  <si>
    <t>Ricardo Samuel Del Pozo Moreno</t>
  </si>
  <si>
    <t>rdelpozo@pj.gob.pe</t>
  </si>
  <si>
    <t>Ana Mirella Vasquez Bustamante</t>
  </si>
  <si>
    <t>(01) 586 6643 / Anexo 14270
avasquezbu@pj.gob.pe</t>
  </si>
  <si>
    <t>Renzo Manuel Medina Chavez</t>
  </si>
  <si>
    <t>(052) 58 32 00 / Anexo 52150 o 52001
rmedinach@pj.gob.pe</t>
  </si>
  <si>
    <t>Denny Chavez Morales</t>
  </si>
  <si>
    <t>(053) 46 35 55 / Anexo 54000
dchavezm@pj.gob.pe</t>
  </si>
  <si>
    <t>Oscar Manuel Arriola Delgado</t>
  </si>
  <si>
    <t>943 916 454
emg.sec.ayu@policia.gob.pe</t>
  </si>
  <si>
    <t>https://mpd.policia.gob.pe/mesadepartesdigital/</t>
  </si>
  <si>
    <t>- Enviar oficio formal
- Confirmar recepción del oficio
- Definir punto focal
- Dar seguimiento telefónico</t>
  </si>
  <si>
    <t>Eliam Rene Silva García</t>
  </si>
  <si>
    <t>Nerdaly Sareli Cerrón Poma</t>
  </si>
  <si>
    <t>COMISARIA DE LA MUJER  (Independencia)</t>
  </si>
  <si>
    <t xml:space="preserve"> 522-6207 / 980121830
commujindep_divfam@hotmail.com </t>
  </si>
  <si>
    <t>Carlos Alejandro Céspedes Muñoz</t>
  </si>
  <si>
    <t>Distrito Judicial: San Martín</t>
  </si>
  <si>
    <t>980 121 645
comoppol.sec.ayu@policia.gob.pe</t>
  </si>
  <si>
    <t>Luis Miguel Gamarra Chavarry</t>
  </si>
  <si>
    <t>943 919 835
dirnos.ceopol@policia.gob.pe</t>
  </si>
  <si>
    <t>Zenón Santos Loayza Díaz</t>
  </si>
  <si>
    <t>980 122 017
dirnic.ceopol@policia.gob.pe</t>
  </si>
  <si>
    <t>Fredy López Mendoza</t>
  </si>
  <si>
    <t>957 833 065
seceje.jeforpol@policia.gob.pe</t>
  </si>
  <si>
    <t>Región Policial Lambayeque de la PNP</t>
  </si>
  <si>
    <t xml:space="preserve"> 980-121-523
 imacrepolpiura.ceopol@policia.gob.pe  </t>
  </si>
  <si>
    <t>Región Policial La Libertad de la PNP</t>
  </si>
  <si>
    <t>980-122-400 
rpll.ceopol@policia.gob.pe</t>
  </si>
  <si>
    <t>Región Policial Loreto de la PNP</t>
  </si>
  <si>
    <t xml:space="preserve">980-122-464
ivmacrepolloreto.ceopol@policia.gob.pe  </t>
  </si>
  <si>
    <t>Región Policial Huánuco de la PNP</t>
  </si>
  <si>
    <t xml:space="preserve"> 964-764-905  
rpHuánuco.ceopol@policia.gob.pe </t>
  </si>
  <si>
    <t xml:space="preserve">Región Policial Arequipa de la PNP </t>
  </si>
  <si>
    <t xml:space="preserve">054-605900 
ixmacrepo.ceopol@policia.gob.pe  </t>
  </si>
  <si>
    <t xml:space="preserve">Región Policial Puno de la PNP </t>
  </si>
  <si>
    <t xml:space="preserve"> 980-122-985 
10macrepolpuno.ceopol@policia.gob.pe </t>
  </si>
  <si>
    <t xml:space="preserve">Región Policial Ucayali de la PNP </t>
  </si>
  <si>
    <t xml:space="preserve">980-122-468 
rpucayali.ceopol@policia.gob.pe  </t>
  </si>
  <si>
    <t>945-314-315 
regpolmdd.ceopol@policia.gob.pe</t>
  </si>
  <si>
    <t xml:space="preserve">Región Policial Junín de la PNP </t>
  </si>
  <si>
    <t xml:space="preserve"> 980-122-635 
rpJunín.unicop@policia.gob.pe  </t>
  </si>
  <si>
    <t xml:space="preserve">Región Policial Cusco de la PNP </t>
  </si>
  <si>
    <t xml:space="preserve">980-122-644 
rpcusco.ceopol@policia.gob.pe  </t>
  </si>
  <si>
    <t>Región Policial Ayacucho de la PNP</t>
  </si>
  <si>
    <t xml:space="preserve">980-122-437 
xiiimacrepolayaica.ceopol@policia.gob.pe  </t>
  </si>
  <si>
    <t xml:space="preserve">054-605900 
ixmacrepo.ceopol@policia.gob.pe   </t>
  </si>
  <si>
    <t>Región Policial San Martín de la PNP</t>
  </si>
  <si>
    <t xml:space="preserve">980-122-419   
rpsanmartin.ceopol@policia.gob.pe  </t>
  </si>
  <si>
    <t>Región Policial Áncash de la PNP</t>
  </si>
  <si>
    <t xml:space="preserve">980-121-928 
regpolÁncash.ceopol@policia.gob.pe </t>
  </si>
  <si>
    <t xml:space="preserve">Frente Policial Ica de la PNP </t>
  </si>
  <si>
    <t xml:space="preserve"> 980-122-955 
rpica.ceopol@policia.gob.pe  </t>
  </si>
  <si>
    <t>Rosa Alicia Noriega Portal</t>
  </si>
  <si>
    <t>980-122-992  
rpcajamarca.ceopol@policia.gob.pe</t>
  </si>
  <si>
    <t>Frente Policial Apurímac de la PNP</t>
  </si>
  <si>
    <t xml:space="preserve"> 980-122-442 
rpApurímac  .ceopol@policia.gob.pe  </t>
  </si>
  <si>
    <t xml:space="preserve">Región Policial Lima de la PNP </t>
  </si>
  <si>
    <t xml:space="preserve"> 959-051-311 
rplima.ceopol@policia.gob.pe</t>
  </si>
  <si>
    <t>Región Policial de Amazonas de la PNP</t>
  </si>
  <si>
    <t xml:space="preserve">980-122-429 
rpamazonas.jef@policia.gob.pe </t>
  </si>
  <si>
    <t>Frente Policial Cajamarca de la PNP</t>
  </si>
  <si>
    <t xml:space="preserve">980-122-992
rpcajamarca.ceopol@policia.gob.pe  </t>
  </si>
  <si>
    <t>DIVPNA Comas</t>
  </si>
  <si>
    <t>divpna.ciecomas@policia.gob.pe</t>
  </si>
  <si>
    <t>Sonia Alvarez Quevedo</t>
  </si>
  <si>
    <t>Maribel Amalia Varias Aguilar</t>
  </si>
  <si>
    <t>Evelin Yauri Aliaga</t>
  </si>
  <si>
    <t>Denisse Jannet Espinoza Mendoza</t>
  </si>
  <si>
    <t>Manuel Tamayo</t>
  </si>
  <si>
    <t>Rosa Hidalgo</t>
  </si>
  <si>
    <t>Correo general de la DIVCVF: 
divpcvf.sec@policia.gob.pe
+51 992732317</t>
  </si>
  <si>
    <t>Centros de Emergencia Mujer</t>
  </si>
  <si>
    <t>Bethy Norma Hernandez Dominguez</t>
  </si>
  <si>
    <t>Tlf: 481-1807</t>
  </si>
  <si>
    <t>Lucy Emilia Chaupis Valverde</t>
  </si>
  <si>
    <t>Tlf: 523-3913</t>
  </si>
  <si>
    <t>Tlf: 542-0552
asistenciaeconomica@waminam.gob.pe</t>
  </si>
  <si>
    <t>Freddy Héctor Mallqui Basilio</t>
  </si>
  <si>
    <t>Tlf: 5472459</t>
  </si>
  <si>
    <t>Karin Rosario Crispín Sotelo</t>
  </si>
  <si>
    <t>Tlf: 5209312
+51 994834118</t>
  </si>
  <si>
    <t>Heydy Taype Pérez</t>
  </si>
  <si>
    <t>+51 994833661</t>
  </si>
  <si>
    <t>Yuli Jaime De La Cruz</t>
  </si>
  <si>
    <t>Tlf. (066) 315291
'+51 941524315</t>
  </si>
  <si>
    <t>Roxana Rojas Mendoza</t>
  </si>
  <si>
    <t>Tlf. (083) 504690
'+51 994801045</t>
  </si>
  <si>
    <t>+51 9441526985</t>
  </si>
  <si>
    <t>Alicia Soledad Cusquisibán Sánchez</t>
  </si>
  <si>
    <t>Tlf. (066) 364000
'+51 994834045</t>
  </si>
  <si>
    <t>Blanca Marianela Benites Avalos</t>
  </si>
  <si>
    <t>+51 994800484</t>
  </si>
  <si>
    <t>Deysi Luz Flores Huamán</t>
  </si>
  <si>
    <t>Tlf. (076) 532144
'+51 994834078</t>
  </si>
  <si>
    <t>Carmen Dora Martínez Del Aguila</t>
  </si>
  <si>
    <t>+51 994833650</t>
  </si>
  <si>
    <t>silvio.mestanza@aurora.gob.pe
994840081</t>
  </si>
  <si>
    <t xml:space="preserve"> Jose Miguel Chavez Montero</t>
  </si>
  <si>
    <t>jose.chavez@aurora.gob.pe
994800484</t>
  </si>
  <si>
    <t>Yamille Llona Pinillos</t>
  </si>
  <si>
    <t>yamille.llona@aurora.gob.pe
994833705</t>
  </si>
  <si>
    <t>Felipe Vara Marquez</t>
  </si>
  <si>
    <t>felipe.vara@aurora.gob.pe
932957783</t>
  </si>
  <si>
    <t>Yrma Eloisa Pezo Diaz</t>
  </si>
  <si>
    <t>Distrito Judicial: Callao</t>
  </si>
  <si>
    <t>yrma.pezo@aurora.gob.pe
932989735</t>
  </si>
  <si>
    <t>Mary Isabel Zavala Julca</t>
  </si>
  <si>
    <t>mary.zavala@aurora.gob.pe
970209328</t>
  </si>
  <si>
    <t>Elizabeth Malpartida Bonilla</t>
  </si>
  <si>
    <t>elizabeth.malpartida@aurora.gob.pe
953704701</t>
  </si>
  <si>
    <t>Yhina Maribel Coaquira Huarilloclla</t>
  </si>
  <si>
    <t>yhina.coaquira@aurora.gob.pe
994841191</t>
  </si>
  <si>
    <t>Rebeca Luna Asencios</t>
  </si>
  <si>
    <t>rebeca.luna@aurora.gob.pe
941526978</t>
  </si>
  <si>
    <t>Hellen Victoria Ku Yanasupo</t>
  </si>
  <si>
    <t>hellen.ku@aurora.gob.pe</t>
  </si>
  <si>
    <t>Frits Acosta Garcia</t>
  </si>
  <si>
    <t>frits.acosta@aurora.gob.pe</t>
  </si>
  <si>
    <t>Flor De Milagros Conopuma Lara</t>
  </si>
  <si>
    <t>flor.conopuma@aurora.gob.pe</t>
  </si>
  <si>
    <t>Doris Elizabeth Rabanal Castañeda</t>
  </si>
  <si>
    <t>doris.rabanal@aurora.gob.pe</t>
  </si>
  <si>
    <t>Aurora Lucila Castrejon Valdez</t>
  </si>
  <si>
    <t>aurora.castrejon@aurora.gob.pe</t>
  </si>
  <si>
    <t>Milagro Soledad Vallejos Castañeda</t>
  </si>
  <si>
    <t>Distrito Judicial: Casma</t>
  </si>
  <si>
    <t>milagro.vallejos@aurora.gob.pe</t>
  </si>
  <si>
    <t>Martin Ernesto Zambrano Chilon</t>
  </si>
  <si>
    <t>Mariela Gianinna Sebastiani Chavez</t>
  </si>
  <si>
    <t>mariela.sebastiani@aurora.gob.pe
940414730</t>
  </si>
  <si>
    <t>Janet Martha Gómez Huamán</t>
  </si>
  <si>
    <t>+51 994834037</t>
  </si>
  <si>
    <t>Patricia Milagros Garrido Rengifo</t>
  </si>
  <si>
    <t>Aurora</t>
  </si>
  <si>
    <t>(01) 4197260 Anexo 3501
pgarrido@aurora.gob.pe</t>
  </si>
  <si>
    <t>Melchora Milagros Ríos García</t>
  </si>
  <si>
    <t>(01) 4197260 Anexo 3711
mrios@warminan.gob.pe</t>
  </si>
  <si>
    <t>Laura Agama Fernández</t>
  </si>
  <si>
    <t>01- 4197260 Anexo 3602
lagama@warminan.gob.pe</t>
  </si>
  <si>
    <t>Gerardo Alfonso Marín Lopez</t>
  </si>
  <si>
    <t>937415548
gmarin@warminan.gob.pe</t>
  </si>
  <si>
    <t>Nelly Herrera Santos</t>
  </si>
  <si>
    <t>Centro Legal Comunitario María Trinidad Enriquez</t>
  </si>
  <si>
    <t>+51 926 838 140
centrolegalcomunitario@gmail.com</t>
  </si>
  <si>
    <t>Acompañante Integral de Víctimas</t>
  </si>
  <si>
    <t>+51 910585441</t>
  </si>
  <si>
    <t>Raquel Salcedo</t>
  </si>
  <si>
    <t>Red Nacional de Promoción de la Mujer – RNPM</t>
  </si>
  <si>
    <t>+51 999007096
portal@rnpm.org.pe
directoraejecutiva@rnpm.or.pe
+51 945 952 262
https://www.linkedin.com/in/raquelsalcedoa/?originalSubdomain=pe</t>
  </si>
  <si>
    <t>Rita Rengifo Melendez</t>
  </si>
  <si>
    <t>mesaucayali@mesadeconcertacion.org.pe</t>
  </si>
  <si>
    <t>Lidia Saavedra</t>
  </si>
  <si>
    <t>(4) 431-7938
(4) 432-3240</t>
  </si>
  <si>
    <t>Hilda Huayhua Mamani</t>
  </si>
  <si>
    <t>910778097 
hhuayhua@unamba.edu.pe</t>
  </si>
  <si>
    <t>Ever Nuñez</t>
  </si>
  <si>
    <t>977256832 
rnpmloreto@gmail.com</t>
  </si>
  <si>
    <t>Yessenia Chombo Zeballos</t>
  </si>
  <si>
    <t>976540141 
paolachomba@gmail.com</t>
  </si>
  <si>
    <t>Pilar Manrique</t>
  </si>
  <si>
    <t>Liz Meléndez López</t>
  </si>
  <si>
    <t>Centro de la Mujer Peruana Flora Tristán</t>
  </si>
  <si>
    <t>Karen De la Cruz</t>
  </si>
  <si>
    <t>CHS Alternativo</t>
  </si>
  <si>
    <t>(065) 225 650
 chsalternativo@chsalternativo.org</t>
  </si>
  <si>
    <t>Amire Romina Ortiz Arica</t>
  </si>
  <si>
    <t>Acción por Igualdad</t>
  </si>
  <si>
    <t>consultoriolegal@accionporigualdad.com</t>
  </si>
  <si>
    <t>Yohanny González</t>
  </si>
  <si>
    <t>Pasos firmes</t>
  </si>
  <si>
    <t>Tania Pariona Tarqui</t>
  </si>
  <si>
    <t>Coordinadora Nacional de Derechos Humanos (CNDDHH)</t>
  </si>
  <si>
    <t>Clea Guerra</t>
  </si>
  <si>
    <t>Comité de América Latina y el Caribe para la Defensa de los Derechos de las Mujeres (CLADEM) Perú</t>
  </si>
  <si>
    <t>cladem.peru@gmail.com</t>
  </si>
  <si>
    <t xml:space="preserve">Red Interdistrital de Mujeres de Lima Metropolitana Contra la Violencia </t>
  </si>
  <si>
    <t>redinterdistrital.vdg@gmail.com</t>
  </si>
  <si>
    <t>Víctor Félix Choquehuanca Vilca</t>
  </si>
  <si>
    <t>FOVIDA</t>
  </si>
  <si>
    <t>postmast@fovida.org.pe
comunicaciones@fovida.org.pe</t>
  </si>
  <si>
    <t>Billy Rimari Quinto</t>
  </si>
  <si>
    <t>billy@fovida.org.pe</t>
  </si>
  <si>
    <t>Yovana Garfias Damiano</t>
  </si>
  <si>
    <t>yovana@fovida.org.pe</t>
  </si>
  <si>
    <t>Nixa Ynes Ahuite Laiche</t>
  </si>
  <si>
    <t>Orientadoras Judiciales</t>
  </si>
  <si>
    <t>Distrito Judicial: Huancayo</t>
  </si>
  <si>
    <t>- Realizar llamada de presentación y convocatoria al estudio</t>
  </si>
  <si>
    <t>Sonia Condoria Mitma</t>
  </si>
  <si>
    <t>Ania Pastor</t>
  </si>
  <si>
    <t>Elizabeth Estrella Quispe</t>
  </si>
  <si>
    <t>Distrito Judicial: Chimbote</t>
  </si>
  <si>
    <t>María Juarez Vera</t>
  </si>
  <si>
    <t>Ana Isabo</t>
  </si>
  <si>
    <t>Distrito Judicial: Tumbes</t>
  </si>
  <si>
    <t>Pilar Rojas Torres</t>
  </si>
  <si>
    <t>Marlenne Cespedes Rio</t>
  </si>
  <si>
    <t>Distrito Judicial: Lima Sur</t>
  </si>
  <si>
    <t>Evelyn Muñoz Oscategui</t>
  </si>
  <si>
    <t>Maria Elena Figueroa</t>
  </si>
  <si>
    <t>Maria Teresa Barreda</t>
  </si>
  <si>
    <t>Virginia Yañez Díaz</t>
  </si>
  <si>
    <t>Maria Arispe</t>
  </si>
  <si>
    <t>Janet Ortega</t>
  </si>
  <si>
    <t>Cynthia Solono Gammarra</t>
  </si>
  <si>
    <t>Margot Nivin Vargas</t>
  </si>
  <si>
    <t>Marlene Vivanco</t>
  </si>
  <si>
    <t>Margarita Juarez Vera</t>
  </si>
  <si>
    <t>Miluska Meza Sanchez</t>
  </si>
  <si>
    <t>Yaqueline Loayza</t>
  </si>
  <si>
    <t>Graciela Satan Reyes</t>
  </si>
  <si>
    <t>Cynthia Tatiana Clavijo Saldorriaga</t>
  </si>
  <si>
    <t>Georgina Gladys</t>
  </si>
  <si>
    <t>Rita Rengifo Garcia</t>
  </si>
  <si>
    <t>Maribel Pacaya</t>
  </si>
  <si>
    <t>Lucy Laos Quintana</t>
  </si>
  <si>
    <t>Maria Vega Riguez</t>
  </si>
  <si>
    <t>Nina Betty Sanchez</t>
  </si>
  <si>
    <t>Feliza Ponce Ventura</t>
  </si>
  <si>
    <t>Gilda Lopa Sebastian</t>
  </si>
  <si>
    <t>Epifania Valdiviezo</t>
  </si>
  <si>
    <t xml:space="preserve">Delia Marfil </t>
  </si>
  <si>
    <t>María Dolores Gutiérrez</t>
  </si>
  <si>
    <t>Nancy Navarro</t>
  </si>
  <si>
    <t>Rosa Rivera</t>
  </si>
  <si>
    <t>Jhinna Pinclu Calaypo</t>
  </si>
  <si>
    <t>Walter Eleodoro Martinez Laura</t>
  </si>
  <si>
    <t>wmartinez@minjus.gob.pe</t>
  </si>
  <si>
    <t>https://sgd.minjus.gob.pe/sgd-virtual/public/ciudadano/ciudadanoMain.xhtml</t>
  </si>
  <si>
    <t>Julio Cesar Zumaeta Hernandez</t>
  </si>
  <si>
    <t>948601741
julio.zumaeta@minjus.gob.pe</t>
  </si>
  <si>
    <t>Raul Eduardo Melgarejo Olortegui</t>
  </si>
  <si>
    <t>943801362
raul.melgarejo@minjus.gob.pe</t>
  </si>
  <si>
    <t>Silber Sanchez Camacho</t>
  </si>
  <si>
    <t>945537927
silber.sanchez@minjus.gob.pe</t>
  </si>
  <si>
    <t>Elena Zoila Villegas Portilla</t>
  </si>
  <si>
    <t>957867494
elena.villegas@minjus.gob.pe</t>
  </si>
  <si>
    <t>Wilver Felix Bautista Vallejo</t>
  </si>
  <si>
    <t>945487722
wilver.bautista@minjus.gob.pe</t>
  </si>
  <si>
    <t>Andy William Guevara Acuña</t>
  </si>
  <si>
    <t>945070588
andy.guevara@minjus.gob.pe</t>
  </si>
  <si>
    <t>Richard Florentino Ponciano Anchante</t>
  </si>
  <si>
    <t>992895757
richard.ponciano@minjus.gob.pe</t>
  </si>
  <si>
    <t>Karla Lisseth Medina Grimaldo</t>
  </si>
  <si>
    <t>944948839 
karla.medina@minjus.gob.pe</t>
  </si>
  <si>
    <t>Robert Chavez Hurtado</t>
  </si>
  <si>
    <t>974899831 
robert.chavez@minjus.gob.pe</t>
  </si>
  <si>
    <t>Sthevens Alain Cunya Ordoñez</t>
  </si>
  <si>
    <t>944827699 
sthevens.cunya@minjus.gob.pe</t>
  </si>
  <si>
    <t>Carmen Cecilia Cook Gonzales</t>
  </si>
  <si>
    <t>962971895 
carmen.cook@minjus.gob.pe</t>
  </si>
  <si>
    <t>Rolando Federico Depaz Hizo</t>
  </si>
  <si>
    <t>Distrito Judicial: Santa</t>
  </si>
  <si>
    <t>975402375 
rolando.depaz@minjus.gob.pe</t>
  </si>
  <si>
    <t>Gustavo Joe Matta Nuñez</t>
  </si>
  <si>
    <t>942034663 
gustavo.matta@minjus.gob.pe</t>
  </si>
  <si>
    <t>María Rosa Marín Villanueva</t>
  </si>
  <si>
    <t xml:space="preserve">957 592 090 
maria.marin@minjus.gob.pe </t>
  </si>
  <si>
    <t>Samuel Diaz Gonzales</t>
  </si>
  <si>
    <t>947528353 
samuel.diaz@minjus.gob.pe</t>
  </si>
  <si>
    <t>Jorge Manuel Puicon Uceda</t>
  </si>
  <si>
    <t>916098575 
jorge.puicon@minjus.gob.pe</t>
  </si>
  <si>
    <t>Carlos Manuel Gallegos Puma</t>
  </si>
  <si>
    <t>999,421,801 
cgallegos@minjus.gob.pe</t>
  </si>
  <si>
    <t>Jose Manuel Guevara Caicedo</t>
  </si>
  <si>
    <t>934495864 
manuel.guevara@minjus.gob.pe</t>
  </si>
  <si>
    <t>Julio Raúl Navarro Mendevil</t>
  </si>
  <si>
    <t>950872434 
julio.navarro@minjus.gob.pe</t>
  </si>
  <si>
    <t>Eberth William Mendoza Neira</t>
  </si>
  <si>
    <t>944813150 
eberth.mendoza@minjus.gob.pe</t>
  </si>
  <si>
    <t>Luis Carlos Paredes Arbildo</t>
  </si>
  <si>
    <t>965,703,351 
lparedesa@minjus.gob.pe</t>
  </si>
  <si>
    <t>Cesar Arque Meza</t>
  </si>
  <si>
    <t>982607214 
cesar.arque@minjus.gob.pe</t>
  </si>
  <si>
    <t>Ruth Omaira Valdivia Castillo De Mercado</t>
  </si>
  <si>
    <t>953651529 
ruth.valdivia@minjus.gob.pe</t>
  </si>
  <si>
    <t>Joseph Pasco Campana Porras</t>
  </si>
  <si>
    <t>953765906 
joseph.campana@minjus.gob.pe</t>
  </si>
  <si>
    <t>Pierr Abisai Adrianzen Roman</t>
  </si>
  <si>
    <t>985705695 
pierr.adrianzen@minjus.gob.pe</t>
  </si>
  <si>
    <t>Victor Landa Farati</t>
  </si>
  <si>
    <t>97297835 
victor.landa@minjus.gob.pe</t>
  </si>
  <si>
    <t>Juan Manuel Vásquez Carranza</t>
  </si>
  <si>
    <t>948588253 
juan.vasquez@minjus.gob.pe</t>
  </si>
  <si>
    <t>Henry Valentín Nureña Castillo</t>
  </si>
  <si>
    <t>952737606 
henry.nurena@minjus.gob.pe</t>
  </si>
  <si>
    <t>Jesus Alfonso Jauregui Torres</t>
  </si>
  <si>
    <t>939076062 
jesus.jauregui@minjus.gob.pe</t>
  </si>
  <si>
    <t>Gregorio Alexander Purizaca Vignolo</t>
  </si>
  <si>
    <t>942072024 
gregorio.purizaca@minjus.gob.pe</t>
  </si>
  <si>
    <t>Brenda Gabriela Sanga Coarite</t>
  </si>
  <si>
    <t>952250493 
brenda.sanga@minjus.gob.pe</t>
  </si>
  <si>
    <t>Carlos David Zuñiga Diaz</t>
  </si>
  <si>
    <t>944976228 
carlos.zuniga@minjus.gob.pe</t>
  </si>
  <si>
    <t>Jorge Enrique Kaqui Quiñonez</t>
  </si>
  <si>
    <t>949,581,731 
jorge.kaqui@minjus.gob.pe</t>
  </si>
  <si>
    <t>Donal Segovia Soto</t>
  </si>
  <si>
    <t>Ferrey De La Cruz Vila</t>
  </si>
  <si>
    <t xml:space="preserve">Dayma Gabriela Navia Canal </t>
  </si>
  <si>
    <t>Olga Huaman Ortiz</t>
  </si>
  <si>
    <t>Jesús Martin Cahua Huamán</t>
  </si>
  <si>
    <t>997 949 454 
jesus.cahua@minjus.gob.pe</t>
  </si>
  <si>
    <t>Instancias de Concertación</t>
  </si>
  <si>
    <t>Josué Manuel Gutérrez Cóndor</t>
  </si>
  <si>
    <t>jgutierrez@defensoria.gob.pe</t>
  </si>
  <si>
    <t>https://sgd.defensoria.gob.pe/TramiteVirtual/</t>
  </si>
  <si>
    <t>Luz Isabel Mejía Cunovilla De Yamaguchi</t>
  </si>
  <si>
    <t>01 3110300/ Anexo 2608
lmejia@defensoria.gob.pe</t>
  </si>
  <si>
    <t>Sandra Yessica Ramos Flores</t>
  </si>
  <si>
    <t>(01) 311 0300/ Anexo 2608
sramos@defensoria.gob.pe</t>
  </si>
  <si>
    <t>Marco Octavio Durand Rocca</t>
  </si>
  <si>
    <t>(062) 518203
mdurand@defensoria.gob.pe</t>
  </si>
  <si>
    <t>Soledad Elena Rodríguez Loli</t>
  </si>
  <si>
    <t>(01) 01 3110311
srodriguez@defensoria.gob.pe</t>
  </si>
  <si>
    <t>Genoveva Gómez Vargas</t>
  </si>
  <si>
    <t>(076) 343489
ggomez@defensoria.gob.pe</t>
  </si>
  <si>
    <t>Pamela Huerta</t>
  </si>
  <si>
    <t>La República</t>
  </si>
  <si>
    <t>Adriana León</t>
  </si>
  <si>
    <t>Instituto Prensa y Sociedad</t>
  </si>
  <si>
    <t>https://www.instagram.com/adrianaleoncantella/?hl=es
https://x.com/aleonca</t>
  </si>
  <si>
    <t>Fiorella Montaño</t>
  </si>
  <si>
    <t>Ojo Público</t>
  </si>
  <si>
    <t>https://x.com/fiomontano</t>
  </si>
  <si>
    <t>Gianfranco Huamán</t>
  </si>
  <si>
    <t>https://www.linkedin.com/in/gianfranco-huaman/</t>
  </si>
  <si>
    <t>Gloria Ziegler</t>
  </si>
  <si>
    <t>https://x.com/gloriaziegler</t>
  </si>
  <si>
    <t>Paloma Verano</t>
  </si>
  <si>
    <t>RPP</t>
  </si>
  <si>
    <t>pverano@gruporpp.com.pe</t>
  </si>
  <si>
    <t>Pedro Luis Ramos Martinez</t>
  </si>
  <si>
    <t>pedroluisramos91@gmail.com</t>
  </si>
  <si>
    <t>Paola Ugaz</t>
  </si>
  <si>
    <t>Diario ABC</t>
  </si>
  <si>
    <t>https://www.linkedin.com/in/paola-ugaz-8b352a52/?originalSubdomain=pe</t>
  </si>
  <si>
    <t>Juana Avellaneda</t>
  </si>
  <si>
    <t>América Televisión</t>
  </si>
  <si>
    <t>https://www.linkedin.com/in/juana-avellaneda-c-b29b70b5/</t>
  </si>
  <si>
    <t>Claudia Cisneros</t>
  </si>
  <si>
    <t>Wayka</t>
  </si>
  <si>
    <t>https://www.linkedin.com/in/cisneros-claudia-92b71b13/
https://x.com/claudiacisneros?lang=es</t>
  </si>
  <si>
    <t>Rocío Romero Benites</t>
  </si>
  <si>
    <t>Salud con Lupa</t>
  </si>
  <si>
    <t>https://www.linkedin.com/in/roc%C3%ADo-romero-benites-457031115/</t>
  </si>
  <si>
    <t>Fabiola Torres Lopez</t>
  </si>
  <si>
    <t>https://x.com/fabiolatorres?lang=es</t>
  </si>
  <si>
    <t>Olivia Chava Sotelo</t>
  </si>
  <si>
    <t>elmegafono.pe</t>
  </si>
  <si>
    <t>https://www.instagram.com/olivia_chs/</t>
  </si>
  <si>
    <t>Lorena Álvarez</t>
  </si>
  <si>
    <t>Latina</t>
  </si>
  <si>
    <t>https://www.linkedin.com/in/lorena-alvarez-46b9a795/
https://www.instagram.com/lorealvareza/?hl=es</t>
  </si>
  <si>
    <t>Sofìa Carrillo Zegarra</t>
  </si>
  <si>
    <t>Radio Nacional del Perú</t>
  </si>
  <si>
    <t>https://www.linkedin.com/in/sofiacarrillozegarra/</t>
  </si>
  <si>
    <t>Ariana Lira Delcore</t>
  </si>
  <si>
    <t>El Comercio</t>
  </si>
  <si>
    <t>ariana.lira@comercio.com.pe</t>
  </si>
  <si>
    <t>Nombre orientadora judicial</t>
  </si>
  <si>
    <t>Nombre de sobreviviente</t>
  </si>
  <si>
    <t>¿Contactada?</t>
  </si>
  <si>
    <t>Fecha propuesta</t>
  </si>
  <si>
    <t>Contacto brindado por otro actor</t>
  </si>
  <si>
    <t>Requiere Oficio</t>
  </si>
  <si>
    <t>¿Envío de oficio?</t>
  </si>
  <si>
    <t>Comentarios /Observaciones IJM</t>
  </si>
  <si>
    <t xml:space="preserve">https://www.linkedin.com/in/alejandra-saffon-26761671/?originalSubdomain=co/ 928974196 </t>
  </si>
  <si>
    <t>Aceptó entrevista sin oficio</t>
  </si>
  <si>
    <t>Magali Aguilar</t>
  </si>
  <si>
    <t>se envio whatsApp el 24/03/26</t>
  </si>
  <si>
    <t>Confirmó entrevista sin oficio, indico le manden link a  986693411</t>
  </si>
  <si>
    <t>976955754 
asociacionamarc@gmail.com</t>
  </si>
  <si>
    <t>se envio whatsApp el 24/03/26, el 26 de marzo dieron un nuevo cel. 976955754 ya se le escribió.</t>
  </si>
  <si>
    <t xml:space="preserve">Acepto entrevista </t>
  </si>
  <si>
    <t xml:space="preserve"> se envió whatsapp 24/03/26</t>
  </si>
  <si>
    <t>se le mando whatsapp 20/03/26</t>
  </si>
  <si>
    <t>se envio whatsapp 25/03/26</t>
  </si>
  <si>
    <t>se envío whatsApp 26/03/26</t>
  </si>
  <si>
    <t>envie whatsApp 26/03/26</t>
  </si>
  <si>
    <t>No tiene activado whatsApp</t>
  </si>
  <si>
    <t>envié whatsApp 26/03/26</t>
  </si>
  <si>
    <t>envié whatsApp 26/03/26  mp.1fsevcm.limanorte@mpfn.gob.pe mandar oficio a nombre de  Dany Campana</t>
  </si>
  <si>
    <t>se envio whatsApp 26/03/26</t>
  </si>
  <si>
    <t>Volver a llamar</t>
  </si>
  <si>
    <t>928974196 Cel de inter no contestó</t>
  </si>
  <si>
    <t xml:space="preserve">alejandra.alayza@oxfam.org
'+51 984753054 </t>
  </si>
  <si>
    <t>No contesta y desde el fijo se corta. Enviar correo</t>
  </si>
  <si>
    <t>Contesta la operadora. Enviar correo</t>
  </si>
  <si>
    <t>Mensaje vía whatsapp. Aceptó entrevista</t>
  </si>
  <si>
    <t>Aceptó entrevista</t>
  </si>
  <si>
    <t>Me piden enviar invitación formal a nombre de Rocio Gutierrez directora</t>
  </si>
  <si>
    <t>Enviar  oficio; el teléfono fijo se corta.</t>
  </si>
  <si>
    <t>51-996-55-083
comunicaciones@kallpa.org.pe</t>
  </si>
  <si>
    <t>Mensaje vía whatsapp.</t>
  </si>
  <si>
    <t>envié whatsapp. Entrevista aceptada</t>
  </si>
  <si>
    <t>+51 974 795 505 
2fsp-abancay@mpfn.gob.pe</t>
  </si>
  <si>
    <t>se envío whatsApp 26/03/26, aceptó entrevista 01/04/2026</t>
  </si>
  <si>
    <t>Se envió mensaje por Whatsapp. Aún no contesta</t>
  </si>
  <si>
    <t>se envio Whatsapp 26/03/26. Emtrevista aceptada</t>
  </si>
  <si>
    <t>se envio whatsapp 30/03/26</t>
  </si>
  <si>
    <t>envio whatsapp 30/03/26</t>
  </si>
  <si>
    <t>se envio whatsApp 26/03/26. Entrevista aceptada</t>
  </si>
  <si>
    <t>cel. +1 (740) 590 7116</t>
  </si>
  <si>
    <t/>
  </si>
  <si>
    <t>1</t>
  </si>
  <si>
    <t>2</t>
  </si>
  <si>
    <t>N° de Grupo Focal</t>
  </si>
  <si>
    <t>Grupo focal 1</t>
  </si>
  <si>
    <t>Grupo focal 2</t>
  </si>
  <si>
    <t>Dummy contacto</t>
  </si>
  <si>
    <t>Silvia Sandobal Gerrero</t>
  </si>
  <si>
    <t>Rosa Ofelia Tauma Flores</t>
  </si>
  <si>
    <t xml:space="preserve">Aceptó entrevista. </t>
  </si>
  <si>
    <t xml:space="preserve">car.barcoiris@gmail.com  cel 949605237 </t>
  </si>
  <si>
    <t>Está en búsqueda de -Sobrevivientes</t>
  </si>
  <si>
    <t>se envio whatsApp 26/03/26.Entrevista aceptada. Reprogramada por no respuesta de participante, hasta en 3 horarios.</t>
  </si>
  <si>
    <t>Categoría</t>
  </si>
  <si>
    <t>Tipo</t>
  </si>
  <si>
    <t>Subtipo</t>
  </si>
  <si>
    <t>Estado</t>
  </si>
  <si>
    <t>Fin principal relacionado con temas del estudio</t>
  </si>
  <si>
    <t>Jurado Nacional de Elecciones</t>
  </si>
  <si>
    <t xml:space="preserve">+51 966662278
</t>
  </si>
  <si>
    <t>cvilela@jne.gob.pe</t>
  </si>
  <si>
    <t>Autoridades/Actores rurales</t>
  </si>
  <si>
    <t>Realizada completa</t>
  </si>
  <si>
    <r>
      <rPr>
        <b/>
        <sz val="11"/>
        <color rgb="FF000000"/>
        <rFont val="Arial"/>
        <family val="2"/>
      </rPr>
      <t>ONG</t>
    </r>
    <r>
      <rPr>
        <sz val="11"/>
        <color rgb="FF000000"/>
        <rFont val="Arial"/>
        <family val="2"/>
      </rPr>
      <t>: Movimiento Manuela Ramos</t>
    </r>
  </si>
  <si>
    <t>ONGs</t>
  </si>
  <si>
    <t xml:space="preserve">Foco en derechos sexuales / reproductivos </t>
  </si>
  <si>
    <t>- Tlf. (01) 424-7057, 431-0482
- Dirección: Jr. Pachacútec 980 – Jesús María
- Correo:postmast@aprodeh.org.pe</t>
  </si>
  <si>
    <t xml:space="preserve">Centros de Acogida Residencial </t>
  </si>
  <si>
    <t xml:space="preserve">Foco en derechos de la niñez </t>
  </si>
  <si>
    <t>Jueces de paz</t>
  </si>
  <si>
    <t xml:space="preserve">Foco en protección de la violencia </t>
  </si>
  <si>
    <t>Direcciones especializadas en violencia</t>
  </si>
  <si>
    <t>Otras direcciones</t>
  </si>
  <si>
    <t>Instituciones Públicas</t>
  </si>
  <si>
    <t>CEM / Aurora</t>
  </si>
  <si>
    <t>Asociaciones legales</t>
  </si>
  <si>
    <t>Sonia Condori Mitma</t>
  </si>
  <si>
    <t>995 961 432</t>
  </si>
  <si>
    <t>Fila agregada.</t>
  </si>
  <si>
    <t>Está en búsqueda de -Sobrevivientes.
Entrevista realizada luego de reprogramación.</t>
  </si>
  <si>
    <t>Instancias de concertación</t>
  </si>
  <si>
    <t>Medios tradicionales</t>
  </si>
  <si>
    <t>Medios no tradicionales</t>
  </si>
  <si>
    <t>Distrito Limpio</t>
  </si>
  <si>
    <t>ID</t>
  </si>
  <si>
    <t>Puente Piedra-Ventanilla</t>
  </si>
  <si>
    <t>3</t>
  </si>
  <si>
    <t>4</t>
  </si>
  <si>
    <t>Lorena Farroñan</t>
  </si>
  <si>
    <t>Pilar Yasmint Sotelo Tello</t>
  </si>
  <si>
    <t>Juan Manuel Pichihua Torres</t>
  </si>
  <si>
    <t>Lincoln Arturo Leon</t>
  </si>
  <si>
    <t>Carla Verano Bullón</t>
  </si>
  <si>
    <t>Rossana Dudziak</t>
  </si>
  <si>
    <t>Cristel Damian</t>
  </si>
  <si>
    <t>Karim Velasco</t>
  </si>
  <si>
    <t>Antonino De Leo</t>
  </si>
  <si>
    <t>José Roberto Piqueras Bouillon</t>
  </si>
  <si>
    <t>Teresina Muñoz Najar</t>
  </si>
  <si>
    <t>Zoila Merino Roque</t>
  </si>
  <si>
    <t>Judith Nunta Guimaraes</t>
  </si>
  <si>
    <t>Wilson Anthony Siancas</t>
  </si>
  <si>
    <t>Estefany Luján Quispe</t>
  </si>
  <si>
    <t>Katherine Subirana Abanto</t>
  </si>
  <si>
    <t>Lourdes Fernández Calvo</t>
  </si>
  <si>
    <t>Graciela Tiburcio Loayza</t>
  </si>
  <si>
    <t>Graciela Reátegui</t>
  </si>
  <si>
    <t>Amalia Añez</t>
  </si>
  <si>
    <t>Wayra Warmikuna</t>
  </si>
  <si>
    <t>Fuera Informativa</t>
  </si>
  <si>
    <t>Tarpurisunchis</t>
  </si>
  <si>
    <t>Federación de Mujeres de Apurímac – FEMURA</t>
  </si>
  <si>
    <t>Micaelas</t>
  </si>
  <si>
    <t>ONU</t>
  </si>
  <si>
    <t>PNUD</t>
  </si>
  <si>
    <t>AECID</t>
  </si>
  <si>
    <t>Independiente</t>
  </si>
  <si>
    <t>Organización Regional de los Pueblos Indígenas del Oriente</t>
  </si>
  <si>
    <t>Organización Regional Aidesep Ucayali</t>
  </si>
  <si>
    <t>Convoca</t>
  </si>
  <si>
    <t>IDEHPUCP</t>
  </si>
  <si>
    <t>Mongabay</t>
  </si>
  <si>
    <t>Contranoticia</t>
  </si>
  <si>
    <t>FECONAU – Federación de Comunidades Nativas de Ucayali y Afluentes</t>
  </si>
  <si>
    <t>FENAMAD – Federación Nativa del Río Madre de Dios y Afluentes</t>
  </si>
  <si>
    <t xml:space="preserve"> +51 960 557 083 Lorena Farroñan coordinadora
tukuysunquywanyanapasqayki@gmail.com</t>
  </si>
  <si>
    <t>Cel 940 920 906 coordinadora de Comunicaciones Lucia castroComunicaciones@inppares.org
https://www.linkedin.com/in/estrelia-nizama-ruiz-b9b05130/?originalSubdomain=pe</t>
  </si>
  <si>
    <t>psotelo@mimp.gob.pe</t>
  </si>
  <si>
    <t xml:space="preserve">wayrawarmikuna@gmail.com </t>
  </si>
  <si>
    <t>direccionejecutiva@tarpurisunchis.org</t>
  </si>
  <si>
    <t>lleoncapj.gob.pe</t>
  </si>
  <si>
    <t xml:space="preserve">995 450 493
cveranobullon@yahoo.com </t>
  </si>
  <si>
    <t>rcs-peru@un.org / (+51-1) 625 9000</t>
  </si>
  <si>
    <t>kvelasco@pucp.edu.pe</t>
  </si>
  <si>
    <t>tmunoznajar@elcomercio.pe</t>
  </si>
  <si>
    <t>https://www.linkedin.com/in/est%C3%A9fany-luj%C3%A1n-quispe-a874b765/</t>
  </si>
  <si>
    <t>https://www.linkedin.com/in/catasubirana/</t>
  </si>
  <si>
    <t>mesadepartes.fpedv.maynas@gmail.com</t>
  </si>
  <si>
    <t>peru.office@unfpa.org / (+511) 226 1026</t>
  </si>
  <si>
    <t>registry.pe@undp.org</t>
  </si>
  <si>
    <t>unodc-peru@un.org</t>
  </si>
  <si>
    <t>oce.peru@aecid.es / (+51-1) 202 7000</t>
  </si>
  <si>
    <t>orpio-baseregional_aidesep@hotmail.com / (065) 227345</t>
  </si>
  <si>
    <t>orauo347@gmail.com</t>
  </si>
  <si>
    <t>convocaperiodismo@convoca.pe</t>
  </si>
  <si>
    <t>prensa@contranoticia.pe</t>
  </si>
  <si>
    <t>feconau1@gmail.com
(061) 625262</t>
  </si>
  <si>
    <t>fenamad@fenamad.com.pe
(082) 572499</t>
  </si>
  <si>
    <t>- Enviar oficio formal
- Confirmar recepción del oficio
- Dar seguimiento por correo</t>
  </si>
  <si>
    <t>- Enviar convocatoria por Linkedin
- Dar seguimiento</t>
  </si>
  <si>
    <t>El distrito judicial es Ayacucho</t>
  </si>
  <si>
    <t>o se puede acceder al facebook</t>
  </si>
  <si>
    <t>sintabues.org@gmail.com</t>
  </si>
  <si>
    <t>- Tlf. (01) 424-7057, 431-0482
- Dirección: Jr. Pachacútec 980 – Jesús María
- Correo: postmast@aprodeh.org.pe, gloria@aprodeh.org.pe</t>
  </si>
  <si>
    <t>Tlf: 381-7190, 940228242</t>
  </si>
  <si>
    <t>https://www.linkedin.com/in/rosario-cosar-5b3538119/
51-996-055-083
comunicaciones@kallpa.org.pe, peru@kallpa.org.pe</t>
  </si>
  <si>
    <t>51-996-55-83
comunicaciones@kallpa.org.pe, peru@kallpa.org.pe</t>
  </si>
  <si>
    <t>Paola Ricci (Comunicaciones) responidó al correo señalando que la Presidenta es Katherine Flores. Ella ya participó del GF piloto.</t>
  </si>
  <si>
    <t>Leyden María Capa Barrios</t>
  </si>
  <si>
    <t xml:space="preserve">Zenobia (Señorita) </t>
  </si>
  <si>
    <t>CRISTINA MENDOZA (Lideresa)</t>
  </si>
  <si>
    <t>Naidolith Peña (Líder)</t>
  </si>
  <si>
    <t>Martha Quispe</t>
  </si>
  <si>
    <t>988 962 782</t>
  </si>
  <si>
    <t>980 934 848</t>
  </si>
  <si>
    <t>944 448 603</t>
  </si>
  <si>
    <t>Por evaluar</t>
  </si>
  <si>
    <t>Correo ubicado en web rebotó</t>
  </si>
  <si>
    <t>Correo insitucional rebotó</t>
  </si>
  <si>
    <t>No responden al número.</t>
  </si>
  <si>
    <t>Se envió enlace y consentimiento a correo y/o whatsapp.</t>
  </si>
  <si>
    <t>Correo reenviado</t>
  </si>
  <si>
    <t>Para piloto se le contactó por WhatsApp y no respondió.
6/5: Se insisitó contacto, sin respuesta.</t>
  </si>
  <si>
    <t>Solo correo</t>
  </si>
  <si>
    <t>car.gracia@inabif.gob.pe</t>
  </si>
  <si>
    <t>940 314 251 / 942 261 067 (Directora) / 062-561275
sanjuanboscoaldeainfantil@gmail.com</t>
  </si>
  <si>
    <t xml:space="preserve"> 01-232-1451 (anexo 17) o 960 812 545
sociedaddebeneficenciahuacho@gmail.com</t>
  </si>
  <si>
    <t>No responden número ni correo (desde el piloto).</t>
  </si>
  <si>
    <t>(01) 4418494</t>
  </si>
  <si>
    <t>Ulises Requejo</t>
  </si>
  <si>
    <t>997 918 714</t>
  </si>
  <si>
    <t>No responde</t>
  </si>
  <si>
    <t xml:space="preserve">6/5: Blanca no es responsable del CEM hace dos años. </t>
  </si>
  <si>
    <t>Jose Miguel Chavez Montero</t>
  </si>
  <si>
    <t>994800484, cemucayaliloreto@gmail.com</t>
  </si>
  <si>
    <t>Contactado a partir de la llamada a Blanca Marianela Benites Avalos.</t>
  </si>
  <si>
    <t>No responde, cuelga.</t>
  </si>
  <si>
    <t>992 275 280</t>
  </si>
  <si>
    <t>Elga Prado</t>
  </si>
  <si>
    <t>951 685 605</t>
  </si>
  <si>
    <t>Se envió enlace y consentimiento a correo y/o whatsapp.
Contacto directo IJM</t>
  </si>
  <si>
    <t xml:space="preserve">Fabiana Rodari </t>
  </si>
  <si>
    <t>Apurímac ETS</t>
  </si>
  <si>
    <t>coord.peru@apurimac.it</t>
  </si>
  <si>
    <t>Víctor Canales</t>
  </si>
  <si>
    <t>Warmi Wasi</t>
  </si>
  <si>
    <t>DVV International</t>
  </si>
  <si>
    <t>Patricia Nieto</t>
  </si>
  <si>
    <t>ONG Buckner</t>
  </si>
  <si>
    <t>947 744 634</t>
  </si>
  <si>
    <t>Susana Osorio</t>
  </si>
  <si>
    <t>consejodemujeresawajunwampis@gmail.com</t>
  </si>
  <si>
    <t>Mensaje vía whatsApp. Contestó; se le mencionó hora y fecha, esperando respuesta. Se volvio a enviar mensaje el 08/05/26</t>
  </si>
  <si>
    <t>por 06 días en diferentes fechas se ha intentado coordinar pero no se concreta, dice que si y luego no responde.</t>
  </si>
  <si>
    <t>Corregir en la columna de "Alcance" epifania pertenece a la Corte Superior  de Justicia de Huanúco</t>
  </si>
  <si>
    <t>Distrito Judic ial  de ucayali (actualizado9</t>
  </si>
  <si>
    <t>DECANA DEL CAL enviar oficio, se debe volver a enviar oficio al correo del CAL</t>
  </si>
  <si>
    <t>Jimena Chavez</t>
  </si>
  <si>
    <t>chavez@dvv-international.edu.pe</t>
  </si>
  <si>
    <t>Susana Gonzalez</t>
  </si>
  <si>
    <t>Asociación de mujeres de Gamarra</t>
  </si>
  <si>
    <t xml:space="preserve">susana.trazamos@hotmail.com
</t>
  </si>
  <si>
    <t>Giannina Castro Gamarra</t>
  </si>
  <si>
    <t>Asociación de mujeres empresarias del Perú (AMEP)</t>
  </si>
  <si>
    <t>presidencia@amep.org.pe</t>
  </si>
  <si>
    <t>Carmen Arróspide Poblete</t>
  </si>
  <si>
    <t>Red Nacional de Mujeres Empresarias y Emprendedoras (RENAMEE)</t>
  </si>
  <si>
    <t>Kanttuperu@yahoo.es</t>
  </si>
  <si>
    <t>Carolina Vera Torres</t>
  </si>
  <si>
    <t>PUCP</t>
  </si>
  <si>
    <t>cavera@minedu.gob.pe</t>
  </si>
  <si>
    <t>Elena Reyes</t>
  </si>
  <si>
    <t>Especialista en Género</t>
  </si>
  <si>
    <t>marielenarm@gmail.com</t>
  </si>
  <si>
    <t>Keyland Allca Chacaliaza</t>
  </si>
  <si>
    <t>Lideranda ORG</t>
  </si>
  <si>
    <t>k.allca@pucp.edu.pe</t>
  </si>
  <si>
    <t>Magaly Ávila</t>
  </si>
  <si>
    <t>Proetica</t>
  </si>
  <si>
    <t>mavila@proetica.org.pe</t>
  </si>
  <si>
    <t>Adhely Bellido Castro</t>
  </si>
  <si>
    <t>RED NACIONAL DE JÓVENES PARLAMENTARIOS</t>
  </si>
  <si>
    <t xml:space="preserve">rednacionalpj@gmail.com </t>
  </si>
  <si>
    <t>Lourdes Maritza Jesús Soplin Servan</t>
  </si>
  <si>
    <t>Taller de Estudios Parlamentarios - TAEP</t>
  </si>
  <si>
    <t>taepunmsm@gmail.com</t>
  </si>
  <si>
    <t>Carmen Espinoza</t>
  </si>
  <si>
    <t>carmen.espinoza@manuela.org.p</t>
  </si>
  <si>
    <r>
      <rPr>
        <b/>
        <sz val="11"/>
        <color rgb="FF000000"/>
        <rFont val="Arial"/>
        <family val="2"/>
      </rPr>
      <t>980654143</t>
    </r>
    <r>
      <rPr>
        <sz val="11"/>
        <color rgb="FF000000"/>
        <rFont val="Arial"/>
        <family val="2"/>
      </rPr>
      <t xml:space="preserve"> / 940244602</t>
    </r>
  </si>
  <si>
    <t xml:space="preserve">lizmelendez@flora.org.pe
</t>
  </si>
  <si>
    <t>- Tlf: +51 433-1457
- Correo: postmast@flora.org.pe
- Dirección: Parque Hernán Velarde Nº 42 Lima, Perú</t>
  </si>
  <si>
    <t>mariapia.molero@unwomen.org</t>
  </si>
  <si>
    <t>susana.osorio@savethechildren.org</t>
  </si>
  <si>
    <t>- Correo: info.peru@savethechildren.org
-Tlf: (511) 422 9292 /</t>
  </si>
  <si>
    <t>Gianina Marquez Olivera</t>
  </si>
  <si>
    <t>Quinta Ola</t>
  </si>
  <si>
    <t>gianina@quintaola.org</t>
  </si>
  <si>
    <t>+51 993509451
lmartinezcornejo@unicef.org</t>
  </si>
  <si>
    <t>- Tlf: +51 (01) 613-0707
- Correo: lima@unicef.org</t>
  </si>
  <si>
    <t>Angela Dominguez</t>
  </si>
  <si>
    <t>Beatriz Cordova</t>
  </si>
  <si>
    <t>reboto correo</t>
  </si>
  <si>
    <t>se envio whatsApp el 24/03/26 y se envio oficio el 05/05/26</t>
  </si>
  <si>
    <t>correo reboto</t>
  </si>
  <si>
    <t xml:space="preserve"> en contacto con la comunicadora</t>
  </si>
  <si>
    <t>Respondio indicando que no tiene experiencia</t>
  </si>
  <si>
    <t>Requeire saber la persona que se contacta</t>
  </si>
  <si>
    <t>se envio oficio por mesa de partes digital</t>
  </si>
  <si>
    <t>Se le envio nuevamente la carta por whatsapp porque el correo reboto</t>
  </si>
  <si>
    <t>El distrito judicial es Ayacucho y reboto el correo</t>
  </si>
  <si>
    <t>Reboto el correo</t>
  </si>
  <si>
    <r>
      <rPr>
        <strike/>
        <sz val="11"/>
        <color rgb="FF000000"/>
        <rFont val="Arial"/>
        <family val="2"/>
      </rPr>
      <t xml:space="preserve">cinthia.navarro@oxfam.org
</t>
    </r>
    <r>
      <rPr>
        <sz val="11"/>
        <color rgb="FF000000"/>
        <rFont val="Arial"/>
        <family val="2"/>
      </rPr>
      <t xml:space="preserve">	cinavarro@pucp.pe   </t>
    </r>
  </si>
  <si>
    <t>Aceptó para el 11, pero no se conectó. Proponiendo reagenda para el 20.</t>
  </si>
  <si>
    <t>Karolina</t>
  </si>
  <si>
    <t>933 985 424</t>
  </si>
  <si>
    <t>- Tlf: +51 992 555 861
tpariona@derechoshumanos.pe</t>
  </si>
  <si>
    <t>- Correo: info@derechoshumanos.pe</t>
  </si>
  <si>
    <t>Irma Milagritos Llontop Vilchez</t>
  </si>
  <si>
    <t>illontop@minjus.gob.pe, milagrosllontopv@gmail.com</t>
  </si>
  <si>
    <t>Diana Rodriguez / Antonella Rojas</t>
  </si>
  <si>
    <t>Antonella.Rojas@savethechildren.org; diana.rodriguez@savethechildren.org</t>
  </si>
  <si>
    <t>Virginia Rose Losada</t>
  </si>
  <si>
    <t>OIT</t>
  </si>
  <si>
    <t>roselosada@ilo.org</t>
  </si>
  <si>
    <t>Corali Ormeño Michelena</t>
  </si>
  <si>
    <t>CARE ONG</t>
  </si>
  <si>
    <t>cormeno@care.org.pe</t>
  </si>
  <si>
    <t>Giannina Castro Gamarra</t>
  </si>
  <si>
    <t>AMEP</t>
  </si>
  <si>
    <t>RENAMEE</t>
  </si>
  <si>
    <t>Docente de la PUCP en temas de Género</t>
  </si>
  <si>
    <t>rednacionalpj@gmail.com </t>
  </si>
  <si>
    <t>carmen.espinoza@manuela.org.pe</t>
  </si>
  <si>
    <t>Se envió enlace y consentimiento por whatsapp.</t>
  </si>
  <si>
    <t>Se envió enlace y consentimiento por correo.</t>
  </si>
  <si>
    <t>Se envió enlace y consentimiento por whatsapp.
Solicitó cambio de fecha: del 11 al 20.</t>
  </si>
  <si>
    <t>Se envió enlace y consentimiento por whatsapp.
Psicóloga del CAR, referida por Silvia.</t>
  </si>
  <si>
    <r>
      <t xml:space="preserve">lourdes.febres@accionporlosninos.org.pe
</t>
    </r>
    <r>
      <rPr>
        <sz val="11"/>
        <color rgb="FF000000"/>
        <rFont val="Aptos Narrow"/>
        <family val="2"/>
      </rPr>
      <t>995579501</t>
    </r>
  </si>
  <si>
    <t>zoila.cabanillas@warminam.gob.pe
994581446</t>
  </si>
  <si>
    <r>
      <t xml:space="preserve">950432577
</t>
    </r>
    <r>
      <rPr>
        <b/>
        <strike/>
        <sz val="11"/>
        <color rgb="FFD86DCD"/>
        <rFont val="Arial"/>
        <family val="2"/>
      </rPr>
      <t>dheredia@defensoria.gob.pe</t>
    </r>
    <r>
      <rPr>
        <b/>
        <sz val="11"/>
        <color rgb="FFD86DCD"/>
        <rFont val="Arial"/>
        <family val="2"/>
      </rPr>
      <t>, odcallao@defensoria.gob.pe</t>
    </r>
  </si>
  <si>
    <t>Pendiente enviar enlace cuando Susana Osorio confirmen quién es la participante.</t>
  </si>
  <si>
    <t>Estrelia Nizama Ruiz</t>
  </si>
  <si>
    <t>Eva Ambicho Mandujano</t>
  </si>
  <si>
    <t>Ayesha Dávila Torres</t>
  </si>
  <si>
    <t>Pedro Martín Fuentes Sotelo</t>
  </si>
  <si>
    <t>Cresiendo</t>
  </si>
  <si>
    <t>+51 989 680 665</t>
  </si>
  <si>
    <t>sin respuesta</t>
  </si>
  <si>
    <t>se envío  correo de seguimiento</t>
  </si>
  <si>
    <t>se envio whatsApp el 24/03/26 / Se volvío a escribir el 30/03/2026.</t>
  </si>
  <si>
    <t xml:space="preserve"> se envió whatsapp 22/05/26</t>
  </si>
  <si>
    <t>correo de seguimiento</t>
  </si>
  <si>
    <t>correo seguimiento</t>
  </si>
  <si>
    <t>se envio por WhatsApp el 26/03/26 me dieron un nuevo celular de Victor Camarena 961 855671</t>
  </si>
  <si>
    <t>se envio whatsApp 26/03/226/ reboto correo</t>
  </si>
  <si>
    <t>whatsapp 22.05.26</t>
  </si>
  <si>
    <t>whatsapp 22.05.26 me dieron nuevo cel 943095257 AYUDANTIA DIRNOS</t>
  </si>
  <si>
    <t>respondió se está respondiendo vía whatsapp</t>
  </si>
  <si>
    <t>Whatsapp</t>
  </si>
  <si>
    <t>Vía correo respondió que no participarán de la entrevista</t>
  </si>
  <si>
    <t>Sandy Martinez</t>
  </si>
  <si>
    <t>Santos Vanessa Díaz Angulo de Loayza</t>
  </si>
  <si>
    <t>María Alejandra Saravia Pinazo</t>
  </si>
  <si>
    <t>sandy.martinez@giz.de
986742519</t>
  </si>
  <si>
    <t>927 698 304
vanessa.diaz@warminan.gob.pe</t>
  </si>
  <si>
    <t>msaravia@proetica.org.pe</t>
  </si>
  <si>
    <t>Aceptó para el 11, pero no se conectó.</t>
  </si>
  <si>
    <t>Se envió enlace y consentimiento por correo.
Designada de Silvia Romero.
Asesora técnica del proyecto ForSNEJ II</t>
  </si>
  <si>
    <t>Se envió enlace y consentimiento por Whatsapp.
Contacto brindado por Victoria Pomalaya Trillo. Ulises es fiscal de Violencia contra la Mujer y Grupo Familiar.</t>
  </si>
  <si>
    <t>Aceptó para el 20 érp camceñp ór salud</t>
  </si>
  <si>
    <t>Se envió enlace y consentimiento por correo.
Asistirá con Vanessa Díaz (ella asistió al GF presencial).</t>
  </si>
  <si>
    <t>Referida de Zoila.
Fue asistente al GF presencial, pero Zoila propuso esta participación.</t>
  </si>
  <si>
    <t>Se envió enlace y consentimiento por WhatsApp.
Contacto brindado por IJM.</t>
  </si>
  <si>
    <t>Derivada de Magaly Ávila
Especialista.
Se envió enlace y consentimiento por correo.</t>
  </si>
  <si>
    <t>Leonor Perez-Durand</t>
  </si>
  <si>
    <t>Beatriz Gamarra</t>
  </si>
  <si>
    <t>Teleoleo</t>
  </si>
  <si>
    <t>Se encuentra en Italia, y estará revisando al agenda disponible por la diferencia de horas./ Definió la Agenda.</t>
  </si>
  <si>
    <t>No válida</t>
  </si>
  <si>
    <t>No será entrevistada. Será remplazada por Esley Nieto de Paz y Esperanza</t>
  </si>
  <si>
    <t>Reiterar mensaje</t>
  </si>
  <si>
    <t>- Tlf: +51 (01) 6409393
- Correo: central@care.org.pe/&lt;marlene.molero@elsa.la&gt;
-Dirección: Calle Amador Merino Reyna 267, piso 9, oficina 901, San Isidro. Lima – Perú</t>
  </si>
  <si>
    <t>- Tlf: +51  (01) 4478668
- Dirección: Av. José Pardo 601 Oficina 604, Miraflores, Case Miraflores, Peru postmast@promdsr.org</t>
  </si>
  <si>
    <t>asco</t>
  </si>
  <si>
    <t>Elba Zegarra Vila</t>
  </si>
  <si>
    <t>https://www.linkedin.com/in/elba-sahara-zegarra-vila-79423149?originalSubdomain=pe
'info@mamaalice.org  (0051) (0) 66317963
(0051) 975050260</t>
  </si>
  <si>
    <t>Luzmelit Oliva Tapia</t>
  </si>
  <si>
    <t>978 488 809</t>
  </si>
  <si>
    <t>el número es incorrecto</t>
  </si>
  <si>
    <t>https://www.instagram.com/pasosfirmes_peru/  asociacionpasosfirmes@gmail.com</t>
  </si>
  <si>
    <t>Luz Medina Gonzales</t>
  </si>
  <si>
    <t>Se le enviará oficio  a nombre de Pedro Martin Fuentes Sotelo</t>
  </si>
  <si>
    <t>mandar otro oficio, erro se debe enviar a la Defensa Pública de Madre de DIos</t>
  </si>
  <si>
    <t>https://x.com/Pam_mdf/ pamela.hb2007@gmail.com pamela.huerta@almargen-media.com</t>
  </si>
  <si>
    <t>Rosa Karina Bueno Dueñas</t>
  </si>
  <si>
    <t>Anali Anadrade Pareja</t>
  </si>
  <si>
    <t>917632683/941805209/083 422560
contacto@fuerzainformativa.com</t>
  </si>
  <si>
    <t>Javier Malpartida Urzubiaga</t>
  </si>
  <si>
    <t xml:space="preserve">Carmen Vicente Oscco </t>
  </si>
  <si>
    <t>964107425/964107425</t>
  </si>
  <si>
    <t>Keyli Cordero Guillen</t>
  </si>
  <si>
    <t xml:space="preserve">redmicaelas.pe@gmail.com/ </t>
  </si>
  <si>
    <t>UNODC - Oficina de las Naciones Unidas contra la Droga y el Delito</t>
  </si>
  <si>
    <t>le escribí por IG</t>
  </si>
  <si>
    <t>La Sra. Graciela está ocupada se le ofreció delegar a otra persona</t>
  </si>
  <si>
    <t>si</t>
  </si>
  <si>
    <t>no</t>
  </si>
  <si>
    <t>Eysler Nieto</t>
  </si>
  <si>
    <t>Katherine Flores</t>
  </si>
  <si>
    <t>Familias Unidas Por Justicia</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</si>
  <si>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</si>
  <si>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</si>
  <si>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</si>
  <si>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</si>
  <si>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</si>
  <si>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</si>
  <si>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</si>
  <si>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</si>
  <si>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</si>
  <si>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</si>
  <si>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</si>
  <si>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</si>
  <si>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</si>
  <si>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</si>
  <si>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</si>
  <si>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</si>
  <si>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</si>
  <si>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</si>
  <si>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</si>
  <si>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</si>
  <si>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</si>
  <si>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</si>
  <si>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</si>
  <si>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</si>
  <si>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</si>
  <si>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</si>
  <si>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</si>
  <si>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</si>
  <si>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</si>
  <si>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</si>
  <si>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</si>
  <si>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</si>
  <si>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</si>
  <si>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</si>
  <si>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</si>
  <si>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</si>
  <si>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</si>
  <si>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</si>
  <si>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</si>
  <si>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</si>
  <si>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</si>
  <si>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</si>
  <si>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</si>
  <si>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</si>
  <si>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</si>
  <si>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</si>
  <si>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</si>
  <si>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</si>
  <si>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</si>
  <si>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</si>
  <si>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</si>
  <si>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</si>
  <si>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</si>
  <si>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</si>
  <si>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</si>
  <si>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</si>
  <si>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</si>
  <si>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</si>
  <si>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</si>
  <si>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</si>
  <si>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</si>
  <si>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</si>
  <si>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</si>
  <si>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</si>
  <si>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 xml:space="preserve">  5/5/2026</t>
  </si>
  <si>
    <t xml:space="preserve"> 8-May</t>
  </si>
  <si>
    <t>12-May</t>
  </si>
  <si>
    <t>953297789</t>
  </si>
  <si>
    <t>993819250</t>
  </si>
  <si>
    <t>995961432</t>
  </si>
  <si>
    <t>967806708</t>
  </si>
  <si>
    <t>993941429</t>
  </si>
  <si>
    <t>998963602</t>
  </si>
  <si>
    <t>965348332</t>
  </si>
  <si>
    <t xml:space="preserve"> 4/27/2026</t>
  </si>
  <si>
    <t>29-Apr</t>
  </si>
  <si>
    <t xml:space="preserve"> 9-Apr</t>
  </si>
  <si>
    <t>11-May</t>
  </si>
  <si>
    <t xml:space="preserve">  5/7/2026</t>
  </si>
  <si>
    <t xml:space="preserve"> 6-May</t>
  </si>
  <si>
    <t>27-Apr</t>
  </si>
  <si>
    <t xml:space="preserve"> 5-May</t>
  </si>
  <si>
    <t>15-May</t>
  </si>
  <si>
    <t>13-May</t>
  </si>
  <si>
    <t>14-May</t>
  </si>
  <si>
    <t>18-May</t>
  </si>
  <si>
    <t>20-May</t>
  </si>
  <si>
    <t>Líder</t>
  </si>
  <si>
    <t>Sobreviviente01</t>
  </si>
  <si>
    <t>Sobreviviente02</t>
  </si>
  <si>
    <t>Giovanna Maria Cavero Mogollon</t>
  </si>
  <si>
    <t>Lina Amelia Maldonado Córdova</t>
  </si>
  <si>
    <t>Save The Children</t>
  </si>
  <si>
    <t>+51 962 701 791</t>
  </si>
  <si>
    <t>+51 954 922 188</t>
  </si>
  <si>
    <t>Contactado por Lisbeth Souza por perfil más acorde a la entrevista. Suma a la cuota de Huánuco.</t>
  </si>
  <si>
    <t>Contactado por Lisbeth Souza, hacerle referencia. Espera puntual la entrevista , tiene audiencia a las 10am</t>
  </si>
  <si>
    <t>Virtual</t>
  </si>
  <si>
    <t>Contactada</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</si>
  <si>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</si>
  <si>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</si>
  <si>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</si>
  <si>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</si>
  <si>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</si>
  <si>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</si>
  <si>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</si>
  <si>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</si>
  <si>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</si>
  <si>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</si>
  <si>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</si>
  <si>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</si>
  <si>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</si>
  <si>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</si>
  <si>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</si>
  <si>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</si>
  <si>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</si>
  <si>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</si>
  <si>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</si>
  <si>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</si>
  <si>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</si>
  <si>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</si>
  <si>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</si>
  <si>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</si>
  <si>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</si>
  <si>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</si>
  <si>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</si>
  <si>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</si>
  <si>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</si>
  <si>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</si>
  <si>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</si>
  <si>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</si>
  <si>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</si>
  <si>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</si>
  <si>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</si>
  <si>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</si>
  <si>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</si>
  <si>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</si>
  <si>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</si>
  <si>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</si>
  <si>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</si>
  <si>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</si>
  <si>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</si>
  <si>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</si>
  <si>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</si>
  <si>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</si>
  <si>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</si>
  <si>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</si>
  <si>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</si>
  <si>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</si>
  <si>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</si>
  <si>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</si>
  <si>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</si>
  <si>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</si>
  <si>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</si>
  <si>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</si>
  <si>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</si>
  <si>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</si>
  <si>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</si>
  <si>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</si>
  <si>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</si>
  <si>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</si>
  <si>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</si>
  <si>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</si>
  <si>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</si>
  <si>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</si>
  <si>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</si>
  <si>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</si>
  <si>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</si>
  <si>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</si>
  <si>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</si>
  <si>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</si>
  <si>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</si>
  <si>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</si>
  <si>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</si>
  <si>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</si>
  <si>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</si>
  <si>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</si>
  <si>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</si>
  <si>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</si>
  <si>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</si>
  <si>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</si>
  <si>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</si>
  <si>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</si>
  <si>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</si>
  <si>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</si>
  <si>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</si>
  <si>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</si>
  <si>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</si>
  <si>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</si>
  <si>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</si>
  <si>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</si>
  <si>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</si>
  <si>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</si>
  <si>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</si>
  <si>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</si>
  <si>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</si>
  <si>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</si>
  <si>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</si>
  <si>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</si>
  <si>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</si>
  <si>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</si>
  <si>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</si>
  <si>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</si>
  <si>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</si>
  <si>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</si>
  <si>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</si>
  <si>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</si>
  <si>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</si>
  <si>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</si>
  <si>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</si>
  <si>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</si>
  <si>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</si>
  <si>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</si>
  <si>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</si>
  <si>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</si>
  <si>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</si>
  <si>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</si>
  <si>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</si>
  <si>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</si>
  <si>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</si>
  <si>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</si>
  <si>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</si>
  <si>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</si>
  <si>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</si>
  <si>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</si>
  <si>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</si>
  <si>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</si>
  <si>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</si>
  <si>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</si>
  <si>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</si>
  <si>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</si>
  <si>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</si>
  <si>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</si>
  <si>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</si>
  <si>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</si>
  <si>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</si>
  <si>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</si>
  <si>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</si>
  <si>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</si>
  <si>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</si>
  <si>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</si>
  <si>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</si>
  <si>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</si>
  <si>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</si>
  <si>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</si>
  <si>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</si>
  <si>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</si>
  <si>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</si>
  <si>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</si>
  <si>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</si>
  <si>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</si>
  <si>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</si>
  <si>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</si>
  <si>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</si>
  <si>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</si>
  <si>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</si>
  <si>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</si>
  <si>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</si>
  <si>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</si>
  <si>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</si>
  <si>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</si>
  <si>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</si>
  <si>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</si>
  <si>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</si>
  <si>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</si>
  <si>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</si>
  <si>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</si>
  <si>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</si>
  <si>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</si>
  <si>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</si>
  <si>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</si>
  <si>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</si>
  <si>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</si>
  <si>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</si>
  <si>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</si>
  <si>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</si>
  <si>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</si>
  <si>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</si>
  <si>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</si>
  <si>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</si>
  <si>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</si>
  <si>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</si>
  <si>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</si>
  <si>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</si>
  <si>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</si>
  <si>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</si>
  <si>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</si>
  <si>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</si>
  <si>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</si>
  <si>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</si>
  <si>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</si>
  <si>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</si>
  <si>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</si>
  <si>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</si>
  <si>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</si>
  <si>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</si>
  <si>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</si>
  <si>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</si>
  <si>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</si>
  <si>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</si>
  <si>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</si>
  <si>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</si>
  <si>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</si>
  <si>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</si>
  <si>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</si>
  <si>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</si>
  <si>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</si>
  <si>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</si>
  <si>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</si>
  <si>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</si>
  <si>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</si>
  <si>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</si>
  <si>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</si>
  <si>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</si>
  <si>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</si>
  <si>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</si>
  <si>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</si>
  <si>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</si>
  <si>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</si>
  <si>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</si>
  <si>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</si>
  <si>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</si>
  <si>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</si>
  <si>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</si>
  <si>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</si>
  <si>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</si>
  <si>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</si>
  <si>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</si>
  <si>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</si>
  <si>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</si>
  <si>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</si>
  <si>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</si>
  <si>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</si>
  <si>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</si>
  <si>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</si>
  <si>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</si>
  <si>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</si>
  <si>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</si>
  <si>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</si>
  <si>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</si>
  <si>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</si>
  <si>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</si>
  <si>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</si>
  <si>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</si>
  <si>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</si>
  <si>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</si>
  <si>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</si>
  <si>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</si>
  <si>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</si>
  <si>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</si>
  <si>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</si>
  <si>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</si>
  <si>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</si>
  <si>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</si>
  <si>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</si>
  <si>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</si>
  <si>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</si>
  <si>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</si>
  <si>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</si>
  <si>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</si>
  <si>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</si>
  <si>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</si>
  <si>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</si>
  <si>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</si>
  <si>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</si>
  <si>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</si>
  <si>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</si>
  <si>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</si>
  <si>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</si>
  <si>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</si>
  <si>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</si>
  <si>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</si>
  <si>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</si>
  <si>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</si>
  <si>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</si>
  <si>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</si>
  <si>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</si>
  <si>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</si>
  <si>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</si>
  <si>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</si>
  <si>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</si>
  <si>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</si>
  <si>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</si>
  <si>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</si>
  <si>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</si>
  <si>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</si>
  <si>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</si>
  <si>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</si>
  <si>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</si>
  <si>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</si>
  <si>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</si>
  <si>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</si>
  <si>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</si>
  <si>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</si>
  <si>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</si>
  <si>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</si>
  <si>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</si>
  <si>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</si>
  <si>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987856989</t>
  </si>
  <si>
    <t>914169055</t>
  </si>
  <si>
    <t>914166514</t>
  </si>
  <si>
    <t>994834045</t>
  </si>
  <si>
    <t>936270811</t>
  </si>
  <si>
    <t>945425681</t>
  </si>
  <si>
    <t>930783537</t>
  </si>
  <si>
    <t>922705584</t>
  </si>
  <si>
    <t>976121238</t>
  </si>
  <si>
    <t>950741980</t>
  </si>
  <si>
    <t>984350315</t>
  </si>
  <si>
    <t>983929921</t>
  </si>
  <si>
    <t>966116781</t>
  </si>
  <si>
    <t>916199128</t>
  </si>
  <si>
    <t>943443230</t>
  </si>
  <si>
    <t>983935967</t>
  </si>
  <si>
    <t>971434174</t>
  </si>
  <si>
    <t>946568496</t>
  </si>
  <si>
    <t>950335345</t>
  </si>
  <si>
    <t>984994805</t>
  </si>
  <si>
    <t>951058296</t>
  </si>
  <si>
    <t>985306490</t>
  </si>
  <si>
    <t>901233722</t>
  </si>
  <si>
    <t>992949717</t>
  </si>
  <si>
    <t>996014524</t>
  </si>
  <si>
    <t>987208362</t>
  </si>
  <si>
    <t>945054854</t>
  </si>
  <si>
    <t>993376177</t>
  </si>
  <si>
    <t>977917888</t>
  </si>
  <si>
    <t>929298053</t>
  </si>
  <si>
    <t>954450819</t>
  </si>
  <si>
    <t>932787595</t>
  </si>
  <si>
    <t>947129006</t>
  </si>
  <si>
    <t>989871865</t>
  </si>
  <si>
    <t>977551307</t>
  </si>
  <si>
    <t>935045398</t>
  </si>
  <si>
    <t>983756743</t>
  </si>
  <si>
    <t>966929800</t>
  </si>
  <si>
    <t>984555100</t>
  </si>
  <si>
    <t>960826045</t>
  </si>
  <si>
    <t>976300524</t>
  </si>
  <si>
    <t xml:space="preserve">  4/8/2026</t>
  </si>
  <si>
    <t xml:space="preserve"> 3/19/2026</t>
  </si>
  <si>
    <t xml:space="preserve"> 3/23/2026</t>
  </si>
  <si>
    <t xml:space="preserve"> 3/20/2026</t>
  </si>
  <si>
    <t xml:space="preserve"> 4/14/2026</t>
  </si>
  <si>
    <t xml:space="preserve"> 3/24/2026</t>
  </si>
  <si>
    <t xml:space="preserve">  4/6/2026</t>
  </si>
  <si>
    <t xml:space="preserve"> 4/17/2026</t>
  </si>
  <si>
    <t xml:space="preserve"> 3/25/2026</t>
  </si>
  <si>
    <t xml:space="preserve"> 3/26/2026</t>
  </si>
  <si>
    <t xml:space="preserve">  3/6/2026</t>
  </si>
  <si>
    <t xml:space="preserve"> 3/30/2026</t>
  </si>
  <si>
    <t xml:space="preserve"> 5/29/2026</t>
  </si>
  <si>
    <t xml:space="preserve"> 6/29/2026</t>
  </si>
  <si>
    <t xml:space="preserve"> 5/12/2026</t>
  </si>
  <si>
    <t xml:space="preserve">  6/5/2026</t>
  </si>
  <si>
    <t xml:space="preserve">  6/9/2026</t>
  </si>
  <si>
    <t xml:space="preserve"> 3/29/2026</t>
  </si>
  <si>
    <t xml:space="preserve"> 6/16/2026</t>
  </si>
  <si>
    <t xml:space="preserve"> 6/24/2026</t>
  </si>
  <si>
    <t xml:space="preserve"> 6/11/2026</t>
  </si>
  <si>
    <t xml:space="preserve"> 4/10/2026</t>
  </si>
  <si>
    <t xml:space="preserve"> 5/20/2026</t>
  </si>
  <si>
    <t xml:space="preserve">  5/6/2026</t>
  </si>
  <si>
    <t xml:space="preserve"> 5/22/2026</t>
  </si>
  <si>
    <t xml:space="preserve"> 5/19/2026</t>
  </si>
  <si>
    <t xml:space="preserve">  6/6/2026</t>
  </si>
  <si>
    <t xml:space="preserve">  6/3/2026</t>
  </si>
  <si>
    <t xml:space="preserve">  6/4/2026</t>
  </si>
  <si>
    <t xml:space="preserve">  4/7/2026</t>
  </si>
  <si>
    <t xml:space="preserve"> 6/15/2026</t>
  </si>
  <si>
    <t xml:space="preserve">  4/9/2026</t>
  </si>
  <si>
    <t xml:space="preserve"> 4/13/2026</t>
  </si>
  <si>
    <t>12-Jun</t>
  </si>
  <si>
    <t xml:space="preserve"> 6/17/2026</t>
  </si>
  <si>
    <t xml:space="preserve"> 6/25/2026</t>
  </si>
  <si>
    <t>31-Mar</t>
  </si>
  <si>
    <t>24-Mar</t>
  </si>
  <si>
    <t>25-May</t>
  </si>
  <si>
    <t>21-May</t>
  </si>
  <si>
    <t xml:space="preserve"> 7-Apr</t>
  </si>
  <si>
    <t xml:space="preserve"> 1-Apr</t>
  </si>
  <si>
    <t>24-Apr</t>
  </si>
  <si>
    <t>10-Apr</t>
  </si>
  <si>
    <t>14-Apr</t>
  </si>
  <si>
    <t>30-Mar</t>
  </si>
  <si>
    <t xml:space="preserve"> 2-Apr</t>
  </si>
  <si>
    <t xml:space="preserve"> 2-Jun</t>
  </si>
  <si>
    <t xml:space="preserve"> 4-Jun</t>
  </si>
  <si>
    <t>23-May</t>
  </si>
  <si>
    <t xml:space="preserve"> 8-Apr</t>
  </si>
  <si>
    <t>0</t>
  </si>
  <si>
    <t>931455311</t>
  </si>
</sst>
</file>

<file path=xl/styles.xml><?xml version="1.0" encoding="utf-8"?>
<styleSheet xmlns="http://schemas.openxmlformats.org/spreadsheetml/2006/main" xmlns:r="http://schemas.openxmlformats.org/officeDocument/2006/relationships" xmlns:xdr="http://schemas.openxmlformats.org/drawingml/2006/spreadsheetDrawing">
  <fonts count="28">
    <font>
      <sz val="11"/>
      <color theme="1"/>
      <name val="Aptos Narrow"/>
      <family val="2"/>
      <scheme val="minor"/>
    </font>
    <font>
      <sz val="10"/>
      <color theme="1"/>
      <name val="Arial"/>
      <family val="2"/>
    </font>
    <font>
      <b/>
      <sz val="10"/>
      <color theme="0"/>
      <name val="Arial"/>
      <family val="2"/>
    </font>
    <font>
      <u/>
      <sz val="11"/>
      <color theme="10"/>
      <name val="Aptos Narrow"/>
      <family val="2"/>
      <scheme val="minor"/>
    </font>
    <font>
      <sz val="10"/>
      <color rgb="FF000000"/>
      <name val="Arial"/>
      <family val="2"/>
    </font>
    <font>
      <sz val="11"/>
      <color theme="1"/>
      <name val="Arial"/>
      <family val="2"/>
    </font>
    <font>
      <sz val="8"/>
      <name val="Aptos Narrow"/>
      <family val="2"/>
      <scheme val="minor"/>
    </font>
    <font>
      <sz val="11"/>
      <color rgb="FF000000"/>
      <name val="Arial"/>
      <family val="2"/>
    </font>
    <font>
      <b/>
      <sz val="11"/>
      <color rgb="FF000000"/>
      <name val="Arial"/>
      <family val="2"/>
    </font>
    <font>
      <sz val="11"/>
      <color rgb="FF000000"/>
      <name val="Aptos Narrow"/>
      <family val="2"/>
    </font>
    <font>
      <strike/>
      <sz val="11"/>
      <color rgb="FF000000"/>
      <name val="Arial"/>
      <family val="2"/>
    </font>
    <font>
      <b/>
      <sz val="11"/>
      <color rgb="FFD86DCD"/>
      <name val="Arial"/>
      <family val="2"/>
    </font>
    <font>
      <b/>
      <strike/>
      <sz val="11"/>
      <color rgb="FFD86DCD"/>
      <name val="Arial"/>
      <family val="2"/>
    </font>
    <font>
      <sz val="11"/>
      <color rgb="FFFF0000"/>
      <name val="Arial"/>
      <family val="2"/>
    </font>
    <font>
      <sz val="11"/>
      <name val="Arial"/>
      <family val="2"/>
    </font>
    <font>
      <sz val="11"/>
      <color theme="0"/>
      <name val="Arial"/>
      <family val="2"/>
    </font>
    <font>
      <b/>
      <sz val="12"/>
      <color theme="1"/>
      <name val="Arial"/>
      <family val="2"/>
    </font>
    <font>
      <b/>
      <sz val="8"/>
      <color theme="1"/>
      <name val="Arial"/>
      <family val="2"/>
    </font>
    <font>
      <sz val="8"/>
      <color theme="0"/>
      <name val="Arial"/>
      <family val="2"/>
    </font>
    <font>
      <b/>
      <sz val="8"/>
      <color theme="0"/>
      <name val="Arial"/>
      <family val="2"/>
    </font>
    <font>
      <sz val="11"/>
      <color theme="0" tint="-0.14999847407453"/>
      <name val="Arial"/>
      <family val="2"/>
    </font>
    <font>
      <sz val="10"/>
      <name val="Arial"/>
      <family val="2"/>
    </font>
    <font>
      <u/>
      <sz val="11"/>
      <name val="Aptos Narrow"/>
      <family val="2"/>
      <scheme val="minor"/>
    </font>
    <font>
      <sz val="11"/>
      <color theme="1"/>
      <name val="Arial"/>
      <family val="2"/>
    </font>
    <font>
      <sz val="11"/>
      <name val="Arial"/>
      <family val="2"/>
    </font>
    <font>
      <sz val="10"/>
      <name val="Arial"/>
      <family val="2"/>
    </font>
    <font>
      <b/>
      <sz val="11"/>
      <color theme="0"/>
      <name val="Arial"/>
      <family val="2"/>
    </font>
    <font>
      <sz val="11"/>
      <color rgb="FF242424"/>
      <name val="Arial"/>
      <family val="2"/>
    </font>
  </fonts>
  <fills count="21">
    <fill>
      <patternFill patternType="none"/>
    </fill>
    <fill>
      <patternFill patternType="gray125"/>
    </fill>
    <fill>
      <patternFill patternType="solid">
        <fgColor theme="0" tint="-0.49995422223579"/>
        <bgColor indexed="64"/>
      </patternFill>
    </fill>
    <fill>
      <patternFill patternType="solid">
        <fgColor theme="4" tint="-0.24994659260842"/>
        <bgColor indexed="64"/>
      </patternFill>
    </fill>
    <fill>
      <patternFill patternType="solid">
        <fgColor rgb="FFD8F8FA"/>
        <bgColor indexed="64"/>
      </patternFill>
    </fill>
    <fill>
      <patternFill patternType="solid">
        <fgColor rgb="FFFBE1E1"/>
        <bgColor indexed="64"/>
      </patternFill>
    </fill>
    <fill>
      <patternFill patternType="solid">
        <fgColor rgb="FF002060"/>
        <bgColor indexed="64"/>
      </patternFill>
    </fill>
    <fill>
      <patternFill patternType="solid">
        <fgColor theme="1"/>
        <bgColor indexed="64"/>
      </patternFill>
    </fill>
    <fill>
      <patternFill patternType="solid">
        <fgColor rgb="FFFFFF00"/>
        <bgColor indexed="64"/>
      </patternFill>
    </fill>
    <fill>
      <patternFill patternType="solid">
        <fgColor theme="0" tint="-0.14999847407453"/>
        <bgColor indexed="64"/>
      </patternFill>
    </fill>
    <fill>
      <patternFill patternType="solid">
        <fgColor rgb="FFC00000"/>
        <bgColor indexed="64"/>
      </patternFill>
    </fill>
    <fill>
      <patternFill patternType="solid">
        <fgColor theme="0"/>
        <bgColor indexed="64"/>
      </patternFill>
    </fill>
    <fill>
      <patternFill patternType="solid">
        <fgColor theme="8" tint="0.39997558519242"/>
        <bgColor indexed="64"/>
      </patternFill>
    </fill>
    <fill>
      <patternFill patternType="solid">
        <fgColor theme="5"/>
        <bgColor indexed="64"/>
      </patternFill>
    </fill>
    <fill>
      <patternFill patternType="solid">
        <fgColor rgb="FF006100"/>
        <bgColor indexed="64"/>
      </patternFill>
    </fill>
    <fill>
      <patternFill patternType="solid">
        <fgColor rgb="FFFFC000"/>
        <bgColor indexed="64"/>
      </patternFill>
    </fill>
    <fill>
      <patternFill patternType="solid">
        <fgColor theme="9" tint="0.79998168889431"/>
        <bgColor indexed="64"/>
      </patternFill>
    </fill>
    <fill>
      <patternFill patternType="solid">
        <fgColor theme="0" tint="-0.049989318521683"/>
        <bgColor indexed="64"/>
      </patternFill>
    </fill>
    <fill>
      <patternFill patternType="solid">
        <fgColor theme="8" tint="0.5999938962981"/>
        <bgColor indexed="64"/>
      </patternFill>
    </fill>
    <fill>
      <patternFill patternType="solid">
        <fgColor theme="7" tint="0.79998168889431"/>
        <bgColor indexed="64"/>
      </patternFill>
    </fill>
    <fill>
      <patternFill patternType="solid">
        <fgColor theme="0" tint="-0.24997711111789"/>
        <bgColor indexed="64"/>
      </patternFill>
    </fill>
  </fills>
  <borders count="3">
    <border>
      <left/>
      <right/>
      <top/>
      <bottom/>
      <diagonal/>
    </border>
    <border>
      <left/>
      <right/>
      <top/>
      <bottom style="thin">
        <color theme="0" tint="-0.24997711111789"/>
      </bottom>
      <diagonal/>
    </border>
    <border>
      <left/>
      <right/>
      <top/>
      <bottom style="thin">
        <color theme="2" tint="-0.24997711111789"/>
      </bottom>
      <diagonal/>
    </border>
  </borders>
  <cellStyleXfs count="3">
    <xf numFmtId="0" fontId="0" fillId="0" borderId="0"/>
    <xf numFmtId="0" fontId="3" fillId="0" borderId="0" applyNumberFormat="false" applyFill="false" applyBorder="false" applyAlignment="false" applyProtection="false"/>
    <xf numFmtId="0" fontId="3" fillId="0" borderId="0" applyNumberFormat="false" applyFill="false" applyBorder="false" applyAlignment="false" applyProtection="false"/>
  </cellStyleXfs>
  <cellXfs count="77">
    <xf numFmtId="0" fontId="0" fillId="0" borderId="0" xfId="0"/>
    <xf numFmtId="0" fontId="1" fillId="0" borderId="0" xfId="0" applyFont="true"/>
    <xf numFmtId="14" fontId="1" fillId="0" borderId="0" xfId="0" applyNumberFormat="true" applyFont="true"/>
    <xf numFmtId="0" fontId="2" fillId="2" borderId="0" xfId="0" applyFont="true" applyFill="true"/>
    <xf numFmtId="15" fontId="2" fillId="2" borderId="0" xfId="0" applyNumberFormat="true" applyFont="true" applyFill="true"/>
    <xf numFmtId="0" fontId="1" fillId="0" borderId="0" xfId="0" applyFont="true" applyAlignment="true">
      <alignment horizontal="left"/>
    </xf>
    <xf numFmtId="0" fontId="3" fillId="0" borderId="0" xfId="1"/>
    <xf numFmtId="0" fontId="2" fillId="3" borderId="0" xfId="0" applyFont="true" applyFill="true"/>
    <xf numFmtId="0" fontId="3" fillId="0" borderId="0" xfId="1" applyFill="true" applyAlignment="true">
      <alignment horizontal="left"/>
    </xf>
    <xf numFmtId="0" fontId="4" fillId="0" borderId="0" xfId="0" applyFont="true"/>
    <xf numFmtId="0" fontId="1" fillId="0" borderId="0" xfId="0" applyFont="true" applyAlignment="true">
      <alignment horizontal="right"/>
    </xf>
    <xf numFmtId="0" fontId="5" fillId="0" borderId="0" xfId="0" applyFont="true" applyAlignment="true">
      <alignment vertical="center"/>
    </xf>
    <xf numFmtId="0" fontId="5" fillId="0" borderId="0" xfId="0" applyFont="true" applyAlignment="true">
      <alignment horizontal="center" vertical="center"/>
    </xf>
    <xf numFmtId="0" fontId="5" fillId="0" borderId="0" xfId="0" applyFont="true" applyAlignment="true">
      <alignment horizontal="left" vertical="center"/>
    </xf>
    <xf numFmtId="0" fontId="2" fillId="2" borderId="0" xfId="0" applyFont="true" applyFill="true" applyAlignment="true">
      <alignment horizontal="center"/>
    </xf>
    <xf numFmtId="0" fontId="1" fillId="0" borderId="0" xfId="0" applyFont="true" applyAlignment="true">
      <alignment horizontal="center"/>
    </xf>
    <xf numFmtId="14" fontId="0" fillId="0" borderId="0" xfId="0" applyNumberFormat="true"/>
    <xf numFmtId="14" fontId="2" fillId="2" borderId="0" xfId="0" applyNumberFormat="true" applyFont="true" applyFill="true" applyAlignment="true">
      <alignment horizontal="center"/>
    </xf>
    <xf numFmtId="14" fontId="2" fillId="2" borderId="0" xfId="0" applyNumberFormat="true" applyFont="true" applyFill="true"/>
    <xf numFmtId="0" fontId="0" fillId="0" borderId="0" xfId="0" applyAlignment="true">
      <alignment horizontal="center" vertical="center"/>
    </xf>
    <xf numFmtId="0" fontId="0" fillId="0" borderId="0" xfId="0" quotePrefix="true" applyAlignment="true">
      <alignment horizontal="center" vertical="center"/>
    </xf>
    <xf numFmtId="0" fontId="0" fillId="0" borderId="0" xfId="0" applyAlignment="true">
      <alignment horizontal="center"/>
    </xf>
    <xf numFmtId="0" fontId="2" fillId="2" borderId="0" xfId="0" applyFont="true" applyFill="true" applyAlignment="true">
      <alignment horizontal="left"/>
    </xf>
    <xf numFmtId="0" fontId="0" fillId="0" borderId="0" xfId="0" applyAlignment="true">
      <alignment horizontal="left"/>
    </xf>
    <xf numFmtId="0" fontId="5" fillId="5" borderId="0" xfId="0" applyFont="true" applyFill="true" applyAlignment="true">
      <alignment vertical="center"/>
    </xf>
    <xf numFmtId="0" fontId="5" fillId="4" borderId="0" xfId="0" applyFont="true" applyFill="true" applyAlignment="true">
      <alignment vertical="center"/>
    </xf>
    <xf numFmtId="0" fontId="15" fillId="0" borderId="0" xfId="0" applyFont="true" applyAlignment="true">
      <alignment vertical="center"/>
    </xf>
    <xf numFmtId="0" fontId="16" fillId="0" borderId="0" xfId="0" applyFont="true" applyAlignment="true">
      <alignment horizontal="left" vertical="center"/>
    </xf>
    <xf numFmtId="0" fontId="17" fillId="0" borderId="0" xfId="0" applyFont="true" applyAlignment="true">
      <alignment vertical="center"/>
    </xf>
    <xf numFmtId="0" fontId="18" fillId="0" borderId="0" xfId="0" applyFont="true" applyAlignment="true">
      <alignment vertical="center" wrapText="true"/>
    </xf>
    <xf numFmtId="0" fontId="19" fillId="6" borderId="0" xfId="0" applyFont="true" applyFill="true" applyAlignment="true">
      <alignment horizontal="center" vertical="center" wrapText="true"/>
    </xf>
    <xf numFmtId="0" fontId="19" fillId="7" borderId="0" xfId="0" applyFont="true" applyFill="true" applyAlignment="true">
      <alignment horizontal="center" vertical="center" wrapText="true"/>
    </xf>
    <xf numFmtId="0" fontId="17" fillId="9" borderId="0" xfId="0" applyFont="true" applyFill="true" applyAlignment="true">
      <alignment horizontal="center" vertical="center" wrapText="true"/>
    </xf>
    <xf numFmtId="0" fontId="19" fillId="10" borderId="0" xfId="0" applyFont="true" applyFill="true" applyAlignment="true">
      <alignment horizontal="center" vertical="center" wrapText="true"/>
    </xf>
    <xf numFmtId="0" fontId="20" fillId="0" borderId="0" xfId="0" applyFont="true" applyAlignment="true">
      <alignment vertical="center"/>
    </xf>
    <xf numFmtId="0" fontId="14" fillId="0" borderId="0" xfId="0" applyFont="true" applyAlignment="true">
      <alignment horizontal="left" vertical="center" wrapText="true"/>
    </xf>
    <xf numFmtId="0" fontId="5" fillId="16" borderId="0" xfId="0" applyFont="true" applyFill="true" applyAlignment="true">
      <alignment vertical="center"/>
    </xf>
    <xf numFmtId="0" fontId="14" fillId="0" borderId="1" xfId="0" applyFont="true" applyBorder="true" applyAlignment="true">
      <alignment horizontal="center" vertical="center" wrapText="true"/>
    </xf>
    <xf numFmtId="0" fontId="14" fillId="8" borderId="1" xfId="0" applyFont="true" applyFill="true" applyBorder="true" applyAlignment="true">
      <alignment horizontal="left" vertical="center" wrapText="true"/>
    </xf>
    <xf numFmtId="0" fontId="14" fillId="11" borderId="1" xfId="0" applyFont="true" applyFill="true" applyBorder="true" applyAlignment="true">
      <alignment horizontal="left" vertical="center" wrapText="true"/>
    </xf>
    <xf numFmtId="0" fontId="21" fillId="0" borderId="2" xfId="0" applyFont="true" applyBorder="true" applyAlignment="true">
      <alignment horizontal="center" vertical="center" wrapText="true"/>
    </xf>
    <xf numFmtId="0" fontId="14" fillId="17" borderId="1" xfId="0" applyFont="true" applyFill="true" applyBorder="true" applyAlignment="true">
      <alignment horizontal="center" vertical="center" wrapText="true"/>
    </xf>
    <xf numFmtId="0" fontId="14" fillId="0" borderId="1" xfId="0" applyFont="true" applyBorder="true" applyAlignment="true">
      <alignment horizontal="left" vertical="center" wrapText="true"/>
    </xf>
    <xf numFmtId="0" fontId="14" fillId="17" borderId="1" xfId="0" applyFont="true" applyFill="true" applyBorder="true" applyAlignment="true">
      <alignment horizontal="left" vertical="center" wrapText="true"/>
    </xf>
    <xf numFmtId="14" fontId="14" fillId="17" borderId="1" xfId="0" applyNumberFormat="true" applyFont="true" applyFill="true" applyBorder="true" applyAlignment="true">
      <alignment horizontal="left" vertical="center" wrapText="true"/>
    </xf>
    <xf numFmtId="0" fontId="14" fillId="12" borderId="1" xfId="0" applyFont="true" applyFill="true" applyBorder="true" applyAlignment="true">
      <alignment horizontal="center" vertical="center" wrapText="true"/>
    </xf>
    <xf numFmtId="16" fontId="14" fillId="17" borderId="1" xfId="0" applyNumberFormat="true" applyFont="true" applyFill="true" applyBorder="true" applyAlignment="true">
      <alignment horizontal="left" vertical="center" wrapText="true"/>
    </xf>
    <xf numFmtId="0" fontId="3" fillId="0" borderId="1" xfId="1" applyBorder="true" applyAlignment="true">
      <alignment horizontal="left" vertical="center" wrapText="true"/>
    </xf>
    <xf numFmtId="0" fontId="14" fillId="17" borderId="1" xfId="0" quotePrefix="true" applyFont="true" applyFill="true" applyBorder="true" applyAlignment="true">
      <alignment horizontal="left" vertical="center" wrapText="true"/>
    </xf>
    <xf numFmtId="0" fontId="3" fillId="0" borderId="1" xfId="2" applyBorder="true" applyAlignment="true">
      <alignment horizontal="left" vertical="center" wrapText="true"/>
    </xf>
    <xf numFmtId="0" fontId="14" fillId="0" borderId="2" xfId="0" applyFont="true" applyBorder="true" applyAlignment="true">
      <alignment horizontal="center" vertical="center" wrapText="true"/>
    </xf>
    <xf numFmtId="0" fontId="7" fillId="0" borderId="1" xfId="0" applyFont="true" applyBorder="true" applyAlignment="true">
      <alignment horizontal="left" vertical="center" wrapText="true"/>
    </xf>
    <xf numFmtId="0" fontId="14" fillId="18" borderId="1" xfId="0" applyFont="true" applyFill="true" applyBorder="true" applyAlignment="true">
      <alignment horizontal="center" vertical="center" wrapText="true"/>
    </xf>
    <xf numFmtId="0" fontId="14" fillId="17" borderId="1" xfId="0" applyFont="true" applyFill="true" applyBorder="true" applyAlignment="true">
      <alignment horizontal="center" vertical="center"/>
    </xf>
    <xf numFmtId="0" fontId="14" fillId="11" borderId="1" xfId="0" applyFont="true" applyFill="true" applyBorder="true" applyAlignment="true">
      <alignment horizontal="center" vertical="center" wrapText="true"/>
    </xf>
    <xf numFmtId="0" fontId="14" fillId="19" borderId="1" xfId="0" applyFont="true" applyFill="true" applyBorder="true" applyAlignment="true">
      <alignment horizontal="center" vertical="center" wrapText="true"/>
    </xf>
    <xf numFmtId="0" fontId="14" fillId="13" borderId="1" xfId="0" applyFont="true" applyFill="true" applyBorder="true" applyAlignment="true">
      <alignment horizontal="center" vertical="center" wrapText="true"/>
    </xf>
    <xf numFmtId="0" fontId="3" fillId="17" borderId="1" xfId="2" applyFill="true" applyBorder="true" applyAlignment="true">
      <alignment horizontal="left" vertical="center" wrapText="true"/>
    </xf>
    <xf numFmtId="0" fontId="7" fillId="12" borderId="1" xfId="0" applyFont="true" applyFill="true" applyBorder="true" applyAlignment="true">
      <alignment horizontal="center" vertical="center" wrapText="true"/>
    </xf>
    <xf numFmtId="0" fontId="14" fillId="17" borderId="0" xfId="0" applyFont="true" applyFill="true" applyAlignment="true">
      <alignment horizontal="center" vertical="center" wrapText="true"/>
    </xf>
    <xf numFmtId="0" fontId="14" fillId="14" borderId="1" xfId="0" applyFont="true" applyFill="true" applyBorder="true" applyAlignment="true">
      <alignment horizontal="center" vertical="center" wrapText="true"/>
    </xf>
    <xf numFmtId="0" fontId="13" fillId="17" borderId="1" xfId="0" applyFont="true" applyFill="true" applyBorder="true" applyAlignment="true">
      <alignment horizontal="left" vertical="center" wrapText="true"/>
    </xf>
    <xf numFmtId="0" fontId="14" fillId="20" borderId="1" xfId="0" applyFont="true" applyFill="true" applyBorder="true" applyAlignment="true">
      <alignment horizontal="left" vertical="center" wrapText="true"/>
    </xf>
    <xf numFmtId="0" fontId="14" fillId="8" borderId="1" xfId="0" applyFont="true" applyFill="true" applyBorder="true" applyAlignment="true">
      <alignment horizontal="center" vertical="center" wrapText="true"/>
    </xf>
    <xf numFmtId="0" fontId="22" fillId="0" borderId="1" xfId="1" applyFont="true" applyBorder="true" applyAlignment="true">
      <alignment horizontal="left" vertical="center" wrapText="true"/>
    </xf>
    <xf numFmtId="0" fontId="14" fillId="19" borderId="1" xfId="0" applyFont="true" applyFill="true" applyBorder="true" applyAlignment="true">
      <alignment horizontal="left" vertical="center" wrapText="true"/>
    </xf>
    <xf numFmtId="0" fontId="21" fillId="15" borderId="2" xfId="0" applyFont="true" applyFill="true" applyBorder="true" applyAlignment="true">
      <alignment horizontal="center" vertical="center" wrapText="true"/>
    </xf>
    <xf numFmtId="0" fontId="23" fillId="0" borderId="0" xfId="0" applyFont="true" applyAlignment="true">
      <alignment horizontal="left" vertical="center"/>
    </xf>
    <xf numFmtId="0" fontId="24" fillId="17" borderId="1" xfId="0" applyFont="true" applyFill="true" applyBorder="true" applyAlignment="true">
      <alignment horizontal="left" vertical="center" wrapText="true"/>
    </xf>
    <xf numFmtId="14" fontId="24" fillId="17" borderId="1" xfId="0" applyNumberFormat="true" applyFont="true" applyFill="true" applyBorder="true" applyAlignment="true">
      <alignment horizontal="left" vertical="center" wrapText="true"/>
    </xf>
    <xf numFmtId="0" fontId="24" fillId="0" borderId="1" xfId="0" applyFont="true" applyBorder="true" applyAlignment="true">
      <alignment horizontal="left" vertical="center" wrapText="true"/>
    </xf>
    <xf numFmtId="0" fontId="25" fillId="0" borderId="2" xfId="0" applyFont="true" applyBorder="true" applyAlignment="true">
      <alignment horizontal="center" vertical="center" wrapText="true"/>
    </xf>
    <xf numFmtId="0" fontId="24" fillId="17" borderId="1" xfId="0" applyFont="true" applyFill="true" applyBorder="true" applyAlignment="true">
      <alignment horizontal="center" vertical="center" wrapText="true"/>
    </xf>
    <xf numFmtId="0" fontId="26" fillId="6" borderId="0" xfId="0" applyFont="true" applyFill="true" applyAlignment="true">
      <alignment horizontal="center" vertical="center"/>
    </xf>
    <xf numFmtId="0" fontId="27" fillId="0" borderId="0" xfId="0" applyFont="true"/>
    <xf numFmtId="0" fontId="14" fillId="4" borderId="1" xfId="0" applyFont="true" applyFill="true" applyBorder="true" applyAlignment="true">
      <alignment horizontal="left" vertical="center" wrapText="true"/>
    </xf>
    <xf numFmtId="0" fontId="0" fillId="0" borderId="0" xfId="0" quotePrefix="true"/>
  </cellXfs>
  <cellStyles count="3">
    <cellStyle name="Hipervínculo" xfId="1" builtinId="8"/>
    <cellStyle name="Hyperlink" xfId="2"/>
    <cellStyle name="Normal" xfId="0" builtinId="0"/>
  </cellStyles>
  <dxfs count="412">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D8F8FA"/>
        </patternFill>
      </fill>
    </dxf>
    <dxf>
      <fill>
        <patternFill>
          <bgColor rgb="FFFBE1E1"/>
        </patternFill>
      </fill>
    </dxf>
    <dxf>
      <fill>
        <patternFill>
          <bgColor rgb="FFD8F8FA"/>
        </patternFill>
      </fill>
    </dxf>
    <dxf>
      <fill>
        <patternFill>
          <bgColor rgb="FFFBE1E1"/>
        </patternFill>
      </fill>
    </dxf>
    <dxf>
      <fill>
        <patternFill>
          <bgColor rgb="FFD8F8FA"/>
        </patternFill>
      </fill>
    </dxf>
    <dxf>
      <fill>
        <patternFill>
          <bgColor rgb="FFFBE1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13.xml" Type="http://schemas.openxmlformats.org/officeDocument/2006/relationships/worksheet" Id="rId13"/><Relationship Target="persons/person.xml" Type="http://schemas.microsoft.com/office/2017/10/relationships/person" Id="rId18"/><Relationship Target="worksheets/sheet3.xml" Type="http://schemas.openxmlformats.org/officeDocument/2006/relationships/worksheet" Id="rId3"/><Relationship Target="../customXml/item2.xml" Type="http://schemas.openxmlformats.org/officeDocument/2006/relationships/customXml" Id="rId21"/><Relationship Target="worksheets/sheet7.xml" Type="http://schemas.openxmlformats.org/officeDocument/2006/relationships/worksheet" Id="rId7"/><Relationship Target="worksheets/sheet12.xml" Type="http://schemas.openxmlformats.org/officeDocument/2006/relationships/worksheet" Id="rId12"/><Relationship Target="metadata.xml" Type="http://schemas.openxmlformats.org/officeDocument/2006/relationships/sheetMetadata" Id="rId17"/><Relationship Target="worksheets/sheet2.xml" Type="http://schemas.openxmlformats.org/officeDocument/2006/relationships/worksheet" Id="rId2"/><Relationship Target="sharedStrings.xml" Type="http://schemas.openxmlformats.org/officeDocument/2006/relationships/sharedStrings" Id="rId16"/><Relationship Target="../customXml/item1.xml" Type="http://schemas.openxmlformats.org/officeDocument/2006/relationships/customXml" Id="rId20"/><Relationship Target="worksheets/sheet1.xml" Type="http://schemas.openxmlformats.org/officeDocument/2006/relationships/worksheet" Id="rId1"/><Relationship Target="worksheets/sheet6.xml" Type="http://schemas.openxmlformats.org/officeDocument/2006/relationships/worksheet" Id="rId6"/><Relationship Target="worksheets/sheet11.xml" Type="http://schemas.openxmlformats.org/officeDocument/2006/relationships/worksheet" Id="rId11"/><Relationship Target="worksheets/sheet5.xml" Type="http://schemas.openxmlformats.org/officeDocument/2006/relationships/worksheet" Id="rId5"/><Relationship Target="styles.xml" Type="http://schemas.openxmlformats.org/officeDocument/2006/relationships/styles" Id="rId15"/><Relationship Target="worksheets/sheet10.xml" Type="http://schemas.openxmlformats.org/officeDocument/2006/relationships/worksheet" Id="rId10"/><Relationship Target="worksheets/sheet4.xml" Type="http://schemas.openxmlformats.org/officeDocument/2006/relationships/worksheet" Id="rId4"/><Relationship Target="worksheets/sheet9.xml" Type="http://schemas.openxmlformats.org/officeDocument/2006/relationships/worksheet" Id="rId9"/><Relationship Target="theme/theme1.xml" Type="http://schemas.openxmlformats.org/officeDocument/2006/relationships/theme" Id="rId14"/><Relationship Target="../customXml/item3.xml" Type="http://schemas.openxmlformats.org/officeDocument/2006/relationships/customXml" Id="rId22"/></Relationships>
</file>

<file path=xl/persons/person.xml><?xml version="1.0" encoding="utf-8"?>
<personList xmlns="http://schemas.microsoft.com/office/spreadsheetml/2018/threadedcomments" xmlns:x="http://schemas.openxmlformats.org/spreadsheetml/2006/main">
  <person displayName="APOYO Consultoría" id="{22F04ABA-3171-4712-A966-A1A1C27FA375}" userId="APOYO Consultoría" providerId="None"/>
</personList>
</file>

<file path=xl/theme/theme1.xml><?xml version="1.0" encoding="utf-8"?>
<a:theme xmlns:r="http://schemas.openxmlformats.org/officeDocument/2006/relationships"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7" dT="2026-04-29T22:34:38.51" personId="{22F04ABA-3171-4712-A966-A1A1C27FA375}" id="{154957EE-EDB2-4FA5-8785-5C8F90C77E59}">
    <text>CAR Gracia SMP</text>
  </threadedComment>
  <threadedComment ref="E18" dT="2026-04-29T22:39:53.04" personId="{22F04ABA-3171-4712-A966-A1A1C27FA375}" id="{DBB25C24-010C-4634-A1C8-BDBF9F9F3460}">
    <text>San Juan Bosco Huánuco</text>
  </threadedComment>
  <threadedComment ref="E19" dT="2026-04-29T22:37:54.28" personId="{22F04ABA-3171-4712-A966-A1A1C27FA375}" id="{D85E1D29-8C8D-41F9-BC54-AABC4F6BFE78}">
    <text>Virgen del carmen. Lima</text>
  </threadedComment>
  <threadedComment ref="E20" dT="2026-04-29T22:41:04.82" personId="{22F04ABA-3171-4712-A966-A1A1C27FA375}" id="{04BF6F80-43C9-446A-992C-A0AAE35D257F}">
    <text>CAR San Ricardo</text>
  </threadedComment>
  <threadedComment ref="E21" dT="2026-04-29T22:41:04.82" personId="{22F04ABA-3171-4712-A966-A1A1C27FA375}" id="{220541CE-6CA8-4E01-9C24-585F70D2FDD8}">
    <text>CAR San Ricardo</text>
  </threadedComment>
</ThreadedComments>
</file>

<file path=xl/threadedComments/threadedComment2.xml><?xml version="1.0" encoding="utf-8"?>
<ThreadedComments xmlns="http://schemas.microsoft.com/office/spreadsheetml/2018/threadedcomments" xmlns:x="http://schemas.openxmlformats.org/spreadsheetml/2006/main">
  <threadedComment ref="S10" dT="2025-11-14T20:52:23.21" personId="{22F04ABA-3171-4712-A966-A1A1C27FA375}" id="{7E8D7FCC-49A0-4E05-B3D9-A030207166B8}">
    <text>Por favor, ayúdennos completando la duración de las entrevistas completas.</text>
  </threadedComment>
  <threadedComment ref="D14" dT="2025-11-14T20:59:01.34" personId="{22F04ABA-3171-4712-A966-A1A1C27FA375}" id="{D3A0CC08-C2D9-45E4-BCCA-9E8F56518034}">
    <text xml:space="preserve">Por favor, ayúdennos completando los contactos pendientes. </text>
  </threadedComment>
  <threadedComment ref="L17" dT="2025-11-14T21:04:32.55" personId="{22F04ABA-3171-4712-A966-A1A1C27FA375}" id="{88973129-DE01-4849-80F6-A05D7CED341B}">
    <text>Por favor, ayúdennos completando la información pendiente.</text>
  </threadedComment>
</ThreadedComments>
</file>

<file path=xl/worksheets/_rels/sheet1.xml.rels><?xml version="1.0" encoding="UTF-8"?><Relationships xmlns="http://schemas.openxmlformats.org/package/2006/relationships"><Relationship TargetMode="External" Target="https://www.instagram.com/adrianaleoncantella/?hl=es" Type="http://schemas.openxmlformats.org/officeDocument/2006/relationships/hyperlink" Id="rId26"/><Relationship TargetMode="External" Target="https://www.linkedin.com/in/juana-avellaneda-c-b29b70b5/" Type="http://schemas.openxmlformats.org/officeDocument/2006/relationships/hyperlink" Id="rId21"/><Relationship TargetMode="External" Target="mailto:sintabues.org@gmail.com" Type="http://schemas.openxmlformats.org/officeDocument/2006/relationships/hyperlink" Id="rId42"/><Relationship TargetMode="External" Target="mailto:servicedesk@pj.gob.pe" Type="http://schemas.openxmlformats.org/officeDocument/2006/relationships/hyperlink" Id="rId47"/><Relationship TargetMode="External" Target="https://www.linkedin.com/in/catasubirana/" Type="http://schemas.openxmlformats.org/officeDocument/2006/relationships/hyperlink" Id="rId63"/><Relationship TargetMode="External" Target="mailto:susana.trazamos@hotmail.com%0a" Type="http://schemas.openxmlformats.org/officeDocument/2006/relationships/hyperlink" Id="rId68"/><Relationship TargetMode="External" Target="https://www.instagram.com/pasosfirmes_peru/%20%20asociacionpasosfirmes@gmail.com" Type="http://schemas.openxmlformats.org/officeDocument/2006/relationships/hyperlink" Id="rId16"/><Relationship TargetMode="External" Target="mailto:info@appv.pe" Type="http://schemas.openxmlformats.org/officeDocument/2006/relationships/hyperlink" Id="rId11"/><Relationship TargetMode="External" Target="https://x.com/gloriaziegler" Type="http://schemas.openxmlformats.org/officeDocument/2006/relationships/hyperlink" Id="rId24"/><Relationship TargetMode="External" Target="mailto:arebaza@mpfn.gob.pe" Type="http://schemas.openxmlformats.org/officeDocument/2006/relationships/hyperlink" Id="rId32"/><Relationship TargetMode="External" Target="mailto:mesadepartesdigital@mimp.gob.pe" Type="http://schemas.openxmlformats.org/officeDocument/2006/relationships/hyperlink" Id="rId37"/><Relationship TargetMode="External" Target="mailto:rjoyo@pj.gob.pe" Type="http://schemas.openxmlformats.org/officeDocument/2006/relationships/hyperlink" Id="rId40"/><Relationship TargetMode="External" Target="mailto:direccionejecutiva@tarpurisunchis.org" Type="http://schemas.openxmlformats.org/officeDocument/2006/relationships/hyperlink" Id="rId45"/><Relationship TargetMode="External" Target="mailto:peru.office@unfpa.org%20/%20(+511)%20226%201026" Type="http://schemas.openxmlformats.org/officeDocument/2006/relationships/hyperlink" Id="rId53"/><Relationship TargetMode="External" Target="mailto:orpio-baseregional_aidesep@hotmail.com%20/%20(065)%20227345" Type="http://schemas.openxmlformats.org/officeDocument/2006/relationships/hyperlink" Id="rId58"/><Relationship TargetMode="External" Target="mailto:fenamad@fenamad.com.pe%0a%0a(082)%20572499" Type="http://schemas.openxmlformats.org/officeDocument/2006/relationships/hyperlink" Id="rId66"/><Relationship TargetMode="External" Target="mailto:mavila@proetica.org.pe" Type="http://schemas.openxmlformats.org/officeDocument/2006/relationships/hyperlink" Id="rId74"/><Relationship TargetMode="External" Target="mailto:caballero@unfpa.org.pe" Type="http://schemas.openxmlformats.org/officeDocument/2006/relationships/hyperlink" Id="rId79"/><Relationship TargetMode="External" Target="mailto:cenann.cep@iglesiacatolica.org.pe" Type="http://schemas.openxmlformats.org/officeDocument/2006/relationships/hyperlink" Id="rId5"/><Relationship TargetMode="External" Target="https://www.linkedin.com/in/est%C3%A9fany-luj%C3%A1n-quispe-a874b765/" Type="http://schemas.openxmlformats.org/officeDocument/2006/relationships/hyperlink" Id="rId61"/><Relationship TargetMode="External" Target="https://x.com/fabiolatorres?lang=es" Type="http://schemas.openxmlformats.org/officeDocument/2006/relationships/hyperlink" Id="rId19"/><Relationship TargetMode="External" Target="mailto:divpna.ciecomas@policia.gob.pe" Type="http://schemas.openxmlformats.org/officeDocument/2006/relationships/hyperlink" Id="rId14"/><Relationship TargetMode="External" Target="https://www.linkedin.com/in/paola-ugaz-8b352a52/?originalSubdomain=pe" Type="http://schemas.openxmlformats.org/officeDocument/2006/relationships/hyperlink" Id="rId22"/><Relationship TargetMode="External" Target="mailto:pverano@gruporpp.com.pe" Type="http://schemas.openxmlformats.org/officeDocument/2006/relationships/hyperlink" Id="rId27"/><Relationship TargetMode="External" Target="https://x.com/Pam_mdf/%20pamela.hb2007@gmail.com%20pamela.huerta@almargen-media.com" Type="http://schemas.openxmlformats.org/officeDocument/2006/relationships/hyperlink" Id="rId30"/><Relationship TargetMode="External" Target="https://sgd.minjus.gob.pe/sgd-virtual/public/ciudadano/ciudadanoMain.xhtml" Type="http://schemas.openxmlformats.org/officeDocument/2006/relationships/hyperlink" Id="rId35"/><Relationship TargetMode="External" Target="mailto:psotelo@mimp.gob.pe" Type="http://schemas.openxmlformats.org/officeDocument/2006/relationships/hyperlink" Id="rId43"/><Relationship TargetMode="External" Target="mailto:redmicaelas.pe@gmail.com/" Type="http://schemas.openxmlformats.org/officeDocument/2006/relationships/hyperlink" Id="rId48"/><Relationship TargetMode="External" Target="mailto:oce.peru@aecid.es%20/%20(+51-1)%20202%207000" Type="http://schemas.openxmlformats.org/officeDocument/2006/relationships/hyperlink" Id="rId56"/><Relationship TargetMode="External" Target="mailto:prensa@contranoticia.pe" Type="http://schemas.openxmlformats.org/officeDocument/2006/relationships/hyperlink" Id="rId64"/><Relationship TargetMode="External" Target="mailto:presidencia@amep.org.pe" Type="http://schemas.openxmlformats.org/officeDocument/2006/relationships/hyperlink" Id="rId69"/><Relationship TargetMode="External" Target="mailto:carmen.espinoza@manuela.org.p" Type="http://schemas.openxmlformats.org/officeDocument/2006/relationships/hyperlink" Id="rId77"/><Relationship TargetMode="External" Target="mailto:alfroja.pe@gmail.com" Type="http://schemas.openxmlformats.org/officeDocument/2006/relationships/hyperlink" Id="rId8"/><Relationship TargetMode="External" Target="mailto:rcs-peru@un.org%20/%20(+51-1)%20625%209000" Type="http://schemas.openxmlformats.org/officeDocument/2006/relationships/hyperlink" Id="rId51"/><Relationship TargetMode="External" Target="mailto:marielenarm@gmail.com" Type="http://schemas.openxmlformats.org/officeDocument/2006/relationships/hyperlink" Id="rId72"/><Relationship TargetMode="External" Target="mailto:consultoriolegal@accionporigualdad.com" Type="http://schemas.openxmlformats.org/officeDocument/2006/relationships/hyperlink" Id="rId80"/><Relationship TargetMode="External" Target="https://www.facebook.com/ongmujeresuniendoesfuerzos" Type="http://schemas.openxmlformats.org/officeDocument/2006/relationships/hyperlink" Id="rId3"/><Relationship TargetMode="External" Target="mailto:myc@demus.org.pe" Type="http://schemas.openxmlformats.org/officeDocument/2006/relationships/hyperlink" Id="rId12"/><Relationship TargetMode="External" Target="https://www.linkedin.com/in/sofiacarrillozegarra/" Type="http://schemas.openxmlformats.org/officeDocument/2006/relationships/hyperlink" Id="rId17"/><Relationship TargetMode="External" Target="https://x.com/fiomontano" Type="http://schemas.openxmlformats.org/officeDocument/2006/relationships/hyperlink" Id="rId25"/><Relationship TargetMode="External" Target="mailto:servicedesk@pj.gob.pe." Type="http://schemas.openxmlformats.org/officeDocument/2006/relationships/hyperlink" Id="rId33"/><Relationship TargetMode="External" Target="mailto:car.barcoiris@gmail.com%20%20cel%20949605237" Type="http://schemas.openxmlformats.org/officeDocument/2006/relationships/hyperlink" Id="rId38"/><Relationship TargetMode="External" Target="mailto:servicedesk@pj.gob.pe." Type="http://schemas.openxmlformats.org/officeDocument/2006/relationships/hyperlink" Id="rId46"/><Relationship TargetMode="External" Target="mailto:orauo347@gmail.com" Type="http://schemas.openxmlformats.org/officeDocument/2006/relationships/hyperlink" Id="rId59"/><Relationship TargetMode="External" Target="mailto:chavez@dvv-international.edu.pe" Type="http://schemas.openxmlformats.org/officeDocument/2006/relationships/hyperlink" Id="rId67"/><Relationship TargetMode="External" Target="https://www.linkedin.com/in/claudiacisneros/" Type="http://schemas.openxmlformats.org/officeDocument/2006/relationships/hyperlink" Id="rId20"/><Relationship TargetMode="External" Target="mailto:alanyasantacruz@loscachorros.nl" Type="http://schemas.openxmlformats.org/officeDocument/2006/relationships/hyperlink" Id="rId41"/><Relationship TargetMode="External" Target="mailto:registry.pe@undp.org" Type="http://schemas.openxmlformats.org/officeDocument/2006/relationships/hyperlink" Id="rId54"/><Relationship TargetMode="External" Target="https://www.linkedin.com/in/catasubirana/" Type="http://schemas.openxmlformats.org/officeDocument/2006/relationships/hyperlink" Id="rId62"/><Relationship TargetMode="External" Target="mailto:Kanttuperu@yahoo.es" Type="http://schemas.openxmlformats.org/officeDocument/2006/relationships/hyperlink" Id="rId70"/><Relationship TargetMode="External" Target="mailto:rednacionalpj@gmail.com%20" Type="http://schemas.openxmlformats.org/officeDocument/2006/relationships/hyperlink" Id="rId75"/><Relationship TargetMode="External" Target="https://www.linkedin.com/in/elena-portilla-odlianitskaya/" Type="http://schemas.openxmlformats.org/officeDocument/2006/relationships/hyperlink" Id="rId1"/><Relationship TargetMode="External" Target="https://www.linkedin.com/in/eliana-revollar-a%C3%B1a%C3%B1os-18b46b225/?originalSubdomain=pe" Type="http://schemas.openxmlformats.org/officeDocument/2006/relationships/hyperlink" Id="rId6"/><Relationship TargetMode="External" Target="mailto:mesaucayali@mesadeconcertacion.org.pe" Type="http://schemas.openxmlformats.org/officeDocument/2006/relationships/hyperlink" Id="rId15"/><Relationship TargetMode="External" Target="https://www.linkedin.com/in/gianfranco-huaman/" Type="http://schemas.openxmlformats.org/officeDocument/2006/relationships/hyperlink" Id="rId23"/><Relationship TargetMode="External" Target="https://www.linkedin.com/in/roc%C3%ADo-romero-benites-457031115/" Type="http://schemas.openxmlformats.org/officeDocument/2006/relationships/hyperlink" Id="rId28"/><Relationship TargetMode="External" Target="mailto:alejandra.alayza@oxfam.org%0a&apos;+51%20984753054%20" Type="http://schemas.openxmlformats.org/officeDocument/2006/relationships/hyperlink" Id="rId36"/><Relationship TargetMode="External" Target="mailto:mesadepartes.fpedv.maynas@gmail.com" Type="http://schemas.openxmlformats.org/officeDocument/2006/relationships/hyperlink" Id="rId49"/><Relationship TargetMode="External" Target="mailto:tmunoznajar@elcomercio.pe" Type="http://schemas.openxmlformats.org/officeDocument/2006/relationships/hyperlink" Id="rId57"/><Relationship TargetMode="External" Target="mailto:consejodemujeresawajunwampis@gmail.com" Type="http://schemas.openxmlformats.org/officeDocument/2006/relationships/hyperlink" Id="rId10"/><Relationship TargetMode="External" Target="mailto:ariana.lira@comercio.com.pe" Type="http://schemas.openxmlformats.org/officeDocument/2006/relationships/hyperlink" Id="rId31"/><Relationship TargetMode="External" Target="mailto:wayrawarmikuna@gmail.com%20" Type="http://schemas.openxmlformats.org/officeDocument/2006/relationships/hyperlink" Id="rId44"/><Relationship TargetMode="External" Target="mailto:kvelasco@pucp.edu.pe" Type="http://schemas.openxmlformats.org/officeDocument/2006/relationships/hyperlink" Id="rId52"/><Relationship TargetMode="External" Target="mailto:convocaperiodismo@convoca.pe" Type="http://schemas.openxmlformats.org/officeDocument/2006/relationships/hyperlink" Id="rId60"/><Relationship TargetMode="External" Target="mailto:feconau1@gmail.com%0a(061)%20625262" Type="http://schemas.openxmlformats.org/officeDocument/2006/relationships/hyperlink" Id="rId65"/><Relationship TargetMode="External" Target="mailto:k.allca@pucp.edu.pe" Type="http://schemas.openxmlformats.org/officeDocument/2006/relationships/hyperlink" Id="rId73"/><Relationship TargetMode="External" Target="mailto:miguel.levano@oxfam.org" Type="http://schemas.openxmlformats.org/officeDocument/2006/relationships/hyperlink" Id="rId78"/><Relationship TargetMode="External" Target="https://www.linkedin.com/in/flavia-martinez-tarazona-6b67b714a/" Type="http://schemas.openxmlformats.org/officeDocument/2006/relationships/hyperlink" Id="rId4"/><Relationship TargetMode="External" Target="mailto:memebun@fordesarequipa.org" Type="http://schemas.openxmlformats.org/officeDocument/2006/relationships/hyperlink" Id="rId9"/><Relationship TargetMode="External" Target="mailto:ccabanillas@pj.gob.pe" Type="http://schemas.openxmlformats.org/officeDocument/2006/relationships/hyperlink" Id="rId13"/><Relationship TargetMode="External" Target="https://www.linkedin.com/in/lorena-alvarez-46b9a795/" Type="http://schemas.openxmlformats.org/officeDocument/2006/relationships/hyperlink" Id="rId18"/><Relationship TargetMode="External" Target="mailto:cvilela@jne.gob.pe" Type="http://schemas.openxmlformats.org/officeDocument/2006/relationships/hyperlink" Id="rId39"/><Relationship TargetMode="External" Target="mailto:servicedesk@pj.gob.pe." Type="http://schemas.openxmlformats.org/officeDocument/2006/relationships/hyperlink" Id="rId34"/><Relationship TargetMode="External" Target="mailto:mesadepartes.fpedv.maynas@gmail.com" Type="http://schemas.openxmlformats.org/officeDocument/2006/relationships/hyperlink" Id="rId50"/><Relationship TargetMode="External" Target="mailto:unodc-peru@un.org" Type="http://schemas.openxmlformats.org/officeDocument/2006/relationships/hyperlink" Id="rId55"/><Relationship TargetMode="External" Target="mailto:taepunmsm@gmail.com" Type="http://schemas.openxmlformats.org/officeDocument/2006/relationships/hyperlink" Id="rId76"/><Relationship TargetMode="External" Target="mailto:echagua@pj.gob.pe" Type="http://schemas.openxmlformats.org/officeDocument/2006/relationships/hyperlink" Id="rId7"/><Relationship TargetMode="External" Target="mailto:cavera@minedu.gob.pe" Type="http://schemas.openxmlformats.org/officeDocument/2006/relationships/hyperlink" Id="rId71"/><Relationship TargetMode="External" Target="https://www.linkedin.com/in/alejandra-saffon-26761671/?originalSubdomain=co/%20928974196" Type="http://schemas.openxmlformats.org/officeDocument/2006/relationships/hyperlink" Id="rId2"/><Relationship TargetMode="External" Target="mailto:pedroluisramos91@gmail.com" Type="http://schemas.openxmlformats.org/officeDocument/2006/relationships/hyperlink" Id="rId29"/></Relationships>
</file>

<file path=xl/worksheets/_rels/sheet2.xml.rels><?xml version="1.0" encoding="UTF-8"?><Relationships xmlns="http://schemas.openxmlformats.org/package/2006/relationships"><Relationship TargetMode="External" Target="mailto:aisanjuanb@gmail.com" Type="http://schemas.openxmlformats.org/officeDocument/2006/relationships/hyperlink" Id="rId8"/><Relationship TargetMode="External" Target="mailto:madresmigrantesextranjerasperu@gmail.com" Type="http://schemas.openxmlformats.org/officeDocument/2006/relationships/hyperlink" Id="rId13"/><Relationship TargetMode="External" Target="mailto:coord.peru@apurimac.it" Type="http://schemas.openxmlformats.org/officeDocument/2006/relationships/hyperlink" Id="rId18"/><Relationship TargetMode="External" Target="mailto:car.sricardo@inabif.gob.pe" Type="http://schemas.openxmlformats.org/officeDocument/2006/relationships/hyperlink" Id="rId26"/><Relationship TargetMode="External" Target="https://www.linkedin.com/in/intikilla-eutrop%C3%ADa-delgado-castro-9a585934/" Type="http://schemas.openxmlformats.org/officeDocument/2006/relationships/hyperlink" Id="rId3"/><Relationship TargetMode="External" Target="mailto:lizmelendez@flora.org.pe%0a" Type="http://schemas.openxmlformats.org/officeDocument/2006/relationships/hyperlink" Id="rId21"/><Relationship TargetMode="External" Target="mailto:vpomalaya@mpfn.gob.pe;%20victoriapomalaya@gmail.com" Type="http://schemas.openxmlformats.org/officeDocument/2006/relationships/hyperlink" Id="rId7"/><Relationship TargetMode="External" Target="mailto:redinterquorum@gmail.com" Type="http://schemas.openxmlformats.org/officeDocument/2006/relationships/hyperlink" Id="rId12"/><Relationship TargetMode="External" Target="mailto:illontop@minjus.gob.pe,%20milagrosllontopv@gmail.com" Type="http://schemas.openxmlformats.org/officeDocument/2006/relationships/hyperlink" Id="rId17"/><Relationship TargetMode="External" Target="mailto:susana.trazamos@hotmail.com%0a" Type="http://schemas.openxmlformats.org/officeDocument/2006/relationships/hyperlink" Id="rId25"/><Relationship TargetMode="External" Target="mailto:info@appv.pe" Type="http://schemas.openxmlformats.org/officeDocument/2006/relationships/hyperlink" Id="rId2"/><Relationship TargetMode="External" Target="mailto:hellen.ku@aurora.gob.pe" Type="http://schemas.openxmlformats.org/officeDocument/2006/relationships/hyperlink" Id="rId16"/><Relationship TargetMode="External" Target="mailto:gianina@quintaola.org" Type="http://schemas.openxmlformats.org/officeDocument/2006/relationships/hyperlink" Id="rId20"/><Relationship Target="../drawings/vmlDrawing1.vml" Type="http://schemas.openxmlformats.org/officeDocument/2006/relationships/vmlDrawing" Id="rId29"/><Relationship TargetMode="External" Target="https://www.linkedin.com/in/sofia-blamey-andrusco-7520096b/?locale=fr_FR" Type="http://schemas.openxmlformats.org/officeDocument/2006/relationships/hyperlink" Id="rId1"/><Relationship TargetMode="External" Target="https://sistemas.mininter.gob.pe/mesadepartesdigital/" Type="http://schemas.openxmlformats.org/officeDocument/2006/relationships/hyperlink" Id="rId6"/><Relationship TargetMode="External" Target="mailto:magaly.blas.b@upch.pe" Type="http://schemas.openxmlformats.org/officeDocument/2006/relationships/hyperlink" Id="rId11"/><Relationship TargetMode="External" Target="mailto:chavez@dvv-international.edu.pe" Type="http://schemas.openxmlformats.org/officeDocument/2006/relationships/hyperlink" Id="rId24"/><Relationship TargetMode="External" Target="mailto:zoila.cabanillas@waminam.gob.pe%0a994581446" Type="http://schemas.openxmlformats.org/officeDocument/2006/relationships/hyperlink" Id="rId5"/><Relationship TargetMode="External" Target="mailto:familiasunidasporjusticia@gmail.com" Type="http://schemas.openxmlformats.org/officeDocument/2006/relationships/hyperlink" Id="rId15"/><Relationship TargetMode="External" Target="mailto:susana.osorio@savethechildren.org" Type="http://schemas.openxmlformats.org/officeDocument/2006/relationships/hyperlink" Id="rId23"/><Relationship TargetMode="External" Target="mailto:msaravia@proetica.org.pe" Type="http://schemas.openxmlformats.org/officeDocument/2006/relationships/hyperlink" Id="rId28"/><Relationship TargetMode="External" Target="mailto:lourdes.febres@accionporlosninos.org.pe" Type="http://schemas.openxmlformats.org/officeDocument/2006/relationships/hyperlink" Id="rId10"/><Relationship TargetMode="External" Target="mailto:car.gracia@inabif.gob.pe" Type="http://schemas.openxmlformats.org/officeDocument/2006/relationships/hyperlink" Id="rId19"/><Relationship Target="../threadedComments/threadedComment1.xml" Type="http://schemas.microsoft.com/office/2017/10/relationships/threadedComment" Id="rId31"/><Relationship TargetMode="External" Target="https://www.linkedin.com/in/rosario-cosar-5b3538119/" Type="http://schemas.openxmlformats.org/officeDocument/2006/relationships/hyperlink" Id="rId4"/><Relationship TargetMode="External" Target="mailto:car.sricardo@inabif.gob.pe" Type="http://schemas.openxmlformats.org/officeDocument/2006/relationships/hyperlink" Id="rId9"/><Relationship TargetMode="External" Target="mailto:arlettecontreras@agendamujer.com" Type="http://schemas.openxmlformats.org/officeDocument/2006/relationships/hyperlink" Id="rId14"/><Relationship TargetMode="External" Target="mailto:mariapia.molero@unwomen.org" Type="http://schemas.openxmlformats.org/officeDocument/2006/relationships/hyperlink" Id="rId22"/><Relationship TargetMode="External" Target="mailto:Antonella.Rojas@savethechildren.org;%20diana.rodriguez@savethechildren.org" Type="http://schemas.openxmlformats.org/officeDocument/2006/relationships/hyperlink" Id="rId27"/><Relationship Target="../comments1.xml" Type="http://schemas.openxmlformats.org/officeDocument/2006/relationships/comments" Id="rId30"/></Relationships>
</file>

<file path=xl/worksheets/_rels/sheet4.xml.rels><?xml version="1.0" encoding="UTF-8"?><Relationships xmlns="http://schemas.openxmlformats.org/package/2006/relationships"><Relationship Target="../comments2.xml" Type="http://schemas.openxmlformats.org/officeDocument/2006/relationships/comments" Id="rId3"/><Relationship Target="../drawings/vmlDrawing2.vml" Type="http://schemas.openxmlformats.org/officeDocument/2006/relationships/vmlDrawing" Id="rId2"/><Relationship TargetMode="External" Target="mailto:arebaza@mpfn.gob.pe" Type="http://schemas.openxmlformats.org/officeDocument/2006/relationships/hyperlink" Id="rId1"/><Relationship Target="../threadedComments/threadedComment2.xml" Type="http://schemas.microsoft.com/office/2017/10/relationships/threadedComment" Id="rId4"/></Relationships>
</file>

<file path=xl/worksheets/_rels/sheet5.xml.rels><?xml version="1.0" encoding="UTF-8"?><Relationships xmlns="http://schemas.openxmlformats.org/package/2006/relationships"><Relationship TargetMode="External" Target="mailto:kolivera@aurora.gob.pe" Type="http://schemas.openxmlformats.org/officeDocument/2006/relationships/hyperlink" Id="rId1"/></Relationships>
</file>

<file path=xl/worksheets/_rels/sheet7.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A53A-77AA-481A-A18B-FC9747B8CA37}">
  <dimension ref="B1:AE374"/>
  <sheetViews>
    <sheetView zoomScale="73" zoomScaleNormal="67" workbookViewId="0">
      <selection activeCell="E6" sqref="E6"/>
    </sheetView>
  </sheetViews>
  <sheetFormatPr baseColWidth="10" defaultColWidth="10.81640625" defaultRowHeight="14" x14ac:dyDescent="0.35"/>
  <cols>
    <col min="1" max="1" width="10.81640625" style="11"/>
    <col min="2" max="2" width="14.453125" style="26" customWidth="true"/>
    <col min="3" max="3" width="13.453125" style="12" customWidth="true"/>
    <col min="4" max="4" width="27.453125" style="11" customWidth="true"/>
    <col min="5" max="5" width="36.453125" style="11" customWidth="true"/>
    <col min="6" max="6" width="28.453125" style="12" customWidth="true"/>
    <col min="7" max="8" width="27.1796875" style="12" customWidth="true"/>
    <col min="9" max="9" width="20.81640625" style="12" customWidth="true"/>
    <col min="10" max="11" width="36.453125" style="12" customWidth="true"/>
    <col min="12" max="12" width="22.1796875" style="12" customWidth="true"/>
    <col min="13" max="13" width="21.81640625" style="12" customWidth="true"/>
    <col min="14" max="14" width="25.54296875" style="13" customWidth="true"/>
    <col min="15" max="15" width="23.453125" style="11" customWidth="true"/>
    <col min="16" max="16" width="40.54296875" style="11" customWidth="true"/>
    <col min="17" max="17" width="21.1796875" style="11" customWidth="true"/>
    <col min="18" max="18" width="11.453125" style="11" customWidth="true"/>
    <col min="19" max="19" width="10.1796875" style="11" customWidth="true"/>
    <col min="20" max="20" width="13.453125" style="11" customWidth="true"/>
    <col min="21" max="21" width="18" style="11" customWidth="true"/>
    <col min="22" max="24" width="14.453125" style="11" customWidth="true"/>
    <col min="25" max="27" width="15" style="11" customWidth="true"/>
    <col min="28" max="29" width="18.453125" style="11" customWidth="true"/>
    <col min="30" max="30" width="13.81640625" style="11" customWidth="true"/>
    <col min="31" max="16384" width="10.81640625" style="11"/>
  </cols>
  <sheetData>
    <row r="1">
      <c r="B1" s="26" t="s">
        <v>994</v>
      </c>
      <c r="C1" s="12" t="s">
        <v>227</v>
      </c>
      <c r="D1" s="11" t="s">
        <v>994</v>
      </c>
      <c r="E1" s="11" t="s">
        <v>994</v>
      </c>
      <c r="F1" s="12" t="s">
        <v>994</v>
      </c>
      <c r="G1" s="12" t="s">
        <v>994</v>
      </c>
      <c r="H1" s="12" t="s">
        <v>994</v>
      </c>
      <c r="I1" s="12" t="s">
        <v>994</v>
      </c>
      <c r="J1" s="12" t="s">
        <v>994</v>
      </c>
      <c r="K1" s="12" t="s">
        <v>994</v>
      </c>
      <c r="L1" s="12" t="s">
        <v>994</v>
      </c>
      <c r="M1" s="12" t="s">
        <v>994</v>
      </c>
      <c r="N1" s="13" t="s">
        <v>994</v>
      </c>
      <c r="O1" s="11" t="s">
        <v>994</v>
      </c>
      <c r="P1" s="11" t="s">
        <v>994</v>
      </c>
      <c r="Q1" s="11" t="s">
        <v>994</v>
      </c>
      <c r="R1" s="11" t="s">
        <v>994</v>
      </c>
      <c r="S1" s="11" t="s">
        <v>994</v>
      </c>
      <c r="T1" s="11" t="s">
        <v>994</v>
      </c>
      <c r="U1" s="11" t="s">
        <v>994</v>
      </c>
      <c r="V1" s="11" t="s">
        <v>994</v>
      </c>
      <c r="W1" s="11" t="s">
        <v>994</v>
      </c>
      <c r="X1" s="11" t="s">
        <v>994</v>
      </c>
      <c r="Y1" s="11" t="s">
        <v>994</v>
      </c>
      <c r="Z1" s="11" t="s">
        <v>994</v>
      </c>
      <c r="AA1" s="11" t="s">
        <v>994</v>
      </c>
      <c r="AB1" s="11" t="s">
        <v>994</v>
      </c>
      <c r="AC1" s="11" t="s">
        <v>994</v>
      </c>
      <c r="AD1" s="11" t="s">
        <v>994</v>
      </c>
      <c r="AE1" s="11" t="s">
        <v>994</v>
      </c>
    </row>
    <row r="2">
      <c r="B2" s="26" t="s">
        <v>994</v>
      </c>
      <c r="C2" s="12" t="s">
        <v>228</v>
      </c>
      <c r="D2" s="11" t="s">
        <v>994</v>
      </c>
      <c r="E2" s="11" t="s">
        <v>229</v>
      </c>
      <c r="F2" s="12" t="s">
        <v>994</v>
      </c>
      <c r="G2" s="12" t="s">
        <v>994</v>
      </c>
      <c r="H2" s="12" t="s">
        <v>994</v>
      </c>
      <c r="I2" s="12" t="s">
        <v>994</v>
      </c>
      <c r="J2" s="12" t="s">
        <v>994</v>
      </c>
      <c r="K2" s="12" t="s">
        <v>994</v>
      </c>
      <c r="L2" s="12" t="s">
        <v>994</v>
      </c>
      <c r="M2" s="12" t="s">
        <v>994</v>
      </c>
      <c r="N2" s="13" t="s">
        <v>994</v>
      </c>
      <c r="O2" s="11" t="s">
        <v>994</v>
      </c>
      <c r="P2" s="11" t="s">
        <v>994</v>
      </c>
      <c r="Q2" s="11" t="s">
        <v>994</v>
      </c>
      <c r="R2" s="11" t="s">
        <v>994</v>
      </c>
      <c r="S2" s="11" t="s">
        <v>994</v>
      </c>
      <c r="T2" s="11" t="s">
        <v>994</v>
      </c>
      <c r="U2" s="11" t="s">
        <v>994</v>
      </c>
      <c r="V2" s="11" t="s">
        <v>994</v>
      </c>
      <c r="W2" s="11" t="s">
        <v>994</v>
      </c>
      <c r="X2" s="11" t="s">
        <v>994</v>
      </c>
      <c r="Y2" s="11" t="s">
        <v>994</v>
      </c>
      <c r="Z2" s="11" t="s">
        <v>994</v>
      </c>
      <c r="AA2" s="11" t="s">
        <v>994</v>
      </c>
      <c r="AB2" s="11" t="s">
        <v>994</v>
      </c>
      <c r="AC2" s="11" t="s">
        <v>994</v>
      </c>
      <c r="AD2" s="11" t="s">
        <v>994</v>
      </c>
      <c r="AE2" s="11" t="s">
        <v>994</v>
      </c>
    </row>
    <row r="3">
      <c r="B3" s="26" t="s">
        <v>994</v>
      </c>
      <c r="C3" s="12" t="s">
        <v>994</v>
      </c>
      <c r="D3" s="11" t="s">
        <v>994</v>
      </c>
      <c r="E3" s="11" t="s">
        <v>230</v>
      </c>
      <c r="F3" s="12" t="s">
        <v>994</v>
      </c>
      <c r="G3" s="12" t="s">
        <v>994</v>
      </c>
      <c r="H3" s="12" t="s">
        <v>994</v>
      </c>
      <c r="I3" s="12" t="s">
        <v>994</v>
      </c>
      <c r="J3" s="12" t="s">
        <v>994</v>
      </c>
      <c r="K3" s="12" t="s">
        <v>994</v>
      </c>
      <c r="L3" s="12" t="s">
        <v>994</v>
      </c>
      <c r="M3" s="12" t="s">
        <v>994</v>
      </c>
      <c r="N3" s="13" t="s">
        <v>994</v>
      </c>
      <c r="O3" s="11" t="s">
        <v>994</v>
      </c>
      <c r="P3" s="11" t="s">
        <v>994</v>
      </c>
      <c r="Q3" s="11" t="s">
        <v>994</v>
      </c>
      <c r="R3" s="11" t="s">
        <v>994</v>
      </c>
      <c r="S3" s="11" t="s">
        <v>994</v>
      </c>
      <c r="T3" s="11" t="s">
        <v>994</v>
      </c>
      <c r="U3" s="11" t="s">
        <v>994</v>
      </c>
      <c r="V3" s="11" t="s">
        <v>994</v>
      </c>
      <c r="W3" s="11" t="s">
        <v>994</v>
      </c>
      <c r="X3" s="11" t="s">
        <v>994</v>
      </c>
      <c r="Y3" s="11" t="s">
        <v>994</v>
      </c>
      <c r="Z3" s="11" t="s">
        <v>994</v>
      </c>
      <c r="AA3" s="11" t="s">
        <v>994</v>
      </c>
      <c r="AB3" s="11" t="s">
        <v>994</v>
      </c>
      <c r="AC3" s="11" t="s">
        <v>994</v>
      </c>
      <c r="AD3" s="11" t="s">
        <v>994</v>
      </c>
      <c r="AE3" s="11" t="s">
        <v>994</v>
      </c>
    </row>
    <row r="4">
      <c r="B4" s="26" t="s">
        <v>994</v>
      </c>
      <c r="C4" s="12" t="s">
        <v>994</v>
      </c>
      <c r="D4" s="11" t="s">
        <v>994</v>
      </c>
      <c r="E4" s="11" t="s">
        <v>953</v>
      </c>
      <c r="F4" s="12" t="s">
        <v>994</v>
      </c>
      <c r="G4" s="12" t="s">
        <v>994</v>
      </c>
      <c r="H4" s="12" t="s">
        <v>994</v>
      </c>
      <c r="I4" s="12" t="s">
        <v>994</v>
      </c>
      <c r="J4" s="12" t="s">
        <v>994</v>
      </c>
      <c r="K4" s="12" t="s">
        <v>994</v>
      </c>
      <c r="L4" s="12" t="s">
        <v>994</v>
      </c>
      <c r="M4" s="12" t="s">
        <v>994</v>
      </c>
      <c r="N4" s="13" t="s">
        <v>994</v>
      </c>
      <c r="O4" s="11" t="s">
        <v>994</v>
      </c>
      <c r="P4" s="11" t="s">
        <v>994</v>
      </c>
      <c r="Q4" s="11" t="s">
        <v>994</v>
      </c>
      <c r="R4" s="11" t="s">
        <v>994</v>
      </c>
      <c r="S4" s="11" t="s">
        <v>994</v>
      </c>
      <c r="T4" s="11" t="s">
        <v>994</v>
      </c>
      <c r="U4" s="11" t="s">
        <v>994</v>
      </c>
      <c r="V4" s="11" t="s">
        <v>994</v>
      </c>
      <c r="W4" s="11" t="s">
        <v>994</v>
      </c>
      <c r="X4" s="11" t="s">
        <v>994</v>
      </c>
      <c r="Y4" s="11" t="s">
        <v>994</v>
      </c>
      <c r="Z4" s="11" t="s">
        <v>994</v>
      </c>
      <c r="AA4" s="11" t="s">
        <v>994</v>
      </c>
      <c r="AB4" s="11" t="s">
        <v>994</v>
      </c>
      <c r="AC4" s="11" t="s">
        <v>994</v>
      </c>
      <c r="AD4" s="11" t="s">
        <v>994</v>
      </c>
      <c r="AE4" s="11" t="s">
        <v>994</v>
      </c>
    </row>
    <row r="5">
      <c r="B5" s="26" t="s">
        <v>994</v>
      </c>
      <c r="C5" s="12" t="s">
        <v>231</v>
      </c>
      <c r="D5" s="11" t="s">
        <v>1</v>
      </c>
      <c r="E5" s="11" t="s">
        <v>2</v>
      </c>
      <c r="F5" s="12" t="s">
        <v>232</v>
      </c>
      <c r="G5" s="12" t="s">
        <v>233</v>
      </c>
      <c r="H5" s="12" t="s">
        <v>234</v>
      </c>
      <c r="I5" s="12" t="s">
        <v>1007</v>
      </c>
      <c r="J5" s="12" t="s">
        <v>1008</v>
      </c>
      <c r="K5" s="12" t="s">
        <v>1009</v>
      </c>
      <c r="L5" s="12" t="s">
        <v>235</v>
      </c>
      <c r="M5" s="12" t="s">
        <v>234</v>
      </c>
      <c r="N5" s="13" t="s">
        <v>236</v>
      </c>
      <c r="O5" s="11" t="s">
        <v>237</v>
      </c>
      <c r="P5" s="11" t="s">
        <v>238</v>
      </c>
      <c r="Q5" s="11" t="s">
        <v>954</v>
      </c>
      <c r="R5" s="11" t="s">
        <v>239</v>
      </c>
      <c r="S5" s="11" t="s">
        <v>955</v>
      </c>
      <c r="T5" s="11" t="s">
        <v>240</v>
      </c>
      <c r="U5" s="11" t="s">
        <v>1010</v>
      </c>
      <c r="V5" s="11" t="s">
        <v>10</v>
      </c>
      <c r="W5" s="11" t="s">
        <v>11</v>
      </c>
      <c r="X5" s="11" t="s">
        <v>12</v>
      </c>
      <c r="Y5" s="11" t="s">
        <v>952</v>
      </c>
      <c r="Z5" s="11" t="s">
        <v>242</v>
      </c>
      <c r="AA5" s="11" t="s">
        <v>243</v>
      </c>
      <c r="AB5" s="11" t="s">
        <v>18</v>
      </c>
      <c r="AC5" s="11" t="s">
        <v>17</v>
      </c>
      <c r="AD5" s="11" t="s">
        <v>956</v>
      </c>
      <c r="AE5" s="11" t="s">
        <v>994</v>
      </c>
    </row>
    <row r="6">
      <c r="B6" s="26" t="s">
        <v>49</v>
      </c>
      <c r="C6" s="12" t="s">
        <v>995</v>
      </c>
      <c r="D6" s="11" t="s">
        <v>244</v>
      </c>
      <c r="E6" s="11" t="s">
        <v>245</v>
      </c>
      <c r="F6" s="12" t="s">
        <v>332</v>
      </c>
      <c r="G6" s="12" t="s">
        <v>246</v>
      </c>
      <c r="H6" s="12" t="s">
        <v>246</v>
      </c>
      <c r="I6" s="12" t="s">
        <v>82</v>
      </c>
      <c r="J6" s="12" t="s">
        <v>1011</v>
      </c>
      <c r="K6" s="12" t="s">
        <v>118</v>
      </c>
      <c r="L6" s="12" t="s">
        <v>247</v>
      </c>
      <c r="M6" s="12" t="s">
        <v>994</v>
      </c>
      <c r="N6" s="13" t="s">
        <v>248</v>
      </c>
      <c r="O6" s="11" t="s">
        <v>118</v>
      </c>
      <c r="P6" s="11" t="s">
        <v>249</v>
      </c>
      <c r="Q6" s="11" t="s">
        <v>125</v>
      </c>
      <c r="R6" s="11" t="s">
        <v>150</v>
      </c>
      <c r="S6" s="11" t="s">
        <v>994</v>
      </c>
      <c r="T6" s="11" t="s">
        <v>125</v>
      </c>
      <c r="U6" s="11" t="s">
        <v>1016</v>
      </c>
      <c r="V6" s="11" t="s">
        <v>1753</v>
      </c>
      <c r="W6" s="11" t="s">
        <v>1773</v>
      </c>
      <c r="X6" s="11" t="s">
        <v>994</v>
      </c>
      <c r="Y6" s="11" t="s">
        <v>1783</v>
      </c>
      <c r="Z6" s="11" t="s">
        <v>994</v>
      </c>
      <c r="AA6" s="11" t="s">
        <v>994</v>
      </c>
      <c r="AB6" s="11" t="s">
        <v>30</v>
      </c>
      <c r="AC6" s="11" t="s">
        <v>994</v>
      </c>
      <c r="AD6" s="11" t="s">
        <v>1281</v>
      </c>
      <c r="AE6" s="11" t="s">
        <v>995</v>
      </c>
    </row>
    <row r="7">
      <c r="B7" s="26" t="s">
        <v>49</v>
      </c>
      <c r="C7" s="12" t="s">
        <v>996</v>
      </c>
      <c r="D7" s="11" t="s">
        <v>250</v>
      </c>
      <c r="E7" s="11" t="s">
        <v>245</v>
      </c>
      <c r="F7" s="12" t="s">
        <v>49</v>
      </c>
      <c r="G7" s="12" t="s">
        <v>246</v>
      </c>
      <c r="H7" s="12" t="s">
        <v>246</v>
      </c>
      <c r="I7" s="12" t="s">
        <v>82</v>
      </c>
      <c r="J7" s="12" t="s">
        <v>1011</v>
      </c>
      <c r="K7" s="12" t="s">
        <v>118</v>
      </c>
      <c r="L7" s="12" t="s">
        <v>247</v>
      </c>
      <c r="M7" s="12" t="s">
        <v>994</v>
      </c>
      <c r="N7" s="13" t="s">
        <v>248</v>
      </c>
      <c r="O7" s="11" t="s">
        <v>118</v>
      </c>
      <c r="P7" s="11" t="s">
        <v>249</v>
      </c>
      <c r="Q7" s="11" t="s">
        <v>125</v>
      </c>
      <c r="R7" s="11" t="s">
        <v>150</v>
      </c>
      <c r="S7" s="11" t="s">
        <v>994</v>
      </c>
      <c r="T7" s="11" t="s">
        <v>126</v>
      </c>
      <c r="U7" s="11" t="s">
        <v>1282</v>
      </c>
      <c r="V7" s="11" t="s">
        <v>994</v>
      </c>
      <c r="W7" s="11" t="s">
        <v>994</v>
      </c>
      <c r="X7" s="11" t="s">
        <v>994</v>
      </c>
      <c r="Y7" s="11" t="s">
        <v>994</v>
      </c>
      <c r="Z7" s="11" t="s">
        <v>994</v>
      </c>
      <c r="AA7" s="11" t="s">
        <v>994</v>
      </c>
      <c r="AB7" s="11" t="s">
        <v>994</v>
      </c>
      <c r="AC7" s="11" t="s">
        <v>994</v>
      </c>
      <c r="AD7" s="11" t="s">
        <v>1283</v>
      </c>
      <c r="AE7" s="11" t="s">
        <v>995</v>
      </c>
    </row>
    <row r="8">
      <c r="B8" s="26" t="s">
        <v>49</v>
      </c>
      <c r="C8" s="12" t="s">
        <v>1040</v>
      </c>
      <c r="D8" s="11" t="s">
        <v>251</v>
      </c>
      <c r="E8" s="11" t="s">
        <v>252</v>
      </c>
      <c r="F8" s="12" t="s">
        <v>49</v>
      </c>
      <c r="G8" s="12" t="s">
        <v>246</v>
      </c>
      <c r="H8" s="12" t="s">
        <v>246</v>
      </c>
      <c r="I8" s="12" t="s">
        <v>82</v>
      </c>
      <c r="J8" s="12" t="s">
        <v>1011</v>
      </c>
      <c r="K8" s="12" t="s">
        <v>118</v>
      </c>
      <c r="L8" s="12" t="s">
        <v>247</v>
      </c>
      <c r="M8" s="12" t="s">
        <v>994</v>
      </c>
      <c r="N8" s="13" t="s">
        <v>253</v>
      </c>
      <c r="O8" s="11" t="s">
        <v>118</v>
      </c>
      <c r="P8" s="11" t="s">
        <v>249</v>
      </c>
      <c r="Q8" s="11" t="s">
        <v>125</v>
      </c>
      <c r="R8" s="11" t="s">
        <v>150</v>
      </c>
      <c r="S8" s="11" t="s">
        <v>125</v>
      </c>
      <c r="T8" s="11" t="s">
        <v>125</v>
      </c>
      <c r="U8" s="11" t="s">
        <v>38</v>
      </c>
      <c r="V8" s="11" t="s">
        <v>1378</v>
      </c>
      <c r="W8" s="11" t="s">
        <v>1773</v>
      </c>
      <c r="X8" s="11" t="s">
        <v>994</v>
      </c>
      <c r="Y8" s="11" t="s">
        <v>994</v>
      </c>
      <c r="Z8" s="11" t="s">
        <v>994</v>
      </c>
      <c r="AA8" s="11" t="s">
        <v>994</v>
      </c>
      <c r="AB8" s="11" t="s">
        <v>994</v>
      </c>
      <c r="AC8" s="11" t="s">
        <v>994</v>
      </c>
      <c r="AD8" s="11" t="s">
        <v>1284</v>
      </c>
      <c r="AE8" s="11" t="s">
        <v>995</v>
      </c>
    </row>
    <row r="9">
      <c r="B9" s="26" t="s">
        <v>49</v>
      </c>
      <c r="C9" s="12" t="s">
        <v>1041</v>
      </c>
      <c r="D9" s="11" t="s">
        <v>254</v>
      </c>
      <c r="E9" s="11" t="s">
        <v>255</v>
      </c>
      <c r="F9" s="12" t="s">
        <v>49</v>
      </c>
      <c r="G9" s="12" t="s">
        <v>246</v>
      </c>
      <c r="H9" s="12" t="s">
        <v>246</v>
      </c>
      <c r="I9" s="12" t="s">
        <v>82</v>
      </c>
      <c r="J9" s="12" t="s">
        <v>1011</v>
      </c>
      <c r="K9" s="12" t="s">
        <v>118</v>
      </c>
      <c r="L9" s="12" t="s">
        <v>247</v>
      </c>
      <c r="M9" s="12" t="s">
        <v>994</v>
      </c>
      <c r="N9" s="13" t="s">
        <v>1285</v>
      </c>
      <c r="O9" s="11" t="s">
        <v>118</v>
      </c>
      <c r="P9" s="11" t="s">
        <v>249</v>
      </c>
      <c r="Q9" s="11" t="s">
        <v>125</v>
      </c>
      <c r="R9" s="11" t="s">
        <v>150</v>
      </c>
      <c r="S9" s="11" t="s">
        <v>994</v>
      </c>
      <c r="T9" s="11" t="s">
        <v>126</v>
      </c>
      <c r="U9" s="11" t="s">
        <v>994</v>
      </c>
      <c r="V9" s="11" t="s">
        <v>1754</v>
      </c>
      <c r="W9" s="11" t="s">
        <v>994</v>
      </c>
      <c r="X9" s="11" t="s">
        <v>994</v>
      </c>
      <c r="Y9" s="11" t="s">
        <v>994</v>
      </c>
      <c r="Z9" s="11" t="s">
        <v>994</v>
      </c>
      <c r="AA9" s="11" t="s">
        <v>994</v>
      </c>
      <c r="AB9" s="11" t="s">
        <v>994</v>
      </c>
      <c r="AC9" s="11" t="s">
        <v>994</v>
      </c>
      <c r="AD9" s="11" t="s">
        <v>974</v>
      </c>
      <c r="AE9" s="11" t="s">
        <v>1804</v>
      </c>
    </row>
    <row r="10">
      <c r="B10" s="26" t="s">
        <v>49</v>
      </c>
      <c r="C10" s="12" t="s">
        <v>1314</v>
      </c>
      <c r="D10" s="11" t="s">
        <v>257</v>
      </c>
      <c r="E10" s="11" t="s">
        <v>255</v>
      </c>
      <c r="F10" s="12" t="s">
        <v>49</v>
      </c>
      <c r="G10" s="12" t="s">
        <v>246</v>
      </c>
      <c r="H10" s="12" t="s">
        <v>246</v>
      </c>
      <c r="I10" s="12" t="s">
        <v>82</v>
      </c>
      <c r="J10" s="12" t="s">
        <v>1011</v>
      </c>
      <c r="K10" s="12" t="s">
        <v>118</v>
      </c>
      <c r="L10" s="12" t="s">
        <v>247</v>
      </c>
      <c r="M10" s="12" t="s">
        <v>994</v>
      </c>
      <c r="N10" s="13" t="s">
        <v>256</v>
      </c>
      <c r="O10" s="11" t="s">
        <v>118</v>
      </c>
      <c r="P10" s="11" t="s">
        <v>249</v>
      </c>
      <c r="Q10" s="11" t="s">
        <v>125</v>
      </c>
      <c r="R10" s="11" t="s">
        <v>150</v>
      </c>
      <c r="S10" s="11" t="s">
        <v>994</v>
      </c>
      <c r="T10" s="11" t="s">
        <v>125</v>
      </c>
      <c r="U10" s="11" t="s">
        <v>38</v>
      </c>
      <c r="V10" s="11" t="s">
        <v>1754</v>
      </c>
      <c r="W10" s="11" t="s">
        <v>994</v>
      </c>
      <c r="X10" s="11" t="s">
        <v>994</v>
      </c>
      <c r="Y10" s="11" t="s">
        <v>994</v>
      </c>
      <c r="Z10" s="11" t="s">
        <v>994</v>
      </c>
      <c r="AA10" s="11" t="s">
        <v>994</v>
      </c>
      <c r="AB10" s="11" t="s">
        <v>994</v>
      </c>
      <c r="AC10" s="11" t="s">
        <v>994</v>
      </c>
      <c r="AD10" s="11" t="s">
        <v>974</v>
      </c>
      <c r="AE10" s="11" t="s">
        <v>995</v>
      </c>
    </row>
    <row r="11">
      <c r="B11" s="26" t="s">
        <v>49</v>
      </c>
      <c r="C11" s="12" t="s">
        <v>1315</v>
      </c>
      <c r="D11" s="11" t="s">
        <v>260</v>
      </c>
      <c r="E11" s="11" t="s">
        <v>261</v>
      </c>
      <c r="F11" s="12" t="s">
        <v>49</v>
      </c>
      <c r="G11" s="12" t="s">
        <v>246</v>
      </c>
      <c r="H11" s="12" t="s">
        <v>246</v>
      </c>
      <c r="I11" s="12" t="s">
        <v>82</v>
      </c>
      <c r="J11" s="12" t="s">
        <v>1011</v>
      </c>
      <c r="K11" s="12" t="s">
        <v>118</v>
      </c>
      <c r="L11" s="12" t="s">
        <v>247</v>
      </c>
      <c r="M11" s="12" t="s">
        <v>994</v>
      </c>
      <c r="N11" s="13" t="s">
        <v>262</v>
      </c>
      <c r="O11" s="11" t="s">
        <v>118</v>
      </c>
      <c r="P11" s="11" t="s">
        <v>249</v>
      </c>
      <c r="Q11" s="11" t="s">
        <v>125</v>
      </c>
      <c r="R11" s="11" t="s">
        <v>150</v>
      </c>
      <c r="S11" s="11" t="s">
        <v>994</v>
      </c>
      <c r="T11" s="11" t="s">
        <v>125</v>
      </c>
      <c r="U11" s="11" t="s">
        <v>1016</v>
      </c>
      <c r="V11" s="11" t="s">
        <v>1754</v>
      </c>
      <c r="W11" s="11" t="s">
        <v>1755</v>
      </c>
      <c r="X11" s="11" t="s">
        <v>994</v>
      </c>
      <c r="Y11" s="11" t="s">
        <v>994</v>
      </c>
      <c r="Z11" s="11" t="s">
        <v>1379</v>
      </c>
      <c r="AA11" s="11" t="s">
        <v>994</v>
      </c>
      <c r="AB11" s="11" t="s">
        <v>30</v>
      </c>
      <c r="AC11" s="11" t="s">
        <v>994</v>
      </c>
      <c r="AD11" s="11" t="s">
        <v>994</v>
      </c>
      <c r="AE11" s="11" t="s">
        <v>995</v>
      </c>
    </row>
    <row r="12">
      <c r="B12" s="26" t="s">
        <v>49</v>
      </c>
      <c r="C12" s="12" t="s">
        <v>1316</v>
      </c>
      <c r="D12" s="11" t="s">
        <v>263</v>
      </c>
      <c r="E12" s="11" t="s">
        <v>261</v>
      </c>
      <c r="F12" s="12" t="s">
        <v>49</v>
      </c>
      <c r="G12" s="12" t="s">
        <v>246</v>
      </c>
      <c r="H12" s="12" t="s">
        <v>246</v>
      </c>
      <c r="I12" s="12" t="s">
        <v>82</v>
      </c>
      <c r="J12" s="12" t="s">
        <v>1011</v>
      </c>
      <c r="K12" s="12" t="s">
        <v>118</v>
      </c>
      <c r="L12" s="12" t="s">
        <v>247</v>
      </c>
      <c r="M12" s="12" t="s">
        <v>994</v>
      </c>
      <c r="N12" s="13" t="s">
        <v>262</v>
      </c>
      <c r="O12" s="11" t="s">
        <v>118</v>
      </c>
      <c r="P12" s="11" t="s">
        <v>249</v>
      </c>
      <c r="Q12" s="11" t="s">
        <v>125</v>
      </c>
      <c r="R12" s="11" t="s">
        <v>150</v>
      </c>
      <c r="S12" s="11" t="s">
        <v>994</v>
      </c>
      <c r="T12" s="11" t="s">
        <v>126</v>
      </c>
      <c r="U12" s="11" t="s">
        <v>994</v>
      </c>
      <c r="V12" s="11" t="s">
        <v>1754</v>
      </c>
      <c r="W12" s="11" t="s">
        <v>994</v>
      </c>
      <c r="X12" s="11" t="s">
        <v>994</v>
      </c>
      <c r="Y12" s="11" t="s">
        <v>994</v>
      </c>
      <c r="Z12" s="11" t="s">
        <v>994</v>
      </c>
      <c r="AA12" s="11" t="s">
        <v>994</v>
      </c>
      <c r="AB12" s="11" t="s">
        <v>994</v>
      </c>
      <c r="AC12" s="11" t="s">
        <v>994</v>
      </c>
      <c r="AD12" s="11" t="s">
        <v>974</v>
      </c>
      <c r="AE12" s="11" t="s">
        <v>1804</v>
      </c>
    </row>
    <row r="13">
      <c r="B13" s="26" t="s">
        <v>49</v>
      </c>
      <c r="C13" s="12" t="s">
        <v>1317</v>
      </c>
      <c r="D13" s="11" t="s">
        <v>269</v>
      </c>
      <c r="E13" s="11" t="s">
        <v>266</v>
      </c>
      <c r="F13" s="12" t="s">
        <v>49</v>
      </c>
      <c r="G13" s="12" t="s">
        <v>246</v>
      </c>
      <c r="H13" s="12" t="s">
        <v>246</v>
      </c>
      <c r="I13" s="12" t="s">
        <v>82</v>
      </c>
      <c r="J13" s="12" t="s">
        <v>1011</v>
      </c>
      <c r="K13" s="12" t="s">
        <v>118</v>
      </c>
      <c r="L13" s="12" t="s">
        <v>247</v>
      </c>
      <c r="M13" s="12" t="s">
        <v>994</v>
      </c>
      <c r="N13" s="13" t="s">
        <v>957</v>
      </c>
      <c r="O13" s="11" t="s">
        <v>118</v>
      </c>
      <c r="P13" s="11" t="s">
        <v>264</v>
      </c>
      <c r="Q13" s="11" t="s">
        <v>125</v>
      </c>
      <c r="R13" s="11" t="s">
        <v>150</v>
      </c>
      <c r="S13" s="11" t="s">
        <v>994</v>
      </c>
      <c r="T13" s="11" t="s">
        <v>126</v>
      </c>
      <c r="U13" s="11" t="s">
        <v>994</v>
      </c>
      <c r="V13" s="11" t="s">
        <v>1755</v>
      </c>
      <c r="W13" s="11" t="s">
        <v>994</v>
      </c>
      <c r="X13" s="11" t="s">
        <v>994</v>
      </c>
      <c r="Y13" s="11" t="s">
        <v>994</v>
      </c>
      <c r="Z13" s="11" t="s">
        <v>994</v>
      </c>
      <c r="AA13" s="11" t="s">
        <v>994</v>
      </c>
      <c r="AB13" s="11" t="s">
        <v>994</v>
      </c>
      <c r="AC13" s="11" t="s">
        <v>994</v>
      </c>
      <c r="AD13" s="11" t="s">
        <v>975</v>
      </c>
      <c r="AE13" s="11" t="s">
        <v>1804</v>
      </c>
    </row>
    <row r="14">
      <c r="B14" s="26" t="s">
        <v>49</v>
      </c>
      <c r="C14" s="12" t="s">
        <v>1318</v>
      </c>
      <c r="D14" s="11" t="s">
        <v>270</v>
      </c>
      <c r="E14" s="11" t="s">
        <v>266</v>
      </c>
      <c r="F14" s="12" t="s">
        <v>49</v>
      </c>
      <c r="G14" s="12" t="s">
        <v>246</v>
      </c>
      <c r="H14" s="12" t="s">
        <v>246</v>
      </c>
      <c r="I14" s="12" t="s">
        <v>82</v>
      </c>
      <c r="J14" s="12" t="s">
        <v>1011</v>
      </c>
      <c r="K14" s="12" t="s">
        <v>118</v>
      </c>
      <c r="L14" s="12" t="s">
        <v>247</v>
      </c>
      <c r="M14" s="12" t="s">
        <v>994</v>
      </c>
      <c r="N14" s="13" t="s">
        <v>271</v>
      </c>
      <c r="O14" s="11" t="s">
        <v>118</v>
      </c>
      <c r="P14" s="11" t="s">
        <v>264</v>
      </c>
      <c r="Q14" s="11" t="s">
        <v>125</v>
      </c>
      <c r="R14" s="11" t="s">
        <v>150</v>
      </c>
      <c r="S14" s="11" t="s">
        <v>994</v>
      </c>
      <c r="T14" s="11" t="s">
        <v>126</v>
      </c>
      <c r="U14" s="11" t="s">
        <v>994</v>
      </c>
      <c r="V14" s="11" t="s">
        <v>994</v>
      </c>
      <c r="W14" s="11" t="s">
        <v>994</v>
      </c>
      <c r="X14" s="11" t="s">
        <v>994</v>
      </c>
      <c r="Y14" s="11" t="s">
        <v>994</v>
      </c>
      <c r="Z14" s="11" t="s">
        <v>994</v>
      </c>
      <c r="AA14" s="11" t="s">
        <v>994</v>
      </c>
      <c r="AB14" s="11" t="s">
        <v>994</v>
      </c>
      <c r="AC14" s="11" t="s">
        <v>994</v>
      </c>
      <c r="AD14" s="11" t="s">
        <v>994</v>
      </c>
      <c r="AE14" s="11" t="s">
        <v>1804</v>
      </c>
    </row>
    <row r="15">
      <c r="B15" s="26" t="s">
        <v>49</v>
      </c>
      <c r="C15" s="12" t="s">
        <v>1319</v>
      </c>
      <c r="D15" s="11" t="s">
        <v>272</v>
      </c>
      <c r="E15" s="11" t="s">
        <v>176</v>
      </c>
      <c r="F15" s="12" t="s">
        <v>49</v>
      </c>
      <c r="G15" s="12" t="s">
        <v>246</v>
      </c>
      <c r="H15" s="12" t="s">
        <v>246</v>
      </c>
      <c r="I15" s="12" t="s">
        <v>82</v>
      </c>
      <c r="J15" s="12" t="s">
        <v>1011</v>
      </c>
      <c r="K15" s="12" t="s">
        <v>118</v>
      </c>
      <c r="L15" s="12" t="s">
        <v>247</v>
      </c>
      <c r="M15" s="12" t="s">
        <v>994</v>
      </c>
      <c r="N15" s="13" t="s">
        <v>976</v>
      </c>
      <c r="O15" s="11" t="s">
        <v>118</v>
      </c>
      <c r="P15" s="11" t="s">
        <v>264</v>
      </c>
      <c r="Q15" s="11" t="s">
        <v>125</v>
      </c>
      <c r="R15" s="11" t="s">
        <v>150</v>
      </c>
      <c r="S15" s="11" t="s">
        <v>994</v>
      </c>
      <c r="T15" s="11" t="s">
        <v>126</v>
      </c>
      <c r="U15" s="11" t="s">
        <v>994</v>
      </c>
      <c r="V15" s="11" t="s">
        <v>994</v>
      </c>
      <c r="W15" s="11" t="s">
        <v>994</v>
      </c>
      <c r="X15" s="11" t="s">
        <v>994</v>
      </c>
      <c r="Y15" s="11" t="s">
        <v>994</v>
      </c>
      <c r="Z15" s="11" t="s">
        <v>994</v>
      </c>
      <c r="AA15" s="11" t="s">
        <v>994</v>
      </c>
      <c r="AB15" s="11" t="s">
        <v>994</v>
      </c>
      <c r="AC15" s="11" t="s">
        <v>994</v>
      </c>
      <c r="AD15" s="11" t="s">
        <v>994</v>
      </c>
      <c r="AE15" s="11" t="s">
        <v>1804</v>
      </c>
    </row>
    <row r="16">
      <c r="B16" s="26" t="s">
        <v>49</v>
      </c>
      <c r="C16" s="12" t="s">
        <v>1320</v>
      </c>
      <c r="D16" s="11" t="s">
        <v>273</v>
      </c>
      <c r="E16" s="11" t="s">
        <v>176</v>
      </c>
      <c r="F16" s="12" t="s">
        <v>49</v>
      </c>
      <c r="G16" s="12" t="s">
        <v>246</v>
      </c>
      <c r="H16" s="12" t="s">
        <v>246</v>
      </c>
      <c r="I16" s="12" t="s">
        <v>82</v>
      </c>
      <c r="J16" s="12" t="s">
        <v>1011</v>
      </c>
      <c r="K16" s="12" t="s">
        <v>118</v>
      </c>
      <c r="L16" s="12" t="s">
        <v>247</v>
      </c>
      <c r="M16" s="12" t="s">
        <v>994</v>
      </c>
      <c r="N16" s="13" t="s">
        <v>274</v>
      </c>
      <c r="O16" s="11" t="s">
        <v>118</v>
      </c>
      <c r="P16" s="11" t="s">
        <v>264</v>
      </c>
      <c r="Q16" s="11" t="s">
        <v>125</v>
      </c>
      <c r="R16" s="11" t="s">
        <v>150</v>
      </c>
      <c r="S16" s="11" t="s">
        <v>994</v>
      </c>
      <c r="T16" s="11" t="s">
        <v>126</v>
      </c>
      <c r="U16" s="11" t="s">
        <v>994</v>
      </c>
      <c r="V16" s="11" t="s">
        <v>994</v>
      </c>
      <c r="W16" s="11" t="s">
        <v>994</v>
      </c>
      <c r="X16" s="11" t="s">
        <v>994</v>
      </c>
      <c r="Y16" s="11" t="s">
        <v>994</v>
      </c>
      <c r="Z16" s="11" t="s">
        <v>994</v>
      </c>
      <c r="AA16" s="11" t="s">
        <v>994</v>
      </c>
      <c r="AB16" s="11" t="s">
        <v>994</v>
      </c>
      <c r="AC16" s="11" t="s">
        <v>994</v>
      </c>
      <c r="AD16" s="11" t="s">
        <v>994</v>
      </c>
      <c r="AE16" s="11" t="s">
        <v>1804</v>
      </c>
    </row>
    <row r="17">
      <c r="B17" s="26" t="s">
        <v>283</v>
      </c>
      <c r="C17" s="12" t="s">
        <v>1321</v>
      </c>
      <c r="D17" s="11" t="s">
        <v>281</v>
      </c>
      <c r="E17" s="11" t="s">
        <v>282</v>
      </c>
      <c r="F17" s="12" t="s">
        <v>283</v>
      </c>
      <c r="G17" s="12" t="s">
        <v>246</v>
      </c>
      <c r="H17" s="12" t="s">
        <v>246</v>
      </c>
      <c r="I17" s="12" t="s">
        <v>82</v>
      </c>
      <c r="J17" s="12" t="s">
        <v>1011</v>
      </c>
      <c r="K17" s="12" t="s">
        <v>118</v>
      </c>
      <c r="L17" s="12" t="s">
        <v>247</v>
      </c>
      <c r="M17" s="12" t="s">
        <v>994</v>
      </c>
      <c r="N17" s="13" t="s">
        <v>284</v>
      </c>
      <c r="O17" s="11" t="s">
        <v>118</v>
      </c>
      <c r="P17" s="11" t="s">
        <v>249</v>
      </c>
      <c r="Q17" s="11" t="s">
        <v>125</v>
      </c>
      <c r="R17" s="11" t="s">
        <v>150</v>
      </c>
      <c r="S17" s="11" t="s">
        <v>994</v>
      </c>
      <c r="T17" s="11" t="s">
        <v>126</v>
      </c>
      <c r="U17" s="11" t="s">
        <v>994</v>
      </c>
      <c r="V17" s="11" t="s">
        <v>1755</v>
      </c>
      <c r="W17" s="11" t="s">
        <v>994</v>
      </c>
      <c r="X17" s="11" t="s">
        <v>994</v>
      </c>
      <c r="Y17" s="11" t="s">
        <v>994</v>
      </c>
      <c r="Z17" s="11" t="s">
        <v>994</v>
      </c>
      <c r="AA17" s="11" t="s">
        <v>994</v>
      </c>
      <c r="AB17" s="11" t="s">
        <v>994</v>
      </c>
      <c r="AC17" s="11" t="s">
        <v>994</v>
      </c>
      <c r="AD17" s="11" t="s">
        <v>977</v>
      </c>
      <c r="AE17" s="11" t="s">
        <v>1804</v>
      </c>
    </row>
    <row r="18">
      <c r="B18" s="26" t="s">
        <v>49</v>
      </c>
      <c r="C18" s="12" t="s">
        <v>1322</v>
      </c>
      <c r="D18" s="11" t="s">
        <v>285</v>
      </c>
      <c r="E18" s="11" t="s">
        <v>282</v>
      </c>
      <c r="F18" s="12" t="s">
        <v>49</v>
      </c>
      <c r="G18" s="12" t="s">
        <v>246</v>
      </c>
      <c r="H18" s="12" t="s">
        <v>246</v>
      </c>
      <c r="I18" s="12" t="s">
        <v>82</v>
      </c>
      <c r="J18" s="12" t="s">
        <v>1011</v>
      </c>
      <c r="K18" s="12" t="s">
        <v>118</v>
      </c>
      <c r="L18" s="12" t="s">
        <v>247</v>
      </c>
      <c r="M18" s="12" t="s">
        <v>994</v>
      </c>
      <c r="N18" s="13" t="s">
        <v>287</v>
      </c>
      <c r="O18" s="11" t="s">
        <v>118</v>
      </c>
      <c r="P18" s="11" t="s">
        <v>249</v>
      </c>
      <c r="Q18" s="11" t="s">
        <v>125</v>
      </c>
      <c r="R18" s="11" t="s">
        <v>150</v>
      </c>
      <c r="S18" s="11" t="s">
        <v>994</v>
      </c>
      <c r="T18" s="11" t="s">
        <v>126</v>
      </c>
      <c r="U18" s="11" t="s">
        <v>994</v>
      </c>
      <c r="V18" s="11" t="s">
        <v>994</v>
      </c>
      <c r="W18" s="11" t="s">
        <v>994</v>
      </c>
      <c r="X18" s="11" t="s">
        <v>994</v>
      </c>
      <c r="Y18" s="11" t="s">
        <v>994</v>
      </c>
      <c r="Z18" s="11" t="s">
        <v>994</v>
      </c>
      <c r="AA18" s="11" t="s">
        <v>994</v>
      </c>
      <c r="AB18" s="11" t="s">
        <v>994</v>
      </c>
      <c r="AC18" s="11" t="s">
        <v>994</v>
      </c>
      <c r="AD18" s="11" t="s">
        <v>994</v>
      </c>
      <c r="AE18" s="11" t="s">
        <v>1804</v>
      </c>
    </row>
    <row r="19">
      <c r="B19" s="26" t="s">
        <v>49</v>
      </c>
      <c r="C19" s="12" t="s">
        <v>1323</v>
      </c>
      <c r="D19" s="11" t="s">
        <v>292</v>
      </c>
      <c r="E19" s="11" t="s">
        <v>293</v>
      </c>
      <c r="F19" s="12" t="s">
        <v>49</v>
      </c>
      <c r="G19" s="12" t="s">
        <v>246</v>
      </c>
      <c r="H19" s="12" t="s">
        <v>246</v>
      </c>
      <c r="I19" s="12" t="s">
        <v>82</v>
      </c>
      <c r="J19" s="12" t="s">
        <v>1011</v>
      </c>
      <c r="K19" s="12" t="s">
        <v>118</v>
      </c>
      <c r="L19" s="12" t="s">
        <v>247</v>
      </c>
      <c r="M19" s="12" t="s">
        <v>994</v>
      </c>
      <c r="N19" s="13" t="s">
        <v>294</v>
      </c>
      <c r="O19" s="11" t="s">
        <v>118</v>
      </c>
      <c r="P19" s="11" t="s">
        <v>249</v>
      </c>
      <c r="Q19" s="11" t="s">
        <v>125</v>
      </c>
      <c r="R19" s="11" t="s">
        <v>150</v>
      </c>
      <c r="S19" s="11" t="s">
        <v>994</v>
      </c>
      <c r="T19" s="11" t="s">
        <v>126</v>
      </c>
      <c r="U19" s="11" t="s">
        <v>994</v>
      </c>
      <c r="V19" s="11" t="s">
        <v>1755</v>
      </c>
      <c r="W19" s="11" t="s">
        <v>994</v>
      </c>
      <c r="X19" s="11" t="s">
        <v>994</v>
      </c>
      <c r="Y19" s="11" t="s">
        <v>994</v>
      </c>
      <c r="Z19" s="11" t="s">
        <v>994</v>
      </c>
      <c r="AA19" s="11" t="s">
        <v>994</v>
      </c>
      <c r="AB19" s="11" t="s">
        <v>994</v>
      </c>
      <c r="AC19" s="11" t="s">
        <v>994</v>
      </c>
      <c r="AD19" s="11" t="s">
        <v>978</v>
      </c>
      <c r="AE19" s="11" t="s">
        <v>1804</v>
      </c>
    </row>
    <row r="20">
      <c r="B20" s="26" t="s">
        <v>291</v>
      </c>
      <c r="C20" s="12" t="s">
        <v>1324</v>
      </c>
      <c r="D20" s="11" t="s">
        <v>297</v>
      </c>
      <c r="E20" s="11" t="s">
        <v>298</v>
      </c>
      <c r="F20" s="12" t="s">
        <v>291</v>
      </c>
      <c r="G20" s="12" t="s">
        <v>246</v>
      </c>
      <c r="H20" s="12" t="s">
        <v>246</v>
      </c>
      <c r="I20" s="12" t="s">
        <v>82</v>
      </c>
      <c r="J20" s="12" t="s">
        <v>1011</v>
      </c>
      <c r="K20" s="12" t="s">
        <v>118</v>
      </c>
      <c r="L20" s="12" t="s">
        <v>247</v>
      </c>
      <c r="M20" s="12" t="s">
        <v>994</v>
      </c>
      <c r="N20" s="13" t="s">
        <v>299</v>
      </c>
      <c r="O20" s="11" t="s">
        <v>118</v>
      </c>
      <c r="P20" s="11" t="s">
        <v>280</v>
      </c>
      <c r="Q20" s="11" t="s">
        <v>126</v>
      </c>
      <c r="R20" s="11" t="s">
        <v>150</v>
      </c>
      <c r="S20" s="11" t="s">
        <v>994</v>
      </c>
      <c r="T20" s="11" t="s">
        <v>126</v>
      </c>
      <c r="U20" s="11" t="s">
        <v>994</v>
      </c>
      <c r="V20" s="11" t="s">
        <v>994</v>
      </c>
      <c r="W20" s="11" t="s">
        <v>994</v>
      </c>
      <c r="X20" s="11" t="s">
        <v>994</v>
      </c>
      <c r="Y20" s="11" t="s">
        <v>994</v>
      </c>
      <c r="Z20" s="11" t="s">
        <v>994</v>
      </c>
      <c r="AA20" s="11" t="s">
        <v>994</v>
      </c>
      <c r="AB20" s="11" t="s">
        <v>994</v>
      </c>
      <c r="AC20" s="11" t="s">
        <v>994</v>
      </c>
      <c r="AD20" s="11" t="s">
        <v>994</v>
      </c>
      <c r="AE20" s="11" t="s">
        <v>1804</v>
      </c>
    </row>
    <row r="21">
      <c r="B21" s="26" t="s">
        <v>49</v>
      </c>
      <c r="C21" s="12" t="s">
        <v>1325</v>
      </c>
      <c r="D21" s="11" t="s">
        <v>306</v>
      </c>
      <c r="E21" s="11" t="s">
        <v>1012</v>
      </c>
      <c r="F21" s="12" t="s">
        <v>286</v>
      </c>
      <c r="G21" s="12" t="s">
        <v>246</v>
      </c>
      <c r="H21" s="12" t="s">
        <v>246</v>
      </c>
      <c r="I21" s="12" t="s">
        <v>430</v>
      </c>
      <c r="J21" s="12" t="s">
        <v>71</v>
      </c>
      <c r="K21" s="12" t="s">
        <v>191</v>
      </c>
      <c r="L21" s="12" t="s">
        <v>247</v>
      </c>
      <c r="M21" s="12" t="s">
        <v>994</v>
      </c>
      <c r="N21" s="13" t="s">
        <v>1013</v>
      </c>
      <c r="O21" s="11" t="s">
        <v>1014</v>
      </c>
      <c r="P21" s="11" t="s">
        <v>310</v>
      </c>
      <c r="Q21" s="11" t="s">
        <v>125</v>
      </c>
      <c r="R21" s="11" t="s">
        <v>150</v>
      </c>
      <c r="S21" s="11" t="s">
        <v>994</v>
      </c>
      <c r="T21" s="11" t="s">
        <v>125</v>
      </c>
      <c r="U21" s="11" t="s">
        <v>38</v>
      </c>
      <c r="V21" s="11" t="s">
        <v>1756</v>
      </c>
      <c r="W21" s="11" t="s">
        <v>1774</v>
      </c>
      <c r="X21" s="11" t="s">
        <v>994</v>
      </c>
      <c r="Y21" s="11" t="s">
        <v>994</v>
      </c>
      <c r="Z21" s="11" t="s">
        <v>994</v>
      </c>
      <c r="AA21" s="11" t="s">
        <v>994</v>
      </c>
      <c r="AB21" s="11" t="s">
        <v>994</v>
      </c>
      <c r="AC21" s="11" t="s">
        <v>994</v>
      </c>
      <c r="AD21" s="11" t="s">
        <v>1156</v>
      </c>
      <c r="AE21" s="11" t="s">
        <v>995</v>
      </c>
    </row>
    <row r="22">
      <c r="B22" s="26" t="s">
        <v>314</v>
      </c>
      <c r="C22" s="12" t="s">
        <v>1326</v>
      </c>
      <c r="D22" s="11" t="s">
        <v>313</v>
      </c>
      <c r="E22" s="11" t="s">
        <v>307</v>
      </c>
      <c r="F22" s="12" t="s">
        <v>314</v>
      </c>
      <c r="G22" s="12" t="s">
        <v>246</v>
      </c>
      <c r="H22" s="12" t="s">
        <v>246</v>
      </c>
      <c r="I22" s="12" t="s">
        <v>430</v>
      </c>
      <c r="J22" s="12" t="s">
        <v>71</v>
      </c>
      <c r="K22" s="12" t="s">
        <v>191</v>
      </c>
      <c r="L22" s="12" t="s">
        <v>247</v>
      </c>
      <c r="M22" s="12" t="s">
        <v>994</v>
      </c>
      <c r="N22" s="13" t="s">
        <v>315</v>
      </c>
      <c r="O22" s="11" t="s">
        <v>309</v>
      </c>
      <c r="P22" s="11" t="s">
        <v>310</v>
      </c>
      <c r="Q22" s="11" t="s">
        <v>125</v>
      </c>
      <c r="R22" s="11" t="s">
        <v>150</v>
      </c>
      <c r="S22" s="11" t="s">
        <v>994</v>
      </c>
      <c r="T22" s="11" t="s">
        <v>125</v>
      </c>
      <c r="U22" s="11" t="s">
        <v>38</v>
      </c>
      <c r="V22" s="11" t="s">
        <v>1378</v>
      </c>
      <c r="W22" s="11" t="s">
        <v>994</v>
      </c>
      <c r="X22" s="11" t="s">
        <v>994</v>
      </c>
      <c r="Y22" s="11" t="s">
        <v>994</v>
      </c>
      <c r="Z22" s="11" t="s">
        <v>994</v>
      </c>
      <c r="AA22" s="11" t="s">
        <v>994</v>
      </c>
      <c r="AB22" s="11" t="s">
        <v>994</v>
      </c>
      <c r="AC22" s="11" t="s">
        <v>994</v>
      </c>
      <c r="AD22" s="11" t="s">
        <v>994</v>
      </c>
      <c r="AE22" s="11" t="s">
        <v>995</v>
      </c>
    </row>
    <row r="23">
      <c r="B23" s="26" t="s">
        <v>308</v>
      </c>
      <c r="C23" s="12" t="s">
        <v>1327</v>
      </c>
      <c r="D23" s="11" t="s">
        <v>316</v>
      </c>
      <c r="E23" s="11" t="s">
        <v>307</v>
      </c>
      <c r="F23" s="12" t="s">
        <v>308</v>
      </c>
      <c r="G23" s="12" t="s">
        <v>246</v>
      </c>
      <c r="H23" s="12" t="s">
        <v>246</v>
      </c>
      <c r="I23" s="12" t="s">
        <v>430</v>
      </c>
      <c r="J23" s="12" t="s">
        <v>71</v>
      </c>
      <c r="K23" s="12" t="s">
        <v>191</v>
      </c>
      <c r="L23" s="12" t="s">
        <v>247</v>
      </c>
      <c r="M23" s="12" t="s">
        <v>994</v>
      </c>
      <c r="N23" s="13" t="s">
        <v>317</v>
      </c>
      <c r="O23" s="11" t="s">
        <v>309</v>
      </c>
      <c r="P23" s="11" t="s">
        <v>310</v>
      </c>
      <c r="Q23" s="11" t="s">
        <v>125</v>
      </c>
      <c r="R23" s="11" t="s">
        <v>150</v>
      </c>
      <c r="S23" s="11" t="s">
        <v>994</v>
      </c>
      <c r="T23" s="11" t="s">
        <v>125</v>
      </c>
      <c r="U23" s="11" t="s">
        <v>29</v>
      </c>
      <c r="V23" s="11" t="s">
        <v>1757</v>
      </c>
      <c r="W23" s="11" t="s">
        <v>994</v>
      </c>
      <c r="X23" s="11" t="s">
        <v>994</v>
      </c>
      <c r="Y23" s="11" t="s">
        <v>994</v>
      </c>
      <c r="Z23" s="11" t="s">
        <v>994</v>
      </c>
      <c r="AA23" s="11" t="s">
        <v>994</v>
      </c>
      <c r="AB23" s="11" t="s">
        <v>994</v>
      </c>
      <c r="AC23" s="11" t="s">
        <v>994</v>
      </c>
      <c r="AD23" s="11" t="s">
        <v>1157</v>
      </c>
      <c r="AE23" s="11" t="s">
        <v>995</v>
      </c>
    </row>
    <row r="24">
      <c r="B24" s="26" t="s">
        <v>308</v>
      </c>
      <c r="C24" s="12" t="s">
        <v>1328</v>
      </c>
      <c r="D24" s="11" t="s">
        <v>318</v>
      </c>
      <c r="E24" s="11" t="s">
        <v>307</v>
      </c>
      <c r="F24" s="12" t="s">
        <v>308</v>
      </c>
      <c r="G24" s="12" t="s">
        <v>246</v>
      </c>
      <c r="H24" s="12" t="s">
        <v>246</v>
      </c>
      <c r="I24" s="12" t="s">
        <v>430</v>
      </c>
      <c r="J24" s="12" t="s">
        <v>71</v>
      </c>
      <c r="K24" s="12" t="s">
        <v>191</v>
      </c>
      <c r="L24" s="12" t="s">
        <v>247</v>
      </c>
      <c r="M24" s="12" t="s">
        <v>994</v>
      </c>
      <c r="N24" s="13" t="s">
        <v>319</v>
      </c>
      <c r="O24" s="11" t="s">
        <v>309</v>
      </c>
      <c r="P24" s="11" t="s">
        <v>310</v>
      </c>
      <c r="Q24" s="11" t="s">
        <v>125</v>
      </c>
      <c r="R24" s="11" t="s">
        <v>150</v>
      </c>
      <c r="S24" s="11" t="s">
        <v>125</v>
      </c>
      <c r="T24" s="11" t="s">
        <v>125</v>
      </c>
      <c r="U24" s="11" t="s">
        <v>38</v>
      </c>
      <c r="V24" s="11" t="s">
        <v>1378</v>
      </c>
      <c r="W24" s="11" t="s">
        <v>994</v>
      </c>
      <c r="X24" s="11" t="s">
        <v>994</v>
      </c>
      <c r="Y24" s="11" t="s">
        <v>994</v>
      </c>
      <c r="Z24" s="11" t="s">
        <v>994</v>
      </c>
      <c r="AA24" s="11" t="s">
        <v>994</v>
      </c>
      <c r="AB24" s="11" t="s">
        <v>994</v>
      </c>
      <c r="AC24" s="11" t="s">
        <v>994</v>
      </c>
      <c r="AD24" s="11" t="s">
        <v>994</v>
      </c>
      <c r="AE24" s="11" t="s">
        <v>995</v>
      </c>
    </row>
    <row r="25">
      <c r="B25" s="26" t="s">
        <v>278</v>
      </c>
      <c r="C25" s="12" t="s">
        <v>1329</v>
      </c>
      <c r="D25" s="11" t="s">
        <v>320</v>
      </c>
      <c r="E25" s="11" t="s">
        <v>321</v>
      </c>
      <c r="F25" s="12" t="s">
        <v>278</v>
      </c>
      <c r="G25" s="12" t="s">
        <v>246</v>
      </c>
      <c r="H25" s="12" t="s">
        <v>246</v>
      </c>
      <c r="I25" s="12" t="s">
        <v>60</v>
      </c>
      <c r="J25" s="12" t="s">
        <v>1018</v>
      </c>
      <c r="K25" s="12" t="s">
        <v>118</v>
      </c>
      <c r="L25" s="12" t="s">
        <v>247</v>
      </c>
      <c r="M25" s="12" t="s">
        <v>994</v>
      </c>
      <c r="N25" s="13" t="s">
        <v>322</v>
      </c>
      <c r="O25" s="11" t="s">
        <v>118</v>
      </c>
      <c r="P25" s="11" t="s">
        <v>323</v>
      </c>
      <c r="Q25" s="11" t="s">
        <v>126</v>
      </c>
      <c r="R25" s="11" t="s">
        <v>150</v>
      </c>
      <c r="S25" s="11" t="s">
        <v>994</v>
      </c>
      <c r="T25" s="11" t="s">
        <v>125</v>
      </c>
      <c r="U25" s="11" t="s">
        <v>1016</v>
      </c>
      <c r="V25" s="11" t="s">
        <v>1756</v>
      </c>
      <c r="W25" s="11" t="s">
        <v>994</v>
      </c>
      <c r="X25" s="11" t="s">
        <v>994</v>
      </c>
      <c r="Y25" s="11" t="s">
        <v>994</v>
      </c>
      <c r="Z25" s="11" t="s">
        <v>1789</v>
      </c>
      <c r="AA25" s="11" t="s">
        <v>1789</v>
      </c>
      <c r="AB25" s="11" t="s">
        <v>30</v>
      </c>
      <c r="AC25" s="11" t="s">
        <v>1369</v>
      </c>
      <c r="AD25" s="11" t="s">
        <v>979</v>
      </c>
      <c r="AE25" s="11" t="s">
        <v>995</v>
      </c>
    </row>
    <row r="26">
      <c r="B26" s="26" t="s">
        <v>49</v>
      </c>
      <c r="C26" s="12" t="s">
        <v>1330</v>
      </c>
      <c r="D26" s="11" t="s">
        <v>53</v>
      </c>
      <c r="E26" s="11" t="s">
        <v>54</v>
      </c>
      <c r="F26" s="12" t="s">
        <v>49</v>
      </c>
      <c r="G26" s="12" t="s">
        <v>246</v>
      </c>
      <c r="H26" s="12" t="s">
        <v>246</v>
      </c>
      <c r="I26" s="12" t="s">
        <v>37</v>
      </c>
      <c r="J26" s="12" t="s">
        <v>1018</v>
      </c>
      <c r="K26" s="12" t="s">
        <v>1022</v>
      </c>
      <c r="L26" s="12" t="s">
        <v>247</v>
      </c>
      <c r="M26" s="12" t="s">
        <v>994</v>
      </c>
      <c r="N26" s="13" t="s">
        <v>324</v>
      </c>
      <c r="O26" s="11" t="s">
        <v>118</v>
      </c>
      <c r="P26" s="11" t="s">
        <v>280</v>
      </c>
      <c r="Q26" s="11" t="s">
        <v>126</v>
      </c>
      <c r="R26" s="11" t="s">
        <v>150</v>
      </c>
      <c r="S26" s="11" t="s">
        <v>994</v>
      </c>
      <c r="T26" s="11" t="s">
        <v>125</v>
      </c>
      <c r="U26" s="11" t="s">
        <v>1016</v>
      </c>
      <c r="V26" s="11" t="s">
        <v>1755</v>
      </c>
      <c r="W26" s="11" t="s">
        <v>994</v>
      </c>
      <c r="X26" s="11" t="s">
        <v>994</v>
      </c>
      <c r="Y26" s="11" t="s">
        <v>1758</v>
      </c>
      <c r="Z26" s="11" t="s">
        <v>1790</v>
      </c>
      <c r="AA26" s="11" t="s">
        <v>1790</v>
      </c>
      <c r="AB26" s="11" t="s">
        <v>30</v>
      </c>
      <c r="AC26" s="11" t="s">
        <v>1351</v>
      </c>
      <c r="AD26" s="11" t="s">
        <v>1003</v>
      </c>
      <c r="AE26" s="11" t="s">
        <v>995</v>
      </c>
    </row>
    <row r="27">
      <c r="B27" s="26" t="s">
        <v>49</v>
      </c>
      <c r="C27" s="12" t="s">
        <v>1331</v>
      </c>
      <c r="D27" s="11" t="s">
        <v>46</v>
      </c>
      <c r="E27" s="11" t="s">
        <v>1017</v>
      </c>
      <c r="F27" s="12" t="s">
        <v>305</v>
      </c>
      <c r="G27" s="12" t="s">
        <v>247</v>
      </c>
      <c r="H27" s="12" t="s">
        <v>126</v>
      </c>
      <c r="I27" s="12" t="s">
        <v>37</v>
      </c>
      <c r="J27" s="12" t="s">
        <v>1018</v>
      </c>
      <c r="K27" s="12" t="s">
        <v>1019</v>
      </c>
      <c r="L27" s="12" t="s">
        <v>247</v>
      </c>
      <c r="M27" s="12" t="s">
        <v>994</v>
      </c>
      <c r="N27" s="13" t="s">
        <v>325</v>
      </c>
      <c r="O27" s="11" t="s">
        <v>118</v>
      </c>
      <c r="P27" s="11" t="s">
        <v>323</v>
      </c>
      <c r="Q27" s="11" t="s">
        <v>126</v>
      </c>
      <c r="R27" s="11" t="s">
        <v>150</v>
      </c>
      <c r="S27" s="11" t="s">
        <v>994</v>
      </c>
      <c r="T27" s="11" t="s">
        <v>125</v>
      </c>
      <c r="U27" s="11" t="s">
        <v>29</v>
      </c>
      <c r="V27" s="11" t="s">
        <v>1755</v>
      </c>
      <c r="W27" s="11" t="s">
        <v>1758</v>
      </c>
      <c r="X27" s="11" t="s">
        <v>994</v>
      </c>
      <c r="Y27" s="11" t="s">
        <v>994</v>
      </c>
      <c r="Z27" s="11" t="s">
        <v>994</v>
      </c>
      <c r="AA27" s="11" t="s">
        <v>994</v>
      </c>
      <c r="AB27" s="11" t="s">
        <v>994</v>
      </c>
      <c r="AC27" s="11" t="s">
        <v>994</v>
      </c>
      <c r="AD27" s="11" t="s">
        <v>981</v>
      </c>
      <c r="AE27" s="11" t="s">
        <v>995</v>
      </c>
    </row>
    <row r="28">
      <c r="B28" s="26" t="s">
        <v>291</v>
      </c>
      <c r="C28" s="12" t="s">
        <v>1332</v>
      </c>
      <c r="D28" s="11" t="s">
        <v>328</v>
      </c>
      <c r="E28" s="11" t="s">
        <v>327</v>
      </c>
      <c r="F28" s="12" t="s">
        <v>291</v>
      </c>
      <c r="G28" s="12" t="s">
        <v>246</v>
      </c>
      <c r="H28" s="12" t="s">
        <v>246</v>
      </c>
      <c r="I28" s="12" t="s">
        <v>60</v>
      </c>
      <c r="J28" s="12" t="s">
        <v>1018</v>
      </c>
      <c r="K28" s="12" t="s">
        <v>118</v>
      </c>
      <c r="L28" s="12" t="s">
        <v>247</v>
      </c>
      <c r="M28" s="12" t="s">
        <v>994</v>
      </c>
      <c r="N28" s="13" t="s">
        <v>1020</v>
      </c>
      <c r="O28" s="11" t="s">
        <v>118</v>
      </c>
      <c r="P28" s="11" t="s">
        <v>323</v>
      </c>
      <c r="Q28" s="11" t="s">
        <v>125</v>
      </c>
      <c r="R28" s="11" t="s">
        <v>150</v>
      </c>
      <c r="S28" s="11" t="s">
        <v>994</v>
      </c>
      <c r="T28" s="11" t="s">
        <v>125</v>
      </c>
      <c r="U28" s="11" t="s">
        <v>38</v>
      </c>
      <c r="V28" s="11" t="s">
        <v>1755</v>
      </c>
      <c r="W28" s="11" t="s">
        <v>1378</v>
      </c>
      <c r="X28" s="11" t="s">
        <v>994</v>
      </c>
      <c r="Y28" s="11" t="s">
        <v>994</v>
      </c>
      <c r="Z28" s="11" t="s">
        <v>994</v>
      </c>
      <c r="AA28" s="11" t="s">
        <v>994</v>
      </c>
      <c r="AB28" s="11" t="s">
        <v>994</v>
      </c>
      <c r="AC28" s="11" t="s">
        <v>994</v>
      </c>
      <c r="AD28" s="11" t="s">
        <v>1211</v>
      </c>
      <c r="AE28" s="11" t="s">
        <v>995</v>
      </c>
    </row>
    <row r="29">
      <c r="B29" s="26" t="s">
        <v>49</v>
      </c>
      <c r="C29" s="12" t="s">
        <v>1333</v>
      </c>
      <c r="D29" s="11" t="s">
        <v>329</v>
      </c>
      <c r="E29" s="11" t="s">
        <v>330</v>
      </c>
      <c r="F29" s="12" t="s">
        <v>49</v>
      </c>
      <c r="G29" s="12" t="s">
        <v>246</v>
      </c>
      <c r="H29" s="12" t="s">
        <v>246</v>
      </c>
      <c r="I29" s="12" t="s">
        <v>37</v>
      </c>
      <c r="J29" s="12" t="s">
        <v>1018</v>
      </c>
      <c r="K29" s="12" t="s">
        <v>1019</v>
      </c>
      <c r="L29" s="12" t="s">
        <v>247</v>
      </c>
      <c r="M29" s="12" t="s">
        <v>994</v>
      </c>
      <c r="N29" s="13" t="s">
        <v>1286</v>
      </c>
      <c r="O29" s="11" t="s">
        <v>118</v>
      </c>
      <c r="P29" s="11" t="s">
        <v>323</v>
      </c>
      <c r="Q29" s="11" t="s">
        <v>126</v>
      </c>
      <c r="R29" s="11" t="s">
        <v>150</v>
      </c>
      <c r="S29" s="11" t="s">
        <v>994</v>
      </c>
      <c r="T29" s="11" t="s">
        <v>125</v>
      </c>
      <c r="U29" s="11" t="s">
        <v>38</v>
      </c>
      <c r="V29" s="11" t="s">
        <v>1755</v>
      </c>
      <c r="W29" s="11" t="s">
        <v>994</v>
      </c>
      <c r="X29" s="11" t="s">
        <v>994</v>
      </c>
      <c r="Y29" s="11" t="s">
        <v>994</v>
      </c>
      <c r="Z29" s="11" t="s">
        <v>994</v>
      </c>
      <c r="AA29" s="11" t="s">
        <v>994</v>
      </c>
      <c r="AB29" s="11" t="s">
        <v>994</v>
      </c>
      <c r="AC29" s="11" t="s">
        <v>994</v>
      </c>
      <c r="AD29" s="11" t="s">
        <v>982</v>
      </c>
      <c r="AE29" s="11" t="s">
        <v>995</v>
      </c>
    </row>
    <row r="30">
      <c r="B30" s="26" t="s">
        <v>295</v>
      </c>
      <c r="C30" s="12" t="s">
        <v>1334</v>
      </c>
      <c r="D30" s="11" t="s">
        <v>333</v>
      </c>
      <c r="E30" s="11" t="s">
        <v>35</v>
      </c>
      <c r="F30" s="12" t="s">
        <v>295</v>
      </c>
      <c r="G30" s="12" t="s">
        <v>246</v>
      </c>
      <c r="H30" s="12" t="s">
        <v>246</v>
      </c>
      <c r="I30" s="12" t="s">
        <v>430</v>
      </c>
      <c r="J30" s="12" t="s">
        <v>71</v>
      </c>
      <c r="K30" s="12" t="s">
        <v>1021</v>
      </c>
      <c r="L30" s="12" t="s">
        <v>247</v>
      </c>
      <c r="M30" s="12" t="s">
        <v>994</v>
      </c>
      <c r="N30" s="13" t="s">
        <v>1287</v>
      </c>
      <c r="O30" s="11" t="s">
        <v>118</v>
      </c>
      <c r="P30" s="11" t="s">
        <v>323</v>
      </c>
      <c r="Q30" s="11" t="s">
        <v>125</v>
      </c>
      <c r="R30" s="11" t="s">
        <v>150</v>
      </c>
      <c r="S30" s="11" t="s">
        <v>125</v>
      </c>
      <c r="T30" s="11" t="s">
        <v>125</v>
      </c>
      <c r="U30" s="11" t="s">
        <v>132</v>
      </c>
      <c r="V30" s="11" t="s">
        <v>1755</v>
      </c>
      <c r="W30" s="11" t="s">
        <v>1378</v>
      </c>
      <c r="X30" s="11" t="s">
        <v>1777</v>
      </c>
      <c r="Y30" s="11" t="s">
        <v>994</v>
      </c>
      <c r="Z30" s="11" t="s">
        <v>994</v>
      </c>
      <c r="AA30" s="11" t="s">
        <v>994</v>
      </c>
      <c r="AB30" s="11" t="s">
        <v>994</v>
      </c>
      <c r="AC30" s="11" t="s">
        <v>994</v>
      </c>
      <c r="AD30" s="11" t="s">
        <v>1212</v>
      </c>
      <c r="AE30" s="11" t="s">
        <v>995</v>
      </c>
    </row>
    <row r="31">
      <c r="B31" s="26" t="s">
        <v>49</v>
      </c>
      <c r="C31" s="12" t="s">
        <v>1335</v>
      </c>
      <c r="D31" s="11" t="s">
        <v>336</v>
      </c>
      <c r="E31" s="11" t="s">
        <v>35</v>
      </c>
      <c r="F31" s="12" t="s">
        <v>286</v>
      </c>
      <c r="G31" s="12" t="s">
        <v>246</v>
      </c>
      <c r="H31" s="12" t="s">
        <v>246</v>
      </c>
      <c r="I31" s="12" t="s">
        <v>430</v>
      </c>
      <c r="J31" s="12" t="s">
        <v>71</v>
      </c>
      <c r="K31" s="12" t="s">
        <v>1021</v>
      </c>
      <c r="L31" s="12" t="s">
        <v>247</v>
      </c>
      <c r="M31" s="12" t="s">
        <v>994</v>
      </c>
      <c r="N31" s="13" t="s">
        <v>1004</v>
      </c>
      <c r="O31" s="11" t="s">
        <v>118</v>
      </c>
      <c r="P31" s="11" t="s">
        <v>323</v>
      </c>
      <c r="Q31" s="11" t="s">
        <v>125</v>
      </c>
      <c r="R31" s="11" t="s">
        <v>150</v>
      </c>
      <c r="S31" s="11" t="s">
        <v>125</v>
      </c>
      <c r="T31" s="11" t="s">
        <v>125</v>
      </c>
      <c r="U31" s="11" t="s">
        <v>38</v>
      </c>
      <c r="V31" s="11" t="s">
        <v>1378</v>
      </c>
      <c r="W31" s="11" t="s">
        <v>994</v>
      </c>
      <c r="X31" s="11" t="s">
        <v>994</v>
      </c>
      <c r="Y31" s="11" t="s">
        <v>994</v>
      </c>
      <c r="Z31" s="11" t="s">
        <v>994</v>
      </c>
      <c r="AA31" s="11" t="s">
        <v>994</v>
      </c>
      <c r="AB31" s="11" t="s">
        <v>994</v>
      </c>
      <c r="AC31" s="11" t="s">
        <v>994</v>
      </c>
      <c r="AD31" s="11" t="s">
        <v>994</v>
      </c>
      <c r="AE31" s="11" t="s">
        <v>995</v>
      </c>
    </row>
    <row r="32">
      <c r="B32" s="26" t="s">
        <v>308</v>
      </c>
      <c r="C32" s="12" t="s">
        <v>1336</v>
      </c>
      <c r="D32" s="11" t="s">
        <v>339</v>
      </c>
      <c r="E32" s="11" t="s">
        <v>35</v>
      </c>
      <c r="F32" s="12" t="s">
        <v>308</v>
      </c>
      <c r="G32" s="12" t="s">
        <v>246</v>
      </c>
      <c r="H32" s="12" t="s">
        <v>246</v>
      </c>
      <c r="I32" s="12" t="s">
        <v>430</v>
      </c>
      <c r="J32" s="12" t="s">
        <v>71</v>
      </c>
      <c r="K32" s="12" t="s">
        <v>1021</v>
      </c>
      <c r="L32" s="12" t="s">
        <v>247</v>
      </c>
      <c r="M32" s="12" t="s">
        <v>994</v>
      </c>
      <c r="N32" s="13" t="s">
        <v>340</v>
      </c>
      <c r="O32" s="11" t="s">
        <v>118</v>
      </c>
      <c r="P32" s="11" t="s">
        <v>323</v>
      </c>
      <c r="Q32" s="11" t="s">
        <v>125</v>
      </c>
      <c r="R32" s="11" t="s">
        <v>150</v>
      </c>
      <c r="S32" s="11" t="s">
        <v>125</v>
      </c>
      <c r="T32" s="11" t="s">
        <v>125</v>
      </c>
      <c r="U32" s="11" t="s">
        <v>1016</v>
      </c>
      <c r="V32" s="11" t="s">
        <v>1378</v>
      </c>
      <c r="W32" s="11" t="s">
        <v>994</v>
      </c>
      <c r="X32" s="11" t="s">
        <v>994</v>
      </c>
      <c r="Y32" s="11" t="s">
        <v>994</v>
      </c>
      <c r="Z32" s="11" t="s">
        <v>1791</v>
      </c>
      <c r="AA32" s="11" t="s">
        <v>994</v>
      </c>
      <c r="AB32" s="11" t="s">
        <v>30</v>
      </c>
      <c r="AC32" s="11" t="s">
        <v>994</v>
      </c>
      <c r="AD32" s="11" t="s">
        <v>994</v>
      </c>
      <c r="AE32" s="11" t="s">
        <v>995</v>
      </c>
    </row>
    <row r="33">
      <c r="B33" s="26" t="s">
        <v>278</v>
      </c>
      <c r="C33" s="12" t="s">
        <v>1337</v>
      </c>
      <c r="D33" s="11" t="s">
        <v>34</v>
      </c>
      <c r="E33" s="11" t="s">
        <v>35</v>
      </c>
      <c r="F33" s="12" t="s">
        <v>278</v>
      </c>
      <c r="G33" s="12" t="s">
        <v>247</v>
      </c>
      <c r="H33" s="12" t="s">
        <v>126</v>
      </c>
      <c r="I33" s="12" t="s">
        <v>430</v>
      </c>
      <c r="J33" s="12" t="s">
        <v>71</v>
      </c>
      <c r="K33" s="12" t="s">
        <v>1021</v>
      </c>
      <c r="L33" s="12" t="s">
        <v>247</v>
      </c>
      <c r="M33" s="12" t="s">
        <v>994</v>
      </c>
      <c r="N33" s="13" t="s">
        <v>36</v>
      </c>
      <c r="O33" s="11" t="s">
        <v>118</v>
      </c>
      <c r="P33" s="11" t="s">
        <v>323</v>
      </c>
      <c r="Q33" s="11" t="s">
        <v>125</v>
      </c>
      <c r="R33" s="11" t="s">
        <v>150</v>
      </c>
      <c r="S33" s="11" t="s">
        <v>125</v>
      </c>
      <c r="T33" s="11" t="s">
        <v>125</v>
      </c>
      <c r="U33" s="11" t="s">
        <v>38</v>
      </c>
      <c r="V33" s="11" t="s">
        <v>1378</v>
      </c>
      <c r="W33" s="11" t="s">
        <v>994</v>
      </c>
      <c r="X33" s="11" t="s">
        <v>994</v>
      </c>
      <c r="Y33" s="11" t="s">
        <v>994</v>
      </c>
      <c r="Z33" s="11" t="s">
        <v>994</v>
      </c>
      <c r="AA33" s="11" t="s">
        <v>994</v>
      </c>
      <c r="AB33" s="11" t="s">
        <v>994</v>
      </c>
      <c r="AC33" s="11" t="s">
        <v>994</v>
      </c>
      <c r="AD33" s="11" t="s">
        <v>994</v>
      </c>
      <c r="AE33" s="11" t="s">
        <v>995</v>
      </c>
    </row>
    <row r="34">
      <c r="B34" s="26" t="s">
        <v>49</v>
      </c>
      <c r="C34" s="12" t="s">
        <v>1338</v>
      </c>
      <c r="D34" s="11" t="s">
        <v>341</v>
      </c>
      <c r="E34" s="11" t="s">
        <v>35</v>
      </c>
      <c r="F34" s="12" t="s">
        <v>332</v>
      </c>
      <c r="G34" s="12" t="s">
        <v>246</v>
      </c>
      <c r="H34" s="12" t="s">
        <v>246</v>
      </c>
      <c r="I34" s="12" t="s">
        <v>430</v>
      </c>
      <c r="J34" s="12" t="s">
        <v>71</v>
      </c>
      <c r="K34" s="12" t="s">
        <v>1021</v>
      </c>
      <c r="L34" s="12" t="s">
        <v>247</v>
      </c>
      <c r="M34" s="12" t="s">
        <v>994</v>
      </c>
      <c r="N34" s="13" t="s">
        <v>342</v>
      </c>
      <c r="O34" s="11" t="s">
        <v>118</v>
      </c>
      <c r="P34" s="11" t="s">
        <v>323</v>
      </c>
      <c r="Q34" s="11" t="s">
        <v>125</v>
      </c>
      <c r="R34" s="11" t="s">
        <v>150</v>
      </c>
      <c r="S34" s="11" t="s">
        <v>994</v>
      </c>
      <c r="T34" s="11" t="s">
        <v>125</v>
      </c>
      <c r="U34" s="11" t="s">
        <v>132</v>
      </c>
      <c r="V34" s="11" t="s">
        <v>1378</v>
      </c>
      <c r="W34" s="11" t="s">
        <v>994</v>
      </c>
      <c r="X34" s="11" t="s">
        <v>994</v>
      </c>
      <c r="Y34" s="11" t="s">
        <v>994</v>
      </c>
      <c r="Z34" s="11" t="s">
        <v>994</v>
      </c>
      <c r="AA34" s="11" t="s">
        <v>994</v>
      </c>
      <c r="AB34" s="11" t="s">
        <v>994</v>
      </c>
      <c r="AC34" s="11" t="s">
        <v>994</v>
      </c>
      <c r="AD34" s="11" t="s">
        <v>1213</v>
      </c>
      <c r="AE34" s="11" t="s">
        <v>995</v>
      </c>
    </row>
    <row r="35">
      <c r="B35" s="26" t="s">
        <v>49</v>
      </c>
      <c r="C35" s="12" t="s">
        <v>1339</v>
      </c>
      <c r="D35" s="11" t="s">
        <v>39</v>
      </c>
      <c r="E35" s="11" t="s">
        <v>35</v>
      </c>
      <c r="F35" s="12" t="s">
        <v>286</v>
      </c>
      <c r="G35" s="12" t="s">
        <v>247</v>
      </c>
      <c r="H35" s="12" t="s">
        <v>126</v>
      </c>
      <c r="I35" s="12" t="s">
        <v>430</v>
      </c>
      <c r="J35" s="12" t="s">
        <v>71</v>
      </c>
      <c r="K35" s="12" t="s">
        <v>1021</v>
      </c>
      <c r="L35" s="12" t="s">
        <v>247</v>
      </c>
      <c r="M35" s="12" t="s">
        <v>994</v>
      </c>
      <c r="N35" s="13" t="s">
        <v>40</v>
      </c>
      <c r="O35" s="11" t="s">
        <v>118</v>
      </c>
      <c r="P35" s="11" t="s">
        <v>323</v>
      </c>
      <c r="Q35" s="11" t="s">
        <v>125</v>
      </c>
      <c r="R35" s="11" t="s">
        <v>150</v>
      </c>
      <c r="S35" s="11" t="s">
        <v>994</v>
      </c>
      <c r="T35" s="11" t="s">
        <v>125</v>
      </c>
      <c r="U35" s="11" t="s">
        <v>38</v>
      </c>
      <c r="V35" s="11" t="s">
        <v>1378</v>
      </c>
      <c r="W35" s="11" t="s">
        <v>994</v>
      </c>
      <c r="X35" s="11" t="s">
        <v>994</v>
      </c>
      <c r="Y35" s="11" t="s">
        <v>994</v>
      </c>
      <c r="Z35" s="11" t="s">
        <v>994</v>
      </c>
      <c r="AA35" s="11" t="s">
        <v>994</v>
      </c>
      <c r="AB35" s="11" t="s">
        <v>994</v>
      </c>
      <c r="AC35" s="11" t="s">
        <v>994</v>
      </c>
      <c r="AD35" s="11" t="s">
        <v>1104</v>
      </c>
      <c r="AE35" s="11" t="s">
        <v>995</v>
      </c>
    </row>
    <row r="36">
      <c r="B36" s="26" t="s">
        <v>49</v>
      </c>
      <c r="C36" s="12" t="s">
        <v>1340</v>
      </c>
      <c r="D36" s="11" t="s">
        <v>343</v>
      </c>
      <c r="E36" s="11" t="s">
        <v>186</v>
      </c>
      <c r="F36" s="12" t="s">
        <v>49</v>
      </c>
      <c r="G36" s="12" t="s">
        <v>246</v>
      </c>
      <c r="H36" s="12" t="s">
        <v>246</v>
      </c>
      <c r="I36" s="12" t="s">
        <v>37</v>
      </c>
      <c r="J36" s="12" t="s">
        <v>1018</v>
      </c>
      <c r="K36" s="12" t="s">
        <v>1022</v>
      </c>
      <c r="L36" s="12" t="s">
        <v>247</v>
      </c>
      <c r="M36" s="12" t="s">
        <v>994</v>
      </c>
      <c r="N36" s="13" t="s">
        <v>187</v>
      </c>
      <c r="O36" s="11" t="s">
        <v>118</v>
      </c>
      <c r="P36" s="11" t="s">
        <v>323</v>
      </c>
      <c r="Q36" s="11" t="s">
        <v>125</v>
      </c>
      <c r="R36" s="11" t="s">
        <v>150</v>
      </c>
      <c r="S36" s="11" t="s">
        <v>125</v>
      </c>
      <c r="T36" s="11" t="s">
        <v>125</v>
      </c>
      <c r="U36" s="11" t="s">
        <v>38</v>
      </c>
      <c r="V36" s="11" t="s">
        <v>1378</v>
      </c>
      <c r="W36" s="11" t="s">
        <v>994</v>
      </c>
      <c r="X36" s="11" t="s">
        <v>994</v>
      </c>
      <c r="Y36" s="11" t="s">
        <v>994</v>
      </c>
      <c r="Z36" s="11" t="s">
        <v>994</v>
      </c>
      <c r="AA36" s="11" t="s">
        <v>994</v>
      </c>
      <c r="AB36" s="11" t="s">
        <v>994</v>
      </c>
      <c r="AC36" s="11" t="s">
        <v>994</v>
      </c>
      <c r="AD36" s="11" t="s">
        <v>994</v>
      </c>
      <c r="AE36" s="11" t="s">
        <v>995</v>
      </c>
    </row>
    <row r="37">
      <c r="B37" s="26" t="s">
        <v>49</v>
      </c>
      <c r="C37" s="12" t="s">
        <v>1341</v>
      </c>
      <c r="D37" s="11" t="s">
        <v>344</v>
      </c>
      <c r="E37" s="11" t="s">
        <v>51</v>
      </c>
      <c r="F37" s="12" t="s">
        <v>49</v>
      </c>
      <c r="G37" s="12" t="s">
        <v>246</v>
      </c>
      <c r="H37" s="12" t="s">
        <v>246</v>
      </c>
      <c r="I37" s="12" t="s">
        <v>37</v>
      </c>
      <c r="J37" s="12" t="s">
        <v>1018</v>
      </c>
      <c r="K37" s="12" t="s">
        <v>1022</v>
      </c>
      <c r="L37" s="12" t="s">
        <v>247</v>
      </c>
      <c r="M37" s="12" t="s">
        <v>994</v>
      </c>
      <c r="N37" s="13" t="s">
        <v>983</v>
      </c>
      <c r="O37" s="11" t="s">
        <v>118</v>
      </c>
      <c r="P37" s="11" t="s">
        <v>323</v>
      </c>
      <c r="Q37" s="11" t="s">
        <v>125</v>
      </c>
      <c r="R37" s="11" t="s">
        <v>150</v>
      </c>
      <c r="S37" s="11" t="s">
        <v>125</v>
      </c>
      <c r="T37" s="11" t="s">
        <v>125</v>
      </c>
      <c r="U37" s="11" t="s">
        <v>38</v>
      </c>
      <c r="V37" s="11" t="s">
        <v>1378</v>
      </c>
      <c r="W37" s="11" t="s">
        <v>1775</v>
      </c>
      <c r="X37" s="11" t="s">
        <v>994</v>
      </c>
      <c r="Y37" s="11" t="s">
        <v>994</v>
      </c>
      <c r="Z37" s="11" t="s">
        <v>994</v>
      </c>
      <c r="AA37" s="11" t="s">
        <v>994</v>
      </c>
      <c r="AB37" s="11" t="s">
        <v>994</v>
      </c>
      <c r="AC37" s="11" t="s">
        <v>994</v>
      </c>
      <c r="AD37" s="11" t="s">
        <v>1252</v>
      </c>
      <c r="AE37" s="11" t="s">
        <v>995</v>
      </c>
    </row>
    <row r="38">
      <c r="B38" s="26" t="s">
        <v>291</v>
      </c>
      <c r="C38" s="12" t="s">
        <v>1342</v>
      </c>
      <c r="D38" s="11" t="s">
        <v>350</v>
      </c>
      <c r="E38" s="11" t="s">
        <v>351</v>
      </c>
      <c r="F38" s="12" t="s">
        <v>291</v>
      </c>
      <c r="G38" s="12" t="s">
        <v>246</v>
      </c>
      <c r="H38" s="12" t="s">
        <v>246</v>
      </c>
      <c r="I38" s="12" t="s">
        <v>60</v>
      </c>
      <c r="J38" s="12" t="s">
        <v>1018</v>
      </c>
      <c r="K38" s="12" t="s">
        <v>118</v>
      </c>
      <c r="L38" s="12" t="s">
        <v>247</v>
      </c>
      <c r="M38" s="12" t="s">
        <v>994</v>
      </c>
      <c r="N38" s="13" t="s">
        <v>352</v>
      </c>
      <c r="O38" s="11" t="s">
        <v>118</v>
      </c>
      <c r="P38" s="11" t="s">
        <v>349</v>
      </c>
      <c r="Q38" s="11" t="s">
        <v>125</v>
      </c>
      <c r="R38" s="11" t="s">
        <v>150</v>
      </c>
      <c r="S38" s="11" t="s">
        <v>125</v>
      </c>
      <c r="T38" s="11" t="s">
        <v>125</v>
      </c>
      <c r="U38" s="11" t="s">
        <v>38</v>
      </c>
      <c r="V38" s="11" t="s">
        <v>1378</v>
      </c>
      <c r="W38" s="11" t="s">
        <v>994</v>
      </c>
      <c r="X38" s="11" t="s">
        <v>994</v>
      </c>
      <c r="Y38" s="11" t="s">
        <v>994</v>
      </c>
      <c r="Z38" s="11" t="s">
        <v>994</v>
      </c>
      <c r="AA38" s="11" t="s">
        <v>994</v>
      </c>
      <c r="AB38" s="11" t="s">
        <v>994</v>
      </c>
      <c r="AC38" s="11" t="s">
        <v>994</v>
      </c>
      <c r="AD38" s="11" t="s">
        <v>1207</v>
      </c>
      <c r="AE38" s="11" t="s">
        <v>995</v>
      </c>
    </row>
    <row r="39">
      <c r="B39" s="26" t="s">
        <v>49</v>
      </c>
      <c r="C39" s="12" t="s">
        <v>1343</v>
      </c>
      <c r="D39" s="11" t="s">
        <v>353</v>
      </c>
      <c r="E39" s="11" t="s">
        <v>354</v>
      </c>
      <c r="F39" s="12" t="s">
        <v>49</v>
      </c>
      <c r="G39" s="12" t="s">
        <v>246</v>
      </c>
      <c r="H39" s="12" t="s">
        <v>246</v>
      </c>
      <c r="I39" s="12" t="s">
        <v>430</v>
      </c>
      <c r="J39" s="12" t="s">
        <v>71</v>
      </c>
      <c r="K39" s="12" t="s">
        <v>1023</v>
      </c>
      <c r="L39" s="12" t="s">
        <v>247</v>
      </c>
      <c r="M39" s="12" t="s">
        <v>994</v>
      </c>
      <c r="N39" s="13" t="s">
        <v>1712</v>
      </c>
      <c r="O39" s="11" t="s">
        <v>118</v>
      </c>
      <c r="P39" s="11" t="s">
        <v>280</v>
      </c>
      <c r="Q39" s="11" t="s">
        <v>125</v>
      </c>
      <c r="R39" s="11" t="s">
        <v>150</v>
      </c>
      <c r="S39" s="11" t="s">
        <v>125</v>
      </c>
      <c r="T39" s="11" t="s">
        <v>125</v>
      </c>
      <c r="U39" s="11" t="s">
        <v>38</v>
      </c>
      <c r="V39" s="11" t="s">
        <v>1755</v>
      </c>
      <c r="W39" s="11" t="s">
        <v>1378</v>
      </c>
      <c r="X39" s="11" t="s">
        <v>994</v>
      </c>
      <c r="Y39" s="11" t="s">
        <v>994</v>
      </c>
      <c r="Z39" s="11" t="s">
        <v>994</v>
      </c>
      <c r="AA39" s="11" t="s">
        <v>994</v>
      </c>
      <c r="AB39" s="11" t="s">
        <v>994</v>
      </c>
      <c r="AC39" s="11" t="s">
        <v>994</v>
      </c>
      <c r="AD39" s="11" t="s">
        <v>984</v>
      </c>
      <c r="AE39" s="11" t="s">
        <v>995</v>
      </c>
    </row>
    <row r="40">
      <c r="B40" s="26" t="s">
        <v>311</v>
      </c>
      <c r="C40" s="12" t="s">
        <v>1344</v>
      </c>
      <c r="D40" s="11" t="s">
        <v>355</v>
      </c>
      <c r="E40" s="11" t="s">
        <v>354</v>
      </c>
      <c r="F40" s="12" t="s">
        <v>311</v>
      </c>
      <c r="G40" s="12" t="s">
        <v>246</v>
      </c>
      <c r="H40" s="12" t="s">
        <v>246</v>
      </c>
      <c r="I40" s="12" t="s">
        <v>430</v>
      </c>
      <c r="J40" s="12" t="s">
        <v>71</v>
      </c>
      <c r="K40" s="12" t="s">
        <v>1023</v>
      </c>
      <c r="L40" s="12" t="s">
        <v>247</v>
      </c>
      <c r="M40" s="12" t="s">
        <v>994</v>
      </c>
      <c r="N40" s="13" t="s">
        <v>356</v>
      </c>
      <c r="O40" s="11" t="s">
        <v>118</v>
      </c>
      <c r="P40" s="11" t="s">
        <v>249</v>
      </c>
      <c r="Q40" s="11" t="s">
        <v>125</v>
      </c>
      <c r="R40" s="11" t="s">
        <v>150</v>
      </c>
      <c r="S40" s="11" t="s">
        <v>125</v>
      </c>
      <c r="T40" s="11" t="s">
        <v>125</v>
      </c>
      <c r="U40" s="11" t="s">
        <v>132</v>
      </c>
      <c r="V40" s="11" t="s">
        <v>1378</v>
      </c>
      <c r="W40" s="11" t="s">
        <v>994</v>
      </c>
      <c r="X40" s="11" t="s">
        <v>994</v>
      </c>
      <c r="Y40" s="11" t="s">
        <v>994</v>
      </c>
      <c r="Z40" s="11" t="s">
        <v>994</v>
      </c>
      <c r="AA40" s="11" t="s">
        <v>994</v>
      </c>
      <c r="AB40" s="11" t="s">
        <v>994</v>
      </c>
      <c r="AC40" s="11" t="s">
        <v>994</v>
      </c>
      <c r="AD40" s="11" t="s">
        <v>1214</v>
      </c>
      <c r="AE40" s="11" t="s">
        <v>995</v>
      </c>
    </row>
    <row r="41">
      <c r="B41" s="26" t="s">
        <v>291</v>
      </c>
      <c r="C41" s="12" t="s">
        <v>1345</v>
      </c>
      <c r="D41" s="11" t="s">
        <v>357</v>
      </c>
      <c r="E41" s="11" t="s">
        <v>354</v>
      </c>
      <c r="F41" s="12" t="s">
        <v>291</v>
      </c>
      <c r="G41" s="12" t="s">
        <v>246</v>
      </c>
      <c r="H41" s="12" t="s">
        <v>246</v>
      </c>
      <c r="I41" s="12" t="s">
        <v>430</v>
      </c>
      <c r="J41" s="12" t="s">
        <v>71</v>
      </c>
      <c r="K41" s="12" t="s">
        <v>1023</v>
      </c>
      <c r="L41" s="12" t="s">
        <v>247</v>
      </c>
      <c r="M41" s="12" t="s">
        <v>994</v>
      </c>
      <c r="N41" s="13" t="s">
        <v>358</v>
      </c>
      <c r="O41" s="11" t="s">
        <v>118</v>
      </c>
      <c r="P41" s="11" t="s">
        <v>249</v>
      </c>
      <c r="Q41" s="11" t="s">
        <v>125</v>
      </c>
      <c r="R41" s="11" t="s">
        <v>150</v>
      </c>
      <c r="S41" s="11" t="s">
        <v>125</v>
      </c>
      <c r="T41" s="11" t="s">
        <v>125</v>
      </c>
      <c r="U41" s="11" t="s">
        <v>29</v>
      </c>
      <c r="V41" s="11" t="s">
        <v>1378</v>
      </c>
      <c r="W41" s="11" t="s">
        <v>1776</v>
      </c>
      <c r="X41" s="11" t="s">
        <v>994</v>
      </c>
      <c r="Y41" s="11" t="s">
        <v>994</v>
      </c>
      <c r="Z41" s="11" t="s">
        <v>994</v>
      </c>
      <c r="AA41" s="11" t="s">
        <v>994</v>
      </c>
      <c r="AB41" s="11" t="s">
        <v>994</v>
      </c>
      <c r="AC41" s="11" t="s">
        <v>994</v>
      </c>
      <c r="AD41" s="11" t="s">
        <v>1158</v>
      </c>
      <c r="AE41" s="11" t="s">
        <v>995</v>
      </c>
    </row>
    <row r="42">
      <c r="B42" s="26" t="s">
        <v>49</v>
      </c>
      <c r="C42" s="12" t="s">
        <v>1346</v>
      </c>
      <c r="D42" s="11" t="s">
        <v>359</v>
      </c>
      <c r="E42" s="11" t="s">
        <v>360</v>
      </c>
      <c r="F42" s="12" t="s">
        <v>332</v>
      </c>
      <c r="G42" s="12" t="s">
        <v>246</v>
      </c>
      <c r="H42" s="12" t="s">
        <v>246</v>
      </c>
      <c r="I42" s="12" t="s">
        <v>37</v>
      </c>
      <c r="J42" s="12" t="s">
        <v>1018</v>
      </c>
      <c r="K42" s="12" t="s">
        <v>1024</v>
      </c>
      <c r="L42" s="12" t="s">
        <v>247</v>
      </c>
      <c r="M42" s="12" t="s">
        <v>994</v>
      </c>
      <c r="N42" s="13" t="s">
        <v>361</v>
      </c>
      <c r="O42" s="11" t="s">
        <v>118</v>
      </c>
      <c r="P42" s="11" t="s">
        <v>280</v>
      </c>
      <c r="Q42" s="11" t="s">
        <v>126</v>
      </c>
      <c r="R42" s="11" t="s">
        <v>143</v>
      </c>
      <c r="S42" s="11" t="s">
        <v>994</v>
      </c>
      <c r="T42" s="11" t="s">
        <v>125</v>
      </c>
      <c r="U42" s="11" t="s">
        <v>1016</v>
      </c>
      <c r="V42" s="11" t="s">
        <v>1758</v>
      </c>
      <c r="W42" s="11" t="s">
        <v>994</v>
      </c>
      <c r="X42" s="11" t="s">
        <v>994</v>
      </c>
      <c r="Y42" s="11" t="s">
        <v>994</v>
      </c>
      <c r="Z42" s="11" t="s">
        <v>1789</v>
      </c>
      <c r="AA42" s="11" t="s">
        <v>1789</v>
      </c>
      <c r="AB42" s="11" t="s">
        <v>30</v>
      </c>
      <c r="AC42" s="11" t="s">
        <v>1364</v>
      </c>
      <c r="AD42" s="11" t="s">
        <v>985</v>
      </c>
      <c r="AE42" s="11" t="s">
        <v>995</v>
      </c>
    </row>
    <row r="43">
      <c r="B43" s="26" t="s">
        <v>283</v>
      </c>
      <c r="C43" s="12" t="s">
        <v>1347</v>
      </c>
      <c r="D43" s="11" t="s">
        <v>362</v>
      </c>
      <c r="E43" s="11" t="s">
        <v>363</v>
      </c>
      <c r="F43" s="12" t="s">
        <v>283</v>
      </c>
      <c r="G43" s="12" t="s">
        <v>246</v>
      </c>
      <c r="H43" s="12" t="s">
        <v>246</v>
      </c>
      <c r="I43" s="12" t="s">
        <v>37</v>
      </c>
      <c r="J43" s="12" t="s">
        <v>1018</v>
      </c>
      <c r="K43" s="12" t="s">
        <v>1019</v>
      </c>
      <c r="L43" s="12" t="s">
        <v>247</v>
      </c>
      <c r="M43" s="12" t="s">
        <v>994</v>
      </c>
      <c r="N43" s="13" t="s">
        <v>364</v>
      </c>
      <c r="O43" s="11" t="s">
        <v>118</v>
      </c>
      <c r="P43" s="11" t="s">
        <v>280</v>
      </c>
      <c r="Q43" s="11" t="s">
        <v>125</v>
      </c>
      <c r="R43" s="11" t="s">
        <v>150</v>
      </c>
      <c r="S43" s="11" t="s">
        <v>125</v>
      </c>
      <c r="T43" s="11" t="s">
        <v>125</v>
      </c>
      <c r="U43" s="11" t="s">
        <v>132</v>
      </c>
      <c r="V43" s="11" t="s">
        <v>1378</v>
      </c>
      <c r="W43" s="11" t="s">
        <v>994</v>
      </c>
      <c r="X43" s="11" t="s">
        <v>994</v>
      </c>
      <c r="Y43" s="11" t="s">
        <v>994</v>
      </c>
      <c r="Z43" s="11" t="s">
        <v>994</v>
      </c>
      <c r="AA43" s="11" t="s">
        <v>994</v>
      </c>
      <c r="AB43" s="11" t="s">
        <v>994</v>
      </c>
      <c r="AC43" s="11" t="s">
        <v>994</v>
      </c>
      <c r="AD43" s="11" t="s">
        <v>1205</v>
      </c>
      <c r="AE43" s="11" t="s">
        <v>995</v>
      </c>
    </row>
    <row r="44">
      <c r="B44" s="26" t="s">
        <v>49</v>
      </c>
      <c r="C44" s="12" t="s">
        <v>1348</v>
      </c>
      <c r="D44" s="11" t="s">
        <v>959</v>
      </c>
      <c r="E44" s="11" t="s">
        <v>365</v>
      </c>
      <c r="F44" s="12" t="s">
        <v>49</v>
      </c>
      <c r="G44" s="12" t="s">
        <v>246</v>
      </c>
      <c r="H44" s="12" t="s">
        <v>246</v>
      </c>
      <c r="I44" s="12" t="s">
        <v>37</v>
      </c>
      <c r="J44" s="12" t="s">
        <v>1018</v>
      </c>
      <c r="K44" s="12" t="s">
        <v>1024</v>
      </c>
      <c r="L44" s="12" t="s">
        <v>247</v>
      </c>
      <c r="M44" s="12" t="s">
        <v>994</v>
      </c>
      <c r="N44" s="13" t="s">
        <v>366</v>
      </c>
      <c r="O44" s="11" t="s">
        <v>118</v>
      </c>
      <c r="P44" s="11" t="s">
        <v>323</v>
      </c>
      <c r="Q44" s="11" t="s">
        <v>126</v>
      </c>
      <c r="R44" s="11" t="s">
        <v>150</v>
      </c>
      <c r="S44" s="11" t="s">
        <v>126</v>
      </c>
      <c r="T44" s="11" t="s">
        <v>125</v>
      </c>
      <c r="U44" s="11" t="s">
        <v>1016</v>
      </c>
      <c r="V44" s="11" t="s">
        <v>1755</v>
      </c>
      <c r="W44" s="11" t="s">
        <v>994</v>
      </c>
      <c r="X44" s="11" t="s">
        <v>994</v>
      </c>
      <c r="Y44" s="11" t="s">
        <v>994</v>
      </c>
      <c r="Z44" s="11" t="s">
        <v>1790</v>
      </c>
      <c r="AA44" s="11" t="s">
        <v>1790</v>
      </c>
      <c r="AB44" s="11" t="s">
        <v>30</v>
      </c>
      <c r="AC44" s="11" t="s">
        <v>1416</v>
      </c>
      <c r="AD44" s="11" t="s">
        <v>958</v>
      </c>
      <c r="AE44" s="11" t="s">
        <v>995</v>
      </c>
    </row>
    <row r="45">
      <c r="B45" s="26" t="s">
        <v>49</v>
      </c>
      <c r="C45" s="12" t="s">
        <v>1349</v>
      </c>
      <c r="D45" s="11" t="s">
        <v>367</v>
      </c>
      <c r="E45" s="11" t="s">
        <v>368</v>
      </c>
      <c r="F45" s="12" t="s">
        <v>49</v>
      </c>
      <c r="G45" s="12" t="s">
        <v>246</v>
      </c>
      <c r="H45" s="12" t="s">
        <v>246</v>
      </c>
      <c r="I45" s="12" t="s">
        <v>37</v>
      </c>
      <c r="J45" s="12" t="s">
        <v>1018</v>
      </c>
      <c r="K45" s="12" t="s">
        <v>1024</v>
      </c>
      <c r="L45" s="12" t="s">
        <v>247</v>
      </c>
      <c r="M45" s="12" t="s">
        <v>994</v>
      </c>
      <c r="N45" s="13" t="s">
        <v>369</v>
      </c>
      <c r="O45" s="11" t="s">
        <v>118</v>
      </c>
      <c r="P45" s="11" t="s">
        <v>323</v>
      </c>
      <c r="Q45" s="11" t="s">
        <v>126</v>
      </c>
      <c r="R45" s="11" t="s">
        <v>150</v>
      </c>
      <c r="S45" s="11" t="s">
        <v>994</v>
      </c>
      <c r="T45" s="11" t="s">
        <v>126</v>
      </c>
      <c r="U45" s="11" t="s">
        <v>994</v>
      </c>
      <c r="V45" s="11" t="s">
        <v>994</v>
      </c>
      <c r="W45" s="11" t="s">
        <v>994</v>
      </c>
      <c r="X45" s="11" t="s">
        <v>994</v>
      </c>
      <c r="Y45" s="11" t="s">
        <v>994</v>
      </c>
      <c r="Z45" s="11" t="s">
        <v>994</v>
      </c>
      <c r="AA45" s="11" t="s">
        <v>994</v>
      </c>
      <c r="AB45" s="11" t="s">
        <v>994</v>
      </c>
      <c r="AC45" s="11" t="s">
        <v>994</v>
      </c>
      <c r="AD45" s="11" t="s">
        <v>1105</v>
      </c>
      <c r="AE45" s="11" t="s">
        <v>1804</v>
      </c>
    </row>
    <row r="46">
      <c r="B46" s="26" t="s">
        <v>49</v>
      </c>
      <c r="C46" s="12" t="s">
        <v>1350</v>
      </c>
      <c r="D46" s="11" t="s">
        <v>370</v>
      </c>
      <c r="E46" s="11" t="s">
        <v>371</v>
      </c>
      <c r="F46" s="12" t="s">
        <v>49</v>
      </c>
      <c r="G46" s="12" t="s">
        <v>246</v>
      </c>
      <c r="H46" s="12" t="s">
        <v>246</v>
      </c>
      <c r="I46" s="12" t="s">
        <v>37</v>
      </c>
      <c r="J46" s="12" t="s">
        <v>1018</v>
      </c>
      <c r="K46" s="12" t="s">
        <v>1019</v>
      </c>
      <c r="L46" s="12" t="s">
        <v>247</v>
      </c>
      <c r="M46" s="12" t="s">
        <v>994</v>
      </c>
      <c r="N46" s="13" t="s">
        <v>372</v>
      </c>
      <c r="O46" s="11" t="s">
        <v>118</v>
      </c>
      <c r="P46" s="11" t="s">
        <v>323</v>
      </c>
      <c r="Q46" s="11" t="s">
        <v>125</v>
      </c>
      <c r="R46" s="11" t="s">
        <v>150</v>
      </c>
      <c r="S46" s="11" t="s">
        <v>125</v>
      </c>
      <c r="T46" s="11" t="s">
        <v>125</v>
      </c>
      <c r="U46" s="11" t="s">
        <v>38</v>
      </c>
      <c r="V46" s="11" t="s">
        <v>1759</v>
      </c>
      <c r="W46" s="11" t="s">
        <v>1378</v>
      </c>
      <c r="X46" s="11" t="s">
        <v>994</v>
      </c>
      <c r="Y46" s="11" t="s">
        <v>994</v>
      </c>
      <c r="Z46" s="11" t="s">
        <v>994</v>
      </c>
      <c r="AA46" s="11" t="s">
        <v>994</v>
      </c>
      <c r="AB46" s="11" t="s">
        <v>994</v>
      </c>
      <c r="AC46" s="11" t="s">
        <v>994</v>
      </c>
      <c r="AD46" s="11" t="s">
        <v>1106</v>
      </c>
      <c r="AE46" s="11" t="s">
        <v>995</v>
      </c>
    </row>
    <row r="47">
      <c r="B47" s="26" t="s">
        <v>49</v>
      </c>
      <c r="C47" s="12" t="s">
        <v>1351</v>
      </c>
      <c r="D47" s="11" t="s">
        <v>1042</v>
      </c>
      <c r="E47" s="11" t="s">
        <v>373</v>
      </c>
      <c r="F47" s="12" t="s">
        <v>374</v>
      </c>
      <c r="G47" s="12" t="s">
        <v>246</v>
      </c>
      <c r="H47" s="12" t="s">
        <v>246</v>
      </c>
      <c r="I47" s="12" t="s">
        <v>37</v>
      </c>
      <c r="J47" s="12" t="s">
        <v>1018</v>
      </c>
      <c r="K47" s="12" t="s">
        <v>1024</v>
      </c>
      <c r="L47" s="12" t="s">
        <v>247</v>
      </c>
      <c r="M47" s="12" t="s">
        <v>994</v>
      </c>
      <c r="N47" s="13" t="s">
        <v>1079</v>
      </c>
      <c r="O47" s="11" t="s">
        <v>118</v>
      </c>
      <c r="P47" s="11" t="s">
        <v>323</v>
      </c>
      <c r="Q47" s="11" t="s">
        <v>125</v>
      </c>
      <c r="R47" s="11" t="s">
        <v>150</v>
      </c>
      <c r="S47" s="11" t="s">
        <v>125</v>
      </c>
      <c r="T47" s="11" t="s">
        <v>125</v>
      </c>
      <c r="U47" s="11" t="s">
        <v>38</v>
      </c>
      <c r="V47" s="11" t="s">
        <v>1755</v>
      </c>
      <c r="W47" s="11" t="s">
        <v>1760</v>
      </c>
      <c r="X47" s="11" t="s">
        <v>1378</v>
      </c>
      <c r="Y47" s="11" t="s">
        <v>994</v>
      </c>
      <c r="Z47" s="11" t="s">
        <v>994</v>
      </c>
      <c r="AA47" s="11" t="s">
        <v>994</v>
      </c>
      <c r="AB47" s="11" t="s">
        <v>994</v>
      </c>
      <c r="AC47" s="11" t="s">
        <v>994</v>
      </c>
      <c r="AD47" s="11" t="s">
        <v>1206</v>
      </c>
      <c r="AE47" s="11" t="s">
        <v>995</v>
      </c>
    </row>
    <row r="48">
      <c r="B48" s="26" t="s">
        <v>49</v>
      </c>
      <c r="C48" s="12" t="s">
        <v>1352</v>
      </c>
      <c r="D48" s="11" t="s">
        <v>375</v>
      </c>
      <c r="E48" s="11" t="s">
        <v>376</v>
      </c>
      <c r="F48" s="12" t="s">
        <v>377</v>
      </c>
      <c r="G48" s="12" t="s">
        <v>246</v>
      </c>
      <c r="H48" s="12" t="s">
        <v>246</v>
      </c>
      <c r="I48" s="12" t="s">
        <v>37</v>
      </c>
      <c r="J48" s="12" t="s">
        <v>1018</v>
      </c>
      <c r="K48" s="12" t="s">
        <v>1024</v>
      </c>
      <c r="L48" s="12" t="s">
        <v>247</v>
      </c>
      <c r="M48" s="12" t="s">
        <v>994</v>
      </c>
      <c r="N48" s="13" t="s">
        <v>378</v>
      </c>
      <c r="O48" s="11" t="s">
        <v>118</v>
      </c>
      <c r="P48" s="11" t="s">
        <v>323</v>
      </c>
      <c r="Q48" s="11" t="s">
        <v>125</v>
      </c>
      <c r="R48" s="11" t="s">
        <v>150</v>
      </c>
      <c r="S48" s="11" t="s">
        <v>125</v>
      </c>
      <c r="T48" s="11" t="s">
        <v>125</v>
      </c>
      <c r="U48" s="11" t="s">
        <v>38</v>
      </c>
      <c r="V48" s="11" t="s">
        <v>1378</v>
      </c>
      <c r="W48" s="11" t="s">
        <v>994</v>
      </c>
      <c r="X48" s="11" t="s">
        <v>994</v>
      </c>
      <c r="Y48" s="11" t="s">
        <v>994</v>
      </c>
      <c r="Z48" s="11" t="s">
        <v>994</v>
      </c>
      <c r="AA48" s="11" t="s">
        <v>994</v>
      </c>
      <c r="AB48" s="11" t="s">
        <v>994</v>
      </c>
      <c r="AC48" s="11" t="s">
        <v>994</v>
      </c>
      <c r="AD48" s="11" t="s">
        <v>1207</v>
      </c>
      <c r="AE48" s="11" t="s">
        <v>995</v>
      </c>
    </row>
    <row r="49">
      <c r="B49" s="26" t="s">
        <v>49</v>
      </c>
      <c r="C49" s="12" t="s">
        <v>1353</v>
      </c>
      <c r="D49" s="11" t="s">
        <v>1245</v>
      </c>
      <c r="E49" s="11" t="s">
        <v>379</v>
      </c>
      <c r="F49" s="12" t="s">
        <v>49</v>
      </c>
      <c r="G49" s="12" t="s">
        <v>246</v>
      </c>
      <c r="H49" s="12" t="s">
        <v>246</v>
      </c>
      <c r="I49" s="12" t="s">
        <v>37</v>
      </c>
      <c r="J49" s="12" t="s">
        <v>1018</v>
      </c>
      <c r="K49" s="12" t="s">
        <v>1019</v>
      </c>
      <c r="L49" s="12" t="s">
        <v>247</v>
      </c>
      <c r="M49" s="12" t="s">
        <v>994</v>
      </c>
      <c r="N49" s="13" t="s">
        <v>1080</v>
      </c>
      <c r="O49" s="11" t="s">
        <v>118</v>
      </c>
      <c r="P49" s="11" t="s">
        <v>323</v>
      </c>
      <c r="Q49" s="11" t="s">
        <v>125</v>
      </c>
      <c r="R49" s="11" t="s">
        <v>150</v>
      </c>
      <c r="S49" s="11" t="s">
        <v>125</v>
      </c>
      <c r="T49" s="11" t="s">
        <v>125</v>
      </c>
      <c r="U49" s="11" t="s">
        <v>1016</v>
      </c>
      <c r="V49" s="11" t="s">
        <v>1760</v>
      </c>
      <c r="W49" s="11" t="s">
        <v>1378</v>
      </c>
      <c r="X49" s="11" t="s">
        <v>994</v>
      </c>
      <c r="Y49" s="11" t="s">
        <v>994</v>
      </c>
      <c r="Z49" s="11" t="s">
        <v>1792</v>
      </c>
      <c r="AA49" s="11" t="s">
        <v>994</v>
      </c>
      <c r="AB49" s="11" t="s">
        <v>30</v>
      </c>
      <c r="AC49" s="11" t="s">
        <v>994</v>
      </c>
      <c r="AD49" s="11" t="s">
        <v>1208</v>
      </c>
      <c r="AE49" s="11" t="s">
        <v>995</v>
      </c>
    </row>
    <row r="50">
      <c r="B50" s="26" t="s">
        <v>308</v>
      </c>
      <c r="C50" s="12" t="s">
        <v>1354</v>
      </c>
      <c r="D50" s="11" t="s">
        <v>1288</v>
      </c>
      <c r="E50" s="11" t="s">
        <v>380</v>
      </c>
      <c r="F50" s="12" t="s">
        <v>308</v>
      </c>
      <c r="G50" s="12" t="s">
        <v>246</v>
      </c>
      <c r="H50" s="12" t="s">
        <v>246</v>
      </c>
      <c r="I50" s="12" t="s">
        <v>37</v>
      </c>
      <c r="J50" s="12" t="s">
        <v>1018</v>
      </c>
      <c r="K50" s="12" t="s">
        <v>1024</v>
      </c>
      <c r="L50" s="12" t="s">
        <v>247</v>
      </c>
      <c r="M50" s="12" t="s">
        <v>994</v>
      </c>
      <c r="N50" s="13" t="s">
        <v>1289</v>
      </c>
      <c r="O50" s="11" t="s">
        <v>118</v>
      </c>
      <c r="P50" s="11" t="s">
        <v>323</v>
      </c>
      <c r="Q50" s="11" t="s">
        <v>126</v>
      </c>
      <c r="R50" s="11" t="s">
        <v>150</v>
      </c>
      <c r="S50" s="11" t="s">
        <v>994</v>
      </c>
      <c r="T50" s="11" t="s">
        <v>126</v>
      </c>
      <c r="U50" s="11" t="s">
        <v>994</v>
      </c>
      <c r="V50" s="11" t="s">
        <v>994</v>
      </c>
      <c r="W50" s="11" t="s">
        <v>994</v>
      </c>
      <c r="X50" s="11" t="s">
        <v>994</v>
      </c>
      <c r="Y50" s="11" t="s">
        <v>994</v>
      </c>
      <c r="Z50" s="11" t="s">
        <v>994</v>
      </c>
      <c r="AA50" s="11" t="s">
        <v>994</v>
      </c>
      <c r="AB50" s="11" t="s">
        <v>994</v>
      </c>
      <c r="AC50" s="11" t="s">
        <v>994</v>
      </c>
      <c r="AD50" s="11" t="s">
        <v>994</v>
      </c>
      <c r="AE50" s="11" t="s">
        <v>1804</v>
      </c>
    </row>
    <row r="51">
      <c r="B51" s="26" t="s">
        <v>49</v>
      </c>
      <c r="C51" s="12" t="s">
        <v>1355</v>
      </c>
      <c r="D51" s="11" t="s">
        <v>381</v>
      </c>
      <c r="E51" s="11" t="s">
        <v>382</v>
      </c>
      <c r="F51" s="12" t="s">
        <v>49</v>
      </c>
      <c r="G51" s="12" t="s">
        <v>246</v>
      </c>
      <c r="H51" s="12" t="s">
        <v>246</v>
      </c>
      <c r="I51" s="12" t="s">
        <v>37</v>
      </c>
      <c r="J51" s="12" t="s">
        <v>1015</v>
      </c>
      <c r="K51" s="12" t="s">
        <v>118</v>
      </c>
      <c r="L51" s="12" t="s">
        <v>247</v>
      </c>
      <c r="M51" s="12" t="s">
        <v>994</v>
      </c>
      <c r="N51" s="13" t="s">
        <v>383</v>
      </c>
      <c r="O51" s="11" t="s">
        <v>118</v>
      </c>
      <c r="P51" s="11" t="s">
        <v>323</v>
      </c>
      <c r="Q51" s="11" t="s">
        <v>126</v>
      </c>
      <c r="R51" s="11" t="s">
        <v>150</v>
      </c>
      <c r="S51" s="11" t="s">
        <v>994</v>
      </c>
      <c r="T51" s="11" t="s">
        <v>125</v>
      </c>
      <c r="U51" s="11" t="s">
        <v>1016</v>
      </c>
      <c r="V51" s="11" t="s">
        <v>1758</v>
      </c>
      <c r="W51" s="11" t="s">
        <v>994</v>
      </c>
      <c r="X51" s="11" t="s">
        <v>994</v>
      </c>
      <c r="Y51" s="11" t="s">
        <v>994</v>
      </c>
      <c r="Z51" s="11" t="s">
        <v>1790</v>
      </c>
      <c r="AA51" s="11" t="s">
        <v>1790</v>
      </c>
      <c r="AB51" s="11" t="s">
        <v>30</v>
      </c>
      <c r="AC51" s="11" t="s">
        <v>1352</v>
      </c>
      <c r="AD51" s="11" t="s">
        <v>961</v>
      </c>
      <c r="AE51" s="11" t="s">
        <v>995</v>
      </c>
    </row>
    <row r="52">
      <c r="B52" s="26" t="s">
        <v>49</v>
      </c>
      <c r="C52" s="12" t="s">
        <v>1356</v>
      </c>
      <c r="D52" s="11" t="s">
        <v>384</v>
      </c>
      <c r="E52" s="11" t="s">
        <v>385</v>
      </c>
      <c r="F52" s="12" t="s">
        <v>286</v>
      </c>
      <c r="G52" s="12" t="s">
        <v>246</v>
      </c>
      <c r="H52" s="12" t="s">
        <v>246</v>
      </c>
      <c r="I52" s="12" t="s">
        <v>37</v>
      </c>
      <c r="J52" s="12" t="s">
        <v>1015</v>
      </c>
      <c r="K52" s="12" t="s">
        <v>118</v>
      </c>
      <c r="L52" s="12" t="s">
        <v>247</v>
      </c>
      <c r="M52" s="12" t="s">
        <v>994</v>
      </c>
      <c r="N52" s="13" t="s">
        <v>1713</v>
      </c>
      <c r="O52" s="11" t="s">
        <v>118</v>
      </c>
      <c r="P52" s="11" t="s">
        <v>280</v>
      </c>
      <c r="Q52" s="11" t="s">
        <v>126</v>
      </c>
      <c r="R52" s="11" t="s">
        <v>150</v>
      </c>
      <c r="S52" s="11" t="s">
        <v>994</v>
      </c>
      <c r="T52" s="11" t="s">
        <v>125</v>
      </c>
      <c r="U52" s="11" t="s">
        <v>38</v>
      </c>
      <c r="V52" s="11" t="s">
        <v>1758</v>
      </c>
      <c r="W52" s="11" t="s">
        <v>1764</v>
      </c>
      <c r="X52" s="11" t="s">
        <v>994</v>
      </c>
      <c r="Y52" s="11" t="s">
        <v>994</v>
      </c>
      <c r="Z52" s="11" t="s">
        <v>994</v>
      </c>
      <c r="AA52" s="11" t="s">
        <v>994</v>
      </c>
      <c r="AB52" s="11" t="s">
        <v>994</v>
      </c>
      <c r="AC52" s="11" t="s">
        <v>994</v>
      </c>
      <c r="AD52" s="11" t="s">
        <v>1253</v>
      </c>
      <c r="AE52" s="11" t="s">
        <v>995</v>
      </c>
    </row>
    <row r="53">
      <c r="B53" s="26" t="s">
        <v>49</v>
      </c>
      <c r="C53" s="12" t="s">
        <v>1357</v>
      </c>
      <c r="D53" s="11" t="s">
        <v>386</v>
      </c>
      <c r="E53" s="11" t="s">
        <v>385</v>
      </c>
      <c r="F53" s="12" t="s">
        <v>286</v>
      </c>
      <c r="G53" s="12" t="s">
        <v>246</v>
      </c>
      <c r="H53" s="12" t="s">
        <v>246</v>
      </c>
      <c r="I53" s="12" t="s">
        <v>37</v>
      </c>
      <c r="J53" s="12" t="s">
        <v>1015</v>
      </c>
      <c r="K53" s="12" t="s">
        <v>118</v>
      </c>
      <c r="L53" s="12" t="s">
        <v>247</v>
      </c>
      <c r="M53" s="12" t="s">
        <v>994</v>
      </c>
      <c r="N53" s="13" t="s">
        <v>1714</v>
      </c>
      <c r="O53" s="11" t="s">
        <v>118</v>
      </c>
      <c r="P53" s="11" t="s">
        <v>280</v>
      </c>
      <c r="Q53" s="11" t="s">
        <v>126</v>
      </c>
      <c r="R53" s="11" t="s">
        <v>150</v>
      </c>
      <c r="S53" s="11" t="s">
        <v>994</v>
      </c>
      <c r="T53" s="11" t="s">
        <v>125</v>
      </c>
      <c r="U53" s="11" t="s">
        <v>38</v>
      </c>
      <c r="V53" s="11" t="s">
        <v>1758</v>
      </c>
      <c r="W53" s="11" t="s">
        <v>1764</v>
      </c>
      <c r="X53" s="11" t="s">
        <v>994</v>
      </c>
      <c r="Y53" s="11" t="s">
        <v>994</v>
      </c>
      <c r="Z53" s="11" t="s">
        <v>994</v>
      </c>
      <c r="AA53" s="11" t="s">
        <v>994</v>
      </c>
      <c r="AB53" s="11" t="s">
        <v>994</v>
      </c>
      <c r="AC53" s="11" t="s">
        <v>994</v>
      </c>
      <c r="AD53" s="11" t="s">
        <v>960</v>
      </c>
      <c r="AE53" s="11" t="s">
        <v>995</v>
      </c>
    </row>
    <row r="54">
      <c r="B54" s="26" t="s">
        <v>49</v>
      </c>
      <c r="C54" s="12" t="s">
        <v>1358</v>
      </c>
      <c r="D54" s="11" t="s">
        <v>387</v>
      </c>
      <c r="E54" s="11" t="s">
        <v>388</v>
      </c>
      <c r="F54" s="12" t="s">
        <v>286</v>
      </c>
      <c r="G54" s="12" t="s">
        <v>246</v>
      </c>
      <c r="H54" s="12" t="s">
        <v>246</v>
      </c>
      <c r="I54" s="12" t="s">
        <v>37</v>
      </c>
      <c r="J54" s="12" t="s">
        <v>1018</v>
      </c>
      <c r="K54" s="12" t="s">
        <v>1024</v>
      </c>
      <c r="L54" s="12" t="s">
        <v>247</v>
      </c>
      <c r="M54" s="12" t="s">
        <v>994</v>
      </c>
      <c r="N54" s="13" t="s">
        <v>389</v>
      </c>
      <c r="O54" s="11" t="s">
        <v>118</v>
      </c>
      <c r="P54" s="11" t="s">
        <v>323</v>
      </c>
      <c r="Q54" s="11" t="s">
        <v>125</v>
      </c>
      <c r="R54" s="11" t="s">
        <v>150</v>
      </c>
      <c r="S54" s="11" t="s">
        <v>125</v>
      </c>
      <c r="T54" s="11" t="s">
        <v>125</v>
      </c>
      <c r="U54" s="11" t="s">
        <v>38</v>
      </c>
      <c r="V54" s="11" t="s">
        <v>1378</v>
      </c>
      <c r="W54" s="11" t="s">
        <v>994</v>
      </c>
      <c r="X54" s="11" t="s">
        <v>994</v>
      </c>
      <c r="Y54" s="11" t="s">
        <v>994</v>
      </c>
      <c r="Z54" s="11" t="s">
        <v>994</v>
      </c>
      <c r="AA54" s="11" t="s">
        <v>994</v>
      </c>
      <c r="AB54" s="11" t="s">
        <v>994</v>
      </c>
      <c r="AC54" s="11" t="s">
        <v>994</v>
      </c>
      <c r="AD54" s="11" t="s">
        <v>994</v>
      </c>
      <c r="AE54" s="11" t="s">
        <v>995</v>
      </c>
    </row>
    <row r="55">
      <c r="B55" s="26" t="s">
        <v>49</v>
      </c>
      <c r="C55" s="12" t="s">
        <v>1359</v>
      </c>
      <c r="D55" s="11" t="s">
        <v>130</v>
      </c>
      <c r="E55" s="11" t="s">
        <v>390</v>
      </c>
      <c r="F55" s="12" t="s">
        <v>286</v>
      </c>
      <c r="G55" s="12" t="s">
        <v>246</v>
      </c>
      <c r="H55" s="12" t="s">
        <v>246</v>
      </c>
      <c r="I55" s="12" t="s">
        <v>37</v>
      </c>
      <c r="J55" s="12" t="s">
        <v>1015</v>
      </c>
      <c r="K55" s="12" t="s">
        <v>118</v>
      </c>
      <c r="L55" s="12" t="s">
        <v>247</v>
      </c>
      <c r="M55" s="12" t="s">
        <v>994</v>
      </c>
      <c r="N55" s="13" t="s">
        <v>391</v>
      </c>
      <c r="O55" s="11" t="s">
        <v>118</v>
      </c>
      <c r="P55" s="11" t="s">
        <v>323</v>
      </c>
      <c r="Q55" s="11" t="s">
        <v>126</v>
      </c>
      <c r="R55" s="11" t="s">
        <v>150</v>
      </c>
      <c r="S55" s="11" t="s">
        <v>994</v>
      </c>
      <c r="T55" s="11" t="s">
        <v>126</v>
      </c>
      <c r="U55" s="11" t="s">
        <v>994</v>
      </c>
      <c r="V55" s="11" t="s">
        <v>994</v>
      </c>
      <c r="W55" s="11" t="s">
        <v>994</v>
      </c>
      <c r="X55" s="11" t="s">
        <v>994</v>
      </c>
      <c r="Y55" s="11" t="s">
        <v>994</v>
      </c>
      <c r="Z55" s="11" t="s">
        <v>994</v>
      </c>
      <c r="AA55" s="11" t="s">
        <v>994</v>
      </c>
      <c r="AB55" s="11" t="s">
        <v>994</v>
      </c>
      <c r="AC55" s="11" t="s">
        <v>994</v>
      </c>
      <c r="AD55" s="11" t="s">
        <v>994</v>
      </c>
      <c r="AE55" s="11" t="s">
        <v>1804</v>
      </c>
    </row>
    <row r="56">
      <c r="B56" s="26" t="s">
        <v>295</v>
      </c>
      <c r="C56" s="12" t="s">
        <v>1360</v>
      </c>
      <c r="D56" s="11" t="s">
        <v>395</v>
      </c>
      <c r="E56" s="11" t="s">
        <v>396</v>
      </c>
      <c r="F56" s="12" t="s">
        <v>295</v>
      </c>
      <c r="G56" s="12" t="s">
        <v>246</v>
      </c>
      <c r="H56" s="12" t="s">
        <v>246</v>
      </c>
      <c r="I56" s="12" t="s">
        <v>37</v>
      </c>
      <c r="J56" s="12" t="s">
        <v>1018</v>
      </c>
      <c r="K56" s="12" t="s">
        <v>1019</v>
      </c>
      <c r="L56" s="12" t="s">
        <v>247</v>
      </c>
      <c r="M56" s="12" t="s">
        <v>994</v>
      </c>
      <c r="N56" s="13" t="s">
        <v>962</v>
      </c>
      <c r="O56" s="11" t="s">
        <v>118</v>
      </c>
      <c r="P56" s="11" t="s">
        <v>323</v>
      </c>
      <c r="Q56" s="11" t="s">
        <v>125</v>
      </c>
      <c r="R56" s="11" t="s">
        <v>150</v>
      </c>
      <c r="S56" s="11" t="s">
        <v>125</v>
      </c>
      <c r="T56" s="11" t="s">
        <v>125</v>
      </c>
      <c r="U56" s="11" t="s">
        <v>38</v>
      </c>
      <c r="V56" s="11" t="s">
        <v>1758</v>
      </c>
      <c r="W56" s="11" t="s">
        <v>1762</v>
      </c>
      <c r="X56" s="11" t="s">
        <v>1378</v>
      </c>
      <c r="Y56" s="11" t="s">
        <v>1777</v>
      </c>
      <c r="Z56" s="11" t="s">
        <v>994</v>
      </c>
      <c r="AA56" s="11" t="s">
        <v>994</v>
      </c>
      <c r="AB56" s="11" t="s">
        <v>994</v>
      </c>
      <c r="AC56" s="11" t="s">
        <v>994</v>
      </c>
      <c r="AD56" s="11" t="s">
        <v>963</v>
      </c>
      <c r="AE56" s="11" t="s">
        <v>995</v>
      </c>
    </row>
    <row r="57">
      <c r="B57" s="26" t="s">
        <v>314</v>
      </c>
      <c r="C57" s="12" t="s">
        <v>1361</v>
      </c>
      <c r="D57" s="11" t="s">
        <v>1001</v>
      </c>
      <c r="E57" s="11" t="s">
        <v>397</v>
      </c>
      <c r="F57" s="12" t="s">
        <v>314</v>
      </c>
      <c r="G57" s="12" t="s">
        <v>246</v>
      </c>
      <c r="H57" s="12" t="s">
        <v>246</v>
      </c>
      <c r="I57" s="12" t="s">
        <v>37</v>
      </c>
      <c r="J57" s="12" t="s">
        <v>1018</v>
      </c>
      <c r="K57" s="12" t="s">
        <v>1019</v>
      </c>
      <c r="L57" s="12" t="s">
        <v>247</v>
      </c>
      <c r="M57" s="12" t="s">
        <v>994</v>
      </c>
      <c r="N57" s="13" t="s">
        <v>398</v>
      </c>
      <c r="O57" s="11" t="s">
        <v>118</v>
      </c>
      <c r="P57" s="11" t="s">
        <v>280</v>
      </c>
      <c r="Q57" s="11" t="s">
        <v>126</v>
      </c>
      <c r="R57" s="11" t="s">
        <v>150</v>
      </c>
      <c r="S57" s="11" t="s">
        <v>994</v>
      </c>
      <c r="T57" s="11" t="s">
        <v>125</v>
      </c>
      <c r="U57" s="11" t="s">
        <v>1016</v>
      </c>
      <c r="V57" s="11" t="s">
        <v>1758</v>
      </c>
      <c r="W57" s="11" t="s">
        <v>1759</v>
      </c>
      <c r="X57" s="11" t="s">
        <v>1782</v>
      </c>
      <c r="Y57" s="11" t="s">
        <v>994</v>
      </c>
      <c r="Z57" s="11" t="s">
        <v>1793</v>
      </c>
      <c r="AA57" s="11" t="s">
        <v>1793</v>
      </c>
      <c r="AB57" s="11" t="s">
        <v>30</v>
      </c>
      <c r="AC57" s="11" t="s">
        <v>1367</v>
      </c>
      <c r="AD57" s="11" t="s">
        <v>980</v>
      </c>
      <c r="AE57" s="11" t="s">
        <v>995</v>
      </c>
    </row>
    <row r="58">
      <c r="B58" s="26" t="s">
        <v>283</v>
      </c>
      <c r="C58" s="12" t="s">
        <v>1362</v>
      </c>
      <c r="D58" s="11" t="s">
        <v>402</v>
      </c>
      <c r="E58" s="11" t="s">
        <v>403</v>
      </c>
      <c r="F58" s="12" t="s">
        <v>283</v>
      </c>
      <c r="G58" s="12" t="s">
        <v>246</v>
      </c>
      <c r="H58" s="12" t="s">
        <v>246</v>
      </c>
      <c r="I58" s="12" t="s">
        <v>37</v>
      </c>
      <c r="J58" s="12" t="s">
        <v>1018</v>
      </c>
      <c r="K58" s="12" t="s">
        <v>1019</v>
      </c>
      <c r="L58" s="12" t="s">
        <v>247</v>
      </c>
      <c r="M58" s="12" t="s">
        <v>994</v>
      </c>
      <c r="N58" s="13" t="s">
        <v>404</v>
      </c>
      <c r="O58" s="11" t="s">
        <v>118</v>
      </c>
      <c r="P58" s="11" t="s">
        <v>323</v>
      </c>
      <c r="Q58" s="11" t="s">
        <v>125</v>
      </c>
      <c r="R58" s="11" t="s">
        <v>150</v>
      </c>
      <c r="S58" s="11" t="s">
        <v>125</v>
      </c>
      <c r="T58" s="11" t="s">
        <v>125</v>
      </c>
      <c r="U58" s="11" t="s">
        <v>38</v>
      </c>
      <c r="V58" s="11" t="s">
        <v>1378</v>
      </c>
      <c r="W58" s="11" t="s">
        <v>994</v>
      </c>
      <c r="X58" s="11" t="s">
        <v>994</v>
      </c>
      <c r="Y58" s="11" t="s">
        <v>994</v>
      </c>
      <c r="Z58" s="11" t="s">
        <v>994</v>
      </c>
      <c r="AA58" s="11" t="s">
        <v>994</v>
      </c>
      <c r="AB58" s="11" t="s">
        <v>994</v>
      </c>
      <c r="AC58" s="11" t="s">
        <v>994</v>
      </c>
      <c r="AD58" s="11" t="s">
        <v>994</v>
      </c>
      <c r="AE58" s="11" t="s">
        <v>995</v>
      </c>
    </row>
    <row r="59">
      <c r="B59" s="26" t="s">
        <v>49</v>
      </c>
      <c r="C59" s="12" t="s">
        <v>1363</v>
      </c>
      <c r="D59" s="11" t="s">
        <v>405</v>
      </c>
      <c r="E59" s="11" t="s">
        <v>406</v>
      </c>
      <c r="F59" s="12" t="s">
        <v>407</v>
      </c>
      <c r="G59" s="12" t="s">
        <v>246</v>
      </c>
      <c r="H59" s="12" t="s">
        <v>246</v>
      </c>
      <c r="I59" s="12" t="s">
        <v>37</v>
      </c>
      <c r="J59" s="12" t="s">
        <v>1018</v>
      </c>
      <c r="K59" s="12" t="s">
        <v>1019</v>
      </c>
      <c r="L59" s="12" t="s">
        <v>247</v>
      </c>
      <c r="M59" s="12" t="s">
        <v>994</v>
      </c>
      <c r="N59" s="13" t="s">
        <v>408</v>
      </c>
      <c r="O59" s="11" t="s">
        <v>118</v>
      </c>
      <c r="P59" s="11" t="s">
        <v>323</v>
      </c>
      <c r="Q59" s="11" t="s">
        <v>126</v>
      </c>
      <c r="R59" s="11" t="s">
        <v>150</v>
      </c>
      <c r="S59" s="11" t="s">
        <v>994</v>
      </c>
      <c r="T59" s="11" t="s">
        <v>126</v>
      </c>
      <c r="U59" s="11" t="s">
        <v>994</v>
      </c>
      <c r="V59" s="11" t="s">
        <v>994</v>
      </c>
      <c r="W59" s="11" t="s">
        <v>994</v>
      </c>
      <c r="X59" s="11" t="s">
        <v>994</v>
      </c>
      <c r="Y59" s="11" t="s">
        <v>994</v>
      </c>
      <c r="Z59" s="11" t="s">
        <v>994</v>
      </c>
      <c r="AA59" s="11" t="s">
        <v>994</v>
      </c>
      <c r="AB59" s="11" t="s">
        <v>994</v>
      </c>
      <c r="AC59" s="11" t="s">
        <v>994</v>
      </c>
      <c r="AD59" s="11" t="s">
        <v>994</v>
      </c>
      <c r="AE59" s="11" t="s">
        <v>1804</v>
      </c>
    </row>
    <row r="60">
      <c r="B60" s="26" t="s">
        <v>49</v>
      </c>
      <c r="C60" s="12" t="s">
        <v>1364</v>
      </c>
      <c r="D60" s="11" t="s">
        <v>409</v>
      </c>
      <c r="E60" s="11" t="s">
        <v>410</v>
      </c>
      <c r="F60" s="12" t="s">
        <v>411</v>
      </c>
      <c r="G60" s="12" t="s">
        <v>246</v>
      </c>
      <c r="H60" s="12" t="s">
        <v>246</v>
      </c>
      <c r="I60" s="12" t="s">
        <v>37</v>
      </c>
      <c r="J60" s="12" t="s">
        <v>1018</v>
      </c>
      <c r="K60" s="12" t="s">
        <v>1024</v>
      </c>
      <c r="L60" s="12" t="s">
        <v>247</v>
      </c>
      <c r="M60" s="12" t="s">
        <v>994</v>
      </c>
      <c r="N60" s="13" t="s">
        <v>1155</v>
      </c>
      <c r="O60" s="11" t="s">
        <v>118</v>
      </c>
      <c r="P60" s="11" t="s">
        <v>323</v>
      </c>
      <c r="Q60" s="11" t="s">
        <v>126</v>
      </c>
      <c r="R60" s="11" t="s">
        <v>150</v>
      </c>
      <c r="S60" s="11" t="s">
        <v>994</v>
      </c>
      <c r="T60" s="11" t="s">
        <v>126</v>
      </c>
      <c r="U60" s="11" t="s">
        <v>994</v>
      </c>
      <c r="V60" s="11" t="s">
        <v>994</v>
      </c>
      <c r="W60" s="11" t="s">
        <v>994</v>
      </c>
      <c r="X60" s="11" t="s">
        <v>994</v>
      </c>
      <c r="Y60" s="11" t="s">
        <v>994</v>
      </c>
      <c r="Z60" s="11" t="s">
        <v>994</v>
      </c>
      <c r="AA60" s="11" t="s">
        <v>994</v>
      </c>
      <c r="AB60" s="11" t="s">
        <v>994</v>
      </c>
      <c r="AC60" s="11" t="s">
        <v>994</v>
      </c>
      <c r="AD60" s="11" t="s">
        <v>994</v>
      </c>
      <c r="AE60" s="11" t="s">
        <v>1804</v>
      </c>
    </row>
    <row r="61">
      <c r="B61" s="26" t="s">
        <v>308</v>
      </c>
      <c r="C61" s="12" t="s">
        <v>1365</v>
      </c>
      <c r="D61" s="11" t="s">
        <v>414</v>
      </c>
      <c r="E61" s="11" t="s">
        <v>415</v>
      </c>
      <c r="F61" s="12" t="s">
        <v>308</v>
      </c>
      <c r="G61" s="12" t="s">
        <v>246</v>
      </c>
      <c r="H61" s="12" t="s">
        <v>246</v>
      </c>
      <c r="I61" s="12" t="s">
        <v>60</v>
      </c>
      <c r="J61" s="12" t="s">
        <v>1029</v>
      </c>
      <c r="K61" s="12" t="s">
        <v>118</v>
      </c>
      <c r="L61" s="12" t="s">
        <v>247</v>
      </c>
      <c r="M61" s="12" t="s">
        <v>994</v>
      </c>
      <c r="N61" s="13" t="s">
        <v>417</v>
      </c>
      <c r="O61" s="11" t="s">
        <v>118</v>
      </c>
      <c r="P61" s="11" t="s">
        <v>323</v>
      </c>
      <c r="Q61" s="11" t="s">
        <v>126</v>
      </c>
      <c r="R61" s="11" t="s">
        <v>150</v>
      </c>
      <c r="S61" s="11" t="s">
        <v>994</v>
      </c>
      <c r="T61" s="11" t="s">
        <v>125</v>
      </c>
      <c r="U61" s="11" t="s">
        <v>1016</v>
      </c>
      <c r="V61" s="11" t="s">
        <v>1758</v>
      </c>
      <c r="W61" s="11" t="s">
        <v>1761</v>
      </c>
      <c r="X61" s="11" t="s">
        <v>994</v>
      </c>
      <c r="Y61" s="11" t="s">
        <v>994</v>
      </c>
      <c r="Z61" s="11" t="s">
        <v>1794</v>
      </c>
      <c r="AA61" s="11" t="s">
        <v>1794</v>
      </c>
      <c r="AB61" s="11" t="s">
        <v>30</v>
      </c>
      <c r="AC61" s="11" t="s">
        <v>1343</v>
      </c>
      <c r="AD61" s="11" t="s">
        <v>964</v>
      </c>
      <c r="AE61" s="11" t="s">
        <v>995</v>
      </c>
    </row>
    <row r="62">
      <c r="B62" s="26" t="s">
        <v>283</v>
      </c>
      <c r="C62" s="12" t="s">
        <v>1366</v>
      </c>
      <c r="D62" s="11" t="s">
        <v>418</v>
      </c>
      <c r="E62" s="11" t="s">
        <v>415</v>
      </c>
      <c r="F62" s="12" t="s">
        <v>283</v>
      </c>
      <c r="G62" s="12" t="s">
        <v>246</v>
      </c>
      <c r="H62" s="12" t="s">
        <v>246</v>
      </c>
      <c r="I62" s="12" t="s">
        <v>37</v>
      </c>
      <c r="J62" s="12" t="s">
        <v>1015</v>
      </c>
      <c r="K62" s="12" t="s">
        <v>118</v>
      </c>
      <c r="L62" s="12" t="s">
        <v>247</v>
      </c>
      <c r="M62" s="12" t="s">
        <v>994</v>
      </c>
      <c r="N62" s="13" t="s">
        <v>420</v>
      </c>
      <c r="O62" s="11" t="s">
        <v>118</v>
      </c>
      <c r="P62" s="11" t="s">
        <v>323</v>
      </c>
      <c r="Q62" s="11" t="s">
        <v>126</v>
      </c>
      <c r="R62" s="11" t="s">
        <v>150</v>
      </c>
      <c r="S62" s="11" t="s">
        <v>994</v>
      </c>
      <c r="T62" s="11" t="s">
        <v>125</v>
      </c>
      <c r="U62" s="11" t="s">
        <v>1016</v>
      </c>
      <c r="V62" s="11" t="s">
        <v>1761</v>
      </c>
      <c r="W62" s="11" t="s">
        <v>994</v>
      </c>
      <c r="X62" s="11" t="s">
        <v>994</v>
      </c>
      <c r="Y62" s="11" t="s">
        <v>994</v>
      </c>
      <c r="Z62" s="11" t="s">
        <v>1795</v>
      </c>
      <c r="AA62" s="11" t="s">
        <v>994</v>
      </c>
      <c r="AB62" s="11" t="s">
        <v>30</v>
      </c>
      <c r="AC62" s="11" t="s">
        <v>1351</v>
      </c>
      <c r="AD62" s="11" t="s">
        <v>1159</v>
      </c>
      <c r="AE62" s="11" t="s">
        <v>995</v>
      </c>
    </row>
    <row r="63">
      <c r="B63" s="26" t="s">
        <v>278</v>
      </c>
      <c r="C63" s="12" t="s">
        <v>1367</v>
      </c>
      <c r="D63" s="11" t="s">
        <v>421</v>
      </c>
      <c r="E63" s="11" t="s">
        <v>415</v>
      </c>
      <c r="F63" s="12" t="s">
        <v>278</v>
      </c>
      <c r="G63" s="12" t="s">
        <v>246</v>
      </c>
      <c r="H63" s="12" t="s">
        <v>246</v>
      </c>
      <c r="I63" s="12" t="s">
        <v>37</v>
      </c>
      <c r="J63" s="12" t="s">
        <v>1015</v>
      </c>
      <c r="K63" s="12" t="s">
        <v>118</v>
      </c>
      <c r="L63" s="12" t="s">
        <v>247</v>
      </c>
      <c r="M63" s="12" t="s">
        <v>994</v>
      </c>
      <c r="N63" s="13" t="s">
        <v>422</v>
      </c>
      <c r="O63" s="11" t="s">
        <v>118</v>
      </c>
      <c r="P63" s="11" t="s">
        <v>323</v>
      </c>
      <c r="Q63" s="11" t="s">
        <v>125</v>
      </c>
      <c r="R63" s="11" t="s">
        <v>150</v>
      </c>
      <c r="S63" s="11" t="s">
        <v>994</v>
      </c>
      <c r="T63" s="11" t="s">
        <v>125</v>
      </c>
      <c r="U63" s="11" t="s">
        <v>38</v>
      </c>
      <c r="V63" s="11" t="s">
        <v>994</v>
      </c>
      <c r="W63" s="11" t="s">
        <v>994</v>
      </c>
      <c r="X63" s="11" t="s">
        <v>994</v>
      </c>
      <c r="Y63" s="11" t="s">
        <v>994</v>
      </c>
      <c r="Z63" s="11" t="s">
        <v>994</v>
      </c>
      <c r="AA63" s="11" t="s">
        <v>994</v>
      </c>
      <c r="AB63" s="11" t="s">
        <v>994</v>
      </c>
      <c r="AC63" s="11" t="s">
        <v>994</v>
      </c>
      <c r="AD63" s="11" t="s">
        <v>994</v>
      </c>
      <c r="AE63" s="11" t="s">
        <v>995</v>
      </c>
    </row>
    <row r="64">
      <c r="B64" s="26" t="s">
        <v>49</v>
      </c>
      <c r="C64" s="12" t="s">
        <v>1368</v>
      </c>
      <c r="D64" s="11" t="s">
        <v>423</v>
      </c>
      <c r="E64" s="11" t="s">
        <v>415</v>
      </c>
      <c r="F64" s="12" t="s">
        <v>424</v>
      </c>
      <c r="G64" s="12" t="s">
        <v>246</v>
      </c>
      <c r="H64" s="12" t="s">
        <v>246</v>
      </c>
      <c r="I64" s="12" t="s">
        <v>60</v>
      </c>
      <c r="J64" s="12" t="s">
        <v>1029</v>
      </c>
      <c r="K64" s="12" t="s">
        <v>118</v>
      </c>
      <c r="L64" s="12" t="s">
        <v>247</v>
      </c>
      <c r="M64" s="12" t="s">
        <v>994</v>
      </c>
      <c r="N64" s="13" t="s">
        <v>425</v>
      </c>
      <c r="O64" s="11" t="s">
        <v>118</v>
      </c>
      <c r="P64" s="11" t="s">
        <v>323</v>
      </c>
      <c r="Q64" s="11" t="s">
        <v>125</v>
      </c>
      <c r="R64" s="11" t="s">
        <v>150</v>
      </c>
      <c r="S64" s="11" t="s">
        <v>125</v>
      </c>
      <c r="T64" s="11" t="s">
        <v>125</v>
      </c>
      <c r="U64" s="11" t="s">
        <v>38</v>
      </c>
      <c r="V64" s="11" t="s">
        <v>994</v>
      </c>
      <c r="W64" s="11" t="s">
        <v>994</v>
      </c>
      <c r="X64" s="11" t="s">
        <v>994</v>
      </c>
      <c r="Y64" s="11" t="s">
        <v>994</v>
      </c>
      <c r="Z64" s="11" t="s">
        <v>994</v>
      </c>
      <c r="AA64" s="11" t="s">
        <v>994</v>
      </c>
      <c r="AB64" s="11" t="s">
        <v>994</v>
      </c>
      <c r="AC64" s="11" t="s">
        <v>994</v>
      </c>
      <c r="AD64" s="11" t="s">
        <v>994</v>
      </c>
      <c r="AE64" s="11" t="s">
        <v>995</v>
      </c>
    </row>
    <row r="65">
      <c r="B65" s="26" t="s">
        <v>295</v>
      </c>
      <c r="C65" s="12" t="s">
        <v>1369</v>
      </c>
      <c r="D65" s="11" t="s">
        <v>426</v>
      </c>
      <c r="E65" s="11" t="s">
        <v>415</v>
      </c>
      <c r="F65" s="12" t="s">
        <v>295</v>
      </c>
      <c r="G65" s="12" t="s">
        <v>246</v>
      </c>
      <c r="H65" s="12" t="s">
        <v>246</v>
      </c>
      <c r="I65" s="12" t="s">
        <v>37</v>
      </c>
      <c r="J65" s="12" t="s">
        <v>1029</v>
      </c>
      <c r="K65" s="12" t="s">
        <v>118</v>
      </c>
      <c r="L65" s="12" t="s">
        <v>247</v>
      </c>
      <c r="M65" s="12" t="s">
        <v>994</v>
      </c>
      <c r="N65" s="13" t="s">
        <v>427</v>
      </c>
      <c r="O65" s="11" t="s">
        <v>118</v>
      </c>
      <c r="P65" s="11" t="s">
        <v>323</v>
      </c>
      <c r="Q65" s="11" t="s">
        <v>126</v>
      </c>
      <c r="R65" s="11" t="s">
        <v>150</v>
      </c>
      <c r="S65" s="11" t="s">
        <v>994</v>
      </c>
      <c r="T65" s="11" t="s">
        <v>126</v>
      </c>
      <c r="U65" s="11" t="s">
        <v>994</v>
      </c>
      <c r="V65" s="11" t="s">
        <v>994</v>
      </c>
      <c r="W65" s="11" t="s">
        <v>994</v>
      </c>
      <c r="X65" s="11" t="s">
        <v>994</v>
      </c>
      <c r="Y65" s="11" t="s">
        <v>994</v>
      </c>
      <c r="Z65" s="11" t="s">
        <v>994</v>
      </c>
      <c r="AA65" s="11" t="s">
        <v>994</v>
      </c>
      <c r="AB65" s="11" t="s">
        <v>994</v>
      </c>
      <c r="AC65" s="11" t="s">
        <v>994</v>
      </c>
      <c r="AD65" s="11" t="s">
        <v>994</v>
      </c>
      <c r="AE65" s="11" t="s">
        <v>1804</v>
      </c>
    </row>
    <row r="66">
      <c r="B66" s="26" t="s">
        <v>295</v>
      </c>
      <c r="C66" s="12" t="s">
        <v>1370</v>
      </c>
      <c r="D66" s="11" t="s">
        <v>428</v>
      </c>
      <c r="E66" s="11" t="s">
        <v>429</v>
      </c>
      <c r="F66" s="12" t="s">
        <v>295</v>
      </c>
      <c r="G66" s="12" t="s">
        <v>246</v>
      </c>
      <c r="H66" s="12" t="s">
        <v>246</v>
      </c>
      <c r="I66" s="12" t="s">
        <v>430</v>
      </c>
      <c r="J66" s="12" t="s">
        <v>20</v>
      </c>
      <c r="K66" s="12" t="s">
        <v>1025</v>
      </c>
      <c r="L66" s="12" t="s">
        <v>247</v>
      </c>
      <c r="M66" s="12" t="s">
        <v>994</v>
      </c>
      <c r="N66" s="13" t="s">
        <v>431</v>
      </c>
      <c r="O66" s="11" t="s">
        <v>432</v>
      </c>
      <c r="P66" s="11" t="s">
        <v>433</v>
      </c>
      <c r="Q66" s="11" t="s">
        <v>125</v>
      </c>
      <c r="R66" s="11" t="s">
        <v>150</v>
      </c>
      <c r="S66" s="11" t="s">
        <v>994</v>
      </c>
      <c r="T66" s="11" t="s">
        <v>125</v>
      </c>
      <c r="U66" s="11" t="s">
        <v>38</v>
      </c>
      <c r="V66" s="11" t="s">
        <v>1758</v>
      </c>
      <c r="W66" s="11" t="s">
        <v>1777</v>
      </c>
      <c r="X66" s="11" t="s">
        <v>994</v>
      </c>
      <c r="Y66" s="11" t="s">
        <v>994</v>
      </c>
      <c r="Z66" s="11" t="s">
        <v>994</v>
      </c>
      <c r="AA66" s="11" t="s">
        <v>994</v>
      </c>
      <c r="AB66" s="11" t="s">
        <v>994</v>
      </c>
      <c r="AC66" s="11" t="s">
        <v>994</v>
      </c>
      <c r="AD66" s="11" t="s">
        <v>1254</v>
      </c>
      <c r="AE66" s="11" t="s">
        <v>995</v>
      </c>
    </row>
    <row r="67">
      <c r="B67" s="26" t="s">
        <v>49</v>
      </c>
      <c r="C67" s="12" t="s">
        <v>1371</v>
      </c>
      <c r="D67" s="11" t="s">
        <v>434</v>
      </c>
      <c r="E67" s="11" t="s">
        <v>429</v>
      </c>
      <c r="F67" s="12" t="s">
        <v>435</v>
      </c>
      <c r="G67" s="12" t="s">
        <v>246</v>
      </c>
      <c r="H67" s="12" t="s">
        <v>246</v>
      </c>
      <c r="I67" s="12" t="s">
        <v>430</v>
      </c>
      <c r="J67" s="12" t="s">
        <v>20</v>
      </c>
      <c r="K67" s="12" t="s">
        <v>1026</v>
      </c>
      <c r="L67" s="12" t="s">
        <v>247</v>
      </c>
      <c r="M67" s="12" t="s">
        <v>994</v>
      </c>
      <c r="N67" s="13" t="s">
        <v>436</v>
      </c>
      <c r="O67" s="11" t="s">
        <v>432</v>
      </c>
      <c r="P67" s="11" t="s">
        <v>433</v>
      </c>
      <c r="Q67" s="11" t="s">
        <v>125</v>
      </c>
      <c r="R67" s="11" t="s">
        <v>150</v>
      </c>
      <c r="S67" s="11" t="s">
        <v>125</v>
      </c>
      <c r="T67" s="11" t="s">
        <v>125</v>
      </c>
      <c r="U67" s="11" t="s">
        <v>38</v>
      </c>
      <c r="V67" s="11" t="s">
        <v>1378</v>
      </c>
      <c r="W67" s="11" t="s">
        <v>994</v>
      </c>
      <c r="X67" s="11" t="s">
        <v>994</v>
      </c>
      <c r="Y67" s="11" t="s">
        <v>994</v>
      </c>
      <c r="Z67" s="11" t="s">
        <v>994</v>
      </c>
      <c r="AA67" s="11" t="s">
        <v>994</v>
      </c>
      <c r="AB67" s="11" t="s">
        <v>994</v>
      </c>
      <c r="AC67" s="11" t="s">
        <v>994</v>
      </c>
      <c r="AD67" s="11" t="s">
        <v>1160</v>
      </c>
      <c r="AE67" s="11" t="s">
        <v>995</v>
      </c>
    </row>
    <row r="68">
      <c r="B68" s="26" t="s">
        <v>308</v>
      </c>
      <c r="C68" s="12" t="s">
        <v>1372</v>
      </c>
      <c r="D68" s="11" t="s">
        <v>218</v>
      </c>
      <c r="E68" s="11" t="s">
        <v>429</v>
      </c>
      <c r="F68" s="12" t="s">
        <v>308</v>
      </c>
      <c r="G68" s="12" t="s">
        <v>275</v>
      </c>
      <c r="H68" s="12" t="s">
        <v>126</v>
      </c>
      <c r="I68" s="12" t="s">
        <v>430</v>
      </c>
      <c r="J68" s="12" t="s">
        <v>20</v>
      </c>
      <c r="K68" s="12" t="s">
        <v>1025</v>
      </c>
      <c r="L68" s="12" t="s">
        <v>247</v>
      </c>
      <c r="M68" s="12" t="s">
        <v>994</v>
      </c>
      <c r="N68" s="13" t="s">
        <v>437</v>
      </c>
      <c r="O68" s="11" t="s">
        <v>432</v>
      </c>
      <c r="P68" s="11" t="s">
        <v>433</v>
      </c>
      <c r="Q68" s="11" t="s">
        <v>125</v>
      </c>
      <c r="R68" s="11" t="s">
        <v>150</v>
      </c>
      <c r="S68" s="11" t="s">
        <v>994</v>
      </c>
      <c r="T68" s="11" t="s">
        <v>125</v>
      </c>
      <c r="U68" s="11" t="s">
        <v>38</v>
      </c>
      <c r="V68" s="11" t="s">
        <v>1758</v>
      </c>
      <c r="W68" s="11" t="s">
        <v>1378</v>
      </c>
      <c r="X68" s="11" t="s">
        <v>994</v>
      </c>
      <c r="Y68" s="11" t="s">
        <v>994</v>
      </c>
      <c r="Z68" s="11" t="s">
        <v>994</v>
      </c>
      <c r="AA68" s="11" t="s">
        <v>994</v>
      </c>
      <c r="AB68" s="11" t="s">
        <v>994</v>
      </c>
      <c r="AC68" s="11" t="s">
        <v>994</v>
      </c>
      <c r="AD68" s="11" t="s">
        <v>965</v>
      </c>
      <c r="AE68" s="11" t="s">
        <v>995</v>
      </c>
    </row>
    <row r="69">
      <c r="B69" s="26" t="s">
        <v>49</v>
      </c>
      <c r="C69" s="12" t="s">
        <v>1373</v>
      </c>
      <c r="D69" s="11" t="s">
        <v>438</v>
      </c>
      <c r="E69" s="11" t="s">
        <v>429</v>
      </c>
      <c r="F69" s="12" t="s">
        <v>439</v>
      </c>
      <c r="G69" s="12" t="s">
        <v>246</v>
      </c>
      <c r="H69" s="12" t="s">
        <v>246</v>
      </c>
      <c r="I69" s="12" t="s">
        <v>430</v>
      </c>
      <c r="J69" s="12" t="s">
        <v>20</v>
      </c>
      <c r="K69" s="12" t="s">
        <v>1025</v>
      </c>
      <c r="L69" s="12" t="s">
        <v>247</v>
      </c>
      <c r="M69" s="12" t="s">
        <v>994</v>
      </c>
      <c r="N69" s="13" t="s">
        <v>440</v>
      </c>
      <c r="O69" s="11" t="s">
        <v>432</v>
      </c>
      <c r="P69" s="11" t="s">
        <v>433</v>
      </c>
      <c r="Q69" s="11" t="s">
        <v>125</v>
      </c>
      <c r="R69" s="11" t="s">
        <v>150</v>
      </c>
      <c r="S69" s="11" t="s">
        <v>994</v>
      </c>
      <c r="T69" s="11" t="s">
        <v>125</v>
      </c>
      <c r="U69" s="11" t="s">
        <v>29</v>
      </c>
      <c r="V69" s="11" t="s">
        <v>1756</v>
      </c>
      <c r="W69" s="11" t="s">
        <v>1758</v>
      </c>
      <c r="X69" s="11" t="s">
        <v>994</v>
      </c>
      <c r="Y69" s="11" t="s">
        <v>994</v>
      </c>
      <c r="Z69" s="11" t="s">
        <v>994</v>
      </c>
      <c r="AA69" s="11" t="s">
        <v>994</v>
      </c>
      <c r="AB69" s="11" t="s">
        <v>994</v>
      </c>
      <c r="AC69" s="11" t="s">
        <v>994</v>
      </c>
      <c r="AD69" s="11" t="s">
        <v>965</v>
      </c>
      <c r="AE69" s="11" t="s">
        <v>995</v>
      </c>
    </row>
    <row r="70">
      <c r="B70" s="26" t="s">
        <v>49</v>
      </c>
      <c r="C70" s="12" t="s">
        <v>1374</v>
      </c>
      <c r="D70" s="11" t="s">
        <v>441</v>
      </c>
      <c r="E70" s="11" t="s">
        <v>429</v>
      </c>
      <c r="F70" s="12" t="s">
        <v>442</v>
      </c>
      <c r="G70" s="12" t="s">
        <v>246</v>
      </c>
      <c r="H70" s="12" t="s">
        <v>246</v>
      </c>
      <c r="I70" s="12" t="s">
        <v>430</v>
      </c>
      <c r="J70" s="12" t="s">
        <v>20</v>
      </c>
      <c r="K70" s="12" t="s">
        <v>1025</v>
      </c>
      <c r="L70" s="12" t="s">
        <v>247</v>
      </c>
      <c r="M70" s="12" t="s">
        <v>994</v>
      </c>
      <c r="N70" s="13" t="s">
        <v>443</v>
      </c>
      <c r="O70" s="11" t="s">
        <v>432</v>
      </c>
      <c r="P70" s="11" t="s">
        <v>433</v>
      </c>
      <c r="Q70" s="11" t="s">
        <v>125</v>
      </c>
      <c r="R70" s="11" t="s">
        <v>150</v>
      </c>
      <c r="S70" s="11" t="s">
        <v>125</v>
      </c>
      <c r="T70" s="11" t="s">
        <v>125</v>
      </c>
      <c r="U70" s="11" t="s">
        <v>38</v>
      </c>
      <c r="V70" s="11" t="s">
        <v>1378</v>
      </c>
      <c r="W70" s="11" t="s">
        <v>994</v>
      </c>
      <c r="X70" s="11" t="s">
        <v>994</v>
      </c>
      <c r="Y70" s="11" t="s">
        <v>994</v>
      </c>
      <c r="Z70" s="11" t="s">
        <v>994</v>
      </c>
      <c r="AA70" s="11" t="s">
        <v>994</v>
      </c>
      <c r="AB70" s="11" t="s">
        <v>994</v>
      </c>
      <c r="AC70" s="11" t="s">
        <v>994</v>
      </c>
      <c r="AD70" s="11" t="s">
        <v>994</v>
      </c>
      <c r="AE70" s="11" t="s">
        <v>995</v>
      </c>
    </row>
    <row r="71">
      <c r="B71" s="26" t="s">
        <v>311</v>
      </c>
      <c r="C71" s="12" t="s">
        <v>1375</v>
      </c>
      <c r="D71" s="11" t="s">
        <v>444</v>
      </c>
      <c r="E71" s="11" t="s">
        <v>429</v>
      </c>
      <c r="F71" s="12" t="s">
        <v>311</v>
      </c>
      <c r="G71" s="12" t="s">
        <v>246</v>
      </c>
      <c r="H71" s="12" t="s">
        <v>246</v>
      </c>
      <c r="I71" s="12" t="s">
        <v>430</v>
      </c>
      <c r="J71" s="12" t="s">
        <v>20</v>
      </c>
      <c r="K71" s="12" t="s">
        <v>1026</v>
      </c>
      <c r="L71" s="12" t="s">
        <v>247</v>
      </c>
      <c r="M71" s="12" t="s">
        <v>994</v>
      </c>
      <c r="N71" s="13" t="s">
        <v>445</v>
      </c>
      <c r="O71" s="11" t="s">
        <v>432</v>
      </c>
      <c r="P71" s="11" t="s">
        <v>433</v>
      </c>
      <c r="Q71" s="11" t="s">
        <v>125</v>
      </c>
      <c r="R71" s="11" t="s">
        <v>150</v>
      </c>
      <c r="S71" s="11" t="s">
        <v>125</v>
      </c>
      <c r="T71" s="11" t="s">
        <v>125</v>
      </c>
      <c r="U71" s="11" t="s">
        <v>38</v>
      </c>
      <c r="V71" s="11" t="s">
        <v>1378</v>
      </c>
      <c r="W71" s="11" t="s">
        <v>1775</v>
      </c>
      <c r="X71" s="11" t="s">
        <v>994</v>
      </c>
      <c r="Y71" s="11" t="s">
        <v>994</v>
      </c>
      <c r="Z71" s="11" t="s">
        <v>994</v>
      </c>
      <c r="AA71" s="11" t="s">
        <v>994</v>
      </c>
      <c r="AB71" s="11" t="s">
        <v>994</v>
      </c>
      <c r="AC71" s="11" t="s">
        <v>994</v>
      </c>
      <c r="AD71" s="11" t="s">
        <v>1255</v>
      </c>
      <c r="AE71" s="11" t="s">
        <v>995</v>
      </c>
    </row>
    <row r="72">
      <c r="B72" s="26" t="s">
        <v>49</v>
      </c>
      <c r="C72" s="12" t="s">
        <v>1376</v>
      </c>
      <c r="D72" s="11" t="s">
        <v>446</v>
      </c>
      <c r="E72" s="11" t="s">
        <v>429</v>
      </c>
      <c r="F72" s="12" t="s">
        <v>447</v>
      </c>
      <c r="G72" s="12" t="s">
        <v>246</v>
      </c>
      <c r="H72" s="12" t="s">
        <v>246</v>
      </c>
      <c r="I72" s="12" t="s">
        <v>430</v>
      </c>
      <c r="J72" s="12" t="s">
        <v>20</v>
      </c>
      <c r="K72" s="12" t="s">
        <v>1026</v>
      </c>
      <c r="L72" s="12" t="s">
        <v>247</v>
      </c>
      <c r="M72" s="12" t="s">
        <v>994</v>
      </c>
      <c r="N72" s="13" t="s">
        <v>448</v>
      </c>
      <c r="O72" s="11" t="s">
        <v>432</v>
      </c>
      <c r="P72" s="11" t="s">
        <v>433</v>
      </c>
      <c r="Q72" s="11" t="s">
        <v>125</v>
      </c>
      <c r="R72" s="11" t="s">
        <v>150</v>
      </c>
      <c r="S72" s="11" t="s">
        <v>125</v>
      </c>
      <c r="T72" s="11" t="s">
        <v>125</v>
      </c>
      <c r="U72" s="11" t="s">
        <v>38</v>
      </c>
      <c r="V72" s="11" t="s">
        <v>1378</v>
      </c>
      <c r="W72" s="11" t="s">
        <v>1775</v>
      </c>
      <c r="X72" s="11" t="s">
        <v>994</v>
      </c>
      <c r="Y72" s="11" t="s">
        <v>994</v>
      </c>
      <c r="Z72" s="11" t="s">
        <v>994</v>
      </c>
      <c r="AA72" s="11" t="s">
        <v>994</v>
      </c>
      <c r="AB72" s="11" t="s">
        <v>994</v>
      </c>
      <c r="AC72" s="11" t="s">
        <v>994</v>
      </c>
      <c r="AD72" s="11" t="s">
        <v>1255</v>
      </c>
      <c r="AE72" s="11" t="s">
        <v>995</v>
      </c>
    </row>
    <row r="73">
      <c r="B73" s="26" t="s">
        <v>49</v>
      </c>
      <c r="C73" s="12" t="s">
        <v>1377</v>
      </c>
      <c r="D73" s="11" t="s">
        <v>449</v>
      </c>
      <c r="E73" s="11" t="s">
        <v>429</v>
      </c>
      <c r="F73" s="12" t="s">
        <v>450</v>
      </c>
      <c r="G73" s="12" t="s">
        <v>246</v>
      </c>
      <c r="H73" s="12" t="s">
        <v>246</v>
      </c>
      <c r="I73" s="12" t="s">
        <v>430</v>
      </c>
      <c r="J73" s="12" t="s">
        <v>20</v>
      </c>
      <c r="K73" s="12" t="s">
        <v>1026</v>
      </c>
      <c r="L73" s="12" t="s">
        <v>247</v>
      </c>
      <c r="M73" s="12" t="s">
        <v>994</v>
      </c>
      <c r="N73" s="13" t="s">
        <v>451</v>
      </c>
      <c r="O73" s="11" t="s">
        <v>432</v>
      </c>
      <c r="P73" s="11" t="s">
        <v>433</v>
      </c>
      <c r="Q73" s="11" t="s">
        <v>125</v>
      </c>
      <c r="R73" s="11" t="s">
        <v>150</v>
      </c>
      <c r="S73" s="11" t="s">
        <v>125</v>
      </c>
      <c r="T73" s="11" t="s">
        <v>125</v>
      </c>
      <c r="U73" s="11" t="s">
        <v>38</v>
      </c>
      <c r="V73" s="11" t="s">
        <v>1378</v>
      </c>
      <c r="W73" s="11" t="s">
        <v>1775</v>
      </c>
      <c r="X73" s="11" t="s">
        <v>994</v>
      </c>
      <c r="Y73" s="11" t="s">
        <v>994</v>
      </c>
      <c r="Z73" s="11" t="s">
        <v>994</v>
      </c>
      <c r="AA73" s="11" t="s">
        <v>994</v>
      </c>
      <c r="AB73" s="11" t="s">
        <v>994</v>
      </c>
      <c r="AC73" s="11" t="s">
        <v>994</v>
      </c>
      <c r="AD73" s="11" t="s">
        <v>1256</v>
      </c>
      <c r="AE73" s="11" t="s">
        <v>995</v>
      </c>
    </row>
    <row r="74">
      <c r="B74" s="26" t="s">
        <v>291</v>
      </c>
      <c r="C74" s="12" t="s">
        <v>1413</v>
      </c>
      <c r="D74" s="11" t="s">
        <v>452</v>
      </c>
      <c r="E74" s="11" t="s">
        <v>429</v>
      </c>
      <c r="F74" s="12" t="s">
        <v>291</v>
      </c>
      <c r="G74" s="12" t="s">
        <v>246</v>
      </c>
      <c r="H74" s="12" t="s">
        <v>246</v>
      </c>
      <c r="I74" s="12" t="s">
        <v>430</v>
      </c>
      <c r="J74" s="12" t="s">
        <v>20</v>
      </c>
      <c r="K74" s="12" t="s">
        <v>1026</v>
      </c>
      <c r="L74" s="12" t="s">
        <v>247</v>
      </c>
      <c r="M74" s="12" t="s">
        <v>994</v>
      </c>
      <c r="N74" s="13" t="s">
        <v>453</v>
      </c>
      <c r="O74" s="11" t="s">
        <v>432</v>
      </c>
      <c r="P74" s="11" t="s">
        <v>433</v>
      </c>
      <c r="Q74" s="11" t="s">
        <v>125</v>
      </c>
      <c r="R74" s="11" t="s">
        <v>150</v>
      </c>
      <c r="S74" s="11" t="s">
        <v>125</v>
      </c>
      <c r="T74" s="11" t="s">
        <v>125</v>
      </c>
      <c r="U74" s="11" t="s">
        <v>38</v>
      </c>
      <c r="V74" s="11" t="s">
        <v>1378</v>
      </c>
      <c r="W74" s="11" t="s">
        <v>1775</v>
      </c>
      <c r="X74" s="11" t="s">
        <v>994</v>
      </c>
      <c r="Y74" s="11" t="s">
        <v>994</v>
      </c>
      <c r="Z74" s="11" t="s">
        <v>994</v>
      </c>
      <c r="AA74" s="11" t="s">
        <v>994</v>
      </c>
      <c r="AB74" s="11" t="s">
        <v>994</v>
      </c>
      <c r="AC74" s="11" t="s">
        <v>994</v>
      </c>
      <c r="AD74" s="11" t="s">
        <v>1256</v>
      </c>
      <c r="AE74" s="11" t="s">
        <v>995</v>
      </c>
    </row>
    <row r="75">
      <c r="B75" s="26" t="s">
        <v>291</v>
      </c>
      <c r="C75" s="12" t="s">
        <v>1414</v>
      </c>
      <c r="D75" s="11" t="s">
        <v>454</v>
      </c>
      <c r="E75" s="11" t="s">
        <v>429</v>
      </c>
      <c r="F75" s="12" t="s">
        <v>291</v>
      </c>
      <c r="G75" s="12" t="s">
        <v>246</v>
      </c>
      <c r="H75" s="12" t="s">
        <v>246</v>
      </c>
      <c r="I75" s="12" t="s">
        <v>430</v>
      </c>
      <c r="J75" s="12" t="s">
        <v>20</v>
      </c>
      <c r="K75" s="12" t="s">
        <v>1026</v>
      </c>
      <c r="L75" s="12" t="s">
        <v>247</v>
      </c>
      <c r="M75" s="12" t="s">
        <v>994</v>
      </c>
      <c r="N75" s="13" t="s">
        <v>455</v>
      </c>
      <c r="O75" s="11" t="s">
        <v>432</v>
      </c>
      <c r="P75" s="11" t="s">
        <v>433</v>
      </c>
      <c r="Q75" s="11" t="s">
        <v>125</v>
      </c>
      <c r="R75" s="11" t="s">
        <v>150</v>
      </c>
      <c r="S75" s="11" t="s">
        <v>125</v>
      </c>
      <c r="T75" s="11" t="s">
        <v>125</v>
      </c>
      <c r="U75" s="11" t="s">
        <v>38</v>
      </c>
      <c r="V75" s="11" t="s">
        <v>1378</v>
      </c>
      <c r="W75" s="11" t="s">
        <v>994</v>
      </c>
      <c r="X75" s="11" t="s">
        <v>994</v>
      </c>
      <c r="Y75" s="11" t="s">
        <v>994</v>
      </c>
      <c r="Z75" s="11" t="s">
        <v>994</v>
      </c>
      <c r="AA75" s="11" t="s">
        <v>994</v>
      </c>
      <c r="AB75" s="11" t="s">
        <v>994</v>
      </c>
      <c r="AC75" s="11" t="s">
        <v>994</v>
      </c>
      <c r="AD75" s="11" t="s">
        <v>994</v>
      </c>
      <c r="AE75" s="11" t="s">
        <v>995</v>
      </c>
    </row>
    <row r="76">
      <c r="B76" s="26" t="s">
        <v>291</v>
      </c>
      <c r="C76" s="12" t="s">
        <v>1415</v>
      </c>
      <c r="D76" s="11" t="s">
        <v>456</v>
      </c>
      <c r="E76" s="11" t="s">
        <v>429</v>
      </c>
      <c r="F76" s="12" t="s">
        <v>291</v>
      </c>
      <c r="G76" s="12" t="s">
        <v>246</v>
      </c>
      <c r="H76" s="12" t="s">
        <v>246</v>
      </c>
      <c r="I76" s="12" t="s">
        <v>430</v>
      </c>
      <c r="J76" s="12" t="s">
        <v>20</v>
      </c>
      <c r="K76" s="12" t="s">
        <v>1026</v>
      </c>
      <c r="L76" s="12" t="s">
        <v>247</v>
      </c>
      <c r="M76" s="12" t="s">
        <v>994</v>
      </c>
      <c r="N76" s="13" t="s">
        <v>457</v>
      </c>
      <c r="O76" s="11" t="s">
        <v>432</v>
      </c>
      <c r="P76" s="11" t="s">
        <v>433</v>
      </c>
      <c r="Q76" s="11" t="s">
        <v>125</v>
      </c>
      <c r="R76" s="11" t="s">
        <v>150</v>
      </c>
      <c r="S76" s="11" t="s">
        <v>125</v>
      </c>
      <c r="T76" s="11" t="s">
        <v>125</v>
      </c>
      <c r="U76" s="11" t="s">
        <v>38</v>
      </c>
      <c r="V76" s="11" t="s">
        <v>1378</v>
      </c>
      <c r="W76" s="11" t="s">
        <v>994</v>
      </c>
      <c r="X76" s="11" t="s">
        <v>994</v>
      </c>
      <c r="Y76" s="11" t="s">
        <v>994</v>
      </c>
      <c r="Z76" s="11" t="s">
        <v>994</v>
      </c>
      <c r="AA76" s="11" t="s">
        <v>994</v>
      </c>
      <c r="AB76" s="11" t="s">
        <v>994</v>
      </c>
      <c r="AC76" s="11" t="s">
        <v>994</v>
      </c>
      <c r="AD76" s="11" t="s">
        <v>994</v>
      </c>
      <c r="AE76" s="11" t="s">
        <v>995</v>
      </c>
    </row>
    <row r="77">
      <c r="B77" s="26" t="s">
        <v>291</v>
      </c>
      <c r="C77" s="12" t="s">
        <v>1416</v>
      </c>
      <c r="D77" s="11" t="s">
        <v>458</v>
      </c>
      <c r="E77" s="11" t="s">
        <v>429</v>
      </c>
      <c r="F77" s="12" t="s">
        <v>291</v>
      </c>
      <c r="G77" s="12" t="s">
        <v>246</v>
      </c>
      <c r="H77" s="12" t="s">
        <v>246</v>
      </c>
      <c r="I77" s="12" t="s">
        <v>430</v>
      </c>
      <c r="J77" s="12" t="s">
        <v>20</v>
      </c>
      <c r="K77" s="12" t="s">
        <v>1025</v>
      </c>
      <c r="L77" s="12" t="s">
        <v>247</v>
      </c>
      <c r="M77" s="12" t="s">
        <v>994</v>
      </c>
      <c r="N77" s="13" t="s">
        <v>459</v>
      </c>
      <c r="O77" s="11" t="s">
        <v>432</v>
      </c>
      <c r="P77" s="11" t="s">
        <v>433</v>
      </c>
      <c r="Q77" s="11" t="s">
        <v>125</v>
      </c>
      <c r="R77" s="11" t="s">
        <v>150</v>
      </c>
      <c r="S77" s="11" t="s">
        <v>125</v>
      </c>
      <c r="T77" s="11" t="s">
        <v>125</v>
      </c>
      <c r="U77" s="11" t="s">
        <v>38</v>
      </c>
      <c r="V77" s="11" t="s">
        <v>1756</v>
      </c>
      <c r="W77" s="11" t="s">
        <v>1378</v>
      </c>
      <c r="X77" s="11" t="s">
        <v>994</v>
      </c>
      <c r="Y77" s="11" t="s">
        <v>994</v>
      </c>
      <c r="Z77" s="11" t="s">
        <v>994</v>
      </c>
      <c r="AA77" s="11" t="s">
        <v>994</v>
      </c>
      <c r="AB77" s="11" t="s">
        <v>994</v>
      </c>
      <c r="AC77" s="11" t="s">
        <v>994</v>
      </c>
      <c r="AD77" s="11" t="s">
        <v>966</v>
      </c>
      <c r="AE77" s="11" t="s">
        <v>995</v>
      </c>
    </row>
    <row r="78">
      <c r="B78" s="26" t="s">
        <v>278</v>
      </c>
      <c r="C78" s="12" t="s">
        <v>1417</v>
      </c>
      <c r="D78" s="11" t="s">
        <v>460</v>
      </c>
      <c r="E78" s="11" t="s">
        <v>429</v>
      </c>
      <c r="F78" s="12" t="s">
        <v>278</v>
      </c>
      <c r="G78" s="12" t="s">
        <v>246</v>
      </c>
      <c r="H78" s="12" t="s">
        <v>246</v>
      </c>
      <c r="I78" s="12" t="s">
        <v>430</v>
      </c>
      <c r="J78" s="12" t="s">
        <v>20</v>
      </c>
      <c r="K78" s="12" t="s">
        <v>1026</v>
      </c>
      <c r="L78" s="12" t="s">
        <v>247</v>
      </c>
      <c r="M78" s="12" t="s">
        <v>994</v>
      </c>
      <c r="N78" s="13" t="s">
        <v>461</v>
      </c>
      <c r="O78" s="11" t="s">
        <v>432</v>
      </c>
      <c r="P78" s="11" t="s">
        <v>433</v>
      </c>
      <c r="Q78" s="11" t="s">
        <v>125</v>
      </c>
      <c r="R78" s="11" t="s">
        <v>150</v>
      </c>
      <c r="S78" s="11" t="s">
        <v>125</v>
      </c>
      <c r="T78" s="11" t="s">
        <v>125</v>
      </c>
      <c r="U78" s="11" t="s">
        <v>38</v>
      </c>
      <c r="V78" s="11" t="s">
        <v>1378</v>
      </c>
      <c r="W78" s="11" t="s">
        <v>994</v>
      </c>
      <c r="X78" s="11" t="s">
        <v>994</v>
      </c>
      <c r="Y78" s="11" t="s">
        <v>994</v>
      </c>
      <c r="Z78" s="11" t="s">
        <v>994</v>
      </c>
      <c r="AA78" s="11" t="s">
        <v>994</v>
      </c>
      <c r="AB78" s="11" t="s">
        <v>994</v>
      </c>
      <c r="AC78" s="11" t="s">
        <v>994</v>
      </c>
      <c r="AD78" s="11" t="s">
        <v>994</v>
      </c>
      <c r="AE78" s="11" t="s">
        <v>995</v>
      </c>
    </row>
    <row r="79">
      <c r="B79" s="26" t="s">
        <v>278</v>
      </c>
      <c r="C79" s="12" t="s">
        <v>1418</v>
      </c>
      <c r="D79" s="11" t="s">
        <v>462</v>
      </c>
      <c r="E79" s="11" t="s">
        <v>429</v>
      </c>
      <c r="F79" s="12" t="s">
        <v>278</v>
      </c>
      <c r="G79" s="12" t="s">
        <v>246</v>
      </c>
      <c r="H79" s="12" t="s">
        <v>246</v>
      </c>
      <c r="I79" s="12" t="s">
        <v>430</v>
      </c>
      <c r="J79" s="12" t="s">
        <v>20</v>
      </c>
      <c r="K79" s="12" t="s">
        <v>1026</v>
      </c>
      <c r="L79" s="12" t="s">
        <v>247</v>
      </c>
      <c r="M79" s="12" t="s">
        <v>994</v>
      </c>
      <c r="N79" s="13" t="s">
        <v>463</v>
      </c>
      <c r="O79" s="11" t="s">
        <v>432</v>
      </c>
      <c r="P79" s="11" t="s">
        <v>433</v>
      </c>
      <c r="Q79" s="11" t="s">
        <v>125</v>
      </c>
      <c r="R79" s="11" t="s">
        <v>150</v>
      </c>
      <c r="S79" s="11" t="s">
        <v>125</v>
      </c>
      <c r="T79" s="11" t="s">
        <v>125</v>
      </c>
      <c r="U79" s="11" t="s">
        <v>38</v>
      </c>
      <c r="V79" s="11" t="s">
        <v>1378</v>
      </c>
      <c r="W79" s="11" t="s">
        <v>994</v>
      </c>
      <c r="X79" s="11" t="s">
        <v>994</v>
      </c>
      <c r="Y79" s="11" t="s">
        <v>994</v>
      </c>
      <c r="Z79" s="11" t="s">
        <v>994</v>
      </c>
      <c r="AA79" s="11" t="s">
        <v>994</v>
      </c>
      <c r="AB79" s="11" t="s">
        <v>994</v>
      </c>
      <c r="AC79" s="11" t="s">
        <v>994</v>
      </c>
      <c r="AD79" s="11" t="s">
        <v>994</v>
      </c>
      <c r="AE79" s="11" t="s">
        <v>995</v>
      </c>
    </row>
    <row r="80">
      <c r="B80" s="26" t="s">
        <v>278</v>
      </c>
      <c r="C80" s="12" t="s">
        <v>1419</v>
      </c>
      <c r="D80" s="11" t="s">
        <v>464</v>
      </c>
      <c r="E80" s="11" t="s">
        <v>429</v>
      </c>
      <c r="F80" s="12" t="s">
        <v>278</v>
      </c>
      <c r="G80" s="12" t="s">
        <v>246</v>
      </c>
      <c r="H80" s="12" t="s">
        <v>246</v>
      </c>
      <c r="I80" s="12" t="s">
        <v>430</v>
      </c>
      <c r="J80" s="12" t="s">
        <v>20</v>
      </c>
      <c r="K80" s="12" t="s">
        <v>1026</v>
      </c>
      <c r="L80" s="12" t="s">
        <v>247</v>
      </c>
      <c r="M80" s="12" t="s">
        <v>994</v>
      </c>
      <c r="N80" s="13" t="s">
        <v>465</v>
      </c>
      <c r="O80" s="11" t="s">
        <v>432</v>
      </c>
      <c r="P80" s="11" t="s">
        <v>433</v>
      </c>
      <c r="Q80" s="11" t="s">
        <v>125</v>
      </c>
      <c r="R80" s="11" t="s">
        <v>150</v>
      </c>
      <c r="S80" s="11" t="s">
        <v>994</v>
      </c>
      <c r="T80" s="11" t="s">
        <v>126</v>
      </c>
      <c r="U80" s="11" t="s">
        <v>994</v>
      </c>
      <c r="V80" s="11" t="s">
        <v>994</v>
      </c>
      <c r="W80" s="11" t="s">
        <v>994</v>
      </c>
      <c r="X80" s="11" t="s">
        <v>994</v>
      </c>
      <c r="Y80" s="11" t="s">
        <v>994</v>
      </c>
      <c r="Z80" s="11" t="s">
        <v>994</v>
      </c>
      <c r="AA80" s="11" t="s">
        <v>994</v>
      </c>
      <c r="AB80" s="11" t="s">
        <v>994</v>
      </c>
      <c r="AC80" s="11" t="s">
        <v>994</v>
      </c>
      <c r="AD80" s="11" t="s">
        <v>994</v>
      </c>
      <c r="AE80" s="11" t="s">
        <v>1804</v>
      </c>
    </row>
    <row r="81">
      <c r="B81" s="26" t="s">
        <v>283</v>
      </c>
      <c r="C81" s="12" t="s">
        <v>1420</v>
      </c>
      <c r="D81" s="11" t="s">
        <v>466</v>
      </c>
      <c r="E81" s="11" t="s">
        <v>429</v>
      </c>
      <c r="F81" s="12" t="s">
        <v>283</v>
      </c>
      <c r="G81" s="12" t="s">
        <v>246</v>
      </c>
      <c r="H81" s="12" t="s">
        <v>246</v>
      </c>
      <c r="I81" s="12" t="s">
        <v>430</v>
      </c>
      <c r="J81" s="12" t="s">
        <v>20</v>
      </c>
      <c r="K81" s="12" t="s">
        <v>1025</v>
      </c>
      <c r="L81" s="12" t="s">
        <v>247</v>
      </c>
      <c r="M81" s="12" t="s">
        <v>994</v>
      </c>
      <c r="N81" s="13" t="s">
        <v>467</v>
      </c>
      <c r="O81" s="11" t="s">
        <v>432</v>
      </c>
      <c r="P81" s="11" t="s">
        <v>433</v>
      </c>
      <c r="Q81" s="11" t="s">
        <v>125</v>
      </c>
      <c r="R81" s="11" t="s">
        <v>150</v>
      </c>
      <c r="S81" s="11" t="s">
        <v>125</v>
      </c>
      <c r="T81" s="11" t="s">
        <v>125</v>
      </c>
      <c r="U81" s="11" t="s">
        <v>38</v>
      </c>
      <c r="V81" s="11" t="s">
        <v>1761</v>
      </c>
      <c r="W81" s="11" t="s">
        <v>1378</v>
      </c>
      <c r="X81" s="11" t="s">
        <v>994</v>
      </c>
      <c r="Y81" s="11" t="s">
        <v>994</v>
      </c>
      <c r="Z81" s="11" t="s">
        <v>994</v>
      </c>
      <c r="AA81" s="11" t="s">
        <v>994</v>
      </c>
      <c r="AB81" s="11" t="s">
        <v>994</v>
      </c>
      <c r="AC81" s="11" t="s">
        <v>994</v>
      </c>
      <c r="AD81" s="11" t="s">
        <v>967</v>
      </c>
      <c r="AE81" s="11" t="s">
        <v>995</v>
      </c>
    </row>
    <row r="82">
      <c r="B82" s="26" t="s">
        <v>283</v>
      </c>
      <c r="C82" s="12" t="s">
        <v>1421</v>
      </c>
      <c r="D82" s="11" t="s">
        <v>468</v>
      </c>
      <c r="E82" s="11" t="s">
        <v>429</v>
      </c>
      <c r="F82" s="12" t="s">
        <v>283</v>
      </c>
      <c r="G82" s="12" t="s">
        <v>246</v>
      </c>
      <c r="H82" s="12" t="s">
        <v>246</v>
      </c>
      <c r="I82" s="12" t="s">
        <v>430</v>
      </c>
      <c r="J82" s="12" t="s">
        <v>20</v>
      </c>
      <c r="K82" s="12" t="s">
        <v>1026</v>
      </c>
      <c r="L82" s="12" t="s">
        <v>247</v>
      </c>
      <c r="M82" s="12" t="s">
        <v>994</v>
      </c>
      <c r="N82" s="13" t="s">
        <v>469</v>
      </c>
      <c r="O82" s="11" t="s">
        <v>432</v>
      </c>
      <c r="P82" s="11" t="s">
        <v>433</v>
      </c>
      <c r="Q82" s="11" t="s">
        <v>125</v>
      </c>
      <c r="R82" s="11" t="s">
        <v>150</v>
      </c>
      <c r="S82" s="11" t="s">
        <v>125</v>
      </c>
      <c r="T82" s="11" t="s">
        <v>125</v>
      </c>
      <c r="U82" s="11" t="s">
        <v>38</v>
      </c>
      <c r="V82" s="11" t="s">
        <v>1378</v>
      </c>
      <c r="W82" s="11" t="s">
        <v>994</v>
      </c>
      <c r="X82" s="11" t="s">
        <v>994</v>
      </c>
      <c r="Y82" s="11" t="s">
        <v>994</v>
      </c>
      <c r="Z82" s="11" t="s">
        <v>994</v>
      </c>
      <c r="AA82" s="11" t="s">
        <v>994</v>
      </c>
      <c r="AB82" s="11" t="s">
        <v>994</v>
      </c>
      <c r="AC82" s="11" t="s">
        <v>994</v>
      </c>
      <c r="AD82" s="11" t="s">
        <v>994</v>
      </c>
      <c r="AE82" s="11" t="s">
        <v>995</v>
      </c>
    </row>
    <row r="83">
      <c r="B83" s="26" t="s">
        <v>283</v>
      </c>
      <c r="C83" s="12" t="s">
        <v>1422</v>
      </c>
      <c r="D83" s="11" t="s">
        <v>470</v>
      </c>
      <c r="E83" s="11" t="s">
        <v>429</v>
      </c>
      <c r="F83" s="12" t="s">
        <v>283</v>
      </c>
      <c r="G83" s="12" t="s">
        <v>246</v>
      </c>
      <c r="H83" s="12" t="s">
        <v>246</v>
      </c>
      <c r="I83" s="12" t="s">
        <v>430</v>
      </c>
      <c r="J83" s="12" t="s">
        <v>20</v>
      </c>
      <c r="K83" s="12" t="s">
        <v>1026</v>
      </c>
      <c r="L83" s="12" t="s">
        <v>247</v>
      </c>
      <c r="M83" s="12" t="s">
        <v>994</v>
      </c>
      <c r="N83" s="13" t="s">
        <v>471</v>
      </c>
      <c r="O83" s="11" t="s">
        <v>432</v>
      </c>
      <c r="P83" s="11" t="s">
        <v>433</v>
      </c>
      <c r="Q83" s="11" t="s">
        <v>125</v>
      </c>
      <c r="R83" s="11" t="s">
        <v>150</v>
      </c>
      <c r="S83" s="11" t="s">
        <v>125</v>
      </c>
      <c r="T83" s="11" t="s">
        <v>125</v>
      </c>
      <c r="U83" s="11" t="s">
        <v>38</v>
      </c>
      <c r="V83" s="11" t="s">
        <v>1378</v>
      </c>
      <c r="W83" s="11" t="s">
        <v>994</v>
      </c>
      <c r="X83" s="11" t="s">
        <v>994</v>
      </c>
      <c r="Y83" s="11" t="s">
        <v>994</v>
      </c>
      <c r="Z83" s="11" t="s">
        <v>994</v>
      </c>
      <c r="AA83" s="11" t="s">
        <v>994</v>
      </c>
      <c r="AB83" s="11" t="s">
        <v>994</v>
      </c>
      <c r="AC83" s="11" t="s">
        <v>994</v>
      </c>
      <c r="AD83" s="11" t="s">
        <v>994</v>
      </c>
      <c r="AE83" s="11" t="s">
        <v>995</v>
      </c>
    </row>
    <row r="84">
      <c r="B84" s="26" t="s">
        <v>416</v>
      </c>
      <c r="C84" s="12" t="s">
        <v>1423</v>
      </c>
      <c r="D84" s="11" t="s">
        <v>472</v>
      </c>
      <c r="E84" s="11" t="s">
        <v>429</v>
      </c>
      <c r="F84" s="12" t="s">
        <v>416</v>
      </c>
      <c r="G84" s="12" t="s">
        <v>246</v>
      </c>
      <c r="H84" s="12" t="s">
        <v>246</v>
      </c>
      <c r="I84" s="12" t="s">
        <v>430</v>
      </c>
      <c r="J84" s="12" t="s">
        <v>20</v>
      </c>
      <c r="K84" s="12" t="s">
        <v>1026</v>
      </c>
      <c r="L84" s="12" t="s">
        <v>247</v>
      </c>
      <c r="M84" s="12" t="s">
        <v>994</v>
      </c>
      <c r="N84" s="13" t="s">
        <v>473</v>
      </c>
      <c r="O84" s="11" t="s">
        <v>432</v>
      </c>
      <c r="P84" s="11" t="s">
        <v>433</v>
      </c>
      <c r="Q84" s="11" t="s">
        <v>125</v>
      </c>
      <c r="R84" s="11" t="s">
        <v>150</v>
      </c>
      <c r="S84" s="11" t="s">
        <v>125</v>
      </c>
      <c r="T84" s="11" t="s">
        <v>125</v>
      </c>
      <c r="U84" s="11" t="s">
        <v>38</v>
      </c>
      <c r="V84" s="11" t="s">
        <v>1378</v>
      </c>
      <c r="W84" s="11" t="s">
        <v>994</v>
      </c>
      <c r="X84" s="11" t="s">
        <v>994</v>
      </c>
      <c r="Y84" s="11" t="s">
        <v>994</v>
      </c>
      <c r="Z84" s="11" t="s">
        <v>994</v>
      </c>
      <c r="AA84" s="11" t="s">
        <v>994</v>
      </c>
      <c r="AB84" s="11" t="s">
        <v>994</v>
      </c>
      <c r="AC84" s="11" t="s">
        <v>994</v>
      </c>
      <c r="AD84" s="11" t="s">
        <v>994</v>
      </c>
      <c r="AE84" s="11" t="s">
        <v>995</v>
      </c>
    </row>
    <row r="85">
      <c r="B85" s="26" t="s">
        <v>416</v>
      </c>
      <c r="C85" s="12" t="s">
        <v>1424</v>
      </c>
      <c r="D85" s="11" t="s">
        <v>474</v>
      </c>
      <c r="E85" s="11" t="s">
        <v>429</v>
      </c>
      <c r="F85" s="12" t="s">
        <v>416</v>
      </c>
      <c r="G85" s="12" t="s">
        <v>246</v>
      </c>
      <c r="H85" s="12" t="s">
        <v>246</v>
      </c>
      <c r="I85" s="12" t="s">
        <v>430</v>
      </c>
      <c r="J85" s="12" t="s">
        <v>20</v>
      </c>
      <c r="K85" s="12" t="s">
        <v>1026</v>
      </c>
      <c r="L85" s="12" t="s">
        <v>247</v>
      </c>
      <c r="M85" s="12" t="s">
        <v>994</v>
      </c>
      <c r="N85" s="13" t="s">
        <v>475</v>
      </c>
      <c r="O85" s="11" t="s">
        <v>432</v>
      </c>
      <c r="P85" s="11" t="s">
        <v>433</v>
      </c>
      <c r="Q85" s="11" t="s">
        <v>125</v>
      </c>
      <c r="R85" s="11" t="s">
        <v>150</v>
      </c>
      <c r="S85" s="11" t="s">
        <v>994</v>
      </c>
      <c r="T85" s="11" t="s">
        <v>126</v>
      </c>
      <c r="U85" s="11" t="s">
        <v>994</v>
      </c>
      <c r="V85" s="11" t="s">
        <v>994</v>
      </c>
      <c r="W85" s="11" t="s">
        <v>994</v>
      </c>
      <c r="X85" s="11" t="s">
        <v>994</v>
      </c>
      <c r="Y85" s="11" t="s">
        <v>994</v>
      </c>
      <c r="Z85" s="11" t="s">
        <v>994</v>
      </c>
      <c r="AA85" s="11" t="s">
        <v>994</v>
      </c>
      <c r="AB85" s="11" t="s">
        <v>994</v>
      </c>
      <c r="AC85" s="11" t="s">
        <v>994</v>
      </c>
      <c r="AD85" s="11" t="s">
        <v>994</v>
      </c>
      <c r="AE85" s="11" t="s">
        <v>1804</v>
      </c>
    </row>
    <row r="86">
      <c r="B86" s="26" t="s">
        <v>416</v>
      </c>
      <c r="C86" s="12" t="s">
        <v>1425</v>
      </c>
      <c r="D86" s="11" t="s">
        <v>476</v>
      </c>
      <c r="E86" s="11" t="s">
        <v>429</v>
      </c>
      <c r="F86" s="12" t="s">
        <v>416</v>
      </c>
      <c r="G86" s="12" t="s">
        <v>246</v>
      </c>
      <c r="H86" s="12" t="s">
        <v>246</v>
      </c>
      <c r="I86" s="12" t="s">
        <v>430</v>
      </c>
      <c r="J86" s="12" t="s">
        <v>20</v>
      </c>
      <c r="K86" s="12" t="s">
        <v>1026</v>
      </c>
      <c r="L86" s="12" t="s">
        <v>247</v>
      </c>
      <c r="M86" s="12" t="s">
        <v>994</v>
      </c>
      <c r="N86" s="13" t="s">
        <v>477</v>
      </c>
      <c r="O86" s="11" t="s">
        <v>432</v>
      </c>
      <c r="P86" s="11" t="s">
        <v>433</v>
      </c>
      <c r="Q86" s="11" t="s">
        <v>125</v>
      </c>
      <c r="R86" s="11" t="s">
        <v>150</v>
      </c>
      <c r="S86" s="11" t="s">
        <v>994</v>
      </c>
      <c r="T86" s="11" t="s">
        <v>126</v>
      </c>
      <c r="U86" s="11" t="s">
        <v>994</v>
      </c>
      <c r="V86" s="11" t="s">
        <v>994</v>
      </c>
      <c r="W86" s="11" t="s">
        <v>994</v>
      </c>
      <c r="X86" s="11" t="s">
        <v>994</v>
      </c>
      <c r="Y86" s="11" t="s">
        <v>994</v>
      </c>
      <c r="Z86" s="11" t="s">
        <v>994</v>
      </c>
      <c r="AA86" s="11" t="s">
        <v>994</v>
      </c>
      <c r="AB86" s="11" t="s">
        <v>994</v>
      </c>
      <c r="AC86" s="11" t="s">
        <v>994</v>
      </c>
      <c r="AD86" s="11" t="s">
        <v>994</v>
      </c>
      <c r="AE86" s="11" t="s">
        <v>1804</v>
      </c>
    </row>
    <row r="87">
      <c r="B87" s="26" t="s">
        <v>308</v>
      </c>
      <c r="C87" s="12" t="s">
        <v>1426</v>
      </c>
      <c r="D87" s="11" t="s">
        <v>478</v>
      </c>
      <c r="E87" s="11" t="s">
        <v>429</v>
      </c>
      <c r="F87" s="12" t="s">
        <v>308</v>
      </c>
      <c r="G87" s="12" t="s">
        <v>246</v>
      </c>
      <c r="H87" s="12" t="s">
        <v>246</v>
      </c>
      <c r="I87" s="12" t="s">
        <v>430</v>
      </c>
      <c r="J87" s="12" t="s">
        <v>20</v>
      </c>
      <c r="K87" s="12" t="s">
        <v>1026</v>
      </c>
      <c r="L87" s="12" t="s">
        <v>247</v>
      </c>
      <c r="M87" s="12" t="s">
        <v>994</v>
      </c>
      <c r="N87" s="13" t="s">
        <v>479</v>
      </c>
      <c r="O87" s="11" t="s">
        <v>432</v>
      </c>
      <c r="P87" s="11" t="s">
        <v>433</v>
      </c>
      <c r="Q87" s="11" t="s">
        <v>125</v>
      </c>
      <c r="R87" s="11" t="s">
        <v>150</v>
      </c>
      <c r="S87" s="11" t="s">
        <v>125</v>
      </c>
      <c r="T87" s="11" t="s">
        <v>125</v>
      </c>
      <c r="U87" s="11" t="s">
        <v>38</v>
      </c>
      <c r="V87" s="11" t="s">
        <v>1762</v>
      </c>
      <c r="W87" s="11" t="s">
        <v>1378</v>
      </c>
      <c r="X87" s="11" t="s">
        <v>994</v>
      </c>
      <c r="Y87" s="11" t="s">
        <v>994</v>
      </c>
      <c r="Z87" s="11" t="s">
        <v>994</v>
      </c>
      <c r="AA87" s="11" t="s">
        <v>994</v>
      </c>
      <c r="AB87" s="11" t="s">
        <v>994</v>
      </c>
      <c r="AC87" s="11" t="s">
        <v>994</v>
      </c>
      <c r="AD87" s="11" t="s">
        <v>968</v>
      </c>
      <c r="AE87" s="11" t="s">
        <v>995</v>
      </c>
    </row>
    <row r="88">
      <c r="B88" s="26" t="s">
        <v>308</v>
      </c>
      <c r="C88" s="12" t="s">
        <v>1427</v>
      </c>
      <c r="D88" s="11" t="s">
        <v>480</v>
      </c>
      <c r="E88" s="11" t="s">
        <v>429</v>
      </c>
      <c r="F88" s="12" t="s">
        <v>308</v>
      </c>
      <c r="G88" s="12" t="s">
        <v>246</v>
      </c>
      <c r="H88" s="12" t="s">
        <v>246</v>
      </c>
      <c r="I88" s="12" t="s">
        <v>430</v>
      </c>
      <c r="J88" s="12" t="s">
        <v>20</v>
      </c>
      <c r="K88" s="12" t="s">
        <v>1026</v>
      </c>
      <c r="L88" s="12" t="s">
        <v>247</v>
      </c>
      <c r="M88" s="12" t="s">
        <v>994</v>
      </c>
      <c r="N88" s="13" t="s">
        <v>481</v>
      </c>
      <c r="O88" s="11" t="s">
        <v>432</v>
      </c>
      <c r="P88" s="11" t="s">
        <v>433</v>
      </c>
      <c r="Q88" s="11" t="s">
        <v>125</v>
      </c>
      <c r="R88" s="11" t="s">
        <v>150</v>
      </c>
      <c r="S88" s="11" t="s">
        <v>125</v>
      </c>
      <c r="T88" s="11" t="s">
        <v>125</v>
      </c>
      <c r="U88" s="11" t="s">
        <v>38</v>
      </c>
      <c r="V88" s="11" t="s">
        <v>1378</v>
      </c>
      <c r="W88" s="11" t="s">
        <v>994</v>
      </c>
      <c r="X88" s="11" t="s">
        <v>994</v>
      </c>
      <c r="Y88" s="11" t="s">
        <v>994</v>
      </c>
      <c r="Z88" s="11" t="s">
        <v>994</v>
      </c>
      <c r="AA88" s="11" t="s">
        <v>994</v>
      </c>
      <c r="AB88" s="11" t="s">
        <v>994</v>
      </c>
      <c r="AC88" s="11" t="s">
        <v>994</v>
      </c>
      <c r="AD88" s="11" t="s">
        <v>994</v>
      </c>
      <c r="AE88" s="11" t="s">
        <v>995</v>
      </c>
    </row>
    <row r="89">
      <c r="B89" s="26" t="s">
        <v>295</v>
      </c>
      <c r="C89" s="12" t="s">
        <v>1428</v>
      </c>
      <c r="D89" s="11" t="s">
        <v>482</v>
      </c>
      <c r="E89" s="11" t="s">
        <v>429</v>
      </c>
      <c r="F89" s="12" t="s">
        <v>295</v>
      </c>
      <c r="G89" s="12" t="s">
        <v>246</v>
      </c>
      <c r="H89" s="12" t="s">
        <v>246</v>
      </c>
      <c r="I89" s="12" t="s">
        <v>430</v>
      </c>
      <c r="J89" s="12" t="s">
        <v>20</v>
      </c>
      <c r="K89" s="12" t="s">
        <v>1026</v>
      </c>
      <c r="L89" s="12" t="s">
        <v>247</v>
      </c>
      <c r="M89" s="12" t="s">
        <v>994</v>
      </c>
      <c r="N89" s="13" t="s">
        <v>483</v>
      </c>
      <c r="O89" s="11" t="s">
        <v>432</v>
      </c>
      <c r="P89" s="11" t="s">
        <v>433</v>
      </c>
      <c r="Q89" s="11" t="s">
        <v>125</v>
      </c>
      <c r="R89" s="11" t="s">
        <v>150</v>
      </c>
      <c r="S89" s="11" t="s">
        <v>125</v>
      </c>
      <c r="T89" s="11" t="s">
        <v>125</v>
      </c>
      <c r="U89" s="11" t="s">
        <v>38</v>
      </c>
      <c r="V89" s="11" t="s">
        <v>1378</v>
      </c>
      <c r="W89" s="11" t="s">
        <v>994</v>
      </c>
      <c r="X89" s="11" t="s">
        <v>994</v>
      </c>
      <c r="Y89" s="11" t="s">
        <v>994</v>
      </c>
      <c r="Z89" s="11" t="s">
        <v>994</v>
      </c>
      <c r="AA89" s="11" t="s">
        <v>994</v>
      </c>
      <c r="AB89" s="11" t="s">
        <v>994</v>
      </c>
      <c r="AC89" s="11" t="s">
        <v>994</v>
      </c>
      <c r="AD89" s="11" t="s">
        <v>994</v>
      </c>
      <c r="AE89" s="11" t="s">
        <v>995</v>
      </c>
    </row>
    <row r="90">
      <c r="B90" s="26" t="s">
        <v>311</v>
      </c>
      <c r="C90" s="12" t="s">
        <v>1429</v>
      </c>
      <c r="D90" s="11" t="s">
        <v>484</v>
      </c>
      <c r="E90" s="11" t="s">
        <v>429</v>
      </c>
      <c r="F90" s="12" t="s">
        <v>311</v>
      </c>
      <c r="G90" s="12" t="s">
        <v>246</v>
      </c>
      <c r="H90" s="12" t="s">
        <v>246</v>
      </c>
      <c r="I90" s="12" t="s">
        <v>430</v>
      </c>
      <c r="J90" s="12" t="s">
        <v>20</v>
      </c>
      <c r="K90" s="12" t="s">
        <v>1025</v>
      </c>
      <c r="L90" s="12" t="s">
        <v>247</v>
      </c>
      <c r="M90" s="12" t="s">
        <v>994</v>
      </c>
      <c r="N90" s="13" t="s">
        <v>485</v>
      </c>
      <c r="O90" s="11" t="s">
        <v>432</v>
      </c>
      <c r="P90" s="11" t="s">
        <v>433</v>
      </c>
      <c r="Q90" s="11" t="s">
        <v>125</v>
      </c>
      <c r="R90" s="11" t="s">
        <v>150</v>
      </c>
      <c r="S90" s="11" t="s">
        <v>994</v>
      </c>
      <c r="T90" s="11" t="s">
        <v>125</v>
      </c>
      <c r="U90" s="11" t="s">
        <v>38</v>
      </c>
      <c r="V90" s="11" t="s">
        <v>1762</v>
      </c>
      <c r="W90" s="11" t="s">
        <v>994</v>
      </c>
      <c r="X90" s="11" t="s">
        <v>994</v>
      </c>
      <c r="Y90" s="11" t="s">
        <v>994</v>
      </c>
      <c r="Z90" s="11" t="s">
        <v>994</v>
      </c>
      <c r="AA90" s="11" t="s">
        <v>994</v>
      </c>
      <c r="AB90" s="11" t="s">
        <v>994</v>
      </c>
      <c r="AC90" s="11" t="s">
        <v>994</v>
      </c>
      <c r="AD90" s="11" t="s">
        <v>968</v>
      </c>
      <c r="AE90" s="11" t="s">
        <v>995</v>
      </c>
    </row>
    <row r="91">
      <c r="B91" s="26" t="s">
        <v>311</v>
      </c>
      <c r="C91" s="12" t="s">
        <v>1430</v>
      </c>
      <c r="D91" s="11" t="s">
        <v>486</v>
      </c>
      <c r="E91" s="11" t="s">
        <v>429</v>
      </c>
      <c r="F91" s="12" t="s">
        <v>311</v>
      </c>
      <c r="G91" s="12" t="s">
        <v>246</v>
      </c>
      <c r="H91" s="12" t="s">
        <v>246</v>
      </c>
      <c r="I91" s="12" t="s">
        <v>430</v>
      </c>
      <c r="J91" s="12" t="s">
        <v>20</v>
      </c>
      <c r="K91" s="12" t="s">
        <v>1026</v>
      </c>
      <c r="L91" s="12" t="s">
        <v>247</v>
      </c>
      <c r="M91" s="12" t="s">
        <v>994</v>
      </c>
      <c r="N91" s="13" t="s">
        <v>487</v>
      </c>
      <c r="O91" s="11" t="s">
        <v>432</v>
      </c>
      <c r="P91" s="11" t="s">
        <v>433</v>
      </c>
      <c r="Q91" s="11" t="s">
        <v>125</v>
      </c>
      <c r="R91" s="11" t="s">
        <v>150</v>
      </c>
      <c r="S91" s="11" t="s">
        <v>994</v>
      </c>
      <c r="T91" s="11" t="s">
        <v>125</v>
      </c>
      <c r="U91" s="11" t="s">
        <v>38</v>
      </c>
      <c r="V91" s="11" t="s">
        <v>1762</v>
      </c>
      <c r="W91" s="11" t="s">
        <v>994</v>
      </c>
      <c r="X91" s="11" t="s">
        <v>994</v>
      </c>
      <c r="Y91" s="11" t="s">
        <v>994</v>
      </c>
      <c r="Z91" s="11" t="s">
        <v>994</v>
      </c>
      <c r="AA91" s="11" t="s">
        <v>994</v>
      </c>
      <c r="AB91" s="11" t="s">
        <v>994</v>
      </c>
      <c r="AC91" s="11" t="s">
        <v>994</v>
      </c>
      <c r="AD91" s="11" t="s">
        <v>968</v>
      </c>
      <c r="AE91" s="11" t="s">
        <v>995</v>
      </c>
    </row>
    <row r="92">
      <c r="B92" s="26" t="s">
        <v>314</v>
      </c>
      <c r="C92" s="12" t="s">
        <v>1431</v>
      </c>
      <c r="D92" s="11" t="s">
        <v>488</v>
      </c>
      <c r="E92" s="11" t="s">
        <v>429</v>
      </c>
      <c r="F92" s="12" t="s">
        <v>314</v>
      </c>
      <c r="G92" s="12" t="s">
        <v>246</v>
      </c>
      <c r="H92" s="12" t="s">
        <v>246</v>
      </c>
      <c r="I92" s="12" t="s">
        <v>430</v>
      </c>
      <c r="J92" s="12" t="s">
        <v>20</v>
      </c>
      <c r="K92" s="12" t="s">
        <v>1026</v>
      </c>
      <c r="L92" s="12" t="s">
        <v>247</v>
      </c>
      <c r="M92" s="12" t="s">
        <v>994</v>
      </c>
      <c r="N92" s="13" t="s">
        <v>489</v>
      </c>
      <c r="O92" s="11" t="s">
        <v>432</v>
      </c>
      <c r="P92" s="11" t="s">
        <v>433</v>
      </c>
      <c r="Q92" s="11" t="s">
        <v>125</v>
      </c>
      <c r="R92" s="11" t="s">
        <v>150</v>
      </c>
      <c r="S92" s="11" t="s">
        <v>994</v>
      </c>
      <c r="T92" s="11" t="s">
        <v>126</v>
      </c>
      <c r="U92" s="11" t="s">
        <v>994</v>
      </c>
      <c r="V92" s="11" t="s">
        <v>994</v>
      </c>
      <c r="W92" s="11" t="s">
        <v>994</v>
      </c>
      <c r="X92" s="11" t="s">
        <v>994</v>
      </c>
      <c r="Y92" s="11" t="s">
        <v>994</v>
      </c>
      <c r="Z92" s="11" t="s">
        <v>994</v>
      </c>
      <c r="AA92" s="11" t="s">
        <v>994</v>
      </c>
      <c r="AB92" s="11" t="s">
        <v>994</v>
      </c>
      <c r="AC92" s="11" t="s">
        <v>994</v>
      </c>
      <c r="AD92" s="11" t="s">
        <v>994</v>
      </c>
      <c r="AE92" s="11" t="s">
        <v>1804</v>
      </c>
    </row>
    <row r="93">
      <c r="B93" s="26" t="s">
        <v>291</v>
      </c>
      <c r="C93" s="12" t="s">
        <v>1432</v>
      </c>
      <c r="D93" s="11" t="s">
        <v>490</v>
      </c>
      <c r="E93" s="11" t="s">
        <v>429</v>
      </c>
      <c r="F93" s="12" t="s">
        <v>291</v>
      </c>
      <c r="G93" s="12" t="s">
        <v>246</v>
      </c>
      <c r="H93" s="12" t="s">
        <v>246</v>
      </c>
      <c r="I93" s="12" t="s">
        <v>430</v>
      </c>
      <c r="J93" s="12" t="s">
        <v>20</v>
      </c>
      <c r="K93" s="12" t="s">
        <v>1026</v>
      </c>
      <c r="L93" s="12" t="s">
        <v>247</v>
      </c>
      <c r="M93" s="12" t="s">
        <v>994</v>
      </c>
      <c r="N93" s="13" t="s">
        <v>986</v>
      </c>
      <c r="O93" s="11" t="s">
        <v>432</v>
      </c>
      <c r="P93" s="11" t="s">
        <v>433</v>
      </c>
      <c r="Q93" s="11" t="s">
        <v>125</v>
      </c>
      <c r="R93" s="11" t="s">
        <v>150</v>
      </c>
      <c r="S93" s="11" t="s">
        <v>994</v>
      </c>
      <c r="T93" s="11" t="s">
        <v>125</v>
      </c>
      <c r="U93" s="11" t="s">
        <v>1016</v>
      </c>
      <c r="V93" s="11" t="s">
        <v>1762</v>
      </c>
      <c r="W93" s="11" t="s">
        <v>994</v>
      </c>
      <c r="X93" s="11" t="s">
        <v>994</v>
      </c>
      <c r="Y93" s="11" t="s">
        <v>994</v>
      </c>
      <c r="Z93" s="11" t="s">
        <v>1794</v>
      </c>
      <c r="AA93" s="11" t="s">
        <v>1794</v>
      </c>
      <c r="AB93" s="11" t="s">
        <v>30</v>
      </c>
      <c r="AC93" s="11" t="s">
        <v>1351</v>
      </c>
      <c r="AD93" s="11" t="s">
        <v>987</v>
      </c>
      <c r="AE93" s="11" t="s">
        <v>995</v>
      </c>
    </row>
    <row r="94">
      <c r="B94" s="26" t="s">
        <v>314</v>
      </c>
      <c r="C94" s="12" t="s">
        <v>1433</v>
      </c>
      <c r="D94" s="11" t="s">
        <v>491</v>
      </c>
      <c r="E94" s="11" t="s">
        <v>429</v>
      </c>
      <c r="F94" s="12" t="s">
        <v>314</v>
      </c>
      <c r="G94" s="12" t="s">
        <v>246</v>
      </c>
      <c r="H94" s="12" t="s">
        <v>246</v>
      </c>
      <c r="I94" s="12" t="s">
        <v>430</v>
      </c>
      <c r="J94" s="12" t="s">
        <v>20</v>
      </c>
      <c r="K94" s="12" t="s">
        <v>1026</v>
      </c>
      <c r="L94" s="12" t="s">
        <v>247</v>
      </c>
      <c r="M94" s="12" t="s">
        <v>994</v>
      </c>
      <c r="N94" s="13" t="s">
        <v>492</v>
      </c>
      <c r="O94" s="11" t="s">
        <v>432</v>
      </c>
      <c r="P94" s="11" t="s">
        <v>433</v>
      </c>
      <c r="Q94" s="11" t="s">
        <v>125</v>
      </c>
      <c r="R94" s="11" t="s">
        <v>150</v>
      </c>
      <c r="S94" s="11" t="s">
        <v>994</v>
      </c>
      <c r="T94" s="11" t="s">
        <v>126</v>
      </c>
      <c r="U94" s="11" t="s">
        <v>994</v>
      </c>
      <c r="V94" s="11" t="s">
        <v>994</v>
      </c>
      <c r="W94" s="11" t="s">
        <v>994</v>
      </c>
      <c r="X94" s="11" t="s">
        <v>994</v>
      </c>
      <c r="Y94" s="11" t="s">
        <v>994</v>
      </c>
      <c r="Z94" s="11" t="s">
        <v>994</v>
      </c>
      <c r="AA94" s="11" t="s">
        <v>994</v>
      </c>
      <c r="AB94" s="11" t="s">
        <v>994</v>
      </c>
      <c r="AC94" s="11" t="s">
        <v>994</v>
      </c>
      <c r="AD94" s="11" t="s">
        <v>994</v>
      </c>
      <c r="AE94" s="11" t="s">
        <v>1804</v>
      </c>
    </row>
    <row r="95">
      <c r="B95" s="26" t="s">
        <v>49</v>
      </c>
      <c r="C95" s="12" t="s">
        <v>1434</v>
      </c>
      <c r="D95" s="11" t="s">
        <v>493</v>
      </c>
      <c r="E95" s="11" t="s">
        <v>429</v>
      </c>
      <c r="F95" s="12" t="s">
        <v>494</v>
      </c>
      <c r="G95" s="12" t="s">
        <v>246</v>
      </c>
      <c r="H95" s="12" t="s">
        <v>246</v>
      </c>
      <c r="I95" s="12" t="s">
        <v>430</v>
      </c>
      <c r="J95" s="12" t="s">
        <v>20</v>
      </c>
      <c r="K95" s="12" t="s">
        <v>1026</v>
      </c>
      <c r="L95" s="12" t="s">
        <v>247</v>
      </c>
      <c r="M95" s="12" t="s">
        <v>994</v>
      </c>
      <c r="N95" s="13" t="s">
        <v>495</v>
      </c>
      <c r="O95" s="11" t="s">
        <v>432</v>
      </c>
      <c r="P95" s="11" t="s">
        <v>433</v>
      </c>
      <c r="Q95" s="11" t="s">
        <v>125</v>
      </c>
      <c r="R95" s="11" t="s">
        <v>150</v>
      </c>
      <c r="S95" s="11" t="s">
        <v>994</v>
      </c>
      <c r="T95" s="11" t="s">
        <v>126</v>
      </c>
      <c r="U95" s="11" t="s">
        <v>994</v>
      </c>
      <c r="V95" s="11" t="s">
        <v>994</v>
      </c>
      <c r="W95" s="11" t="s">
        <v>994</v>
      </c>
      <c r="X95" s="11" t="s">
        <v>994</v>
      </c>
      <c r="Y95" s="11" t="s">
        <v>994</v>
      </c>
      <c r="Z95" s="11" t="s">
        <v>994</v>
      </c>
      <c r="AA95" s="11" t="s">
        <v>994</v>
      </c>
      <c r="AB95" s="11" t="s">
        <v>994</v>
      </c>
      <c r="AC95" s="11" t="s">
        <v>994</v>
      </c>
      <c r="AD95" s="11" t="s">
        <v>994</v>
      </c>
      <c r="AE95" s="11" t="s">
        <v>1804</v>
      </c>
    </row>
    <row r="96">
      <c r="B96" s="26" t="s">
        <v>311</v>
      </c>
      <c r="C96" s="12" t="s">
        <v>1435</v>
      </c>
      <c r="D96" s="11" t="s">
        <v>496</v>
      </c>
      <c r="E96" s="11" t="s">
        <v>429</v>
      </c>
      <c r="F96" s="12" t="s">
        <v>311</v>
      </c>
      <c r="G96" s="12" t="s">
        <v>246</v>
      </c>
      <c r="H96" s="12" t="s">
        <v>246</v>
      </c>
      <c r="I96" s="12" t="s">
        <v>430</v>
      </c>
      <c r="J96" s="12" t="s">
        <v>20</v>
      </c>
      <c r="K96" s="12" t="s">
        <v>1026</v>
      </c>
      <c r="L96" s="12" t="s">
        <v>247</v>
      </c>
      <c r="M96" s="12" t="s">
        <v>994</v>
      </c>
      <c r="N96" s="13" t="s">
        <v>497</v>
      </c>
      <c r="O96" s="11" t="s">
        <v>432</v>
      </c>
      <c r="P96" s="11" t="s">
        <v>433</v>
      </c>
      <c r="Q96" s="11" t="s">
        <v>125</v>
      </c>
      <c r="R96" s="11" t="s">
        <v>150</v>
      </c>
      <c r="S96" s="11" t="s">
        <v>994</v>
      </c>
      <c r="T96" s="11" t="s">
        <v>126</v>
      </c>
      <c r="U96" s="11" t="s">
        <v>994</v>
      </c>
      <c r="V96" s="11" t="s">
        <v>994</v>
      </c>
      <c r="W96" s="11" t="s">
        <v>994</v>
      </c>
      <c r="X96" s="11" t="s">
        <v>994</v>
      </c>
      <c r="Y96" s="11" t="s">
        <v>994</v>
      </c>
      <c r="Z96" s="11" t="s">
        <v>994</v>
      </c>
      <c r="AA96" s="11" t="s">
        <v>994</v>
      </c>
      <c r="AB96" s="11" t="s">
        <v>994</v>
      </c>
      <c r="AC96" s="11" t="s">
        <v>994</v>
      </c>
      <c r="AD96" s="11" t="s">
        <v>994</v>
      </c>
      <c r="AE96" s="11" t="s">
        <v>1804</v>
      </c>
    </row>
    <row r="97">
      <c r="B97" s="26" t="s">
        <v>49</v>
      </c>
      <c r="C97" s="12" t="s">
        <v>1436</v>
      </c>
      <c r="D97" s="11" t="s">
        <v>498</v>
      </c>
      <c r="E97" s="11" t="s">
        <v>429</v>
      </c>
      <c r="F97" s="12" t="s">
        <v>499</v>
      </c>
      <c r="G97" s="12" t="s">
        <v>246</v>
      </c>
      <c r="H97" s="12" t="s">
        <v>246</v>
      </c>
      <c r="I97" s="12" t="s">
        <v>430</v>
      </c>
      <c r="J97" s="12" t="s">
        <v>20</v>
      </c>
      <c r="K97" s="12" t="s">
        <v>1026</v>
      </c>
      <c r="L97" s="12" t="s">
        <v>247</v>
      </c>
      <c r="M97" s="12" t="s">
        <v>994</v>
      </c>
      <c r="N97" s="13" t="s">
        <v>500</v>
      </c>
      <c r="O97" s="11" t="s">
        <v>432</v>
      </c>
      <c r="P97" s="11" t="s">
        <v>433</v>
      </c>
      <c r="Q97" s="11" t="s">
        <v>125</v>
      </c>
      <c r="R97" s="11" t="s">
        <v>150</v>
      </c>
      <c r="S97" s="11" t="s">
        <v>994</v>
      </c>
      <c r="T97" s="11" t="s">
        <v>125</v>
      </c>
      <c r="U97" s="11" t="s">
        <v>38</v>
      </c>
      <c r="V97" s="11" t="s">
        <v>1762</v>
      </c>
      <c r="W97" s="11" t="s">
        <v>994</v>
      </c>
      <c r="X97" s="11" t="s">
        <v>994</v>
      </c>
      <c r="Y97" s="11" t="s">
        <v>994</v>
      </c>
      <c r="Z97" s="11" t="s">
        <v>994</v>
      </c>
      <c r="AA97" s="11" t="s">
        <v>994</v>
      </c>
      <c r="AB97" s="11" t="s">
        <v>994</v>
      </c>
      <c r="AC97" s="11" t="s">
        <v>994</v>
      </c>
      <c r="AD97" s="11" t="s">
        <v>969</v>
      </c>
      <c r="AE97" s="11" t="s">
        <v>995</v>
      </c>
    </row>
    <row r="98">
      <c r="B98" s="26" t="s">
        <v>311</v>
      </c>
      <c r="C98" s="12" t="s">
        <v>1437</v>
      </c>
      <c r="D98" s="11" t="s">
        <v>501</v>
      </c>
      <c r="E98" s="11" t="s">
        <v>429</v>
      </c>
      <c r="F98" s="12" t="s">
        <v>311</v>
      </c>
      <c r="G98" s="12" t="s">
        <v>246</v>
      </c>
      <c r="H98" s="12" t="s">
        <v>246</v>
      </c>
      <c r="I98" s="12" t="s">
        <v>430</v>
      </c>
      <c r="J98" s="12" t="s">
        <v>20</v>
      </c>
      <c r="K98" s="12" t="s">
        <v>1026</v>
      </c>
      <c r="L98" s="12" t="s">
        <v>247</v>
      </c>
      <c r="M98" s="12" t="s">
        <v>994</v>
      </c>
      <c r="N98" s="13" t="s">
        <v>502</v>
      </c>
      <c r="O98" s="11" t="s">
        <v>432</v>
      </c>
      <c r="P98" s="11" t="s">
        <v>433</v>
      </c>
      <c r="Q98" s="11" t="s">
        <v>125</v>
      </c>
      <c r="R98" s="11" t="s">
        <v>150</v>
      </c>
      <c r="S98" s="11" t="s">
        <v>994</v>
      </c>
      <c r="T98" s="11" t="s">
        <v>125</v>
      </c>
      <c r="U98" s="11" t="s">
        <v>38</v>
      </c>
      <c r="V98" s="11" t="s">
        <v>1762</v>
      </c>
      <c r="W98" s="11" t="s">
        <v>994</v>
      </c>
      <c r="X98" s="11" t="s">
        <v>994</v>
      </c>
      <c r="Y98" s="11" t="s">
        <v>994</v>
      </c>
      <c r="Z98" s="11" t="s">
        <v>994</v>
      </c>
      <c r="AA98" s="11" t="s">
        <v>994</v>
      </c>
      <c r="AB98" s="11" t="s">
        <v>994</v>
      </c>
      <c r="AC98" s="11" t="s">
        <v>994</v>
      </c>
      <c r="AD98" s="11" t="s">
        <v>970</v>
      </c>
      <c r="AE98" s="11" t="s">
        <v>995</v>
      </c>
    </row>
    <row r="99">
      <c r="B99" s="26" t="s">
        <v>283</v>
      </c>
      <c r="C99" s="12" t="s">
        <v>1438</v>
      </c>
      <c r="D99" s="11" t="s">
        <v>503</v>
      </c>
      <c r="E99" s="11" t="s">
        <v>429</v>
      </c>
      <c r="F99" s="12" t="s">
        <v>283</v>
      </c>
      <c r="G99" s="12" t="s">
        <v>246</v>
      </c>
      <c r="H99" s="12" t="s">
        <v>246</v>
      </c>
      <c r="I99" s="12" t="s">
        <v>430</v>
      </c>
      <c r="J99" s="12" t="s">
        <v>20</v>
      </c>
      <c r="K99" s="12" t="s">
        <v>1026</v>
      </c>
      <c r="L99" s="12" t="s">
        <v>247</v>
      </c>
      <c r="M99" s="12" t="s">
        <v>994</v>
      </c>
      <c r="N99" s="13" t="s">
        <v>504</v>
      </c>
      <c r="O99" s="11" t="s">
        <v>432</v>
      </c>
      <c r="P99" s="11" t="s">
        <v>433</v>
      </c>
      <c r="Q99" s="11" t="s">
        <v>125</v>
      </c>
      <c r="R99" s="11" t="s">
        <v>150</v>
      </c>
      <c r="S99" s="11" t="s">
        <v>994</v>
      </c>
      <c r="T99" s="11" t="s">
        <v>126</v>
      </c>
      <c r="U99" s="11" t="s">
        <v>994</v>
      </c>
      <c r="V99" s="11" t="s">
        <v>994</v>
      </c>
      <c r="W99" s="11" t="s">
        <v>994</v>
      </c>
      <c r="X99" s="11" t="s">
        <v>994</v>
      </c>
      <c r="Y99" s="11" t="s">
        <v>994</v>
      </c>
      <c r="Z99" s="11" t="s">
        <v>994</v>
      </c>
      <c r="AA99" s="11" t="s">
        <v>994</v>
      </c>
      <c r="AB99" s="11" t="s">
        <v>994</v>
      </c>
      <c r="AC99" s="11" t="s">
        <v>994</v>
      </c>
      <c r="AD99" s="11" t="s">
        <v>994</v>
      </c>
      <c r="AE99" s="11" t="s">
        <v>1804</v>
      </c>
    </row>
    <row r="100">
      <c r="B100" s="26" t="s">
        <v>49</v>
      </c>
      <c r="C100" s="12" t="s">
        <v>1439</v>
      </c>
      <c r="D100" s="11" t="s">
        <v>505</v>
      </c>
      <c r="E100" s="11" t="s">
        <v>429</v>
      </c>
      <c r="F100" s="12" t="s">
        <v>286</v>
      </c>
      <c r="G100" s="12" t="s">
        <v>246</v>
      </c>
      <c r="H100" s="12" t="s">
        <v>246</v>
      </c>
      <c r="I100" s="12" t="s">
        <v>430</v>
      </c>
      <c r="J100" s="12" t="s">
        <v>20</v>
      </c>
      <c r="K100" s="12" t="s">
        <v>1025</v>
      </c>
      <c r="L100" s="12" t="s">
        <v>247</v>
      </c>
      <c r="M100" s="12" t="s">
        <v>994</v>
      </c>
      <c r="N100" s="13" t="s">
        <v>506</v>
      </c>
      <c r="O100" s="11" t="s">
        <v>432</v>
      </c>
      <c r="P100" s="11" t="s">
        <v>433</v>
      </c>
      <c r="Q100" s="11" t="s">
        <v>125</v>
      </c>
      <c r="R100" s="11" t="s">
        <v>150</v>
      </c>
      <c r="S100" s="11" t="s">
        <v>994</v>
      </c>
      <c r="T100" s="11" t="s">
        <v>125</v>
      </c>
      <c r="U100" s="11" t="s">
        <v>38</v>
      </c>
      <c r="V100" s="11" t="s">
        <v>1762</v>
      </c>
      <c r="W100" s="11" t="s">
        <v>994</v>
      </c>
      <c r="X100" s="11" t="s">
        <v>994</v>
      </c>
      <c r="Y100" s="11" t="s">
        <v>994</v>
      </c>
      <c r="Z100" s="11" t="s">
        <v>994</v>
      </c>
      <c r="AA100" s="11" t="s">
        <v>994</v>
      </c>
      <c r="AB100" s="11" t="s">
        <v>994</v>
      </c>
      <c r="AC100" s="11" t="s">
        <v>994</v>
      </c>
      <c r="AD100" s="11" t="s">
        <v>970</v>
      </c>
      <c r="AE100" s="11" t="s">
        <v>995</v>
      </c>
    </row>
    <row r="101">
      <c r="B101" s="26" t="s">
        <v>416</v>
      </c>
      <c r="C101" s="12" t="s">
        <v>1440</v>
      </c>
      <c r="D101" s="11" t="s">
        <v>507</v>
      </c>
      <c r="E101" s="11" t="s">
        <v>429</v>
      </c>
      <c r="F101" s="12" t="s">
        <v>416</v>
      </c>
      <c r="G101" s="12" t="s">
        <v>246</v>
      </c>
      <c r="H101" s="12" t="s">
        <v>246</v>
      </c>
      <c r="I101" s="12" t="s">
        <v>430</v>
      </c>
      <c r="J101" s="12" t="s">
        <v>20</v>
      </c>
      <c r="K101" s="12" t="s">
        <v>1025</v>
      </c>
      <c r="L101" s="12" t="s">
        <v>247</v>
      </c>
      <c r="M101" s="12" t="s">
        <v>994</v>
      </c>
      <c r="N101" s="13" t="s">
        <v>508</v>
      </c>
      <c r="O101" s="11" t="s">
        <v>432</v>
      </c>
      <c r="P101" s="11" t="s">
        <v>433</v>
      </c>
      <c r="Q101" s="11" t="s">
        <v>125</v>
      </c>
      <c r="R101" s="11" t="s">
        <v>150</v>
      </c>
      <c r="S101" s="11" t="s">
        <v>994</v>
      </c>
      <c r="T101" s="11" t="s">
        <v>126</v>
      </c>
      <c r="U101" s="11" t="s">
        <v>994</v>
      </c>
      <c r="V101" s="11" t="s">
        <v>1756</v>
      </c>
      <c r="W101" s="11" t="s">
        <v>994</v>
      </c>
      <c r="X101" s="11" t="s">
        <v>994</v>
      </c>
      <c r="Y101" s="11" t="s">
        <v>994</v>
      </c>
      <c r="Z101" s="11" t="s">
        <v>994</v>
      </c>
      <c r="AA101" s="11" t="s">
        <v>994</v>
      </c>
      <c r="AB101" s="11" t="s">
        <v>994</v>
      </c>
      <c r="AC101" s="11" t="s">
        <v>994</v>
      </c>
      <c r="AD101" s="11" t="s">
        <v>988</v>
      </c>
      <c r="AE101" s="11" t="s">
        <v>1804</v>
      </c>
    </row>
    <row r="102">
      <c r="B102" s="26" t="s">
        <v>295</v>
      </c>
      <c r="C102" s="12" t="s">
        <v>1441</v>
      </c>
      <c r="D102" s="11" t="s">
        <v>509</v>
      </c>
      <c r="E102" s="11" t="s">
        <v>429</v>
      </c>
      <c r="F102" s="12" t="s">
        <v>295</v>
      </c>
      <c r="G102" s="12" t="s">
        <v>246</v>
      </c>
      <c r="H102" s="12" t="s">
        <v>246</v>
      </c>
      <c r="I102" s="12" t="s">
        <v>430</v>
      </c>
      <c r="J102" s="12" t="s">
        <v>20</v>
      </c>
      <c r="K102" s="12" t="s">
        <v>1026</v>
      </c>
      <c r="L102" s="12" t="s">
        <v>247</v>
      </c>
      <c r="M102" s="12" t="s">
        <v>994</v>
      </c>
      <c r="N102" s="13" t="s">
        <v>510</v>
      </c>
      <c r="O102" s="11" t="s">
        <v>432</v>
      </c>
      <c r="P102" s="11" t="s">
        <v>433</v>
      </c>
      <c r="Q102" s="11" t="s">
        <v>125</v>
      </c>
      <c r="R102" s="11" t="s">
        <v>150</v>
      </c>
      <c r="S102" s="11" t="s">
        <v>994</v>
      </c>
      <c r="T102" s="11" t="s">
        <v>125</v>
      </c>
      <c r="U102" s="11" t="s">
        <v>38</v>
      </c>
      <c r="V102" s="11" t="s">
        <v>1762</v>
      </c>
      <c r="W102" s="11" t="s">
        <v>994</v>
      </c>
      <c r="X102" s="11" t="s">
        <v>994</v>
      </c>
      <c r="Y102" s="11" t="s">
        <v>994</v>
      </c>
      <c r="Z102" s="11" t="s">
        <v>994</v>
      </c>
      <c r="AA102" s="11" t="s">
        <v>994</v>
      </c>
      <c r="AB102" s="11" t="s">
        <v>994</v>
      </c>
      <c r="AC102" s="11" t="s">
        <v>994</v>
      </c>
      <c r="AD102" s="11" t="s">
        <v>971</v>
      </c>
      <c r="AE102" s="11" t="s">
        <v>995</v>
      </c>
    </row>
    <row r="103">
      <c r="B103" s="26" t="s">
        <v>295</v>
      </c>
      <c r="C103" s="12" t="s">
        <v>1442</v>
      </c>
      <c r="D103" s="11" t="s">
        <v>511</v>
      </c>
      <c r="E103" s="11" t="s">
        <v>429</v>
      </c>
      <c r="F103" s="12" t="s">
        <v>295</v>
      </c>
      <c r="G103" s="12" t="s">
        <v>246</v>
      </c>
      <c r="H103" s="12" t="s">
        <v>246</v>
      </c>
      <c r="I103" s="12" t="s">
        <v>430</v>
      </c>
      <c r="J103" s="12" t="s">
        <v>20</v>
      </c>
      <c r="K103" s="12" t="s">
        <v>1026</v>
      </c>
      <c r="L103" s="12" t="s">
        <v>247</v>
      </c>
      <c r="M103" s="12" t="s">
        <v>994</v>
      </c>
      <c r="N103" s="13" t="s">
        <v>994</v>
      </c>
      <c r="O103" s="11" t="s">
        <v>432</v>
      </c>
      <c r="P103" s="11" t="s">
        <v>433</v>
      </c>
      <c r="Q103" s="11" t="s">
        <v>125</v>
      </c>
      <c r="R103" s="11" t="s">
        <v>150</v>
      </c>
      <c r="S103" s="11" t="s">
        <v>994</v>
      </c>
      <c r="T103" s="11" t="s">
        <v>126</v>
      </c>
      <c r="U103" s="11" t="s">
        <v>994</v>
      </c>
      <c r="V103" s="11" t="s">
        <v>994</v>
      </c>
      <c r="W103" s="11" t="s">
        <v>994</v>
      </c>
      <c r="X103" s="11" t="s">
        <v>994</v>
      </c>
      <c r="Y103" s="11" t="s">
        <v>994</v>
      </c>
      <c r="Z103" s="11" t="s">
        <v>994</v>
      </c>
      <c r="AA103" s="11" t="s">
        <v>994</v>
      </c>
      <c r="AB103" s="11" t="s">
        <v>994</v>
      </c>
      <c r="AC103" s="11" t="s">
        <v>994</v>
      </c>
      <c r="AD103" s="11" t="s">
        <v>994</v>
      </c>
      <c r="AE103" s="11" t="s">
        <v>1804</v>
      </c>
    </row>
    <row r="104">
      <c r="B104" s="26" t="s">
        <v>295</v>
      </c>
      <c r="C104" s="12" t="s">
        <v>1443</v>
      </c>
      <c r="D104" s="11" t="s">
        <v>512</v>
      </c>
      <c r="E104" s="11" t="s">
        <v>429</v>
      </c>
      <c r="F104" s="12" t="s">
        <v>295</v>
      </c>
      <c r="G104" s="12" t="s">
        <v>246</v>
      </c>
      <c r="H104" s="12" t="s">
        <v>246</v>
      </c>
      <c r="I104" s="12" t="s">
        <v>430</v>
      </c>
      <c r="J104" s="12" t="s">
        <v>20</v>
      </c>
      <c r="K104" s="12" t="s">
        <v>1026</v>
      </c>
      <c r="L104" s="12" t="s">
        <v>247</v>
      </c>
      <c r="M104" s="12" t="s">
        <v>994</v>
      </c>
      <c r="N104" s="13" t="s">
        <v>994</v>
      </c>
      <c r="O104" s="11" t="s">
        <v>432</v>
      </c>
      <c r="P104" s="11" t="s">
        <v>433</v>
      </c>
      <c r="Q104" s="11" t="s">
        <v>125</v>
      </c>
      <c r="R104" s="11" t="s">
        <v>150</v>
      </c>
      <c r="S104" s="11" t="s">
        <v>994</v>
      </c>
      <c r="T104" s="11" t="s">
        <v>126</v>
      </c>
      <c r="U104" s="11" t="s">
        <v>994</v>
      </c>
      <c r="V104" s="11" t="s">
        <v>994</v>
      </c>
      <c r="W104" s="11" t="s">
        <v>994</v>
      </c>
      <c r="X104" s="11" t="s">
        <v>994</v>
      </c>
      <c r="Y104" s="11" t="s">
        <v>994</v>
      </c>
      <c r="Z104" s="11" t="s">
        <v>994</v>
      </c>
      <c r="AA104" s="11" t="s">
        <v>994</v>
      </c>
      <c r="AB104" s="11" t="s">
        <v>994</v>
      </c>
      <c r="AC104" s="11" t="s">
        <v>994</v>
      </c>
      <c r="AD104" s="11" t="s">
        <v>994</v>
      </c>
      <c r="AE104" s="11" t="s">
        <v>1804</v>
      </c>
    </row>
    <row r="105">
      <c r="B105" s="26" t="s">
        <v>278</v>
      </c>
      <c r="C105" s="12" t="s">
        <v>1444</v>
      </c>
      <c r="D105" s="11" t="s">
        <v>513</v>
      </c>
      <c r="E105" s="11" t="s">
        <v>429</v>
      </c>
      <c r="F105" s="12" t="s">
        <v>278</v>
      </c>
      <c r="G105" s="12" t="s">
        <v>246</v>
      </c>
      <c r="H105" s="12" t="s">
        <v>246</v>
      </c>
      <c r="I105" s="12" t="s">
        <v>430</v>
      </c>
      <c r="J105" s="12" t="s">
        <v>20</v>
      </c>
      <c r="K105" s="12" t="s">
        <v>1025</v>
      </c>
      <c r="L105" s="12" t="s">
        <v>247</v>
      </c>
      <c r="M105" s="12" t="s">
        <v>994</v>
      </c>
      <c r="N105" s="13" t="s">
        <v>514</v>
      </c>
      <c r="O105" s="11" t="s">
        <v>432</v>
      </c>
      <c r="P105" s="11" t="s">
        <v>433</v>
      </c>
      <c r="Q105" s="11" t="s">
        <v>125</v>
      </c>
      <c r="R105" s="11" t="s">
        <v>150</v>
      </c>
      <c r="S105" s="11" t="s">
        <v>994</v>
      </c>
      <c r="T105" s="11" t="s">
        <v>125</v>
      </c>
      <c r="U105" s="11" t="s">
        <v>29</v>
      </c>
      <c r="V105" s="11" t="s">
        <v>1762</v>
      </c>
      <c r="W105" s="11" t="s">
        <v>994</v>
      </c>
      <c r="X105" s="11" t="s">
        <v>994</v>
      </c>
      <c r="Y105" s="11" t="s">
        <v>994</v>
      </c>
      <c r="Z105" s="11" t="s">
        <v>994</v>
      </c>
      <c r="AA105" s="11" t="s">
        <v>994</v>
      </c>
      <c r="AB105" s="11" t="s">
        <v>994</v>
      </c>
      <c r="AC105" s="11" t="s">
        <v>994</v>
      </c>
      <c r="AD105" s="11" t="s">
        <v>972</v>
      </c>
      <c r="AE105" s="11" t="s">
        <v>995</v>
      </c>
    </row>
    <row r="106">
      <c r="B106" s="26" t="s">
        <v>278</v>
      </c>
      <c r="C106" s="12" t="s">
        <v>1445</v>
      </c>
      <c r="D106" s="11" t="s">
        <v>515</v>
      </c>
      <c r="E106" s="11" t="s">
        <v>429</v>
      </c>
      <c r="F106" s="12" t="s">
        <v>278</v>
      </c>
      <c r="G106" s="12" t="s">
        <v>246</v>
      </c>
      <c r="H106" s="12" t="s">
        <v>246</v>
      </c>
      <c r="I106" s="12" t="s">
        <v>430</v>
      </c>
      <c r="J106" s="12" t="s">
        <v>20</v>
      </c>
      <c r="K106" s="12" t="s">
        <v>1026</v>
      </c>
      <c r="L106" s="12" t="s">
        <v>247</v>
      </c>
      <c r="M106" s="12" t="s">
        <v>994</v>
      </c>
      <c r="N106" s="13" t="s">
        <v>516</v>
      </c>
      <c r="O106" s="11" t="s">
        <v>432</v>
      </c>
      <c r="P106" s="11" t="s">
        <v>433</v>
      </c>
      <c r="Q106" s="11" t="s">
        <v>125</v>
      </c>
      <c r="R106" s="11" t="s">
        <v>150</v>
      </c>
      <c r="S106" s="11" t="s">
        <v>994</v>
      </c>
      <c r="T106" s="11" t="s">
        <v>126</v>
      </c>
      <c r="U106" s="11" t="s">
        <v>994</v>
      </c>
      <c r="V106" s="11" t="s">
        <v>994</v>
      </c>
      <c r="W106" s="11" t="s">
        <v>994</v>
      </c>
      <c r="X106" s="11" t="s">
        <v>994</v>
      </c>
      <c r="Y106" s="11" t="s">
        <v>994</v>
      </c>
      <c r="Z106" s="11" t="s">
        <v>994</v>
      </c>
      <c r="AA106" s="11" t="s">
        <v>994</v>
      </c>
      <c r="AB106" s="11" t="s">
        <v>994</v>
      </c>
      <c r="AC106" s="11" t="s">
        <v>994</v>
      </c>
      <c r="AD106" s="11" t="s">
        <v>994</v>
      </c>
      <c r="AE106" s="11" t="s">
        <v>1804</v>
      </c>
    </row>
    <row r="107">
      <c r="B107" s="26" t="s">
        <v>278</v>
      </c>
      <c r="C107" s="12" t="s">
        <v>1446</v>
      </c>
      <c r="D107" s="11" t="s">
        <v>517</v>
      </c>
      <c r="E107" s="11" t="s">
        <v>429</v>
      </c>
      <c r="F107" s="12" t="s">
        <v>278</v>
      </c>
      <c r="G107" s="12" t="s">
        <v>246</v>
      </c>
      <c r="H107" s="12" t="s">
        <v>246</v>
      </c>
      <c r="I107" s="12" t="s">
        <v>430</v>
      </c>
      <c r="J107" s="12" t="s">
        <v>20</v>
      </c>
      <c r="K107" s="12" t="s">
        <v>1026</v>
      </c>
      <c r="L107" s="12" t="s">
        <v>247</v>
      </c>
      <c r="M107" s="12" t="s">
        <v>994</v>
      </c>
      <c r="N107" s="13" t="s">
        <v>518</v>
      </c>
      <c r="O107" s="11" t="s">
        <v>432</v>
      </c>
      <c r="P107" s="11" t="s">
        <v>433</v>
      </c>
      <c r="Q107" s="11" t="s">
        <v>125</v>
      </c>
      <c r="R107" s="11" t="s">
        <v>150</v>
      </c>
      <c r="S107" s="11" t="s">
        <v>994</v>
      </c>
      <c r="T107" s="11" t="s">
        <v>126</v>
      </c>
      <c r="U107" s="11" t="s">
        <v>994</v>
      </c>
      <c r="V107" s="11" t="s">
        <v>994</v>
      </c>
      <c r="W107" s="11" t="s">
        <v>994</v>
      </c>
      <c r="X107" s="11" t="s">
        <v>994</v>
      </c>
      <c r="Y107" s="11" t="s">
        <v>994</v>
      </c>
      <c r="Z107" s="11" t="s">
        <v>994</v>
      </c>
      <c r="AA107" s="11" t="s">
        <v>994</v>
      </c>
      <c r="AB107" s="11" t="s">
        <v>994</v>
      </c>
      <c r="AC107" s="11" t="s">
        <v>994</v>
      </c>
      <c r="AD107" s="11" t="s">
        <v>994</v>
      </c>
      <c r="AE107" s="11" t="s">
        <v>1804</v>
      </c>
    </row>
    <row r="108">
      <c r="B108" s="26" t="s">
        <v>283</v>
      </c>
      <c r="C108" s="12" t="s">
        <v>1447</v>
      </c>
      <c r="D108" s="11" t="s">
        <v>519</v>
      </c>
      <c r="E108" s="11" t="s">
        <v>429</v>
      </c>
      <c r="F108" s="12" t="s">
        <v>283</v>
      </c>
      <c r="G108" s="12" t="s">
        <v>246</v>
      </c>
      <c r="H108" s="12" t="s">
        <v>246</v>
      </c>
      <c r="I108" s="12" t="s">
        <v>430</v>
      </c>
      <c r="J108" s="12" t="s">
        <v>20</v>
      </c>
      <c r="K108" s="12" t="s">
        <v>1026</v>
      </c>
      <c r="L108" s="12" t="s">
        <v>247</v>
      </c>
      <c r="M108" s="12" t="s">
        <v>994</v>
      </c>
      <c r="N108" s="13" t="s">
        <v>520</v>
      </c>
      <c r="O108" s="11" t="s">
        <v>432</v>
      </c>
      <c r="P108" s="11" t="s">
        <v>433</v>
      </c>
      <c r="Q108" s="11" t="s">
        <v>125</v>
      </c>
      <c r="R108" s="11" t="s">
        <v>150</v>
      </c>
      <c r="S108" s="11" t="s">
        <v>994</v>
      </c>
      <c r="T108" s="11" t="s">
        <v>125</v>
      </c>
      <c r="U108" s="11" t="s">
        <v>38</v>
      </c>
      <c r="V108" s="11" t="s">
        <v>1762</v>
      </c>
      <c r="W108" s="11" t="s">
        <v>994</v>
      </c>
      <c r="X108" s="11" t="s">
        <v>994</v>
      </c>
      <c r="Y108" s="11" t="s">
        <v>994</v>
      </c>
      <c r="Z108" s="11" t="s">
        <v>994</v>
      </c>
      <c r="AA108" s="11" t="s">
        <v>994</v>
      </c>
      <c r="AB108" s="11" t="s">
        <v>994</v>
      </c>
      <c r="AC108" s="11" t="s">
        <v>994</v>
      </c>
      <c r="AD108" s="11" t="s">
        <v>971</v>
      </c>
      <c r="AE108" s="11" t="s">
        <v>995</v>
      </c>
    </row>
    <row r="109">
      <c r="B109" s="26" t="s">
        <v>283</v>
      </c>
      <c r="C109" s="12" t="s">
        <v>1448</v>
      </c>
      <c r="D109" s="11" t="s">
        <v>521</v>
      </c>
      <c r="E109" s="11" t="s">
        <v>429</v>
      </c>
      <c r="F109" s="12" t="s">
        <v>283</v>
      </c>
      <c r="G109" s="12" t="s">
        <v>246</v>
      </c>
      <c r="H109" s="12" t="s">
        <v>246</v>
      </c>
      <c r="I109" s="12" t="s">
        <v>430</v>
      </c>
      <c r="J109" s="12" t="s">
        <v>20</v>
      </c>
      <c r="K109" s="12" t="s">
        <v>1025</v>
      </c>
      <c r="L109" s="12" t="s">
        <v>247</v>
      </c>
      <c r="M109" s="12" t="s">
        <v>994</v>
      </c>
      <c r="N109" s="13" t="s">
        <v>522</v>
      </c>
      <c r="O109" s="11" t="s">
        <v>432</v>
      </c>
      <c r="P109" s="11" t="s">
        <v>433</v>
      </c>
      <c r="Q109" s="11" t="s">
        <v>125</v>
      </c>
      <c r="R109" s="11" t="s">
        <v>150</v>
      </c>
      <c r="S109" s="11" t="s">
        <v>994</v>
      </c>
      <c r="T109" s="11" t="s">
        <v>125</v>
      </c>
      <c r="U109" s="11" t="s">
        <v>38</v>
      </c>
      <c r="V109" s="11" t="s">
        <v>1756</v>
      </c>
      <c r="W109" s="11" t="s">
        <v>1762</v>
      </c>
      <c r="X109" s="11" t="s">
        <v>994</v>
      </c>
      <c r="Y109" s="11" t="s">
        <v>994</v>
      </c>
      <c r="Z109" s="11" t="s">
        <v>994</v>
      </c>
      <c r="AA109" s="11" t="s">
        <v>994</v>
      </c>
      <c r="AB109" s="11" t="s">
        <v>994</v>
      </c>
      <c r="AC109" s="11" t="s">
        <v>994</v>
      </c>
      <c r="AD109" s="11" t="s">
        <v>1255</v>
      </c>
      <c r="AE109" s="11" t="s">
        <v>995</v>
      </c>
    </row>
    <row r="110">
      <c r="B110" s="26" t="s">
        <v>283</v>
      </c>
      <c r="C110" s="12" t="s">
        <v>1449</v>
      </c>
      <c r="D110" s="11" t="s">
        <v>523</v>
      </c>
      <c r="E110" s="11" t="s">
        <v>429</v>
      </c>
      <c r="F110" s="12" t="s">
        <v>283</v>
      </c>
      <c r="G110" s="12" t="s">
        <v>246</v>
      </c>
      <c r="H110" s="12" t="s">
        <v>246</v>
      </c>
      <c r="I110" s="12" t="s">
        <v>430</v>
      </c>
      <c r="J110" s="12" t="s">
        <v>20</v>
      </c>
      <c r="K110" s="12" t="s">
        <v>1026</v>
      </c>
      <c r="L110" s="12" t="s">
        <v>247</v>
      </c>
      <c r="M110" s="12" t="s">
        <v>994</v>
      </c>
      <c r="N110" s="13" t="s">
        <v>524</v>
      </c>
      <c r="O110" s="11" t="s">
        <v>432</v>
      </c>
      <c r="P110" s="11" t="s">
        <v>433</v>
      </c>
      <c r="Q110" s="11" t="s">
        <v>125</v>
      </c>
      <c r="R110" s="11" t="s">
        <v>150</v>
      </c>
      <c r="S110" s="11" t="s">
        <v>994</v>
      </c>
      <c r="T110" s="11" t="s">
        <v>126</v>
      </c>
      <c r="U110" s="11" t="s">
        <v>994</v>
      </c>
      <c r="V110" s="11" t="s">
        <v>994</v>
      </c>
      <c r="W110" s="11" t="s">
        <v>994</v>
      </c>
      <c r="X110" s="11" t="s">
        <v>994</v>
      </c>
      <c r="Y110" s="11" t="s">
        <v>994</v>
      </c>
      <c r="Z110" s="11" t="s">
        <v>994</v>
      </c>
      <c r="AA110" s="11" t="s">
        <v>994</v>
      </c>
      <c r="AB110" s="11" t="s">
        <v>994</v>
      </c>
      <c r="AC110" s="11" t="s">
        <v>994</v>
      </c>
      <c r="AD110" s="11" t="s">
        <v>994</v>
      </c>
      <c r="AE110" s="11" t="s">
        <v>1804</v>
      </c>
    </row>
    <row r="111">
      <c r="B111" s="26" t="s">
        <v>416</v>
      </c>
      <c r="C111" s="12" t="s">
        <v>1450</v>
      </c>
      <c r="D111" s="11" t="s">
        <v>525</v>
      </c>
      <c r="E111" s="11" t="s">
        <v>429</v>
      </c>
      <c r="F111" s="12" t="s">
        <v>416</v>
      </c>
      <c r="G111" s="12" t="s">
        <v>247</v>
      </c>
      <c r="H111" s="12" t="s">
        <v>126</v>
      </c>
      <c r="I111" s="12" t="s">
        <v>430</v>
      </c>
      <c r="J111" s="12" t="s">
        <v>20</v>
      </c>
      <c r="K111" s="12" t="s">
        <v>1026</v>
      </c>
      <c r="L111" s="12" t="s">
        <v>247</v>
      </c>
      <c r="M111" s="12" t="s">
        <v>994</v>
      </c>
      <c r="N111" s="13" t="s">
        <v>27</v>
      </c>
      <c r="O111" s="11" t="s">
        <v>526</v>
      </c>
      <c r="P111" s="11" t="s">
        <v>433</v>
      </c>
      <c r="Q111" s="11" t="s">
        <v>125</v>
      </c>
      <c r="R111" s="11" t="s">
        <v>150</v>
      </c>
      <c r="S111" s="11" t="s">
        <v>994</v>
      </c>
      <c r="T111" s="11" t="s">
        <v>126</v>
      </c>
      <c r="U111" s="11" t="s">
        <v>994</v>
      </c>
      <c r="V111" s="11" t="s">
        <v>994</v>
      </c>
      <c r="W111" s="11" t="s">
        <v>994</v>
      </c>
      <c r="X111" s="11" t="s">
        <v>994</v>
      </c>
      <c r="Y111" s="11" t="s">
        <v>994</v>
      </c>
      <c r="Z111" s="11" t="s">
        <v>994</v>
      </c>
      <c r="AA111" s="11" t="s">
        <v>994</v>
      </c>
      <c r="AB111" s="11" t="s">
        <v>994</v>
      </c>
      <c r="AC111" s="11" t="s">
        <v>994</v>
      </c>
      <c r="AD111" s="11" t="s">
        <v>994</v>
      </c>
      <c r="AE111" s="11" t="s">
        <v>1804</v>
      </c>
    </row>
    <row r="112">
      <c r="B112" s="26" t="s">
        <v>416</v>
      </c>
      <c r="C112" s="12" t="s">
        <v>1451</v>
      </c>
      <c r="D112" s="11" t="s">
        <v>142</v>
      </c>
      <c r="E112" s="11" t="s">
        <v>429</v>
      </c>
      <c r="F112" s="12" t="s">
        <v>416</v>
      </c>
      <c r="G112" s="12" t="s">
        <v>247</v>
      </c>
      <c r="H112" s="12" t="s">
        <v>126</v>
      </c>
      <c r="I112" s="12" t="s">
        <v>430</v>
      </c>
      <c r="J112" s="12" t="s">
        <v>20</v>
      </c>
      <c r="K112" s="12" t="s">
        <v>1026</v>
      </c>
      <c r="L112" s="12" t="s">
        <v>247</v>
      </c>
      <c r="M112" s="12" t="s">
        <v>994</v>
      </c>
      <c r="N112" s="13" t="s">
        <v>527</v>
      </c>
      <c r="O112" s="11" t="s">
        <v>432</v>
      </c>
      <c r="P112" s="11" t="s">
        <v>433</v>
      </c>
      <c r="Q112" s="11" t="s">
        <v>125</v>
      </c>
      <c r="R112" s="11" t="s">
        <v>150</v>
      </c>
      <c r="S112" s="11" t="s">
        <v>994</v>
      </c>
      <c r="T112" s="11" t="s">
        <v>126</v>
      </c>
      <c r="U112" s="11" t="s">
        <v>994</v>
      </c>
      <c r="V112" s="11" t="s">
        <v>994</v>
      </c>
      <c r="W112" s="11" t="s">
        <v>994</v>
      </c>
      <c r="X112" s="11" t="s">
        <v>994</v>
      </c>
      <c r="Y112" s="11" t="s">
        <v>994</v>
      </c>
      <c r="Z112" s="11" t="s">
        <v>994</v>
      </c>
      <c r="AA112" s="11" t="s">
        <v>994</v>
      </c>
      <c r="AB112" s="11" t="s">
        <v>994</v>
      </c>
      <c r="AC112" s="11" t="s">
        <v>994</v>
      </c>
      <c r="AD112" s="11" t="s">
        <v>994</v>
      </c>
      <c r="AE112" s="11" t="s">
        <v>1804</v>
      </c>
    </row>
    <row r="113">
      <c r="B113" s="26" t="s">
        <v>416</v>
      </c>
      <c r="C113" s="12" t="s">
        <v>1452</v>
      </c>
      <c r="D113" s="11" t="s">
        <v>31</v>
      </c>
      <c r="E113" s="11" t="s">
        <v>429</v>
      </c>
      <c r="F113" s="12" t="s">
        <v>416</v>
      </c>
      <c r="G113" s="12" t="s">
        <v>247</v>
      </c>
      <c r="H113" s="12" t="s">
        <v>126</v>
      </c>
      <c r="I113" s="12" t="s">
        <v>430</v>
      </c>
      <c r="J113" s="12" t="s">
        <v>20</v>
      </c>
      <c r="K113" s="12" t="s">
        <v>1026</v>
      </c>
      <c r="L113" s="12" t="s">
        <v>247</v>
      </c>
      <c r="M113" s="12" t="s">
        <v>994</v>
      </c>
      <c r="N113" s="13" t="s">
        <v>32</v>
      </c>
      <c r="O113" s="11" t="s">
        <v>432</v>
      </c>
      <c r="P113" s="11" t="s">
        <v>433</v>
      </c>
      <c r="Q113" s="11" t="s">
        <v>125</v>
      </c>
      <c r="R113" s="11" t="s">
        <v>150</v>
      </c>
      <c r="S113" s="11" t="s">
        <v>125</v>
      </c>
      <c r="T113" s="11" t="s">
        <v>125</v>
      </c>
      <c r="U113" s="11" t="s">
        <v>38</v>
      </c>
      <c r="V113" s="11" t="s">
        <v>1378</v>
      </c>
      <c r="W113" s="11" t="s">
        <v>994</v>
      </c>
      <c r="X113" s="11" t="s">
        <v>994</v>
      </c>
      <c r="Y113" s="11" t="s">
        <v>994</v>
      </c>
      <c r="Z113" s="11" t="s">
        <v>994</v>
      </c>
      <c r="AA113" s="11" t="s">
        <v>994</v>
      </c>
      <c r="AB113" s="11" t="s">
        <v>994</v>
      </c>
      <c r="AC113" s="11" t="s">
        <v>994</v>
      </c>
      <c r="AD113" s="11" t="s">
        <v>994</v>
      </c>
      <c r="AE113" s="11" t="s">
        <v>995</v>
      </c>
    </row>
    <row r="114">
      <c r="B114" s="26" t="s">
        <v>278</v>
      </c>
      <c r="C114" s="12" t="s">
        <v>1453</v>
      </c>
      <c r="D114" s="11" t="s">
        <v>530</v>
      </c>
      <c r="E114" s="11" t="s">
        <v>93</v>
      </c>
      <c r="F114" s="12" t="s">
        <v>278</v>
      </c>
      <c r="G114" s="12" t="s">
        <v>246</v>
      </c>
      <c r="H114" s="12" t="s">
        <v>246</v>
      </c>
      <c r="I114" s="12" t="s">
        <v>430</v>
      </c>
      <c r="J114" s="12" t="s">
        <v>93</v>
      </c>
      <c r="K114" s="12" t="s">
        <v>1025</v>
      </c>
      <c r="L114" s="12" t="s">
        <v>247</v>
      </c>
      <c r="M114" s="12" t="s">
        <v>994</v>
      </c>
      <c r="N114" s="13" t="s">
        <v>531</v>
      </c>
      <c r="O114" s="11" t="s">
        <v>532</v>
      </c>
      <c r="P114" s="11" t="s">
        <v>533</v>
      </c>
      <c r="Q114" s="11" t="s">
        <v>125</v>
      </c>
      <c r="R114" s="11" t="s">
        <v>150</v>
      </c>
      <c r="S114" s="11" t="s">
        <v>994</v>
      </c>
      <c r="T114" s="11" t="s">
        <v>126</v>
      </c>
      <c r="U114" s="11" t="s">
        <v>994</v>
      </c>
      <c r="V114" s="11" t="s">
        <v>994</v>
      </c>
      <c r="W114" s="11" t="s">
        <v>994</v>
      </c>
      <c r="X114" s="11" t="s">
        <v>994</v>
      </c>
      <c r="Y114" s="11" t="s">
        <v>994</v>
      </c>
      <c r="Z114" s="11" t="s">
        <v>994</v>
      </c>
      <c r="AA114" s="11" t="s">
        <v>994</v>
      </c>
      <c r="AB114" s="11" t="s">
        <v>994</v>
      </c>
      <c r="AC114" s="11" t="s">
        <v>994</v>
      </c>
      <c r="AD114" s="11" t="s">
        <v>994</v>
      </c>
      <c r="AE114" s="11" t="s">
        <v>1804</v>
      </c>
    </row>
    <row r="115">
      <c r="B115" s="26" t="s">
        <v>49</v>
      </c>
      <c r="C115" s="12" t="s">
        <v>1454</v>
      </c>
      <c r="D115" s="11" t="s">
        <v>534</v>
      </c>
      <c r="E115" s="11" t="s">
        <v>93</v>
      </c>
      <c r="F115" s="12" t="s">
        <v>49</v>
      </c>
      <c r="G115" s="12" t="s">
        <v>246</v>
      </c>
      <c r="H115" s="12" t="s">
        <v>246</v>
      </c>
      <c r="I115" s="12" t="s">
        <v>430</v>
      </c>
      <c r="J115" s="12" t="s">
        <v>93</v>
      </c>
      <c r="K115" s="12" t="s">
        <v>1026</v>
      </c>
      <c r="L115" s="12" t="s">
        <v>247</v>
      </c>
      <c r="M115" s="12" t="s">
        <v>994</v>
      </c>
      <c r="N115" s="13" t="s">
        <v>535</v>
      </c>
      <c r="O115" s="11" t="s">
        <v>532</v>
      </c>
      <c r="P115" s="11" t="s">
        <v>533</v>
      </c>
      <c r="Q115" s="11" t="s">
        <v>125</v>
      </c>
      <c r="R115" s="11" t="s">
        <v>150</v>
      </c>
      <c r="S115" s="11" t="s">
        <v>994</v>
      </c>
      <c r="T115" s="11" t="s">
        <v>126</v>
      </c>
      <c r="U115" s="11" t="s">
        <v>994</v>
      </c>
      <c r="V115" s="11" t="s">
        <v>994</v>
      </c>
      <c r="W115" s="11" t="s">
        <v>994</v>
      </c>
      <c r="X115" s="11" t="s">
        <v>994</v>
      </c>
      <c r="Y115" s="11" t="s">
        <v>994</v>
      </c>
      <c r="Z115" s="11" t="s">
        <v>994</v>
      </c>
      <c r="AA115" s="11" t="s">
        <v>994</v>
      </c>
      <c r="AB115" s="11" t="s">
        <v>994</v>
      </c>
      <c r="AC115" s="11" t="s">
        <v>994</v>
      </c>
      <c r="AD115" s="11" t="s">
        <v>994</v>
      </c>
      <c r="AE115" s="11" t="s">
        <v>1804</v>
      </c>
    </row>
    <row r="116">
      <c r="B116" s="26" t="s">
        <v>311</v>
      </c>
      <c r="C116" s="12" t="s">
        <v>1455</v>
      </c>
      <c r="D116" s="11" t="s">
        <v>536</v>
      </c>
      <c r="E116" s="11" t="s">
        <v>93</v>
      </c>
      <c r="F116" s="12" t="s">
        <v>311</v>
      </c>
      <c r="G116" s="12" t="s">
        <v>246</v>
      </c>
      <c r="H116" s="12" t="s">
        <v>246</v>
      </c>
      <c r="I116" s="12" t="s">
        <v>430</v>
      </c>
      <c r="J116" s="12" t="s">
        <v>93</v>
      </c>
      <c r="K116" s="12" t="s">
        <v>1026</v>
      </c>
      <c r="L116" s="12" t="s">
        <v>247</v>
      </c>
      <c r="M116" s="12" t="s">
        <v>994</v>
      </c>
      <c r="N116" s="13" t="s">
        <v>537</v>
      </c>
      <c r="O116" s="11" t="s">
        <v>532</v>
      </c>
      <c r="P116" s="11" t="s">
        <v>533</v>
      </c>
      <c r="Q116" s="11" t="s">
        <v>125</v>
      </c>
      <c r="R116" s="11" t="s">
        <v>150</v>
      </c>
      <c r="S116" s="11" t="s">
        <v>994</v>
      </c>
      <c r="T116" s="11" t="s">
        <v>126</v>
      </c>
      <c r="U116" s="11" t="s">
        <v>994</v>
      </c>
      <c r="V116" s="11" t="s">
        <v>994</v>
      </c>
      <c r="W116" s="11" t="s">
        <v>994</v>
      </c>
      <c r="X116" s="11" t="s">
        <v>994</v>
      </c>
      <c r="Y116" s="11" t="s">
        <v>994</v>
      </c>
      <c r="Z116" s="11" t="s">
        <v>994</v>
      </c>
      <c r="AA116" s="11" t="s">
        <v>994</v>
      </c>
      <c r="AB116" s="11" t="s">
        <v>994</v>
      </c>
      <c r="AC116" s="11" t="s">
        <v>994</v>
      </c>
      <c r="AD116" s="11" t="s">
        <v>994</v>
      </c>
      <c r="AE116" s="11" t="s">
        <v>1804</v>
      </c>
    </row>
    <row r="117">
      <c r="B117" s="26" t="s">
        <v>49</v>
      </c>
      <c r="C117" s="12" t="s">
        <v>1456</v>
      </c>
      <c r="D117" s="11" t="s">
        <v>538</v>
      </c>
      <c r="E117" s="11" t="s">
        <v>93</v>
      </c>
      <c r="F117" s="12" t="s">
        <v>413</v>
      </c>
      <c r="G117" s="12" t="s">
        <v>246</v>
      </c>
      <c r="H117" s="12" t="s">
        <v>246</v>
      </c>
      <c r="I117" s="12" t="s">
        <v>430</v>
      </c>
      <c r="J117" s="12" t="s">
        <v>93</v>
      </c>
      <c r="K117" s="12" t="s">
        <v>1026</v>
      </c>
      <c r="L117" s="12" t="s">
        <v>247</v>
      </c>
      <c r="M117" s="12" t="s">
        <v>994</v>
      </c>
      <c r="N117" s="13" t="s">
        <v>539</v>
      </c>
      <c r="O117" s="11" t="s">
        <v>532</v>
      </c>
      <c r="P117" s="11" t="s">
        <v>533</v>
      </c>
      <c r="Q117" s="11" t="s">
        <v>125</v>
      </c>
      <c r="R117" s="11" t="s">
        <v>150</v>
      </c>
      <c r="S117" s="11" t="s">
        <v>994</v>
      </c>
      <c r="T117" s="11" t="s">
        <v>126</v>
      </c>
      <c r="U117" s="11" t="s">
        <v>994</v>
      </c>
      <c r="V117" s="11" t="s">
        <v>994</v>
      </c>
      <c r="W117" s="11" t="s">
        <v>994</v>
      </c>
      <c r="X117" s="11" t="s">
        <v>994</v>
      </c>
      <c r="Y117" s="11" t="s">
        <v>994</v>
      </c>
      <c r="Z117" s="11" t="s">
        <v>994</v>
      </c>
      <c r="AA117" s="11" t="s">
        <v>994</v>
      </c>
      <c r="AB117" s="11" t="s">
        <v>994</v>
      </c>
      <c r="AC117" s="11" t="s">
        <v>994</v>
      </c>
      <c r="AD117" s="11" t="s">
        <v>994</v>
      </c>
      <c r="AE117" s="11" t="s">
        <v>1804</v>
      </c>
    </row>
    <row r="118">
      <c r="B118" s="26" t="s">
        <v>49</v>
      </c>
      <c r="C118" s="12" t="s">
        <v>1457</v>
      </c>
      <c r="D118" s="11" t="s">
        <v>540</v>
      </c>
      <c r="E118" s="11" t="s">
        <v>93</v>
      </c>
      <c r="F118" s="12" t="s">
        <v>435</v>
      </c>
      <c r="G118" s="12" t="s">
        <v>246</v>
      </c>
      <c r="H118" s="12" t="s">
        <v>246</v>
      </c>
      <c r="I118" s="12" t="s">
        <v>430</v>
      </c>
      <c r="J118" s="12" t="s">
        <v>93</v>
      </c>
      <c r="K118" s="12" t="s">
        <v>1026</v>
      </c>
      <c r="L118" s="12" t="s">
        <v>247</v>
      </c>
      <c r="M118" s="12" t="s">
        <v>994</v>
      </c>
      <c r="N118" s="13" t="s">
        <v>541</v>
      </c>
      <c r="O118" s="11" t="s">
        <v>532</v>
      </c>
      <c r="P118" s="11" t="s">
        <v>533</v>
      </c>
      <c r="Q118" s="11" t="s">
        <v>125</v>
      </c>
      <c r="R118" s="11" t="s">
        <v>150</v>
      </c>
      <c r="S118" s="11" t="s">
        <v>994</v>
      </c>
      <c r="T118" s="11" t="s">
        <v>126</v>
      </c>
      <c r="U118" s="11" t="s">
        <v>994</v>
      </c>
      <c r="V118" s="11" t="s">
        <v>994</v>
      </c>
      <c r="W118" s="11" t="s">
        <v>994</v>
      </c>
      <c r="X118" s="11" t="s">
        <v>994</v>
      </c>
      <c r="Y118" s="11" t="s">
        <v>994</v>
      </c>
      <c r="Z118" s="11" t="s">
        <v>994</v>
      </c>
      <c r="AA118" s="11" t="s">
        <v>994</v>
      </c>
      <c r="AB118" s="11" t="s">
        <v>994</v>
      </c>
      <c r="AC118" s="11" t="s">
        <v>994</v>
      </c>
      <c r="AD118" s="11" t="s">
        <v>994</v>
      </c>
      <c r="AE118" s="11" t="s">
        <v>1804</v>
      </c>
    </row>
    <row r="119">
      <c r="B119" s="26" t="s">
        <v>49</v>
      </c>
      <c r="C119" s="12" t="s">
        <v>1458</v>
      </c>
      <c r="D119" s="11" t="s">
        <v>542</v>
      </c>
      <c r="E119" s="11" t="s">
        <v>93</v>
      </c>
      <c r="F119" s="12" t="s">
        <v>543</v>
      </c>
      <c r="G119" s="12" t="s">
        <v>246</v>
      </c>
      <c r="H119" s="12" t="s">
        <v>246</v>
      </c>
      <c r="I119" s="12" t="s">
        <v>430</v>
      </c>
      <c r="J119" s="12" t="s">
        <v>93</v>
      </c>
      <c r="K119" s="12" t="s">
        <v>1026</v>
      </c>
      <c r="L119" s="12" t="s">
        <v>247</v>
      </c>
      <c r="M119" s="12" t="s">
        <v>994</v>
      </c>
      <c r="N119" s="13" t="s">
        <v>544</v>
      </c>
      <c r="O119" s="11" t="s">
        <v>532</v>
      </c>
      <c r="P119" s="11" t="s">
        <v>533</v>
      </c>
      <c r="Q119" s="11" t="s">
        <v>125</v>
      </c>
      <c r="R119" s="11" t="s">
        <v>150</v>
      </c>
      <c r="S119" s="11" t="s">
        <v>994</v>
      </c>
      <c r="T119" s="11" t="s">
        <v>126</v>
      </c>
      <c r="U119" s="11" t="s">
        <v>994</v>
      </c>
      <c r="V119" s="11" t="s">
        <v>994</v>
      </c>
      <c r="W119" s="11" t="s">
        <v>994</v>
      </c>
      <c r="X119" s="11" t="s">
        <v>994</v>
      </c>
      <c r="Y119" s="11" t="s">
        <v>994</v>
      </c>
      <c r="Z119" s="11" t="s">
        <v>994</v>
      </c>
      <c r="AA119" s="11" t="s">
        <v>994</v>
      </c>
      <c r="AB119" s="11" t="s">
        <v>994</v>
      </c>
      <c r="AC119" s="11" t="s">
        <v>994</v>
      </c>
      <c r="AD119" s="11" t="s">
        <v>994</v>
      </c>
      <c r="AE119" s="11" t="s">
        <v>1804</v>
      </c>
    </row>
    <row r="120">
      <c r="B120" s="26" t="s">
        <v>416</v>
      </c>
      <c r="C120" s="12" t="s">
        <v>1459</v>
      </c>
      <c r="D120" s="11" t="s">
        <v>545</v>
      </c>
      <c r="E120" s="11" t="s">
        <v>93</v>
      </c>
      <c r="F120" s="12" t="s">
        <v>416</v>
      </c>
      <c r="G120" s="12" t="s">
        <v>246</v>
      </c>
      <c r="H120" s="12" t="s">
        <v>246</v>
      </c>
      <c r="I120" s="12" t="s">
        <v>430</v>
      </c>
      <c r="J120" s="12" t="s">
        <v>93</v>
      </c>
      <c r="K120" s="12" t="s">
        <v>1026</v>
      </c>
      <c r="L120" s="12" t="s">
        <v>247</v>
      </c>
      <c r="M120" s="12" t="s">
        <v>994</v>
      </c>
      <c r="N120" s="13" t="s">
        <v>546</v>
      </c>
      <c r="O120" s="11" t="s">
        <v>532</v>
      </c>
      <c r="P120" s="11" t="s">
        <v>533</v>
      </c>
      <c r="Q120" s="11" t="s">
        <v>125</v>
      </c>
      <c r="R120" s="11" t="s">
        <v>150</v>
      </c>
      <c r="S120" s="11" t="s">
        <v>994</v>
      </c>
      <c r="T120" s="11" t="s">
        <v>126</v>
      </c>
      <c r="U120" s="11" t="s">
        <v>994</v>
      </c>
      <c r="V120" s="11" t="s">
        <v>994</v>
      </c>
      <c r="W120" s="11" t="s">
        <v>994</v>
      </c>
      <c r="X120" s="11" t="s">
        <v>994</v>
      </c>
      <c r="Y120" s="11" t="s">
        <v>994</v>
      </c>
      <c r="Z120" s="11" t="s">
        <v>994</v>
      </c>
      <c r="AA120" s="11" t="s">
        <v>994</v>
      </c>
      <c r="AB120" s="11" t="s">
        <v>994</v>
      </c>
      <c r="AC120" s="11" t="s">
        <v>994</v>
      </c>
      <c r="AD120" s="11" t="s">
        <v>994</v>
      </c>
      <c r="AE120" s="11" t="s">
        <v>1804</v>
      </c>
    </row>
    <row r="121">
      <c r="B121" s="26" t="s">
        <v>49</v>
      </c>
      <c r="C121" s="12" t="s">
        <v>1460</v>
      </c>
      <c r="D121" s="11" t="s">
        <v>547</v>
      </c>
      <c r="E121" s="11" t="s">
        <v>93</v>
      </c>
      <c r="F121" s="12" t="s">
        <v>377</v>
      </c>
      <c r="G121" s="12" t="s">
        <v>246</v>
      </c>
      <c r="H121" s="12" t="s">
        <v>246</v>
      </c>
      <c r="I121" s="12" t="s">
        <v>430</v>
      </c>
      <c r="J121" s="12" t="s">
        <v>93</v>
      </c>
      <c r="K121" s="12" t="s">
        <v>1026</v>
      </c>
      <c r="L121" s="12" t="s">
        <v>247</v>
      </c>
      <c r="M121" s="12" t="s">
        <v>994</v>
      </c>
      <c r="N121" s="13" t="s">
        <v>548</v>
      </c>
      <c r="O121" s="11" t="s">
        <v>532</v>
      </c>
      <c r="P121" s="11" t="s">
        <v>533</v>
      </c>
      <c r="Q121" s="11" t="s">
        <v>125</v>
      </c>
      <c r="R121" s="11" t="s">
        <v>150</v>
      </c>
      <c r="S121" s="11" t="s">
        <v>994</v>
      </c>
      <c r="T121" s="11" t="s">
        <v>126</v>
      </c>
      <c r="U121" s="11" t="s">
        <v>994</v>
      </c>
      <c r="V121" s="11" t="s">
        <v>994</v>
      </c>
      <c r="W121" s="11" t="s">
        <v>994</v>
      </c>
      <c r="X121" s="11" t="s">
        <v>994</v>
      </c>
      <c r="Y121" s="11" t="s">
        <v>994</v>
      </c>
      <c r="Z121" s="11" t="s">
        <v>994</v>
      </c>
      <c r="AA121" s="11" t="s">
        <v>994</v>
      </c>
      <c r="AB121" s="11" t="s">
        <v>994</v>
      </c>
      <c r="AC121" s="11" t="s">
        <v>994</v>
      </c>
      <c r="AD121" s="11" t="s">
        <v>994</v>
      </c>
      <c r="AE121" s="11" t="s">
        <v>1804</v>
      </c>
    </row>
    <row r="122">
      <c r="B122" s="26" t="s">
        <v>314</v>
      </c>
      <c r="C122" s="12" t="s">
        <v>1461</v>
      </c>
      <c r="D122" s="11" t="s">
        <v>549</v>
      </c>
      <c r="E122" s="11" t="s">
        <v>93</v>
      </c>
      <c r="F122" s="12" t="s">
        <v>314</v>
      </c>
      <c r="G122" s="12" t="s">
        <v>246</v>
      </c>
      <c r="H122" s="12" t="s">
        <v>246</v>
      </c>
      <c r="I122" s="12" t="s">
        <v>430</v>
      </c>
      <c r="J122" s="12" t="s">
        <v>93</v>
      </c>
      <c r="K122" s="12" t="s">
        <v>1025</v>
      </c>
      <c r="L122" s="12" t="s">
        <v>247</v>
      </c>
      <c r="M122" s="12" t="s">
        <v>994</v>
      </c>
      <c r="N122" s="13" t="s">
        <v>550</v>
      </c>
      <c r="O122" s="11" t="s">
        <v>532</v>
      </c>
      <c r="P122" s="11" t="s">
        <v>533</v>
      </c>
      <c r="Q122" s="11" t="s">
        <v>125</v>
      </c>
      <c r="R122" s="11" t="s">
        <v>150</v>
      </c>
      <c r="S122" s="11" t="s">
        <v>994</v>
      </c>
      <c r="T122" s="11" t="s">
        <v>126</v>
      </c>
      <c r="U122" s="11" t="s">
        <v>994</v>
      </c>
      <c r="V122" s="11" t="s">
        <v>994</v>
      </c>
      <c r="W122" s="11" t="s">
        <v>994</v>
      </c>
      <c r="X122" s="11" t="s">
        <v>994</v>
      </c>
      <c r="Y122" s="11" t="s">
        <v>994</v>
      </c>
      <c r="Z122" s="11" t="s">
        <v>994</v>
      </c>
      <c r="AA122" s="11" t="s">
        <v>994</v>
      </c>
      <c r="AB122" s="11" t="s">
        <v>994</v>
      </c>
      <c r="AC122" s="11" t="s">
        <v>994</v>
      </c>
      <c r="AD122" s="11" t="s">
        <v>994</v>
      </c>
      <c r="AE122" s="11" t="s">
        <v>1804</v>
      </c>
    </row>
    <row r="123">
      <c r="B123" s="26" t="s">
        <v>49</v>
      </c>
      <c r="C123" s="12" t="s">
        <v>1462</v>
      </c>
      <c r="D123" s="11" t="s">
        <v>551</v>
      </c>
      <c r="E123" s="11" t="s">
        <v>93</v>
      </c>
      <c r="F123" s="12" t="s">
        <v>419</v>
      </c>
      <c r="G123" s="12" t="s">
        <v>246</v>
      </c>
      <c r="H123" s="12" t="s">
        <v>246</v>
      </c>
      <c r="I123" s="12" t="s">
        <v>430</v>
      </c>
      <c r="J123" s="12" t="s">
        <v>93</v>
      </c>
      <c r="K123" s="12" t="s">
        <v>1026</v>
      </c>
      <c r="L123" s="12" t="s">
        <v>247</v>
      </c>
      <c r="M123" s="12" t="s">
        <v>994</v>
      </c>
      <c r="N123" s="13" t="s">
        <v>552</v>
      </c>
      <c r="O123" s="11" t="s">
        <v>532</v>
      </c>
      <c r="P123" s="11" t="s">
        <v>533</v>
      </c>
      <c r="Q123" s="11" t="s">
        <v>125</v>
      </c>
      <c r="R123" s="11" t="s">
        <v>150</v>
      </c>
      <c r="S123" s="11" t="s">
        <v>994</v>
      </c>
      <c r="T123" s="11" t="s">
        <v>126</v>
      </c>
      <c r="U123" s="11" t="s">
        <v>994</v>
      </c>
      <c r="V123" s="11" t="s">
        <v>994</v>
      </c>
      <c r="W123" s="11" t="s">
        <v>994</v>
      </c>
      <c r="X123" s="11" t="s">
        <v>994</v>
      </c>
      <c r="Y123" s="11" t="s">
        <v>994</v>
      </c>
      <c r="Z123" s="11" t="s">
        <v>994</v>
      </c>
      <c r="AA123" s="11" t="s">
        <v>994</v>
      </c>
      <c r="AB123" s="11" t="s">
        <v>994</v>
      </c>
      <c r="AC123" s="11" t="s">
        <v>994</v>
      </c>
      <c r="AD123" s="11" t="s">
        <v>994</v>
      </c>
      <c r="AE123" s="11" t="s">
        <v>1804</v>
      </c>
    </row>
    <row r="124">
      <c r="B124" s="26" t="s">
        <v>49</v>
      </c>
      <c r="C124" s="12" t="s">
        <v>1463</v>
      </c>
      <c r="D124" s="11" t="s">
        <v>553</v>
      </c>
      <c r="E124" s="11" t="s">
        <v>93</v>
      </c>
      <c r="F124" s="12" t="s">
        <v>554</v>
      </c>
      <c r="G124" s="12" t="s">
        <v>246</v>
      </c>
      <c r="H124" s="12" t="s">
        <v>246</v>
      </c>
      <c r="I124" s="12" t="s">
        <v>430</v>
      </c>
      <c r="J124" s="12" t="s">
        <v>93</v>
      </c>
      <c r="K124" s="12" t="s">
        <v>1025</v>
      </c>
      <c r="L124" s="12" t="s">
        <v>247</v>
      </c>
      <c r="M124" s="12" t="s">
        <v>994</v>
      </c>
      <c r="N124" s="13" t="s">
        <v>555</v>
      </c>
      <c r="O124" s="11" t="s">
        <v>532</v>
      </c>
      <c r="P124" s="11" t="s">
        <v>533</v>
      </c>
      <c r="Q124" s="11" t="s">
        <v>125</v>
      </c>
      <c r="R124" s="11" t="s">
        <v>150</v>
      </c>
      <c r="S124" s="11" t="s">
        <v>994</v>
      </c>
      <c r="T124" s="11" t="s">
        <v>126</v>
      </c>
      <c r="U124" s="11" t="s">
        <v>994</v>
      </c>
      <c r="V124" s="11" t="s">
        <v>994</v>
      </c>
      <c r="W124" s="11" t="s">
        <v>994</v>
      </c>
      <c r="X124" s="11" t="s">
        <v>994</v>
      </c>
      <c r="Y124" s="11" t="s">
        <v>994</v>
      </c>
      <c r="Z124" s="11" t="s">
        <v>994</v>
      </c>
      <c r="AA124" s="11" t="s">
        <v>994</v>
      </c>
      <c r="AB124" s="11" t="s">
        <v>994</v>
      </c>
      <c r="AC124" s="11" t="s">
        <v>994</v>
      </c>
      <c r="AD124" s="11" t="s">
        <v>994</v>
      </c>
      <c r="AE124" s="11" t="s">
        <v>1804</v>
      </c>
    </row>
    <row r="125">
      <c r="B125" s="26" t="s">
        <v>49</v>
      </c>
      <c r="C125" s="12" t="s">
        <v>1464</v>
      </c>
      <c r="D125" s="11" t="s">
        <v>556</v>
      </c>
      <c r="E125" s="11" t="s">
        <v>93</v>
      </c>
      <c r="F125" s="12" t="s">
        <v>557</v>
      </c>
      <c r="G125" s="12" t="s">
        <v>246</v>
      </c>
      <c r="H125" s="12" t="s">
        <v>246</v>
      </c>
      <c r="I125" s="12" t="s">
        <v>430</v>
      </c>
      <c r="J125" s="12" t="s">
        <v>93</v>
      </c>
      <c r="K125" s="12" t="s">
        <v>1026</v>
      </c>
      <c r="L125" s="12" t="s">
        <v>247</v>
      </c>
      <c r="M125" s="12" t="s">
        <v>994</v>
      </c>
      <c r="N125" s="13" t="s">
        <v>558</v>
      </c>
      <c r="O125" s="11" t="s">
        <v>532</v>
      </c>
      <c r="P125" s="11" t="s">
        <v>533</v>
      </c>
      <c r="Q125" s="11" t="s">
        <v>125</v>
      </c>
      <c r="R125" s="11" t="s">
        <v>150</v>
      </c>
      <c r="S125" s="11" t="s">
        <v>994</v>
      </c>
      <c r="T125" s="11" t="s">
        <v>126</v>
      </c>
      <c r="U125" s="11" t="s">
        <v>994</v>
      </c>
      <c r="V125" s="11" t="s">
        <v>994</v>
      </c>
      <c r="W125" s="11" t="s">
        <v>994</v>
      </c>
      <c r="X125" s="11" t="s">
        <v>994</v>
      </c>
      <c r="Y125" s="11" t="s">
        <v>994</v>
      </c>
      <c r="Z125" s="11" t="s">
        <v>994</v>
      </c>
      <c r="AA125" s="11" t="s">
        <v>994</v>
      </c>
      <c r="AB125" s="11" t="s">
        <v>994</v>
      </c>
      <c r="AC125" s="11" t="s">
        <v>994</v>
      </c>
      <c r="AD125" s="11" t="s">
        <v>994</v>
      </c>
      <c r="AE125" s="11" t="s">
        <v>1804</v>
      </c>
    </row>
    <row r="126">
      <c r="B126" s="26" t="s">
        <v>416</v>
      </c>
      <c r="C126" s="12" t="s">
        <v>1465</v>
      </c>
      <c r="D126" s="11" t="s">
        <v>559</v>
      </c>
      <c r="E126" s="11" t="s">
        <v>93</v>
      </c>
      <c r="F126" s="12" t="s">
        <v>416</v>
      </c>
      <c r="G126" s="12" t="s">
        <v>246</v>
      </c>
      <c r="H126" s="12" t="s">
        <v>246</v>
      </c>
      <c r="I126" s="12" t="s">
        <v>430</v>
      </c>
      <c r="J126" s="12" t="s">
        <v>93</v>
      </c>
      <c r="K126" s="12" t="s">
        <v>1025</v>
      </c>
      <c r="L126" s="12" t="s">
        <v>247</v>
      </c>
      <c r="M126" s="12" t="s">
        <v>994</v>
      </c>
      <c r="N126" s="13" t="s">
        <v>560</v>
      </c>
      <c r="O126" s="11" t="s">
        <v>532</v>
      </c>
      <c r="P126" s="11" t="s">
        <v>533</v>
      </c>
      <c r="Q126" s="11" t="s">
        <v>125</v>
      </c>
      <c r="R126" s="11" t="s">
        <v>150</v>
      </c>
      <c r="S126" s="11" t="s">
        <v>994</v>
      </c>
      <c r="T126" s="11" t="s">
        <v>126</v>
      </c>
      <c r="U126" s="11" t="s">
        <v>994</v>
      </c>
      <c r="V126" s="11" t="s">
        <v>994</v>
      </c>
      <c r="W126" s="11" t="s">
        <v>994</v>
      </c>
      <c r="X126" s="11" t="s">
        <v>994</v>
      </c>
      <c r="Y126" s="11" t="s">
        <v>994</v>
      </c>
      <c r="Z126" s="11" t="s">
        <v>994</v>
      </c>
      <c r="AA126" s="11" t="s">
        <v>994</v>
      </c>
      <c r="AB126" s="11" t="s">
        <v>994</v>
      </c>
      <c r="AC126" s="11" t="s">
        <v>994</v>
      </c>
      <c r="AD126" s="11" t="s">
        <v>994</v>
      </c>
      <c r="AE126" s="11" t="s">
        <v>1804</v>
      </c>
    </row>
    <row r="127">
      <c r="B127" s="26" t="s">
        <v>49</v>
      </c>
      <c r="C127" s="12" t="s">
        <v>1466</v>
      </c>
      <c r="D127" s="11" t="s">
        <v>561</v>
      </c>
      <c r="E127" s="11" t="s">
        <v>93</v>
      </c>
      <c r="F127" s="12" t="s">
        <v>447</v>
      </c>
      <c r="G127" s="12" t="s">
        <v>246</v>
      </c>
      <c r="H127" s="12" t="s">
        <v>246</v>
      </c>
      <c r="I127" s="12" t="s">
        <v>430</v>
      </c>
      <c r="J127" s="12" t="s">
        <v>93</v>
      </c>
      <c r="K127" s="12" t="s">
        <v>1025</v>
      </c>
      <c r="L127" s="12" t="s">
        <v>247</v>
      </c>
      <c r="M127" s="12" t="s">
        <v>994</v>
      </c>
      <c r="N127" s="13" t="s">
        <v>562</v>
      </c>
      <c r="O127" s="11" t="s">
        <v>532</v>
      </c>
      <c r="P127" s="11" t="s">
        <v>533</v>
      </c>
      <c r="Q127" s="11" t="s">
        <v>125</v>
      </c>
      <c r="R127" s="11" t="s">
        <v>150</v>
      </c>
      <c r="S127" s="11" t="s">
        <v>994</v>
      </c>
      <c r="T127" s="11" t="s">
        <v>126</v>
      </c>
      <c r="U127" s="11" t="s">
        <v>994</v>
      </c>
      <c r="V127" s="11" t="s">
        <v>994</v>
      </c>
      <c r="W127" s="11" t="s">
        <v>994</v>
      </c>
      <c r="X127" s="11" t="s">
        <v>994</v>
      </c>
      <c r="Y127" s="11" t="s">
        <v>994</v>
      </c>
      <c r="Z127" s="11" t="s">
        <v>994</v>
      </c>
      <c r="AA127" s="11" t="s">
        <v>994</v>
      </c>
      <c r="AB127" s="11" t="s">
        <v>994</v>
      </c>
      <c r="AC127" s="11" t="s">
        <v>994</v>
      </c>
      <c r="AD127" s="11" t="s">
        <v>994</v>
      </c>
      <c r="AE127" s="11" t="s">
        <v>1804</v>
      </c>
    </row>
    <row r="128">
      <c r="B128" s="26" t="s">
        <v>49</v>
      </c>
      <c r="C128" s="12" t="s">
        <v>1467</v>
      </c>
      <c r="D128" s="11" t="s">
        <v>563</v>
      </c>
      <c r="E128" s="11" t="s">
        <v>93</v>
      </c>
      <c r="F128" s="12" t="s">
        <v>554</v>
      </c>
      <c r="G128" s="12" t="s">
        <v>246</v>
      </c>
      <c r="H128" s="12" t="s">
        <v>246</v>
      </c>
      <c r="I128" s="12" t="s">
        <v>430</v>
      </c>
      <c r="J128" s="12" t="s">
        <v>93</v>
      </c>
      <c r="K128" s="12" t="s">
        <v>1026</v>
      </c>
      <c r="L128" s="12" t="s">
        <v>247</v>
      </c>
      <c r="M128" s="12" t="s">
        <v>994</v>
      </c>
      <c r="N128" s="13" t="s">
        <v>564</v>
      </c>
      <c r="O128" s="11" t="s">
        <v>532</v>
      </c>
      <c r="P128" s="11" t="s">
        <v>533</v>
      </c>
      <c r="Q128" s="11" t="s">
        <v>125</v>
      </c>
      <c r="R128" s="11" t="s">
        <v>150</v>
      </c>
      <c r="S128" s="11" t="s">
        <v>994</v>
      </c>
      <c r="T128" s="11" t="s">
        <v>126</v>
      </c>
      <c r="U128" s="11" t="s">
        <v>994</v>
      </c>
      <c r="V128" s="11" t="s">
        <v>994</v>
      </c>
      <c r="W128" s="11" t="s">
        <v>994</v>
      </c>
      <c r="X128" s="11" t="s">
        <v>994</v>
      </c>
      <c r="Y128" s="11" t="s">
        <v>994</v>
      </c>
      <c r="Z128" s="11" t="s">
        <v>994</v>
      </c>
      <c r="AA128" s="11" t="s">
        <v>994</v>
      </c>
      <c r="AB128" s="11" t="s">
        <v>994</v>
      </c>
      <c r="AC128" s="11" t="s">
        <v>994</v>
      </c>
      <c r="AD128" s="11" t="s">
        <v>994</v>
      </c>
      <c r="AE128" s="11" t="s">
        <v>1804</v>
      </c>
    </row>
    <row r="129">
      <c r="B129" s="26" t="s">
        <v>49</v>
      </c>
      <c r="C129" s="12" t="s">
        <v>1468</v>
      </c>
      <c r="D129" s="11" t="s">
        <v>565</v>
      </c>
      <c r="E129" s="11" t="s">
        <v>93</v>
      </c>
      <c r="F129" s="12" t="s">
        <v>450</v>
      </c>
      <c r="G129" s="12" t="s">
        <v>246</v>
      </c>
      <c r="H129" s="12" t="s">
        <v>246</v>
      </c>
      <c r="I129" s="12" t="s">
        <v>430</v>
      </c>
      <c r="J129" s="12" t="s">
        <v>93</v>
      </c>
      <c r="K129" s="12" t="s">
        <v>1025</v>
      </c>
      <c r="L129" s="12" t="s">
        <v>247</v>
      </c>
      <c r="M129" s="12" t="s">
        <v>994</v>
      </c>
      <c r="N129" s="13" t="s">
        <v>566</v>
      </c>
      <c r="O129" s="11" t="s">
        <v>532</v>
      </c>
      <c r="P129" s="11" t="s">
        <v>533</v>
      </c>
      <c r="Q129" s="11" t="s">
        <v>125</v>
      </c>
      <c r="R129" s="11" t="s">
        <v>150</v>
      </c>
      <c r="S129" s="11" t="s">
        <v>994</v>
      </c>
      <c r="T129" s="11" t="s">
        <v>126</v>
      </c>
      <c r="U129" s="11" t="s">
        <v>994</v>
      </c>
      <c r="V129" s="11" t="s">
        <v>994</v>
      </c>
      <c r="W129" s="11" t="s">
        <v>994</v>
      </c>
      <c r="X129" s="11" t="s">
        <v>994</v>
      </c>
      <c r="Y129" s="11" t="s">
        <v>994</v>
      </c>
      <c r="Z129" s="11" t="s">
        <v>994</v>
      </c>
      <c r="AA129" s="11" t="s">
        <v>994</v>
      </c>
      <c r="AB129" s="11" t="s">
        <v>994</v>
      </c>
      <c r="AC129" s="11" t="s">
        <v>994</v>
      </c>
      <c r="AD129" s="11" t="s">
        <v>994</v>
      </c>
      <c r="AE129" s="11" t="s">
        <v>1804</v>
      </c>
    </row>
    <row r="130">
      <c r="B130" s="26" t="s">
        <v>49</v>
      </c>
      <c r="C130" s="12" t="s">
        <v>1469</v>
      </c>
      <c r="D130" s="11" t="s">
        <v>567</v>
      </c>
      <c r="E130" s="11" t="s">
        <v>93</v>
      </c>
      <c r="F130" s="12" t="s">
        <v>49</v>
      </c>
      <c r="G130" s="12" t="s">
        <v>246</v>
      </c>
      <c r="H130" s="12" t="s">
        <v>246</v>
      </c>
      <c r="I130" s="12" t="s">
        <v>430</v>
      </c>
      <c r="J130" s="12" t="s">
        <v>93</v>
      </c>
      <c r="K130" s="12" t="s">
        <v>1026</v>
      </c>
      <c r="L130" s="12" t="s">
        <v>247</v>
      </c>
      <c r="M130" s="12" t="s">
        <v>994</v>
      </c>
      <c r="N130" s="13" t="s">
        <v>568</v>
      </c>
      <c r="O130" s="11" t="s">
        <v>532</v>
      </c>
      <c r="P130" s="11" t="s">
        <v>533</v>
      </c>
      <c r="Q130" s="11" t="s">
        <v>125</v>
      </c>
      <c r="R130" s="11" t="s">
        <v>150</v>
      </c>
      <c r="S130" s="11" t="s">
        <v>994</v>
      </c>
      <c r="T130" s="11" t="s">
        <v>126</v>
      </c>
      <c r="U130" s="11" t="s">
        <v>994</v>
      </c>
      <c r="V130" s="11" t="s">
        <v>994</v>
      </c>
      <c r="W130" s="11" t="s">
        <v>994</v>
      </c>
      <c r="X130" s="11" t="s">
        <v>994</v>
      </c>
      <c r="Y130" s="11" t="s">
        <v>994</v>
      </c>
      <c r="Z130" s="11" t="s">
        <v>994</v>
      </c>
      <c r="AA130" s="11" t="s">
        <v>994</v>
      </c>
      <c r="AB130" s="11" t="s">
        <v>994</v>
      </c>
      <c r="AC130" s="11" t="s">
        <v>994</v>
      </c>
      <c r="AD130" s="11" t="s">
        <v>994</v>
      </c>
      <c r="AE130" s="11" t="s">
        <v>1804</v>
      </c>
    </row>
    <row r="131">
      <c r="B131" s="26" t="s">
        <v>283</v>
      </c>
      <c r="C131" s="12" t="s">
        <v>1470</v>
      </c>
      <c r="D131" s="11" t="s">
        <v>569</v>
      </c>
      <c r="E131" s="11" t="s">
        <v>93</v>
      </c>
      <c r="F131" s="12" t="s">
        <v>283</v>
      </c>
      <c r="G131" s="12" t="s">
        <v>246</v>
      </c>
      <c r="H131" s="12" t="s">
        <v>246</v>
      </c>
      <c r="I131" s="12" t="s">
        <v>430</v>
      </c>
      <c r="J131" s="12" t="s">
        <v>93</v>
      </c>
      <c r="K131" s="12" t="s">
        <v>1026</v>
      </c>
      <c r="L131" s="12" t="s">
        <v>247</v>
      </c>
      <c r="M131" s="12" t="s">
        <v>994</v>
      </c>
      <c r="N131" s="13" t="s">
        <v>570</v>
      </c>
      <c r="O131" s="11" t="s">
        <v>532</v>
      </c>
      <c r="P131" s="11" t="s">
        <v>533</v>
      </c>
      <c r="Q131" s="11" t="s">
        <v>125</v>
      </c>
      <c r="R131" s="11" t="s">
        <v>150</v>
      </c>
      <c r="S131" s="11" t="s">
        <v>994</v>
      </c>
      <c r="T131" s="11" t="s">
        <v>126</v>
      </c>
      <c r="U131" s="11" t="s">
        <v>994</v>
      </c>
      <c r="V131" s="11" t="s">
        <v>994</v>
      </c>
      <c r="W131" s="11" t="s">
        <v>994</v>
      </c>
      <c r="X131" s="11" t="s">
        <v>994</v>
      </c>
      <c r="Y131" s="11" t="s">
        <v>994</v>
      </c>
      <c r="Z131" s="11" t="s">
        <v>994</v>
      </c>
      <c r="AA131" s="11" t="s">
        <v>994</v>
      </c>
      <c r="AB131" s="11" t="s">
        <v>994</v>
      </c>
      <c r="AC131" s="11" t="s">
        <v>994</v>
      </c>
      <c r="AD131" s="11" t="s">
        <v>994</v>
      </c>
      <c r="AE131" s="11" t="s">
        <v>1804</v>
      </c>
    </row>
    <row r="132">
      <c r="B132" s="26" t="s">
        <v>49</v>
      </c>
      <c r="C132" s="12" t="s">
        <v>1471</v>
      </c>
      <c r="D132" s="11" t="s">
        <v>571</v>
      </c>
      <c r="E132" s="11" t="s">
        <v>93</v>
      </c>
      <c r="F132" s="12" t="s">
        <v>450</v>
      </c>
      <c r="G132" s="12" t="s">
        <v>246</v>
      </c>
      <c r="H132" s="12" t="s">
        <v>246</v>
      </c>
      <c r="I132" s="12" t="s">
        <v>430</v>
      </c>
      <c r="J132" s="12" t="s">
        <v>93</v>
      </c>
      <c r="K132" s="12" t="s">
        <v>1025</v>
      </c>
      <c r="L132" s="12" t="s">
        <v>247</v>
      </c>
      <c r="M132" s="12" t="s">
        <v>994</v>
      </c>
      <c r="N132" s="13" t="s">
        <v>572</v>
      </c>
      <c r="O132" s="11" t="s">
        <v>532</v>
      </c>
      <c r="P132" s="11" t="s">
        <v>533</v>
      </c>
      <c r="Q132" s="11" t="s">
        <v>125</v>
      </c>
      <c r="R132" s="11" t="s">
        <v>150</v>
      </c>
      <c r="S132" s="11" t="s">
        <v>994</v>
      </c>
      <c r="T132" s="11" t="s">
        <v>126</v>
      </c>
      <c r="U132" s="11" t="s">
        <v>994</v>
      </c>
      <c r="V132" s="11" t="s">
        <v>994</v>
      </c>
      <c r="W132" s="11" t="s">
        <v>994</v>
      </c>
      <c r="X132" s="11" t="s">
        <v>994</v>
      </c>
      <c r="Y132" s="11" t="s">
        <v>994</v>
      </c>
      <c r="Z132" s="11" t="s">
        <v>994</v>
      </c>
      <c r="AA132" s="11" t="s">
        <v>994</v>
      </c>
      <c r="AB132" s="11" t="s">
        <v>994</v>
      </c>
      <c r="AC132" s="11" t="s">
        <v>994</v>
      </c>
      <c r="AD132" s="11" t="s">
        <v>994</v>
      </c>
      <c r="AE132" s="11" t="s">
        <v>1804</v>
      </c>
    </row>
    <row r="133">
      <c r="B133" s="26" t="s">
        <v>295</v>
      </c>
      <c r="C133" s="12" t="s">
        <v>1472</v>
      </c>
      <c r="D133" s="11" t="s">
        <v>573</v>
      </c>
      <c r="E133" s="11" t="s">
        <v>93</v>
      </c>
      <c r="F133" s="12" t="s">
        <v>295</v>
      </c>
      <c r="G133" s="12" t="s">
        <v>246</v>
      </c>
      <c r="H133" s="12" t="s">
        <v>246</v>
      </c>
      <c r="I133" s="12" t="s">
        <v>430</v>
      </c>
      <c r="J133" s="12" t="s">
        <v>93</v>
      </c>
      <c r="K133" s="12" t="s">
        <v>1026</v>
      </c>
      <c r="L133" s="12" t="s">
        <v>247</v>
      </c>
      <c r="M133" s="12" t="s">
        <v>994</v>
      </c>
      <c r="N133" s="13" t="s">
        <v>574</v>
      </c>
      <c r="O133" s="11" t="s">
        <v>532</v>
      </c>
      <c r="P133" s="11" t="s">
        <v>533</v>
      </c>
      <c r="Q133" s="11" t="s">
        <v>125</v>
      </c>
      <c r="R133" s="11" t="s">
        <v>150</v>
      </c>
      <c r="S133" s="11" t="s">
        <v>994</v>
      </c>
      <c r="T133" s="11" t="s">
        <v>126</v>
      </c>
      <c r="U133" s="11" t="s">
        <v>994</v>
      </c>
      <c r="V133" s="11" t="s">
        <v>994</v>
      </c>
      <c r="W133" s="11" t="s">
        <v>994</v>
      </c>
      <c r="X133" s="11" t="s">
        <v>994</v>
      </c>
      <c r="Y133" s="11" t="s">
        <v>994</v>
      </c>
      <c r="Z133" s="11" t="s">
        <v>994</v>
      </c>
      <c r="AA133" s="11" t="s">
        <v>994</v>
      </c>
      <c r="AB133" s="11" t="s">
        <v>994</v>
      </c>
      <c r="AC133" s="11" t="s">
        <v>994</v>
      </c>
      <c r="AD133" s="11" t="s">
        <v>994</v>
      </c>
      <c r="AE133" s="11" t="s">
        <v>1804</v>
      </c>
    </row>
    <row r="134">
      <c r="B134" s="26" t="s">
        <v>49</v>
      </c>
      <c r="C134" s="12" t="s">
        <v>1473</v>
      </c>
      <c r="D134" s="11" t="s">
        <v>575</v>
      </c>
      <c r="E134" s="11" t="s">
        <v>93</v>
      </c>
      <c r="F134" s="12" t="s">
        <v>49</v>
      </c>
      <c r="G134" s="12" t="s">
        <v>246</v>
      </c>
      <c r="H134" s="12" t="s">
        <v>246</v>
      </c>
      <c r="I134" s="12" t="s">
        <v>430</v>
      </c>
      <c r="J134" s="12" t="s">
        <v>93</v>
      </c>
      <c r="K134" s="12" t="s">
        <v>1026</v>
      </c>
      <c r="L134" s="12" t="s">
        <v>247</v>
      </c>
      <c r="M134" s="12" t="s">
        <v>994</v>
      </c>
      <c r="N134" s="13" t="s">
        <v>576</v>
      </c>
      <c r="O134" s="11" t="s">
        <v>532</v>
      </c>
      <c r="P134" s="11" t="s">
        <v>533</v>
      </c>
      <c r="Q134" s="11" t="s">
        <v>125</v>
      </c>
      <c r="R134" s="11" t="s">
        <v>150</v>
      </c>
      <c r="S134" s="11" t="s">
        <v>994</v>
      </c>
      <c r="T134" s="11" t="s">
        <v>126</v>
      </c>
      <c r="U134" s="11" t="s">
        <v>994</v>
      </c>
      <c r="V134" s="11" t="s">
        <v>994</v>
      </c>
      <c r="W134" s="11" t="s">
        <v>994</v>
      </c>
      <c r="X134" s="11" t="s">
        <v>994</v>
      </c>
      <c r="Y134" s="11" t="s">
        <v>994</v>
      </c>
      <c r="Z134" s="11" t="s">
        <v>994</v>
      </c>
      <c r="AA134" s="11" t="s">
        <v>994</v>
      </c>
      <c r="AB134" s="11" t="s">
        <v>994</v>
      </c>
      <c r="AC134" s="11" t="s">
        <v>994</v>
      </c>
      <c r="AD134" s="11" t="s">
        <v>994</v>
      </c>
      <c r="AE134" s="11" t="s">
        <v>1804</v>
      </c>
    </row>
    <row r="135">
      <c r="B135" s="26" t="s">
        <v>49</v>
      </c>
      <c r="C135" s="12" t="s">
        <v>1474</v>
      </c>
      <c r="D135" s="11" t="s">
        <v>577</v>
      </c>
      <c r="E135" s="11" t="s">
        <v>93</v>
      </c>
      <c r="F135" s="12" t="s">
        <v>286</v>
      </c>
      <c r="G135" s="12" t="s">
        <v>246</v>
      </c>
      <c r="H135" s="12" t="s">
        <v>246</v>
      </c>
      <c r="I135" s="12" t="s">
        <v>430</v>
      </c>
      <c r="J135" s="12" t="s">
        <v>93</v>
      </c>
      <c r="K135" s="12" t="s">
        <v>1026</v>
      </c>
      <c r="L135" s="12" t="s">
        <v>247</v>
      </c>
      <c r="M135" s="12" t="s">
        <v>994</v>
      </c>
      <c r="N135" s="13" t="s">
        <v>578</v>
      </c>
      <c r="O135" s="11" t="s">
        <v>532</v>
      </c>
      <c r="P135" s="11" t="s">
        <v>533</v>
      </c>
      <c r="Q135" s="11" t="s">
        <v>125</v>
      </c>
      <c r="R135" s="11" t="s">
        <v>150</v>
      </c>
      <c r="S135" s="11" t="s">
        <v>994</v>
      </c>
      <c r="T135" s="11" t="s">
        <v>126</v>
      </c>
      <c r="U135" s="11" t="s">
        <v>994</v>
      </c>
      <c r="V135" s="11" t="s">
        <v>994</v>
      </c>
      <c r="W135" s="11" t="s">
        <v>994</v>
      </c>
      <c r="X135" s="11" t="s">
        <v>994</v>
      </c>
      <c r="Y135" s="11" t="s">
        <v>994</v>
      </c>
      <c r="Z135" s="11" t="s">
        <v>994</v>
      </c>
      <c r="AA135" s="11" t="s">
        <v>994</v>
      </c>
      <c r="AB135" s="11" t="s">
        <v>994</v>
      </c>
      <c r="AC135" s="11" t="s">
        <v>994</v>
      </c>
      <c r="AD135" s="11" t="s">
        <v>994</v>
      </c>
      <c r="AE135" s="11" t="s">
        <v>1804</v>
      </c>
    </row>
    <row r="136">
      <c r="B136" s="26" t="s">
        <v>49</v>
      </c>
      <c r="C136" s="12" t="s">
        <v>1475</v>
      </c>
      <c r="D136" s="11" t="s">
        <v>559</v>
      </c>
      <c r="E136" s="11" t="s">
        <v>93</v>
      </c>
      <c r="F136" s="12" t="s">
        <v>49</v>
      </c>
      <c r="G136" s="12" t="s">
        <v>246</v>
      </c>
      <c r="H136" s="12" t="s">
        <v>246</v>
      </c>
      <c r="I136" s="12" t="s">
        <v>430</v>
      </c>
      <c r="J136" s="12" t="s">
        <v>93</v>
      </c>
      <c r="K136" s="12" t="s">
        <v>1025</v>
      </c>
      <c r="L136" s="12" t="s">
        <v>247</v>
      </c>
      <c r="M136" s="12" t="s">
        <v>994</v>
      </c>
      <c r="N136" s="13" t="s">
        <v>579</v>
      </c>
      <c r="O136" s="11" t="s">
        <v>532</v>
      </c>
      <c r="P136" s="11" t="s">
        <v>533</v>
      </c>
      <c r="Q136" s="11" t="s">
        <v>125</v>
      </c>
      <c r="R136" s="11" t="s">
        <v>150</v>
      </c>
      <c r="S136" s="11" t="s">
        <v>994</v>
      </c>
      <c r="T136" s="11" t="s">
        <v>126</v>
      </c>
      <c r="U136" s="11" t="s">
        <v>994</v>
      </c>
      <c r="V136" s="11" t="s">
        <v>994</v>
      </c>
      <c r="W136" s="11" t="s">
        <v>994</v>
      </c>
      <c r="X136" s="11" t="s">
        <v>994</v>
      </c>
      <c r="Y136" s="11" t="s">
        <v>994</v>
      </c>
      <c r="Z136" s="11" t="s">
        <v>994</v>
      </c>
      <c r="AA136" s="11" t="s">
        <v>994</v>
      </c>
      <c r="AB136" s="11" t="s">
        <v>994</v>
      </c>
      <c r="AC136" s="11" t="s">
        <v>994</v>
      </c>
      <c r="AD136" s="11" t="s">
        <v>994</v>
      </c>
      <c r="AE136" s="11" t="s">
        <v>1804</v>
      </c>
    </row>
    <row r="137">
      <c r="B137" s="26" t="s">
        <v>49</v>
      </c>
      <c r="C137" s="12" t="s">
        <v>1476</v>
      </c>
      <c r="D137" s="11" t="s">
        <v>580</v>
      </c>
      <c r="E137" s="11" t="s">
        <v>93</v>
      </c>
      <c r="F137" s="12" t="s">
        <v>49</v>
      </c>
      <c r="G137" s="12" t="s">
        <v>246</v>
      </c>
      <c r="H137" s="12" t="s">
        <v>246</v>
      </c>
      <c r="I137" s="12" t="s">
        <v>430</v>
      </c>
      <c r="J137" s="12" t="s">
        <v>93</v>
      </c>
      <c r="K137" s="12" t="s">
        <v>1026</v>
      </c>
      <c r="L137" s="12" t="s">
        <v>247</v>
      </c>
      <c r="M137" s="12" t="s">
        <v>994</v>
      </c>
      <c r="N137" s="13" t="s">
        <v>581</v>
      </c>
      <c r="O137" s="11" t="s">
        <v>532</v>
      </c>
      <c r="P137" s="11" t="s">
        <v>533</v>
      </c>
      <c r="Q137" s="11" t="s">
        <v>125</v>
      </c>
      <c r="R137" s="11" t="s">
        <v>150</v>
      </c>
      <c r="S137" s="11" t="s">
        <v>994</v>
      </c>
      <c r="T137" s="11" t="s">
        <v>126</v>
      </c>
      <c r="U137" s="11" t="s">
        <v>994</v>
      </c>
      <c r="V137" s="11" t="s">
        <v>994</v>
      </c>
      <c r="W137" s="11" t="s">
        <v>994</v>
      </c>
      <c r="X137" s="11" t="s">
        <v>994</v>
      </c>
      <c r="Y137" s="11" t="s">
        <v>994</v>
      </c>
      <c r="Z137" s="11" t="s">
        <v>994</v>
      </c>
      <c r="AA137" s="11" t="s">
        <v>994</v>
      </c>
      <c r="AB137" s="11" t="s">
        <v>994</v>
      </c>
      <c r="AC137" s="11" t="s">
        <v>994</v>
      </c>
      <c r="AD137" s="11" t="s">
        <v>994</v>
      </c>
      <c r="AE137" s="11" t="s">
        <v>1804</v>
      </c>
    </row>
    <row r="138">
      <c r="B138" s="26" t="s">
        <v>49</v>
      </c>
      <c r="C138" s="12" t="s">
        <v>1477</v>
      </c>
      <c r="D138" s="11" t="s">
        <v>582</v>
      </c>
      <c r="E138" s="11" t="s">
        <v>93</v>
      </c>
      <c r="F138" s="12" t="s">
        <v>494</v>
      </c>
      <c r="G138" s="12" t="s">
        <v>246</v>
      </c>
      <c r="H138" s="12" t="s">
        <v>246</v>
      </c>
      <c r="I138" s="12" t="s">
        <v>430</v>
      </c>
      <c r="J138" s="12" t="s">
        <v>93</v>
      </c>
      <c r="K138" s="12" t="s">
        <v>1026</v>
      </c>
      <c r="L138" s="12" t="s">
        <v>247</v>
      </c>
      <c r="M138" s="12" t="s">
        <v>994</v>
      </c>
      <c r="N138" s="13" t="s">
        <v>583</v>
      </c>
      <c r="O138" s="11" t="s">
        <v>532</v>
      </c>
      <c r="P138" s="11" t="s">
        <v>533</v>
      </c>
      <c r="Q138" s="11" t="s">
        <v>125</v>
      </c>
      <c r="R138" s="11" t="s">
        <v>150</v>
      </c>
      <c r="S138" s="11" t="s">
        <v>994</v>
      </c>
      <c r="T138" s="11" t="s">
        <v>126</v>
      </c>
      <c r="U138" s="11" t="s">
        <v>994</v>
      </c>
      <c r="V138" s="11" t="s">
        <v>994</v>
      </c>
      <c r="W138" s="11" t="s">
        <v>994</v>
      </c>
      <c r="X138" s="11" t="s">
        <v>994</v>
      </c>
      <c r="Y138" s="11" t="s">
        <v>994</v>
      </c>
      <c r="Z138" s="11" t="s">
        <v>994</v>
      </c>
      <c r="AA138" s="11" t="s">
        <v>994</v>
      </c>
      <c r="AB138" s="11" t="s">
        <v>994</v>
      </c>
      <c r="AC138" s="11" t="s">
        <v>994</v>
      </c>
      <c r="AD138" s="11" t="s">
        <v>994</v>
      </c>
      <c r="AE138" s="11" t="s">
        <v>1804</v>
      </c>
    </row>
    <row r="139">
      <c r="B139" s="26" t="s">
        <v>49</v>
      </c>
      <c r="C139" s="12" t="s">
        <v>1478</v>
      </c>
      <c r="D139" s="11" t="s">
        <v>584</v>
      </c>
      <c r="E139" s="11" t="s">
        <v>93</v>
      </c>
      <c r="F139" s="12" t="s">
        <v>585</v>
      </c>
      <c r="G139" s="12" t="s">
        <v>246</v>
      </c>
      <c r="H139" s="12" t="s">
        <v>246</v>
      </c>
      <c r="I139" s="12" t="s">
        <v>430</v>
      </c>
      <c r="J139" s="12" t="s">
        <v>93</v>
      </c>
      <c r="K139" s="12" t="s">
        <v>1026</v>
      </c>
      <c r="L139" s="12" t="s">
        <v>247</v>
      </c>
      <c r="M139" s="12" t="s">
        <v>994</v>
      </c>
      <c r="N139" s="13" t="s">
        <v>586</v>
      </c>
      <c r="O139" s="11" t="s">
        <v>532</v>
      </c>
      <c r="P139" s="11" t="s">
        <v>533</v>
      </c>
      <c r="Q139" s="11" t="s">
        <v>125</v>
      </c>
      <c r="R139" s="11" t="s">
        <v>150</v>
      </c>
      <c r="S139" s="11" t="s">
        <v>994</v>
      </c>
      <c r="T139" s="11" t="s">
        <v>126</v>
      </c>
      <c r="U139" s="11" t="s">
        <v>994</v>
      </c>
      <c r="V139" s="11" t="s">
        <v>994</v>
      </c>
      <c r="W139" s="11" t="s">
        <v>994</v>
      </c>
      <c r="X139" s="11" t="s">
        <v>994</v>
      </c>
      <c r="Y139" s="11" t="s">
        <v>994</v>
      </c>
      <c r="Z139" s="11" t="s">
        <v>994</v>
      </c>
      <c r="AA139" s="11" t="s">
        <v>994</v>
      </c>
      <c r="AB139" s="11" t="s">
        <v>994</v>
      </c>
      <c r="AC139" s="11" t="s">
        <v>994</v>
      </c>
      <c r="AD139" s="11" t="s">
        <v>994</v>
      </c>
      <c r="AE139" s="11" t="s">
        <v>1804</v>
      </c>
    </row>
    <row r="140">
      <c r="B140" s="26" t="s">
        <v>314</v>
      </c>
      <c r="C140" s="12" t="s">
        <v>1479</v>
      </c>
      <c r="D140" s="11" t="s">
        <v>587</v>
      </c>
      <c r="E140" s="11" t="s">
        <v>93</v>
      </c>
      <c r="F140" s="12" t="s">
        <v>314</v>
      </c>
      <c r="G140" s="12" t="s">
        <v>246</v>
      </c>
      <c r="H140" s="12" t="s">
        <v>246</v>
      </c>
      <c r="I140" s="12" t="s">
        <v>430</v>
      </c>
      <c r="J140" s="12" t="s">
        <v>93</v>
      </c>
      <c r="K140" s="12" t="s">
        <v>1026</v>
      </c>
      <c r="L140" s="12" t="s">
        <v>247</v>
      </c>
      <c r="M140" s="12" t="s">
        <v>994</v>
      </c>
      <c r="N140" s="13" t="s">
        <v>588</v>
      </c>
      <c r="O140" s="11" t="s">
        <v>532</v>
      </c>
      <c r="P140" s="11" t="s">
        <v>533</v>
      </c>
      <c r="Q140" s="11" t="s">
        <v>125</v>
      </c>
      <c r="R140" s="11" t="s">
        <v>150</v>
      </c>
      <c r="S140" s="11" t="s">
        <v>994</v>
      </c>
      <c r="T140" s="11" t="s">
        <v>126</v>
      </c>
      <c r="U140" s="11" t="s">
        <v>994</v>
      </c>
      <c r="V140" s="11" t="s">
        <v>994</v>
      </c>
      <c r="W140" s="11" t="s">
        <v>994</v>
      </c>
      <c r="X140" s="11" t="s">
        <v>994</v>
      </c>
      <c r="Y140" s="11" t="s">
        <v>994</v>
      </c>
      <c r="Z140" s="11" t="s">
        <v>994</v>
      </c>
      <c r="AA140" s="11" t="s">
        <v>994</v>
      </c>
      <c r="AB140" s="11" t="s">
        <v>994</v>
      </c>
      <c r="AC140" s="11" t="s">
        <v>994</v>
      </c>
      <c r="AD140" s="11" t="s">
        <v>994</v>
      </c>
      <c r="AE140" s="11" t="s">
        <v>1804</v>
      </c>
    </row>
    <row r="141">
      <c r="B141" s="26" t="s">
        <v>278</v>
      </c>
      <c r="C141" s="12" t="s">
        <v>1480</v>
      </c>
      <c r="D141" s="11" t="s">
        <v>589</v>
      </c>
      <c r="E141" s="11" t="s">
        <v>93</v>
      </c>
      <c r="F141" s="12" t="s">
        <v>278</v>
      </c>
      <c r="G141" s="12" t="s">
        <v>246</v>
      </c>
      <c r="H141" s="12" t="s">
        <v>246</v>
      </c>
      <c r="I141" s="12" t="s">
        <v>430</v>
      </c>
      <c r="J141" s="12" t="s">
        <v>93</v>
      </c>
      <c r="K141" s="12" t="s">
        <v>1026</v>
      </c>
      <c r="L141" s="12" t="s">
        <v>247</v>
      </c>
      <c r="M141" s="12" t="s">
        <v>994</v>
      </c>
      <c r="N141" s="13" t="s">
        <v>590</v>
      </c>
      <c r="O141" s="11" t="s">
        <v>532</v>
      </c>
      <c r="P141" s="11" t="s">
        <v>533</v>
      </c>
      <c r="Q141" s="11" t="s">
        <v>125</v>
      </c>
      <c r="R141" s="11" t="s">
        <v>150</v>
      </c>
      <c r="S141" s="11" t="s">
        <v>994</v>
      </c>
      <c r="T141" s="11" t="s">
        <v>126</v>
      </c>
      <c r="U141" s="11" t="s">
        <v>994</v>
      </c>
      <c r="V141" s="11" t="s">
        <v>994</v>
      </c>
      <c r="W141" s="11" t="s">
        <v>994</v>
      </c>
      <c r="X141" s="11" t="s">
        <v>994</v>
      </c>
      <c r="Y141" s="11" t="s">
        <v>994</v>
      </c>
      <c r="Z141" s="11" t="s">
        <v>994</v>
      </c>
      <c r="AA141" s="11" t="s">
        <v>994</v>
      </c>
      <c r="AB141" s="11" t="s">
        <v>994</v>
      </c>
      <c r="AC141" s="11" t="s">
        <v>994</v>
      </c>
      <c r="AD141" s="11" t="s">
        <v>994</v>
      </c>
      <c r="AE141" s="11" t="s">
        <v>1804</v>
      </c>
    </row>
    <row r="142">
      <c r="B142" s="26" t="s">
        <v>49</v>
      </c>
      <c r="C142" s="12" t="s">
        <v>1481</v>
      </c>
      <c r="D142" s="11" t="s">
        <v>591</v>
      </c>
      <c r="E142" s="11" t="s">
        <v>93</v>
      </c>
      <c r="F142" s="12" t="s">
        <v>374</v>
      </c>
      <c r="G142" s="12" t="s">
        <v>246</v>
      </c>
      <c r="H142" s="12" t="s">
        <v>246</v>
      </c>
      <c r="I142" s="12" t="s">
        <v>430</v>
      </c>
      <c r="J142" s="12" t="s">
        <v>93</v>
      </c>
      <c r="K142" s="12" t="s">
        <v>1026</v>
      </c>
      <c r="L142" s="12" t="s">
        <v>247</v>
      </c>
      <c r="M142" s="12" t="s">
        <v>994</v>
      </c>
      <c r="N142" s="13" t="s">
        <v>592</v>
      </c>
      <c r="O142" s="11" t="s">
        <v>532</v>
      </c>
      <c r="P142" s="11" t="s">
        <v>533</v>
      </c>
      <c r="Q142" s="11" t="s">
        <v>125</v>
      </c>
      <c r="R142" s="11" t="s">
        <v>150</v>
      </c>
      <c r="S142" s="11" t="s">
        <v>994</v>
      </c>
      <c r="T142" s="11" t="s">
        <v>126</v>
      </c>
      <c r="U142" s="11" t="s">
        <v>994</v>
      </c>
      <c r="V142" s="11" t="s">
        <v>994</v>
      </c>
      <c r="W142" s="11" t="s">
        <v>994</v>
      </c>
      <c r="X142" s="11" t="s">
        <v>994</v>
      </c>
      <c r="Y142" s="11" t="s">
        <v>994</v>
      </c>
      <c r="Z142" s="11" t="s">
        <v>994</v>
      </c>
      <c r="AA142" s="11" t="s">
        <v>994</v>
      </c>
      <c r="AB142" s="11" t="s">
        <v>994</v>
      </c>
      <c r="AC142" s="11" t="s">
        <v>994</v>
      </c>
      <c r="AD142" s="11" t="s">
        <v>994</v>
      </c>
      <c r="AE142" s="11" t="s">
        <v>1804</v>
      </c>
    </row>
    <row r="143">
      <c r="B143" s="26" t="s">
        <v>49</v>
      </c>
      <c r="C143" s="12" t="s">
        <v>1482</v>
      </c>
      <c r="D143" s="11" t="s">
        <v>593</v>
      </c>
      <c r="E143" s="11" t="s">
        <v>93</v>
      </c>
      <c r="F143" s="12" t="s">
        <v>411</v>
      </c>
      <c r="G143" s="12" t="s">
        <v>246</v>
      </c>
      <c r="H143" s="12" t="s">
        <v>246</v>
      </c>
      <c r="I143" s="12" t="s">
        <v>430</v>
      </c>
      <c r="J143" s="12" t="s">
        <v>93</v>
      </c>
      <c r="K143" s="12" t="s">
        <v>1026</v>
      </c>
      <c r="L143" s="12" t="s">
        <v>247</v>
      </c>
      <c r="M143" s="12" t="s">
        <v>994</v>
      </c>
      <c r="N143" s="13" t="s">
        <v>594</v>
      </c>
      <c r="O143" s="11" t="s">
        <v>532</v>
      </c>
      <c r="P143" s="11" t="s">
        <v>533</v>
      </c>
      <c r="Q143" s="11" t="s">
        <v>125</v>
      </c>
      <c r="R143" s="11" t="s">
        <v>150</v>
      </c>
      <c r="S143" s="11" t="s">
        <v>994</v>
      </c>
      <c r="T143" s="11" t="s">
        <v>126</v>
      </c>
      <c r="U143" s="11" t="s">
        <v>994</v>
      </c>
      <c r="V143" s="11" t="s">
        <v>994</v>
      </c>
      <c r="W143" s="11" t="s">
        <v>994</v>
      </c>
      <c r="X143" s="11" t="s">
        <v>994</v>
      </c>
      <c r="Y143" s="11" t="s">
        <v>994</v>
      </c>
      <c r="Z143" s="11" t="s">
        <v>994</v>
      </c>
      <c r="AA143" s="11" t="s">
        <v>994</v>
      </c>
      <c r="AB143" s="11" t="s">
        <v>994</v>
      </c>
      <c r="AC143" s="11" t="s">
        <v>994</v>
      </c>
      <c r="AD143" s="11" t="s">
        <v>994</v>
      </c>
      <c r="AE143" s="11" t="s">
        <v>1804</v>
      </c>
    </row>
    <row r="144">
      <c r="B144" s="26" t="s">
        <v>283</v>
      </c>
      <c r="C144" s="12" t="s">
        <v>1483</v>
      </c>
      <c r="D144" s="11" t="s">
        <v>595</v>
      </c>
      <c r="E144" s="11" t="s">
        <v>93</v>
      </c>
      <c r="F144" s="12" t="s">
        <v>283</v>
      </c>
      <c r="G144" s="12" t="s">
        <v>246</v>
      </c>
      <c r="H144" s="12" t="s">
        <v>246</v>
      </c>
      <c r="I144" s="12" t="s">
        <v>430</v>
      </c>
      <c r="J144" s="12" t="s">
        <v>93</v>
      </c>
      <c r="K144" s="12" t="s">
        <v>1026</v>
      </c>
      <c r="L144" s="12" t="s">
        <v>247</v>
      </c>
      <c r="M144" s="12" t="s">
        <v>994</v>
      </c>
      <c r="N144" s="13" t="s">
        <v>596</v>
      </c>
      <c r="O144" s="11" t="s">
        <v>532</v>
      </c>
      <c r="P144" s="11" t="s">
        <v>533</v>
      </c>
      <c r="Q144" s="11" t="s">
        <v>125</v>
      </c>
      <c r="R144" s="11" t="s">
        <v>150</v>
      </c>
      <c r="S144" s="11" t="s">
        <v>994</v>
      </c>
      <c r="T144" s="11" t="s">
        <v>126</v>
      </c>
      <c r="U144" s="11" t="s">
        <v>994</v>
      </c>
      <c r="V144" s="11" t="s">
        <v>994</v>
      </c>
      <c r="W144" s="11" t="s">
        <v>994</v>
      </c>
      <c r="X144" s="11" t="s">
        <v>994</v>
      </c>
      <c r="Y144" s="11" t="s">
        <v>994</v>
      </c>
      <c r="Z144" s="11" t="s">
        <v>994</v>
      </c>
      <c r="AA144" s="11" t="s">
        <v>994</v>
      </c>
      <c r="AB144" s="11" t="s">
        <v>994</v>
      </c>
      <c r="AC144" s="11" t="s">
        <v>994</v>
      </c>
      <c r="AD144" s="11" t="s">
        <v>994</v>
      </c>
      <c r="AE144" s="11" t="s">
        <v>1804</v>
      </c>
    </row>
    <row r="145">
      <c r="B145" s="26" t="s">
        <v>49</v>
      </c>
      <c r="C145" s="12" t="s">
        <v>1484</v>
      </c>
      <c r="D145" s="11" t="s">
        <v>597</v>
      </c>
      <c r="E145" s="11" t="s">
        <v>90</v>
      </c>
      <c r="F145" s="12" t="s">
        <v>450</v>
      </c>
      <c r="G145" s="12" t="s">
        <v>246</v>
      </c>
      <c r="H145" s="12" t="s">
        <v>246</v>
      </c>
      <c r="I145" s="12" t="s">
        <v>430</v>
      </c>
      <c r="J145" s="12" t="s">
        <v>90</v>
      </c>
      <c r="K145" s="12" t="s">
        <v>1026</v>
      </c>
      <c r="L145" s="12" t="s">
        <v>247</v>
      </c>
      <c r="M145" s="12" t="s">
        <v>994</v>
      </c>
      <c r="N145" s="13" t="s">
        <v>598</v>
      </c>
      <c r="O145" s="11" t="s">
        <v>599</v>
      </c>
      <c r="P145" s="11" t="s">
        <v>600</v>
      </c>
      <c r="Q145" s="11" t="s">
        <v>125</v>
      </c>
      <c r="R145" s="11" t="s">
        <v>150</v>
      </c>
      <c r="S145" s="11" t="s">
        <v>994</v>
      </c>
      <c r="T145" s="11" t="s">
        <v>125</v>
      </c>
      <c r="U145" s="11" t="s">
        <v>38</v>
      </c>
      <c r="V145" s="11" t="s">
        <v>1762</v>
      </c>
      <c r="W145" s="11" t="s">
        <v>1378</v>
      </c>
      <c r="X145" s="11" t="s">
        <v>1777</v>
      </c>
      <c r="Y145" s="11" t="s">
        <v>994</v>
      </c>
      <c r="Z145" s="11" t="s">
        <v>994</v>
      </c>
      <c r="AA145" s="11" t="s">
        <v>994</v>
      </c>
      <c r="AB145" s="11" t="s">
        <v>994</v>
      </c>
      <c r="AC145" s="11" t="s">
        <v>994</v>
      </c>
      <c r="AD145" s="11" t="s">
        <v>1257</v>
      </c>
      <c r="AE145" s="11" t="s">
        <v>995</v>
      </c>
    </row>
    <row r="146">
      <c r="B146" s="26" t="s">
        <v>49</v>
      </c>
      <c r="C146" s="12" t="s">
        <v>1485</v>
      </c>
      <c r="D146" s="11" t="s">
        <v>601</v>
      </c>
      <c r="E146" s="11" t="s">
        <v>90</v>
      </c>
      <c r="F146" s="12" t="s">
        <v>332</v>
      </c>
      <c r="G146" s="12" t="s">
        <v>246</v>
      </c>
      <c r="H146" s="12" t="s">
        <v>246</v>
      </c>
      <c r="I146" s="12" t="s">
        <v>430</v>
      </c>
      <c r="J146" s="12" t="s">
        <v>90</v>
      </c>
      <c r="K146" s="12" t="s">
        <v>1026</v>
      </c>
      <c r="L146" s="12" t="s">
        <v>247</v>
      </c>
      <c r="M146" s="12" t="s">
        <v>994</v>
      </c>
      <c r="N146" s="13" t="s">
        <v>994</v>
      </c>
      <c r="O146" s="11" t="s">
        <v>599</v>
      </c>
      <c r="P146" s="11" t="s">
        <v>600</v>
      </c>
      <c r="Q146" s="11" t="s">
        <v>125</v>
      </c>
      <c r="R146" s="11" t="s">
        <v>150</v>
      </c>
      <c r="S146" s="11" t="s">
        <v>994</v>
      </c>
      <c r="T146" s="11" t="s">
        <v>126</v>
      </c>
      <c r="U146" s="11" t="s">
        <v>994</v>
      </c>
      <c r="V146" s="11" t="s">
        <v>994</v>
      </c>
      <c r="W146" s="11" t="s">
        <v>994</v>
      </c>
      <c r="X146" s="11" t="s">
        <v>994</v>
      </c>
      <c r="Y146" s="11" t="s">
        <v>994</v>
      </c>
      <c r="Z146" s="11" t="s">
        <v>994</v>
      </c>
      <c r="AA146" s="11" t="s">
        <v>994</v>
      </c>
      <c r="AB146" s="11" t="s">
        <v>994</v>
      </c>
      <c r="AC146" s="11" t="s">
        <v>994</v>
      </c>
      <c r="AD146" s="11" t="s">
        <v>994</v>
      </c>
      <c r="AE146" s="11" t="s">
        <v>1804</v>
      </c>
    </row>
    <row r="147">
      <c r="B147" s="26" t="s">
        <v>308</v>
      </c>
      <c r="C147" s="12" t="s">
        <v>1486</v>
      </c>
      <c r="D147" s="11" t="s">
        <v>602</v>
      </c>
      <c r="E147" s="11" t="s">
        <v>90</v>
      </c>
      <c r="F147" s="12" t="s">
        <v>308</v>
      </c>
      <c r="G147" s="12" t="s">
        <v>246</v>
      </c>
      <c r="H147" s="12" t="s">
        <v>246</v>
      </c>
      <c r="I147" s="12" t="s">
        <v>430</v>
      </c>
      <c r="J147" s="12" t="s">
        <v>90</v>
      </c>
      <c r="K147" s="12" t="s">
        <v>1026</v>
      </c>
      <c r="L147" s="12" t="s">
        <v>247</v>
      </c>
      <c r="M147" s="12" t="s">
        <v>994</v>
      </c>
      <c r="N147" s="13" t="s">
        <v>994</v>
      </c>
      <c r="O147" s="11" t="s">
        <v>599</v>
      </c>
      <c r="P147" s="11" t="s">
        <v>600</v>
      </c>
      <c r="Q147" s="11" t="s">
        <v>125</v>
      </c>
      <c r="R147" s="11" t="s">
        <v>150</v>
      </c>
      <c r="S147" s="11" t="s">
        <v>994</v>
      </c>
      <c r="T147" s="11" t="s">
        <v>126</v>
      </c>
      <c r="U147" s="11" t="s">
        <v>994</v>
      </c>
      <c r="V147" s="11" t="s">
        <v>994</v>
      </c>
      <c r="W147" s="11" t="s">
        <v>994</v>
      </c>
      <c r="X147" s="11" t="s">
        <v>994</v>
      </c>
      <c r="Y147" s="11" t="s">
        <v>994</v>
      </c>
      <c r="Z147" s="11" t="s">
        <v>994</v>
      </c>
      <c r="AA147" s="11" t="s">
        <v>994</v>
      </c>
      <c r="AB147" s="11" t="s">
        <v>994</v>
      </c>
      <c r="AC147" s="11" t="s">
        <v>994</v>
      </c>
      <c r="AD147" s="11" t="s">
        <v>994</v>
      </c>
      <c r="AE147" s="11" t="s">
        <v>1804</v>
      </c>
    </row>
    <row r="148">
      <c r="B148" s="26" t="s">
        <v>49</v>
      </c>
      <c r="C148" s="12" t="s">
        <v>1487</v>
      </c>
      <c r="D148" s="11" t="s">
        <v>603</v>
      </c>
      <c r="E148" s="11" t="s">
        <v>90</v>
      </c>
      <c r="F148" s="12" t="s">
        <v>374</v>
      </c>
      <c r="G148" s="12" t="s">
        <v>246</v>
      </c>
      <c r="H148" s="12" t="s">
        <v>246</v>
      </c>
      <c r="I148" s="12" t="s">
        <v>430</v>
      </c>
      <c r="J148" s="12" t="s">
        <v>90</v>
      </c>
      <c r="K148" s="12" t="s">
        <v>1025</v>
      </c>
      <c r="L148" s="12" t="s">
        <v>247</v>
      </c>
      <c r="M148" s="12" t="s">
        <v>994</v>
      </c>
      <c r="N148" s="13" t="s">
        <v>604</v>
      </c>
      <c r="O148" s="11" t="s">
        <v>599</v>
      </c>
      <c r="P148" s="11" t="s">
        <v>600</v>
      </c>
      <c r="Q148" s="11" t="s">
        <v>125</v>
      </c>
      <c r="R148" s="11" t="s">
        <v>150</v>
      </c>
      <c r="S148" s="11" t="s">
        <v>994</v>
      </c>
      <c r="T148" s="11" t="s">
        <v>125</v>
      </c>
      <c r="U148" s="11" t="s">
        <v>132</v>
      </c>
      <c r="V148" s="11" t="s">
        <v>1763</v>
      </c>
      <c r="W148" s="11" t="s">
        <v>1762</v>
      </c>
      <c r="X148" s="11" t="s">
        <v>1777</v>
      </c>
      <c r="Y148" s="11" t="s">
        <v>994</v>
      </c>
      <c r="Z148" s="11" t="s">
        <v>994</v>
      </c>
      <c r="AA148" s="11" t="s">
        <v>994</v>
      </c>
      <c r="AB148" s="11" t="s">
        <v>994</v>
      </c>
      <c r="AC148" s="11" t="s">
        <v>994</v>
      </c>
      <c r="AD148" s="11" t="s">
        <v>1258</v>
      </c>
      <c r="AE148" s="11" t="s">
        <v>995</v>
      </c>
    </row>
    <row r="149">
      <c r="B149" s="26" t="s">
        <v>49</v>
      </c>
      <c r="C149" s="12" t="s">
        <v>1488</v>
      </c>
      <c r="D149" s="11" t="s">
        <v>605</v>
      </c>
      <c r="E149" s="11" t="s">
        <v>90</v>
      </c>
      <c r="F149" s="12" t="s">
        <v>606</v>
      </c>
      <c r="G149" s="12" t="s">
        <v>246</v>
      </c>
      <c r="H149" s="12" t="s">
        <v>246</v>
      </c>
      <c r="I149" s="12" t="s">
        <v>430</v>
      </c>
      <c r="J149" s="12" t="s">
        <v>90</v>
      </c>
      <c r="K149" s="12" t="s">
        <v>1026</v>
      </c>
      <c r="L149" s="12" t="s">
        <v>247</v>
      </c>
      <c r="M149" s="12" t="s">
        <v>994</v>
      </c>
      <c r="N149" s="13" t="s">
        <v>607</v>
      </c>
      <c r="O149" s="11" t="s">
        <v>599</v>
      </c>
      <c r="P149" s="11" t="s">
        <v>600</v>
      </c>
      <c r="Q149" s="11" t="s">
        <v>125</v>
      </c>
      <c r="R149" s="11" t="s">
        <v>150</v>
      </c>
      <c r="S149" s="11" t="s">
        <v>125</v>
      </c>
      <c r="T149" s="11" t="s">
        <v>125</v>
      </c>
      <c r="U149" s="11" t="s">
        <v>38</v>
      </c>
      <c r="V149" s="11" t="s">
        <v>1378</v>
      </c>
      <c r="W149" s="11" t="s">
        <v>1777</v>
      </c>
      <c r="X149" s="11" t="s">
        <v>994</v>
      </c>
      <c r="Y149" s="11" t="s">
        <v>994</v>
      </c>
      <c r="Z149" s="11" t="s">
        <v>994</v>
      </c>
      <c r="AA149" s="11" t="s">
        <v>994</v>
      </c>
      <c r="AB149" s="11" t="s">
        <v>994</v>
      </c>
      <c r="AC149" s="11" t="s">
        <v>994</v>
      </c>
      <c r="AD149" s="11" t="s">
        <v>1259</v>
      </c>
      <c r="AE149" s="11" t="s">
        <v>995</v>
      </c>
    </row>
    <row r="150">
      <c r="B150" s="26" t="s">
        <v>49</v>
      </c>
      <c r="C150" s="12" t="s">
        <v>1489</v>
      </c>
      <c r="D150" s="11" t="s">
        <v>608</v>
      </c>
      <c r="E150" s="11" t="s">
        <v>90</v>
      </c>
      <c r="F150" s="12" t="s">
        <v>442</v>
      </c>
      <c r="G150" s="12" t="s">
        <v>246</v>
      </c>
      <c r="H150" s="12" t="s">
        <v>246</v>
      </c>
      <c r="I150" s="12" t="s">
        <v>430</v>
      </c>
      <c r="J150" s="12" t="s">
        <v>90</v>
      </c>
      <c r="K150" s="12" t="s">
        <v>1026</v>
      </c>
      <c r="L150" s="12" t="s">
        <v>247</v>
      </c>
      <c r="M150" s="12" t="s">
        <v>994</v>
      </c>
      <c r="N150" s="13" t="s">
        <v>609</v>
      </c>
      <c r="O150" s="11" t="s">
        <v>599</v>
      </c>
      <c r="P150" s="11" t="s">
        <v>600</v>
      </c>
      <c r="Q150" s="11" t="s">
        <v>125</v>
      </c>
      <c r="R150" s="11" t="s">
        <v>150</v>
      </c>
      <c r="S150" s="11" t="s">
        <v>125</v>
      </c>
      <c r="T150" s="11" t="s">
        <v>125</v>
      </c>
      <c r="U150" s="11" t="s">
        <v>38</v>
      </c>
      <c r="V150" s="11" t="s">
        <v>1378</v>
      </c>
      <c r="W150" s="11" t="s">
        <v>1777</v>
      </c>
      <c r="X150" s="11" t="s">
        <v>994</v>
      </c>
      <c r="Y150" s="11" t="s">
        <v>994</v>
      </c>
      <c r="Z150" s="11" t="s">
        <v>994</v>
      </c>
      <c r="AA150" s="11" t="s">
        <v>994</v>
      </c>
      <c r="AB150" s="11" t="s">
        <v>994</v>
      </c>
      <c r="AC150" s="11" t="s">
        <v>994</v>
      </c>
      <c r="AD150" s="11" t="s">
        <v>1260</v>
      </c>
      <c r="AE150" s="11" t="s">
        <v>995</v>
      </c>
    </row>
    <row r="151">
      <c r="B151" s="26" t="s">
        <v>49</v>
      </c>
      <c r="C151" s="12" t="s">
        <v>1490</v>
      </c>
      <c r="D151" s="11" t="s">
        <v>610</v>
      </c>
      <c r="E151" s="11" t="s">
        <v>90</v>
      </c>
      <c r="F151" s="12" t="s">
        <v>424</v>
      </c>
      <c r="G151" s="12" t="s">
        <v>246</v>
      </c>
      <c r="H151" s="12" t="s">
        <v>246</v>
      </c>
      <c r="I151" s="12" t="s">
        <v>430</v>
      </c>
      <c r="J151" s="12" t="s">
        <v>90</v>
      </c>
      <c r="K151" s="12" t="s">
        <v>1026</v>
      </c>
      <c r="L151" s="12" t="s">
        <v>247</v>
      </c>
      <c r="M151" s="12" t="s">
        <v>994</v>
      </c>
      <c r="N151" s="13" t="s">
        <v>611</v>
      </c>
      <c r="O151" s="11" t="s">
        <v>599</v>
      </c>
      <c r="P151" s="11" t="s">
        <v>600</v>
      </c>
      <c r="Q151" s="11" t="s">
        <v>125</v>
      </c>
      <c r="R151" s="11" t="s">
        <v>150</v>
      </c>
      <c r="S151" s="11" t="s">
        <v>125</v>
      </c>
      <c r="T151" s="11" t="s">
        <v>125</v>
      </c>
      <c r="U151" s="11" t="s">
        <v>38</v>
      </c>
      <c r="V151" s="11" t="s">
        <v>1378</v>
      </c>
      <c r="W151" s="11" t="s">
        <v>994</v>
      </c>
      <c r="X151" s="11" t="s">
        <v>994</v>
      </c>
      <c r="Y151" s="11" t="s">
        <v>994</v>
      </c>
      <c r="Z151" s="11" t="s">
        <v>994</v>
      </c>
      <c r="AA151" s="11" t="s">
        <v>994</v>
      </c>
      <c r="AB151" s="11" t="s">
        <v>994</v>
      </c>
      <c r="AC151" s="11" t="s">
        <v>994</v>
      </c>
      <c r="AD151" s="11" t="s">
        <v>994</v>
      </c>
      <c r="AE151" s="11" t="s">
        <v>995</v>
      </c>
    </row>
    <row r="152">
      <c r="B152" s="26" t="s">
        <v>311</v>
      </c>
      <c r="C152" s="12" t="s">
        <v>1491</v>
      </c>
      <c r="D152" s="11" t="s">
        <v>612</v>
      </c>
      <c r="E152" s="11" t="s">
        <v>90</v>
      </c>
      <c r="F152" s="12" t="s">
        <v>311</v>
      </c>
      <c r="G152" s="12" t="s">
        <v>246</v>
      </c>
      <c r="H152" s="12" t="s">
        <v>246</v>
      </c>
      <c r="I152" s="12" t="s">
        <v>430</v>
      </c>
      <c r="J152" s="12" t="s">
        <v>90</v>
      </c>
      <c r="K152" s="12" t="s">
        <v>1026</v>
      </c>
      <c r="L152" s="12" t="s">
        <v>247</v>
      </c>
      <c r="M152" s="12" t="s">
        <v>994</v>
      </c>
      <c r="N152" s="13" t="s">
        <v>613</v>
      </c>
      <c r="O152" s="11" t="s">
        <v>599</v>
      </c>
      <c r="P152" s="11" t="s">
        <v>600</v>
      </c>
      <c r="Q152" s="11" t="s">
        <v>125</v>
      </c>
      <c r="R152" s="11" t="s">
        <v>150</v>
      </c>
      <c r="S152" s="11" t="s">
        <v>125</v>
      </c>
      <c r="T152" s="11" t="s">
        <v>125</v>
      </c>
      <c r="U152" s="11" t="s">
        <v>38</v>
      </c>
      <c r="V152" s="11" t="s">
        <v>1378</v>
      </c>
      <c r="W152" s="11" t="s">
        <v>994</v>
      </c>
      <c r="X152" s="11" t="s">
        <v>994</v>
      </c>
      <c r="Y152" s="11" t="s">
        <v>994</v>
      </c>
      <c r="Z152" s="11" t="s">
        <v>994</v>
      </c>
      <c r="AA152" s="11" t="s">
        <v>994</v>
      </c>
      <c r="AB152" s="11" t="s">
        <v>994</v>
      </c>
      <c r="AC152" s="11" t="s">
        <v>994</v>
      </c>
      <c r="AD152" s="11" t="s">
        <v>994</v>
      </c>
      <c r="AE152" s="11" t="s">
        <v>995</v>
      </c>
    </row>
    <row r="153">
      <c r="B153" s="26" t="s">
        <v>291</v>
      </c>
      <c r="C153" s="12" t="s">
        <v>1492</v>
      </c>
      <c r="D153" s="11" t="s">
        <v>614</v>
      </c>
      <c r="E153" s="11" t="s">
        <v>90</v>
      </c>
      <c r="F153" s="12" t="s">
        <v>291</v>
      </c>
      <c r="G153" s="12" t="s">
        <v>246</v>
      </c>
      <c r="H153" s="12" t="s">
        <v>246</v>
      </c>
      <c r="I153" s="12" t="s">
        <v>430</v>
      </c>
      <c r="J153" s="12" t="s">
        <v>90</v>
      </c>
      <c r="K153" s="12" t="s">
        <v>1026</v>
      </c>
      <c r="L153" s="12" t="s">
        <v>247</v>
      </c>
      <c r="M153" s="12" t="s">
        <v>994</v>
      </c>
      <c r="N153" s="13" t="s">
        <v>615</v>
      </c>
      <c r="O153" s="11" t="s">
        <v>599</v>
      </c>
      <c r="P153" s="11" t="s">
        <v>600</v>
      </c>
      <c r="Q153" s="11" t="s">
        <v>125</v>
      </c>
      <c r="R153" s="11" t="s">
        <v>150</v>
      </c>
      <c r="S153" s="11" t="s">
        <v>125</v>
      </c>
      <c r="T153" s="11" t="s">
        <v>125</v>
      </c>
      <c r="U153" s="11" t="s">
        <v>38</v>
      </c>
      <c r="V153" s="11" t="s">
        <v>1378</v>
      </c>
      <c r="W153" s="11" t="s">
        <v>994</v>
      </c>
      <c r="X153" s="11" t="s">
        <v>994</v>
      </c>
      <c r="Y153" s="11" t="s">
        <v>994</v>
      </c>
      <c r="Z153" s="11" t="s">
        <v>994</v>
      </c>
      <c r="AA153" s="11" t="s">
        <v>994</v>
      </c>
      <c r="AB153" s="11" t="s">
        <v>994</v>
      </c>
      <c r="AC153" s="11" t="s">
        <v>994</v>
      </c>
      <c r="AD153" s="11" t="s">
        <v>994</v>
      </c>
      <c r="AE153" s="11" t="s">
        <v>995</v>
      </c>
    </row>
    <row r="154">
      <c r="B154" s="26" t="s">
        <v>49</v>
      </c>
      <c r="C154" s="12" t="s">
        <v>1493</v>
      </c>
      <c r="D154" s="11" t="s">
        <v>616</v>
      </c>
      <c r="E154" s="11" t="s">
        <v>90</v>
      </c>
      <c r="F154" s="12" t="s">
        <v>286</v>
      </c>
      <c r="G154" s="12" t="s">
        <v>246</v>
      </c>
      <c r="H154" s="12" t="s">
        <v>246</v>
      </c>
      <c r="I154" s="12" t="s">
        <v>430</v>
      </c>
      <c r="J154" s="12" t="s">
        <v>90</v>
      </c>
      <c r="K154" s="12" t="s">
        <v>1026</v>
      </c>
      <c r="L154" s="12" t="s">
        <v>247</v>
      </c>
      <c r="M154" s="12" t="s">
        <v>994</v>
      </c>
      <c r="N154" s="13" t="s">
        <v>617</v>
      </c>
      <c r="O154" s="11" t="s">
        <v>599</v>
      </c>
      <c r="P154" s="11" t="s">
        <v>600</v>
      </c>
      <c r="Q154" s="11" t="s">
        <v>125</v>
      </c>
      <c r="R154" s="11" t="s">
        <v>150</v>
      </c>
      <c r="S154" s="11" t="s">
        <v>125</v>
      </c>
      <c r="T154" s="11" t="s">
        <v>125</v>
      </c>
      <c r="U154" s="11" t="s">
        <v>38</v>
      </c>
      <c r="V154" s="11" t="s">
        <v>1378</v>
      </c>
      <c r="W154" s="11" t="s">
        <v>994</v>
      </c>
      <c r="X154" s="11" t="s">
        <v>994</v>
      </c>
      <c r="Y154" s="11" t="s">
        <v>994</v>
      </c>
      <c r="Z154" s="11" t="s">
        <v>994</v>
      </c>
      <c r="AA154" s="11" t="s">
        <v>994</v>
      </c>
      <c r="AB154" s="11" t="s">
        <v>994</v>
      </c>
      <c r="AC154" s="11" t="s">
        <v>994</v>
      </c>
      <c r="AD154" s="11" t="s">
        <v>994</v>
      </c>
      <c r="AE154" s="11" t="s">
        <v>995</v>
      </c>
    </row>
    <row r="155">
      <c r="B155" s="26" t="s">
        <v>49</v>
      </c>
      <c r="C155" s="12" t="s">
        <v>1494</v>
      </c>
      <c r="D155" s="11" t="s">
        <v>618</v>
      </c>
      <c r="E155" s="11" t="s">
        <v>90</v>
      </c>
      <c r="F155" s="12" t="s">
        <v>377</v>
      </c>
      <c r="G155" s="12" t="s">
        <v>246</v>
      </c>
      <c r="H155" s="12" t="s">
        <v>246</v>
      </c>
      <c r="I155" s="12" t="s">
        <v>430</v>
      </c>
      <c r="J155" s="12" t="s">
        <v>90</v>
      </c>
      <c r="K155" s="12" t="s">
        <v>1026</v>
      </c>
      <c r="L155" s="12" t="s">
        <v>247</v>
      </c>
      <c r="M155" s="12" t="s">
        <v>994</v>
      </c>
      <c r="N155" s="13" t="s">
        <v>619</v>
      </c>
      <c r="O155" s="11" t="s">
        <v>599</v>
      </c>
      <c r="P155" s="11" t="s">
        <v>600</v>
      </c>
      <c r="Q155" s="11" t="s">
        <v>125</v>
      </c>
      <c r="R155" s="11" t="s">
        <v>150</v>
      </c>
      <c r="S155" s="11" t="s">
        <v>125</v>
      </c>
      <c r="T155" s="11" t="s">
        <v>125</v>
      </c>
      <c r="U155" s="11" t="s">
        <v>29</v>
      </c>
      <c r="V155" s="11" t="s">
        <v>1378</v>
      </c>
      <c r="W155" s="11" t="s">
        <v>994</v>
      </c>
      <c r="X155" s="11" t="s">
        <v>994</v>
      </c>
      <c r="Y155" s="11" t="s">
        <v>994</v>
      </c>
      <c r="Z155" s="11" t="s">
        <v>994</v>
      </c>
      <c r="AA155" s="11" t="s">
        <v>994</v>
      </c>
      <c r="AB155" s="11" t="s">
        <v>994</v>
      </c>
      <c r="AC155" s="11" t="s">
        <v>994</v>
      </c>
      <c r="AD155" s="11" t="s">
        <v>1261</v>
      </c>
      <c r="AE155" s="11" t="s">
        <v>995</v>
      </c>
    </row>
    <row r="156">
      <c r="B156" s="26" t="s">
        <v>311</v>
      </c>
      <c r="C156" s="12" t="s">
        <v>1495</v>
      </c>
      <c r="D156" s="11" t="s">
        <v>620</v>
      </c>
      <c r="E156" s="11" t="s">
        <v>90</v>
      </c>
      <c r="F156" s="12" t="s">
        <v>311</v>
      </c>
      <c r="G156" s="12" t="s">
        <v>246</v>
      </c>
      <c r="H156" s="12" t="s">
        <v>246</v>
      </c>
      <c r="I156" s="12" t="s">
        <v>430</v>
      </c>
      <c r="J156" s="12" t="s">
        <v>90</v>
      </c>
      <c r="K156" s="12" t="s">
        <v>1026</v>
      </c>
      <c r="L156" s="12" t="s">
        <v>247</v>
      </c>
      <c r="M156" s="12" t="s">
        <v>994</v>
      </c>
      <c r="N156" s="13" t="s">
        <v>621</v>
      </c>
      <c r="O156" s="11" t="s">
        <v>599</v>
      </c>
      <c r="P156" s="11" t="s">
        <v>600</v>
      </c>
      <c r="Q156" s="11" t="s">
        <v>125</v>
      </c>
      <c r="R156" s="11" t="s">
        <v>150</v>
      </c>
      <c r="S156" s="11" t="s">
        <v>125</v>
      </c>
      <c r="T156" s="11" t="s">
        <v>125</v>
      </c>
      <c r="U156" s="11" t="s">
        <v>132</v>
      </c>
      <c r="V156" s="11" t="s">
        <v>1378</v>
      </c>
      <c r="W156" s="11" t="s">
        <v>994</v>
      </c>
      <c r="X156" s="11" t="s">
        <v>994</v>
      </c>
      <c r="Y156" s="11" t="s">
        <v>994</v>
      </c>
      <c r="Z156" s="11" t="s">
        <v>994</v>
      </c>
      <c r="AA156" s="11" t="s">
        <v>994</v>
      </c>
      <c r="AB156" s="11" t="s">
        <v>994</v>
      </c>
      <c r="AC156" s="11" t="s">
        <v>994</v>
      </c>
      <c r="AD156" s="11" t="s">
        <v>994</v>
      </c>
      <c r="AE156" s="11" t="s">
        <v>995</v>
      </c>
    </row>
    <row r="157">
      <c r="B157" s="26" t="s">
        <v>49</v>
      </c>
      <c r="C157" s="12" t="s">
        <v>1496</v>
      </c>
      <c r="D157" s="11" t="s">
        <v>622</v>
      </c>
      <c r="E157" s="11" t="s">
        <v>90</v>
      </c>
      <c r="F157" s="12" t="s">
        <v>49</v>
      </c>
      <c r="G157" s="12" t="s">
        <v>246</v>
      </c>
      <c r="H157" s="12" t="s">
        <v>246</v>
      </c>
      <c r="I157" s="12" t="s">
        <v>430</v>
      </c>
      <c r="J157" s="12" t="s">
        <v>90</v>
      </c>
      <c r="K157" s="12" t="s">
        <v>1026</v>
      </c>
      <c r="L157" s="12" t="s">
        <v>247</v>
      </c>
      <c r="M157" s="12" t="s">
        <v>994</v>
      </c>
      <c r="N157" s="13" t="s">
        <v>623</v>
      </c>
      <c r="O157" s="11" t="s">
        <v>599</v>
      </c>
      <c r="P157" s="11" t="s">
        <v>600</v>
      </c>
      <c r="Q157" s="11" t="s">
        <v>125</v>
      </c>
      <c r="R157" s="11" t="s">
        <v>150</v>
      </c>
      <c r="S157" s="11" t="s">
        <v>125</v>
      </c>
      <c r="T157" s="11" t="s">
        <v>125</v>
      </c>
      <c r="U157" s="11" t="s">
        <v>38</v>
      </c>
      <c r="V157" s="11" t="s">
        <v>1378</v>
      </c>
      <c r="W157" s="11" t="s">
        <v>994</v>
      </c>
      <c r="X157" s="11" t="s">
        <v>994</v>
      </c>
      <c r="Y157" s="11" t="s">
        <v>994</v>
      </c>
      <c r="Z157" s="11" t="s">
        <v>994</v>
      </c>
      <c r="AA157" s="11" t="s">
        <v>994</v>
      </c>
      <c r="AB157" s="11" t="s">
        <v>994</v>
      </c>
      <c r="AC157" s="11" t="s">
        <v>994</v>
      </c>
      <c r="AD157" s="11" t="s">
        <v>994</v>
      </c>
      <c r="AE157" s="11" t="s">
        <v>995</v>
      </c>
    </row>
    <row r="158">
      <c r="B158" s="26" t="s">
        <v>295</v>
      </c>
      <c r="C158" s="12" t="s">
        <v>1497</v>
      </c>
      <c r="D158" s="11" t="s">
        <v>624</v>
      </c>
      <c r="E158" s="11" t="s">
        <v>90</v>
      </c>
      <c r="F158" s="12" t="s">
        <v>295</v>
      </c>
      <c r="G158" s="12" t="s">
        <v>246</v>
      </c>
      <c r="H158" s="12" t="s">
        <v>246</v>
      </c>
      <c r="I158" s="12" t="s">
        <v>430</v>
      </c>
      <c r="J158" s="12" t="s">
        <v>90</v>
      </c>
      <c r="K158" s="12" t="s">
        <v>1026</v>
      </c>
      <c r="L158" s="12" t="s">
        <v>247</v>
      </c>
      <c r="M158" s="12" t="s">
        <v>994</v>
      </c>
      <c r="N158" s="13" t="s">
        <v>625</v>
      </c>
      <c r="O158" s="11" t="s">
        <v>599</v>
      </c>
      <c r="P158" s="11" t="s">
        <v>600</v>
      </c>
      <c r="Q158" s="11" t="s">
        <v>125</v>
      </c>
      <c r="R158" s="11" t="s">
        <v>150</v>
      </c>
      <c r="S158" s="11" t="s">
        <v>125</v>
      </c>
      <c r="T158" s="11" t="s">
        <v>125</v>
      </c>
      <c r="U158" s="11" t="s">
        <v>38</v>
      </c>
      <c r="V158" s="11" t="s">
        <v>1378</v>
      </c>
      <c r="W158" s="11" t="s">
        <v>994</v>
      </c>
      <c r="X158" s="11" t="s">
        <v>994</v>
      </c>
      <c r="Y158" s="11" t="s">
        <v>994</v>
      </c>
      <c r="Z158" s="11" t="s">
        <v>994</v>
      </c>
      <c r="AA158" s="11" t="s">
        <v>994</v>
      </c>
      <c r="AB158" s="11" t="s">
        <v>994</v>
      </c>
      <c r="AC158" s="11" t="s">
        <v>994</v>
      </c>
      <c r="AD158" s="11" t="s">
        <v>994</v>
      </c>
      <c r="AE158" s="11" t="s">
        <v>995</v>
      </c>
    </row>
    <row r="159">
      <c r="B159" s="26" t="s">
        <v>49</v>
      </c>
      <c r="C159" s="12" t="s">
        <v>1498</v>
      </c>
      <c r="D159" s="11" t="s">
        <v>626</v>
      </c>
      <c r="E159" s="11" t="s">
        <v>90</v>
      </c>
      <c r="F159" s="12" t="s">
        <v>286</v>
      </c>
      <c r="G159" s="12" t="s">
        <v>246</v>
      </c>
      <c r="H159" s="12" t="s">
        <v>246</v>
      </c>
      <c r="I159" s="12" t="s">
        <v>430</v>
      </c>
      <c r="J159" s="12" t="s">
        <v>90</v>
      </c>
      <c r="K159" s="12" t="s">
        <v>1026</v>
      </c>
      <c r="L159" s="12" t="s">
        <v>247</v>
      </c>
      <c r="M159" s="12" t="s">
        <v>994</v>
      </c>
      <c r="N159" s="13" t="s">
        <v>627</v>
      </c>
      <c r="O159" s="11" t="s">
        <v>599</v>
      </c>
      <c r="P159" s="11" t="s">
        <v>600</v>
      </c>
      <c r="Q159" s="11" t="s">
        <v>125</v>
      </c>
      <c r="R159" s="11" t="s">
        <v>150</v>
      </c>
      <c r="S159" s="11" t="s">
        <v>125</v>
      </c>
      <c r="T159" s="11" t="s">
        <v>125</v>
      </c>
      <c r="U159" s="11" t="s">
        <v>38</v>
      </c>
      <c r="V159" s="11" t="s">
        <v>1378</v>
      </c>
      <c r="W159" s="11" t="s">
        <v>994</v>
      </c>
      <c r="X159" s="11" t="s">
        <v>994</v>
      </c>
      <c r="Y159" s="11" t="s">
        <v>994</v>
      </c>
      <c r="Z159" s="11" t="s">
        <v>994</v>
      </c>
      <c r="AA159" s="11" t="s">
        <v>994</v>
      </c>
      <c r="AB159" s="11" t="s">
        <v>994</v>
      </c>
      <c r="AC159" s="11" t="s">
        <v>994</v>
      </c>
      <c r="AD159" s="11" t="s">
        <v>994</v>
      </c>
      <c r="AE159" s="11" t="s">
        <v>995</v>
      </c>
    </row>
    <row r="160">
      <c r="B160" s="26" t="s">
        <v>314</v>
      </c>
      <c r="C160" s="12" t="s">
        <v>1499</v>
      </c>
      <c r="D160" s="11" t="s">
        <v>1246</v>
      </c>
      <c r="E160" s="11" t="s">
        <v>90</v>
      </c>
      <c r="F160" s="12" t="s">
        <v>314</v>
      </c>
      <c r="G160" s="12" t="s">
        <v>246</v>
      </c>
      <c r="H160" s="12" t="s">
        <v>246</v>
      </c>
      <c r="I160" s="12" t="s">
        <v>430</v>
      </c>
      <c r="J160" s="12" t="s">
        <v>90</v>
      </c>
      <c r="K160" s="12" t="s">
        <v>1026</v>
      </c>
      <c r="L160" s="12" t="s">
        <v>247</v>
      </c>
      <c r="M160" s="12" t="s">
        <v>994</v>
      </c>
      <c r="N160" s="13" t="s">
        <v>628</v>
      </c>
      <c r="O160" s="11" t="s">
        <v>599</v>
      </c>
      <c r="P160" s="11" t="s">
        <v>600</v>
      </c>
      <c r="Q160" s="11" t="s">
        <v>125</v>
      </c>
      <c r="R160" s="11" t="s">
        <v>150</v>
      </c>
      <c r="S160" s="11" t="s">
        <v>125</v>
      </c>
      <c r="T160" s="11" t="s">
        <v>125</v>
      </c>
      <c r="U160" s="11" t="s">
        <v>1016</v>
      </c>
      <c r="V160" s="11" t="s">
        <v>1378</v>
      </c>
      <c r="W160" s="11" t="s">
        <v>994</v>
      </c>
      <c r="X160" s="11" t="s">
        <v>994</v>
      </c>
      <c r="Y160" s="11" t="s">
        <v>994</v>
      </c>
      <c r="Z160" s="11" t="s">
        <v>1380</v>
      </c>
      <c r="AA160" s="11" t="s">
        <v>994</v>
      </c>
      <c r="AB160" s="11" t="s">
        <v>30</v>
      </c>
      <c r="AC160" s="11" t="s">
        <v>994</v>
      </c>
      <c r="AD160" s="11" t="s">
        <v>994</v>
      </c>
      <c r="AE160" s="11" t="s">
        <v>995</v>
      </c>
    </row>
    <row r="161">
      <c r="B161" s="26" t="s">
        <v>49</v>
      </c>
      <c r="C161" s="12" t="s">
        <v>1500</v>
      </c>
      <c r="D161" s="11" t="s">
        <v>629</v>
      </c>
      <c r="E161" s="11" t="s">
        <v>90</v>
      </c>
      <c r="F161" s="12" t="s">
        <v>49</v>
      </c>
      <c r="G161" s="12" t="s">
        <v>246</v>
      </c>
      <c r="H161" s="12" t="s">
        <v>246</v>
      </c>
      <c r="I161" s="12" t="s">
        <v>430</v>
      </c>
      <c r="J161" s="12" t="s">
        <v>90</v>
      </c>
      <c r="K161" s="12" t="s">
        <v>1026</v>
      </c>
      <c r="L161" s="12" t="s">
        <v>247</v>
      </c>
      <c r="M161" s="12" t="s">
        <v>994</v>
      </c>
      <c r="N161" s="13" t="s">
        <v>630</v>
      </c>
      <c r="O161" s="11" t="s">
        <v>599</v>
      </c>
      <c r="P161" s="11" t="s">
        <v>600</v>
      </c>
      <c r="Q161" s="11" t="s">
        <v>125</v>
      </c>
      <c r="R161" s="11" t="s">
        <v>150</v>
      </c>
      <c r="S161" s="11" t="s">
        <v>125</v>
      </c>
      <c r="T161" s="11" t="s">
        <v>125</v>
      </c>
      <c r="U161" s="11" t="s">
        <v>132</v>
      </c>
      <c r="V161" s="11" t="s">
        <v>1378</v>
      </c>
      <c r="W161" s="11" t="s">
        <v>994</v>
      </c>
      <c r="X161" s="11" t="s">
        <v>994</v>
      </c>
      <c r="Y161" s="11" t="s">
        <v>994</v>
      </c>
      <c r="Z161" s="11" t="s">
        <v>994</v>
      </c>
      <c r="AA161" s="11" t="s">
        <v>994</v>
      </c>
      <c r="AB161" s="11" t="s">
        <v>994</v>
      </c>
      <c r="AC161" s="11" t="s">
        <v>994</v>
      </c>
      <c r="AD161" s="11" t="s">
        <v>994</v>
      </c>
      <c r="AE161" s="11" t="s">
        <v>995</v>
      </c>
    </row>
    <row r="162">
      <c r="B162" s="26" t="s">
        <v>49</v>
      </c>
      <c r="C162" s="12" t="s">
        <v>1501</v>
      </c>
      <c r="D162" s="11" t="s">
        <v>631</v>
      </c>
      <c r="E162" s="11" t="s">
        <v>90</v>
      </c>
      <c r="F162" s="12" t="s">
        <v>49</v>
      </c>
      <c r="G162" s="12" t="s">
        <v>246</v>
      </c>
      <c r="H162" s="12" t="s">
        <v>246</v>
      </c>
      <c r="I162" s="12" t="s">
        <v>430</v>
      </c>
      <c r="J162" s="12" t="s">
        <v>90</v>
      </c>
      <c r="K162" s="12" t="s">
        <v>1026</v>
      </c>
      <c r="L162" s="12" t="s">
        <v>247</v>
      </c>
      <c r="M162" s="12" t="s">
        <v>994</v>
      </c>
      <c r="N162" s="13" t="s">
        <v>632</v>
      </c>
      <c r="O162" s="11" t="s">
        <v>599</v>
      </c>
      <c r="P162" s="11" t="s">
        <v>600</v>
      </c>
      <c r="Q162" s="11" t="s">
        <v>125</v>
      </c>
      <c r="R162" s="11" t="s">
        <v>150</v>
      </c>
      <c r="S162" s="11" t="s">
        <v>125</v>
      </c>
      <c r="T162" s="11" t="s">
        <v>125</v>
      </c>
      <c r="U162" s="11" t="s">
        <v>38</v>
      </c>
      <c r="V162" s="11" t="s">
        <v>1378</v>
      </c>
      <c r="W162" s="11" t="s">
        <v>994</v>
      </c>
      <c r="X162" s="11" t="s">
        <v>994</v>
      </c>
      <c r="Y162" s="11" t="s">
        <v>994</v>
      </c>
      <c r="Z162" s="11" t="s">
        <v>994</v>
      </c>
      <c r="AA162" s="11" t="s">
        <v>994</v>
      </c>
      <c r="AB162" s="11" t="s">
        <v>994</v>
      </c>
      <c r="AC162" s="11" t="s">
        <v>994</v>
      </c>
      <c r="AD162" s="11" t="s">
        <v>994</v>
      </c>
      <c r="AE162" s="11" t="s">
        <v>995</v>
      </c>
    </row>
    <row r="163">
      <c r="B163" s="26" t="s">
        <v>308</v>
      </c>
      <c r="C163" s="12" t="s">
        <v>1502</v>
      </c>
      <c r="D163" s="11" t="s">
        <v>633</v>
      </c>
      <c r="E163" s="11" t="s">
        <v>90</v>
      </c>
      <c r="F163" s="12" t="s">
        <v>308</v>
      </c>
      <c r="G163" s="12" t="s">
        <v>246</v>
      </c>
      <c r="H163" s="12" t="s">
        <v>246</v>
      </c>
      <c r="I163" s="12" t="s">
        <v>430</v>
      </c>
      <c r="J163" s="12" t="s">
        <v>90</v>
      </c>
      <c r="K163" s="12" t="s">
        <v>1026</v>
      </c>
      <c r="L163" s="12" t="s">
        <v>247</v>
      </c>
      <c r="M163" s="12" t="s">
        <v>994</v>
      </c>
      <c r="N163" s="13" t="s">
        <v>634</v>
      </c>
      <c r="O163" s="11" t="s">
        <v>599</v>
      </c>
      <c r="P163" s="11" t="s">
        <v>600</v>
      </c>
      <c r="Q163" s="11" t="s">
        <v>125</v>
      </c>
      <c r="R163" s="11" t="s">
        <v>150</v>
      </c>
      <c r="S163" s="11" t="s">
        <v>125</v>
      </c>
      <c r="T163" s="11" t="s">
        <v>125</v>
      </c>
      <c r="U163" s="11" t="s">
        <v>38</v>
      </c>
      <c r="V163" s="11" t="s">
        <v>1378</v>
      </c>
      <c r="W163" s="11" t="s">
        <v>994</v>
      </c>
      <c r="X163" s="11" t="s">
        <v>994</v>
      </c>
      <c r="Y163" s="11" t="s">
        <v>994</v>
      </c>
      <c r="Z163" s="11" t="s">
        <v>994</v>
      </c>
      <c r="AA163" s="11" t="s">
        <v>994</v>
      </c>
      <c r="AB163" s="11" t="s">
        <v>994</v>
      </c>
      <c r="AC163" s="11" t="s">
        <v>994</v>
      </c>
      <c r="AD163" s="11" t="s">
        <v>994</v>
      </c>
      <c r="AE163" s="11" t="s">
        <v>995</v>
      </c>
    </row>
    <row r="164">
      <c r="B164" s="26" t="s">
        <v>49</v>
      </c>
      <c r="C164" s="12" t="s">
        <v>1503</v>
      </c>
      <c r="D164" s="11" t="s">
        <v>622</v>
      </c>
      <c r="E164" s="11" t="s">
        <v>90</v>
      </c>
      <c r="F164" s="12" t="s">
        <v>499</v>
      </c>
      <c r="G164" s="12" t="s">
        <v>246</v>
      </c>
      <c r="H164" s="12" t="s">
        <v>246</v>
      </c>
      <c r="I164" s="12" t="s">
        <v>430</v>
      </c>
      <c r="J164" s="12" t="s">
        <v>90</v>
      </c>
      <c r="K164" s="12" t="s">
        <v>1026</v>
      </c>
      <c r="L164" s="12" t="s">
        <v>247</v>
      </c>
      <c r="M164" s="12" t="s">
        <v>994</v>
      </c>
      <c r="N164" s="13" t="s">
        <v>635</v>
      </c>
      <c r="O164" s="11" t="s">
        <v>599</v>
      </c>
      <c r="P164" s="11" t="s">
        <v>600</v>
      </c>
      <c r="Q164" s="11" t="s">
        <v>125</v>
      </c>
      <c r="R164" s="11" t="s">
        <v>150</v>
      </c>
      <c r="S164" s="11" t="s">
        <v>125</v>
      </c>
      <c r="T164" s="11" t="s">
        <v>125</v>
      </c>
      <c r="U164" s="11" t="s">
        <v>38</v>
      </c>
      <c r="V164" s="11" t="s">
        <v>1378</v>
      </c>
      <c r="W164" s="11" t="s">
        <v>994</v>
      </c>
      <c r="X164" s="11" t="s">
        <v>994</v>
      </c>
      <c r="Y164" s="11" t="s">
        <v>994</v>
      </c>
      <c r="Z164" s="11" t="s">
        <v>994</v>
      </c>
      <c r="AA164" s="11" t="s">
        <v>994</v>
      </c>
      <c r="AB164" s="11" t="s">
        <v>994</v>
      </c>
      <c r="AC164" s="11" t="s">
        <v>994</v>
      </c>
      <c r="AD164" s="11" t="s">
        <v>994</v>
      </c>
      <c r="AE164" s="11" t="s">
        <v>995</v>
      </c>
    </row>
    <row r="165">
      <c r="B165" s="26" t="s">
        <v>49</v>
      </c>
      <c r="C165" s="12" t="s">
        <v>1504</v>
      </c>
      <c r="D165" s="11" t="s">
        <v>636</v>
      </c>
      <c r="E165" s="11" t="s">
        <v>90</v>
      </c>
      <c r="F165" s="12" t="s">
        <v>49</v>
      </c>
      <c r="G165" s="12" t="s">
        <v>246</v>
      </c>
      <c r="H165" s="12" t="s">
        <v>246</v>
      </c>
      <c r="I165" s="12" t="s">
        <v>430</v>
      </c>
      <c r="J165" s="12" t="s">
        <v>90</v>
      </c>
      <c r="K165" s="12" t="s">
        <v>1026</v>
      </c>
      <c r="L165" s="12" t="s">
        <v>247</v>
      </c>
      <c r="M165" s="12" t="s">
        <v>994</v>
      </c>
      <c r="N165" s="13" t="s">
        <v>637</v>
      </c>
      <c r="O165" s="11" t="s">
        <v>599</v>
      </c>
      <c r="P165" s="11" t="s">
        <v>600</v>
      </c>
      <c r="Q165" s="11" t="s">
        <v>125</v>
      </c>
      <c r="R165" s="11" t="s">
        <v>150</v>
      </c>
      <c r="S165" s="11" t="s">
        <v>994</v>
      </c>
      <c r="T165" s="11" t="s">
        <v>125</v>
      </c>
      <c r="U165" s="11" t="s">
        <v>38</v>
      </c>
      <c r="V165" s="11" t="s">
        <v>1378</v>
      </c>
      <c r="W165" s="11" t="s">
        <v>994</v>
      </c>
      <c r="X165" s="11" t="s">
        <v>994</v>
      </c>
      <c r="Y165" s="11" t="s">
        <v>994</v>
      </c>
      <c r="Z165" s="11" t="s">
        <v>994</v>
      </c>
      <c r="AA165" s="11" t="s">
        <v>994</v>
      </c>
      <c r="AB165" s="11" t="s">
        <v>994</v>
      </c>
      <c r="AC165" s="11" t="s">
        <v>994</v>
      </c>
      <c r="AD165" s="11" t="s">
        <v>994</v>
      </c>
      <c r="AE165" s="11" t="s">
        <v>995</v>
      </c>
    </row>
    <row r="166">
      <c r="B166" s="26" t="s">
        <v>295</v>
      </c>
      <c r="C166" s="12" t="s">
        <v>1505</v>
      </c>
      <c r="D166" s="11" t="s">
        <v>638</v>
      </c>
      <c r="E166" s="11" t="s">
        <v>90</v>
      </c>
      <c r="F166" s="12" t="s">
        <v>295</v>
      </c>
      <c r="G166" s="12" t="s">
        <v>246</v>
      </c>
      <c r="H166" s="12" t="s">
        <v>246</v>
      </c>
      <c r="I166" s="12" t="s">
        <v>430</v>
      </c>
      <c r="J166" s="12" t="s">
        <v>90</v>
      </c>
      <c r="K166" s="12" t="s">
        <v>1026</v>
      </c>
      <c r="L166" s="12" t="s">
        <v>247</v>
      </c>
      <c r="M166" s="12" t="s">
        <v>994</v>
      </c>
      <c r="N166" s="13" t="s">
        <v>639</v>
      </c>
      <c r="O166" s="11" t="s">
        <v>599</v>
      </c>
      <c r="P166" s="11" t="s">
        <v>600</v>
      </c>
      <c r="Q166" s="11" t="s">
        <v>125</v>
      </c>
      <c r="R166" s="11" t="s">
        <v>150</v>
      </c>
      <c r="S166" s="11" t="s">
        <v>994</v>
      </c>
      <c r="T166" s="11" t="s">
        <v>125</v>
      </c>
      <c r="U166" s="11" t="s">
        <v>132</v>
      </c>
      <c r="V166" s="11" t="s">
        <v>1378</v>
      </c>
      <c r="W166" s="11" t="s">
        <v>994</v>
      </c>
      <c r="X166" s="11" t="s">
        <v>994</v>
      </c>
      <c r="Y166" s="11" t="s">
        <v>994</v>
      </c>
      <c r="Z166" s="11" t="s">
        <v>994</v>
      </c>
      <c r="AA166" s="11" t="s">
        <v>994</v>
      </c>
      <c r="AB166" s="11" t="s">
        <v>994</v>
      </c>
      <c r="AC166" s="11" t="s">
        <v>994</v>
      </c>
      <c r="AD166" s="11" t="s">
        <v>994</v>
      </c>
      <c r="AE166" s="11" t="s">
        <v>995</v>
      </c>
    </row>
    <row r="167">
      <c r="B167" s="26" t="s">
        <v>295</v>
      </c>
      <c r="C167" s="12" t="s">
        <v>1506</v>
      </c>
      <c r="D167" s="11" t="s">
        <v>640</v>
      </c>
      <c r="E167" s="11" t="s">
        <v>90</v>
      </c>
      <c r="F167" s="12" t="s">
        <v>295</v>
      </c>
      <c r="G167" s="12" t="s">
        <v>246</v>
      </c>
      <c r="H167" s="12" t="s">
        <v>246</v>
      </c>
      <c r="I167" s="12" t="s">
        <v>430</v>
      </c>
      <c r="J167" s="12" t="s">
        <v>90</v>
      </c>
      <c r="K167" s="12" t="s">
        <v>1026</v>
      </c>
      <c r="L167" s="12" t="s">
        <v>247</v>
      </c>
      <c r="M167" s="12" t="s">
        <v>994</v>
      </c>
      <c r="N167" s="13" t="s">
        <v>641</v>
      </c>
      <c r="O167" s="11" t="s">
        <v>599</v>
      </c>
      <c r="P167" s="11" t="s">
        <v>600</v>
      </c>
      <c r="Q167" s="11" t="s">
        <v>125</v>
      </c>
      <c r="R167" s="11" t="s">
        <v>150</v>
      </c>
      <c r="S167" s="11" t="s">
        <v>994</v>
      </c>
      <c r="T167" s="11" t="s">
        <v>125</v>
      </c>
      <c r="U167" s="11" t="s">
        <v>29</v>
      </c>
      <c r="V167" s="11" t="s">
        <v>1378</v>
      </c>
      <c r="W167" s="11" t="s">
        <v>1778</v>
      </c>
      <c r="X167" s="11" t="s">
        <v>994</v>
      </c>
      <c r="Y167" s="11" t="s">
        <v>994</v>
      </c>
      <c r="Z167" s="11" t="s">
        <v>994</v>
      </c>
      <c r="AA167" s="11" t="s">
        <v>994</v>
      </c>
      <c r="AB167" s="11" t="s">
        <v>994</v>
      </c>
      <c r="AC167" s="11" t="s">
        <v>994</v>
      </c>
      <c r="AD167" s="11" t="s">
        <v>994</v>
      </c>
      <c r="AE167" s="11" t="s">
        <v>995</v>
      </c>
    </row>
    <row r="168">
      <c r="B168" s="26" t="s">
        <v>295</v>
      </c>
      <c r="C168" s="12" t="s">
        <v>1507</v>
      </c>
      <c r="D168" s="11" t="s">
        <v>642</v>
      </c>
      <c r="E168" s="11" t="s">
        <v>90</v>
      </c>
      <c r="F168" s="12" t="s">
        <v>295</v>
      </c>
      <c r="G168" s="12" t="s">
        <v>246</v>
      </c>
      <c r="H168" s="12" t="s">
        <v>246</v>
      </c>
      <c r="I168" s="12" t="s">
        <v>430</v>
      </c>
      <c r="J168" s="12" t="s">
        <v>90</v>
      </c>
      <c r="K168" s="12" t="s">
        <v>1026</v>
      </c>
      <c r="L168" s="12" t="s">
        <v>247</v>
      </c>
      <c r="M168" s="12" t="s">
        <v>994</v>
      </c>
      <c r="N168" s="13" t="s">
        <v>643</v>
      </c>
      <c r="O168" s="11" t="s">
        <v>599</v>
      </c>
      <c r="P168" s="11" t="s">
        <v>600</v>
      </c>
      <c r="Q168" s="11" t="s">
        <v>125</v>
      </c>
      <c r="R168" s="11" t="s">
        <v>150</v>
      </c>
      <c r="S168" s="11" t="s">
        <v>125</v>
      </c>
      <c r="T168" s="11" t="s">
        <v>125</v>
      </c>
      <c r="U168" s="11" t="s">
        <v>38</v>
      </c>
      <c r="V168" s="11" t="s">
        <v>1378</v>
      </c>
      <c r="W168" s="11" t="s">
        <v>994</v>
      </c>
      <c r="X168" s="11" t="s">
        <v>994</v>
      </c>
      <c r="Y168" s="11" t="s">
        <v>994</v>
      </c>
      <c r="Z168" s="11" t="s">
        <v>994</v>
      </c>
      <c r="AA168" s="11" t="s">
        <v>994</v>
      </c>
      <c r="AB168" s="11" t="s">
        <v>994</v>
      </c>
      <c r="AC168" s="11" t="s">
        <v>994</v>
      </c>
      <c r="AD168" s="11" t="s">
        <v>994</v>
      </c>
      <c r="AE168" s="11" t="s">
        <v>995</v>
      </c>
    </row>
    <row r="169">
      <c r="B169" s="26" t="s">
        <v>295</v>
      </c>
      <c r="C169" s="12" t="s">
        <v>1508</v>
      </c>
      <c r="D169" s="11" t="s">
        <v>644</v>
      </c>
      <c r="E169" s="11" t="s">
        <v>90</v>
      </c>
      <c r="F169" s="12" t="s">
        <v>295</v>
      </c>
      <c r="G169" s="12" t="s">
        <v>246</v>
      </c>
      <c r="H169" s="12" t="s">
        <v>246</v>
      </c>
      <c r="I169" s="12" t="s">
        <v>430</v>
      </c>
      <c r="J169" s="12" t="s">
        <v>90</v>
      </c>
      <c r="K169" s="12" t="s">
        <v>1026</v>
      </c>
      <c r="L169" s="12" t="s">
        <v>247</v>
      </c>
      <c r="M169" s="12" t="s">
        <v>994</v>
      </c>
      <c r="N169" s="13" t="s">
        <v>645</v>
      </c>
      <c r="O169" s="11" t="s">
        <v>599</v>
      </c>
      <c r="P169" s="11" t="s">
        <v>600</v>
      </c>
      <c r="Q169" s="11" t="s">
        <v>125</v>
      </c>
      <c r="R169" s="11" t="s">
        <v>150</v>
      </c>
      <c r="S169" s="11" t="s">
        <v>994</v>
      </c>
      <c r="T169" s="11" t="s">
        <v>126</v>
      </c>
      <c r="U169" s="11" t="s">
        <v>994</v>
      </c>
      <c r="V169" s="11" t="s">
        <v>994</v>
      </c>
      <c r="W169" s="11" t="s">
        <v>994</v>
      </c>
      <c r="X169" s="11" t="s">
        <v>994</v>
      </c>
      <c r="Y169" s="11" t="s">
        <v>994</v>
      </c>
      <c r="Z169" s="11" t="s">
        <v>994</v>
      </c>
      <c r="AA169" s="11" t="s">
        <v>994</v>
      </c>
      <c r="AB169" s="11" t="s">
        <v>994</v>
      </c>
      <c r="AC169" s="11" t="s">
        <v>994</v>
      </c>
      <c r="AD169" s="11" t="s">
        <v>994</v>
      </c>
      <c r="AE169" s="11" t="s">
        <v>1804</v>
      </c>
    </row>
    <row r="170">
      <c r="B170" s="26" t="s">
        <v>295</v>
      </c>
      <c r="C170" s="12" t="s">
        <v>1509</v>
      </c>
      <c r="D170" s="11" t="s">
        <v>646</v>
      </c>
      <c r="E170" s="11" t="s">
        <v>90</v>
      </c>
      <c r="F170" s="12" t="s">
        <v>295</v>
      </c>
      <c r="G170" s="12" t="s">
        <v>246</v>
      </c>
      <c r="H170" s="12" t="s">
        <v>246</v>
      </c>
      <c r="I170" s="12" t="s">
        <v>430</v>
      </c>
      <c r="J170" s="12" t="s">
        <v>90</v>
      </c>
      <c r="K170" s="12" t="s">
        <v>1026</v>
      </c>
      <c r="L170" s="12" t="s">
        <v>247</v>
      </c>
      <c r="M170" s="12" t="s">
        <v>994</v>
      </c>
      <c r="N170" s="13" t="s">
        <v>647</v>
      </c>
      <c r="O170" s="11" t="s">
        <v>599</v>
      </c>
      <c r="P170" s="11" t="s">
        <v>600</v>
      </c>
      <c r="Q170" s="11" t="s">
        <v>125</v>
      </c>
      <c r="R170" s="11" t="s">
        <v>150</v>
      </c>
      <c r="S170" s="11" t="s">
        <v>994</v>
      </c>
      <c r="T170" s="11" t="s">
        <v>126</v>
      </c>
      <c r="U170" s="11" t="s">
        <v>994</v>
      </c>
      <c r="V170" s="11" t="s">
        <v>994</v>
      </c>
      <c r="W170" s="11" t="s">
        <v>994</v>
      </c>
      <c r="X170" s="11" t="s">
        <v>994</v>
      </c>
      <c r="Y170" s="11" t="s">
        <v>994</v>
      </c>
      <c r="Z170" s="11" t="s">
        <v>994</v>
      </c>
      <c r="AA170" s="11" t="s">
        <v>994</v>
      </c>
      <c r="AB170" s="11" t="s">
        <v>994</v>
      </c>
      <c r="AC170" s="11" t="s">
        <v>994</v>
      </c>
      <c r="AD170" s="11" t="s">
        <v>994</v>
      </c>
      <c r="AE170" s="11" t="s">
        <v>1804</v>
      </c>
    </row>
    <row r="171">
      <c r="B171" s="26" t="s">
        <v>416</v>
      </c>
      <c r="C171" s="12" t="s">
        <v>1510</v>
      </c>
      <c r="D171" s="11" t="s">
        <v>648</v>
      </c>
      <c r="E171" s="11" t="s">
        <v>90</v>
      </c>
      <c r="F171" s="12" t="s">
        <v>416</v>
      </c>
      <c r="G171" s="12" t="s">
        <v>246</v>
      </c>
      <c r="H171" s="12" t="s">
        <v>246</v>
      </c>
      <c r="I171" s="12" t="s">
        <v>430</v>
      </c>
      <c r="J171" s="12" t="s">
        <v>90</v>
      </c>
      <c r="K171" s="12" t="s">
        <v>1026</v>
      </c>
      <c r="L171" s="12" t="s">
        <v>247</v>
      </c>
      <c r="M171" s="12" t="s">
        <v>994</v>
      </c>
      <c r="N171" s="13" t="s">
        <v>649</v>
      </c>
      <c r="O171" s="11" t="s">
        <v>599</v>
      </c>
      <c r="P171" s="11" t="s">
        <v>600</v>
      </c>
      <c r="Q171" s="11" t="s">
        <v>125</v>
      </c>
      <c r="R171" s="11" t="s">
        <v>150</v>
      </c>
      <c r="S171" s="11" t="s">
        <v>994</v>
      </c>
      <c r="T171" s="11" t="s">
        <v>126</v>
      </c>
      <c r="U171" s="11" t="s">
        <v>994</v>
      </c>
      <c r="V171" s="11" t="s">
        <v>994</v>
      </c>
      <c r="W171" s="11" t="s">
        <v>994</v>
      </c>
      <c r="X171" s="11" t="s">
        <v>994</v>
      </c>
      <c r="Y171" s="11" t="s">
        <v>994</v>
      </c>
      <c r="Z171" s="11" t="s">
        <v>994</v>
      </c>
      <c r="AA171" s="11" t="s">
        <v>994</v>
      </c>
      <c r="AB171" s="11" t="s">
        <v>994</v>
      </c>
      <c r="AC171" s="11" t="s">
        <v>994</v>
      </c>
      <c r="AD171" s="11" t="s">
        <v>994</v>
      </c>
      <c r="AE171" s="11" t="s">
        <v>1804</v>
      </c>
    </row>
    <row r="172">
      <c r="B172" s="26" t="s">
        <v>416</v>
      </c>
      <c r="C172" s="12" t="s">
        <v>1511</v>
      </c>
      <c r="D172" s="11" t="s">
        <v>650</v>
      </c>
      <c r="E172" s="11" t="s">
        <v>90</v>
      </c>
      <c r="F172" s="12" t="s">
        <v>416</v>
      </c>
      <c r="G172" s="12" t="s">
        <v>246</v>
      </c>
      <c r="H172" s="12" t="s">
        <v>246</v>
      </c>
      <c r="I172" s="12" t="s">
        <v>430</v>
      </c>
      <c r="J172" s="12" t="s">
        <v>90</v>
      </c>
      <c r="K172" s="12" t="s">
        <v>1026</v>
      </c>
      <c r="L172" s="12" t="s">
        <v>247</v>
      </c>
      <c r="M172" s="12" t="s">
        <v>994</v>
      </c>
      <c r="N172" s="13" t="s">
        <v>651</v>
      </c>
      <c r="O172" s="11" t="s">
        <v>599</v>
      </c>
      <c r="P172" s="11" t="s">
        <v>600</v>
      </c>
      <c r="Q172" s="11" t="s">
        <v>125</v>
      </c>
      <c r="R172" s="11" t="s">
        <v>150</v>
      </c>
      <c r="S172" s="11" t="s">
        <v>994</v>
      </c>
      <c r="T172" s="11" t="s">
        <v>126</v>
      </c>
      <c r="U172" s="11" t="s">
        <v>994</v>
      </c>
      <c r="V172" s="11" t="s">
        <v>994</v>
      </c>
      <c r="W172" s="11" t="s">
        <v>994</v>
      </c>
      <c r="X172" s="11" t="s">
        <v>994</v>
      </c>
      <c r="Y172" s="11" t="s">
        <v>994</v>
      </c>
      <c r="Z172" s="11" t="s">
        <v>994</v>
      </c>
      <c r="AA172" s="11" t="s">
        <v>994</v>
      </c>
      <c r="AB172" s="11" t="s">
        <v>994</v>
      </c>
      <c r="AC172" s="11" t="s">
        <v>994</v>
      </c>
      <c r="AD172" s="11" t="s">
        <v>994</v>
      </c>
      <c r="AE172" s="11" t="s">
        <v>1804</v>
      </c>
    </row>
    <row r="173">
      <c r="B173" s="26" t="s">
        <v>291</v>
      </c>
      <c r="C173" s="12" t="s">
        <v>1512</v>
      </c>
      <c r="D173" s="11" t="s">
        <v>652</v>
      </c>
      <c r="E173" s="11" t="s">
        <v>90</v>
      </c>
      <c r="F173" s="12" t="s">
        <v>291</v>
      </c>
      <c r="G173" s="12" t="s">
        <v>246</v>
      </c>
      <c r="H173" s="12" t="s">
        <v>246</v>
      </c>
      <c r="I173" s="12" t="s">
        <v>430</v>
      </c>
      <c r="J173" s="12" t="s">
        <v>90</v>
      </c>
      <c r="K173" s="12" t="s">
        <v>1025</v>
      </c>
      <c r="L173" s="12" t="s">
        <v>247</v>
      </c>
      <c r="M173" s="12" t="s">
        <v>994</v>
      </c>
      <c r="N173" s="13" t="s">
        <v>653</v>
      </c>
      <c r="O173" s="11" t="s">
        <v>599</v>
      </c>
      <c r="P173" s="11" t="s">
        <v>600</v>
      </c>
      <c r="Q173" s="11" t="s">
        <v>125</v>
      </c>
      <c r="R173" s="11" t="s">
        <v>150</v>
      </c>
      <c r="S173" s="11" t="s">
        <v>994</v>
      </c>
      <c r="T173" s="11" t="s">
        <v>126</v>
      </c>
      <c r="U173" s="11" t="s">
        <v>994</v>
      </c>
      <c r="V173" s="11" t="s">
        <v>994</v>
      </c>
      <c r="W173" s="11" t="s">
        <v>994</v>
      </c>
      <c r="X173" s="11" t="s">
        <v>994</v>
      </c>
      <c r="Y173" s="11" t="s">
        <v>994</v>
      </c>
      <c r="Z173" s="11" t="s">
        <v>994</v>
      </c>
      <c r="AA173" s="11" t="s">
        <v>994</v>
      </c>
      <c r="AB173" s="11" t="s">
        <v>994</v>
      </c>
      <c r="AC173" s="11" t="s">
        <v>994</v>
      </c>
      <c r="AD173" s="11" t="s">
        <v>994</v>
      </c>
      <c r="AE173" s="11" t="s">
        <v>1804</v>
      </c>
    </row>
    <row r="174">
      <c r="B174" s="26" t="s">
        <v>278</v>
      </c>
      <c r="C174" s="12" t="s">
        <v>1513</v>
      </c>
      <c r="D174" s="11" t="s">
        <v>654</v>
      </c>
      <c r="E174" s="11" t="s">
        <v>90</v>
      </c>
      <c r="F174" s="12" t="s">
        <v>278</v>
      </c>
      <c r="G174" s="12" t="s">
        <v>246</v>
      </c>
      <c r="H174" s="12" t="s">
        <v>246</v>
      </c>
      <c r="I174" s="12" t="s">
        <v>430</v>
      </c>
      <c r="J174" s="12" t="s">
        <v>90</v>
      </c>
      <c r="K174" s="12" t="s">
        <v>1025</v>
      </c>
      <c r="L174" s="12" t="s">
        <v>247</v>
      </c>
      <c r="M174" s="12" t="s">
        <v>994</v>
      </c>
      <c r="N174" s="13" t="s">
        <v>994</v>
      </c>
      <c r="O174" s="11" t="s">
        <v>599</v>
      </c>
      <c r="P174" s="11" t="s">
        <v>600</v>
      </c>
      <c r="Q174" s="11" t="s">
        <v>125</v>
      </c>
      <c r="R174" s="11" t="s">
        <v>150</v>
      </c>
      <c r="S174" s="11" t="s">
        <v>994</v>
      </c>
      <c r="T174" s="11" t="s">
        <v>126</v>
      </c>
      <c r="U174" s="11" t="s">
        <v>994</v>
      </c>
      <c r="V174" s="11" t="s">
        <v>994</v>
      </c>
      <c r="W174" s="11" t="s">
        <v>994</v>
      </c>
      <c r="X174" s="11" t="s">
        <v>994</v>
      </c>
      <c r="Y174" s="11" t="s">
        <v>994</v>
      </c>
      <c r="Z174" s="11" t="s">
        <v>994</v>
      </c>
      <c r="AA174" s="11" t="s">
        <v>994</v>
      </c>
      <c r="AB174" s="11" t="s">
        <v>994</v>
      </c>
      <c r="AC174" s="11" t="s">
        <v>994</v>
      </c>
      <c r="AD174" s="11" t="s">
        <v>994</v>
      </c>
      <c r="AE174" s="11" t="s">
        <v>1804</v>
      </c>
    </row>
    <row r="175">
      <c r="B175" s="26" t="s">
        <v>311</v>
      </c>
      <c r="C175" s="12" t="s">
        <v>1514</v>
      </c>
      <c r="D175" s="11" t="s">
        <v>655</v>
      </c>
      <c r="E175" s="11" t="s">
        <v>90</v>
      </c>
      <c r="F175" s="12" t="s">
        <v>311</v>
      </c>
      <c r="G175" s="12" t="s">
        <v>246</v>
      </c>
      <c r="H175" s="12" t="s">
        <v>246</v>
      </c>
      <c r="I175" s="12" t="s">
        <v>430</v>
      </c>
      <c r="J175" s="12" t="s">
        <v>90</v>
      </c>
      <c r="K175" s="12" t="s">
        <v>1025</v>
      </c>
      <c r="L175" s="12" t="s">
        <v>247</v>
      </c>
      <c r="M175" s="12" t="s">
        <v>994</v>
      </c>
      <c r="N175" s="13" t="s">
        <v>994</v>
      </c>
      <c r="O175" s="11" t="s">
        <v>599</v>
      </c>
      <c r="P175" s="11" t="s">
        <v>600</v>
      </c>
      <c r="Q175" s="11" t="s">
        <v>125</v>
      </c>
      <c r="R175" s="11" t="s">
        <v>150</v>
      </c>
      <c r="S175" s="11" t="s">
        <v>994</v>
      </c>
      <c r="T175" s="11" t="s">
        <v>126</v>
      </c>
      <c r="U175" s="11" t="s">
        <v>994</v>
      </c>
      <c r="V175" s="11" t="s">
        <v>994</v>
      </c>
      <c r="W175" s="11" t="s">
        <v>994</v>
      </c>
      <c r="X175" s="11" t="s">
        <v>994</v>
      </c>
      <c r="Y175" s="11" t="s">
        <v>994</v>
      </c>
      <c r="Z175" s="11" t="s">
        <v>994</v>
      </c>
      <c r="AA175" s="11" t="s">
        <v>994</v>
      </c>
      <c r="AB175" s="11" t="s">
        <v>994</v>
      </c>
      <c r="AC175" s="11" t="s">
        <v>994</v>
      </c>
      <c r="AD175" s="11" t="s">
        <v>994</v>
      </c>
      <c r="AE175" s="11" t="s">
        <v>1804</v>
      </c>
    </row>
    <row r="176">
      <c r="B176" s="26" t="s">
        <v>283</v>
      </c>
      <c r="C176" s="12" t="s">
        <v>1515</v>
      </c>
      <c r="D176" s="11" t="s">
        <v>656</v>
      </c>
      <c r="E176" s="11" t="s">
        <v>90</v>
      </c>
      <c r="F176" s="12" t="s">
        <v>283</v>
      </c>
      <c r="G176" s="12" t="s">
        <v>246</v>
      </c>
      <c r="H176" s="12" t="s">
        <v>246</v>
      </c>
      <c r="I176" s="12" t="s">
        <v>430</v>
      </c>
      <c r="J176" s="12" t="s">
        <v>90</v>
      </c>
      <c r="K176" s="12" t="s">
        <v>1025</v>
      </c>
      <c r="L176" s="12" t="s">
        <v>247</v>
      </c>
      <c r="M176" s="12" t="s">
        <v>994</v>
      </c>
      <c r="N176" s="13" t="s">
        <v>994</v>
      </c>
      <c r="O176" s="11" t="s">
        <v>599</v>
      </c>
      <c r="P176" s="11" t="s">
        <v>600</v>
      </c>
      <c r="Q176" s="11" t="s">
        <v>125</v>
      </c>
      <c r="R176" s="11" t="s">
        <v>150</v>
      </c>
      <c r="S176" s="11" t="s">
        <v>994</v>
      </c>
      <c r="T176" s="11" t="s">
        <v>126</v>
      </c>
      <c r="U176" s="11" t="s">
        <v>994</v>
      </c>
      <c r="V176" s="11" t="s">
        <v>994</v>
      </c>
      <c r="W176" s="11" t="s">
        <v>994</v>
      </c>
      <c r="X176" s="11" t="s">
        <v>994</v>
      </c>
      <c r="Y176" s="11" t="s">
        <v>994</v>
      </c>
      <c r="Z176" s="11" t="s">
        <v>994</v>
      </c>
      <c r="AA176" s="11" t="s">
        <v>994</v>
      </c>
      <c r="AB176" s="11" t="s">
        <v>994</v>
      </c>
      <c r="AC176" s="11" t="s">
        <v>994</v>
      </c>
      <c r="AD176" s="11" t="s">
        <v>994</v>
      </c>
      <c r="AE176" s="11" t="s">
        <v>1804</v>
      </c>
    </row>
    <row r="177">
      <c r="B177" s="26" t="s">
        <v>49</v>
      </c>
      <c r="C177" s="12" t="s">
        <v>1516</v>
      </c>
      <c r="D177" s="11" t="s">
        <v>657</v>
      </c>
      <c r="E177" s="11" t="s">
        <v>90</v>
      </c>
      <c r="F177" s="12" t="s">
        <v>377</v>
      </c>
      <c r="G177" s="12" t="s">
        <v>246</v>
      </c>
      <c r="H177" s="12" t="s">
        <v>246</v>
      </c>
      <c r="I177" s="12" t="s">
        <v>430</v>
      </c>
      <c r="J177" s="12" t="s">
        <v>90</v>
      </c>
      <c r="K177" s="12" t="s">
        <v>1025</v>
      </c>
      <c r="L177" s="12" t="s">
        <v>247</v>
      </c>
      <c r="M177" s="12" t="s">
        <v>994</v>
      </c>
      <c r="N177" s="13" t="s">
        <v>994</v>
      </c>
      <c r="O177" s="11" t="s">
        <v>599</v>
      </c>
      <c r="P177" s="11" t="s">
        <v>600</v>
      </c>
      <c r="Q177" s="11" t="s">
        <v>125</v>
      </c>
      <c r="R177" s="11" t="s">
        <v>150</v>
      </c>
      <c r="S177" s="11" t="s">
        <v>994</v>
      </c>
      <c r="T177" s="11" t="s">
        <v>126</v>
      </c>
      <c r="U177" s="11" t="s">
        <v>994</v>
      </c>
      <c r="V177" s="11" t="s">
        <v>994</v>
      </c>
      <c r="W177" s="11" t="s">
        <v>994</v>
      </c>
      <c r="X177" s="11" t="s">
        <v>994</v>
      </c>
      <c r="Y177" s="11" t="s">
        <v>994</v>
      </c>
      <c r="Z177" s="11" t="s">
        <v>994</v>
      </c>
      <c r="AA177" s="11" t="s">
        <v>994</v>
      </c>
      <c r="AB177" s="11" t="s">
        <v>994</v>
      </c>
      <c r="AC177" s="11" t="s">
        <v>994</v>
      </c>
      <c r="AD177" s="11" t="s">
        <v>994</v>
      </c>
      <c r="AE177" s="11" t="s">
        <v>1804</v>
      </c>
    </row>
    <row r="178">
      <c r="B178" s="26" t="s">
        <v>49</v>
      </c>
      <c r="C178" s="12" t="s">
        <v>1517</v>
      </c>
      <c r="D178" s="11" t="s">
        <v>658</v>
      </c>
      <c r="E178" s="11" t="s">
        <v>90</v>
      </c>
      <c r="F178" s="12" t="s">
        <v>377</v>
      </c>
      <c r="G178" s="12" t="s">
        <v>246</v>
      </c>
      <c r="H178" s="12" t="s">
        <v>246</v>
      </c>
      <c r="I178" s="12" t="s">
        <v>430</v>
      </c>
      <c r="J178" s="12" t="s">
        <v>90</v>
      </c>
      <c r="K178" s="12" t="s">
        <v>1025</v>
      </c>
      <c r="L178" s="12" t="s">
        <v>247</v>
      </c>
      <c r="M178" s="12" t="s">
        <v>994</v>
      </c>
      <c r="N178" s="13" t="s">
        <v>994</v>
      </c>
      <c r="O178" s="11" t="s">
        <v>599</v>
      </c>
      <c r="P178" s="11" t="s">
        <v>600</v>
      </c>
      <c r="Q178" s="11" t="s">
        <v>125</v>
      </c>
      <c r="R178" s="11" t="s">
        <v>150</v>
      </c>
      <c r="S178" s="11" t="s">
        <v>994</v>
      </c>
      <c r="T178" s="11" t="s">
        <v>126</v>
      </c>
      <c r="U178" s="11" t="s">
        <v>994</v>
      </c>
      <c r="V178" s="11" t="s">
        <v>994</v>
      </c>
      <c r="W178" s="11" t="s">
        <v>994</v>
      </c>
      <c r="X178" s="11" t="s">
        <v>994</v>
      </c>
      <c r="Y178" s="11" t="s">
        <v>994</v>
      </c>
      <c r="Z178" s="11" t="s">
        <v>994</v>
      </c>
      <c r="AA178" s="11" t="s">
        <v>994</v>
      </c>
      <c r="AB178" s="11" t="s">
        <v>994</v>
      </c>
      <c r="AC178" s="11" t="s">
        <v>994</v>
      </c>
      <c r="AD178" s="11" t="s">
        <v>994</v>
      </c>
      <c r="AE178" s="11" t="s">
        <v>1804</v>
      </c>
    </row>
    <row r="179">
      <c r="B179" s="26" t="s">
        <v>314</v>
      </c>
      <c r="C179" s="12" t="s">
        <v>1518</v>
      </c>
      <c r="D179" s="11" t="s">
        <v>659</v>
      </c>
      <c r="E179" s="11" t="s">
        <v>90</v>
      </c>
      <c r="F179" s="12" t="s">
        <v>314</v>
      </c>
      <c r="G179" s="12" t="s">
        <v>246</v>
      </c>
      <c r="H179" s="12" t="s">
        <v>246</v>
      </c>
      <c r="I179" s="12" t="s">
        <v>430</v>
      </c>
      <c r="J179" s="12" t="s">
        <v>90</v>
      </c>
      <c r="K179" s="12" t="s">
        <v>1025</v>
      </c>
      <c r="L179" s="12" t="s">
        <v>247</v>
      </c>
      <c r="M179" s="12" t="s">
        <v>994</v>
      </c>
      <c r="N179" s="13" t="s">
        <v>660</v>
      </c>
      <c r="O179" s="11" t="s">
        <v>599</v>
      </c>
      <c r="P179" s="11" t="s">
        <v>600</v>
      </c>
      <c r="Q179" s="11" t="s">
        <v>125</v>
      </c>
      <c r="R179" s="11" t="s">
        <v>150</v>
      </c>
      <c r="S179" s="11" t="s">
        <v>994</v>
      </c>
      <c r="T179" s="11" t="s">
        <v>126</v>
      </c>
      <c r="U179" s="11" t="s">
        <v>994</v>
      </c>
      <c r="V179" s="11" t="s">
        <v>994</v>
      </c>
      <c r="W179" s="11" t="s">
        <v>994</v>
      </c>
      <c r="X179" s="11" t="s">
        <v>994</v>
      </c>
      <c r="Y179" s="11" t="s">
        <v>994</v>
      </c>
      <c r="Z179" s="11" t="s">
        <v>994</v>
      </c>
      <c r="AA179" s="11" t="s">
        <v>994</v>
      </c>
      <c r="AB179" s="11" t="s">
        <v>994</v>
      </c>
      <c r="AC179" s="11" t="s">
        <v>994</v>
      </c>
      <c r="AD179" s="11" t="s">
        <v>994</v>
      </c>
      <c r="AE179" s="11" t="s">
        <v>1804</v>
      </c>
    </row>
    <row r="180">
      <c r="B180" s="26" t="s">
        <v>49</v>
      </c>
      <c r="C180" s="12" t="s">
        <v>994</v>
      </c>
      <c r="D180" s="11" t="s">
        <v>1290</v>
      </c>
      <c r="E180" s="11" t="s">
        <v>90</v>
      </c>
      <c r="F180" s="12" t="s">
        <v>606</v>
      </c>
      <c r="G180" s="12" t="s">
        <v>246</v>
      </c>
      <c r="H180" s="12" t="s">
        <v>246</v>
      </c>
      <c r="I180" s="12" t="s">
        <v>430</v>
      </c>
      <c r="J180" s="12" t="s">
        <v>90</v>
      </c>
      <c r="K180" s="12" t="s">
        <v>1025</v>
      </c>
      <c r="L180" s="12" t="s">
        <v>247</v>
      </c>
      <c r="M180" s="12" t="s">
        <v>994</v>
      </c>
      <c r="N180" s="13" t="s">
        <v>1291</v>
      </c>
      <c r="O180" s="11" t="s">
        <v>994</v>
      </c>
      <c r="P180" s="11" t="s">
        <v>994</v>
      </c>
      <c r="Q180" s="11" t="s">
        <v>994</v>
      </c>
      <c r="R180" s="11" t="s">
        <v>994</v>
      </c>
      <c r="S180" s="11" t="s">
        <v>994</v>
      </c>
      <c r="T180" s="11" t="s">
        <v>994</v>
      </c>
      <c r="U180" s="11" t="s">
        <v>1016</v>
      </c>
      <c r="V180" s="11" t="s">
        <v>994</v>
      </c>
      <c r="W180" s="11" t="s">
        <v>994</v>
      </c>
      <c r="X180" s="11" t="s">
        <v>994</v>
      </c>
      <c r="Y180" s="11" t="s">
        <v>994</v>
      </c>
      <c r="Z180" s="11" t="s">
        <v>994</v>
      </c>
      <c r="AA180" s="11" t="s">
        <v>994</v>
      </c>
      <c r="AB180" s="11" t="s">
        <v>30</v>
      </c>
      <c r="AC180" s="11" t="s">
        <v>994</v>
      </c>
      <c r="AD180" s="11" t="s">
        <v>994</v>
      </c>
      <c r="AE180" s="11" t="s">
        <v>995</v>
      </c>
    </row>
    <row r="181">
      <c r="B181" s="26" t="s">
        <v>283</v>
      </c>
      <c r="C181" s="12" t="s">
        <v>1519</v>
      </c>
      <c r="D181" s="11" t="s">
        <v>662</v>
      </c>
      <c r="E181" s="11" t="s">
        <v>661</v>
      </c>
      <c r="F181" s="12" t="s">
        <v>283</v>
      </c>
      <c r="G181" s="12" t="s">
        <v>246</v>
      </c>
      <c r="H181" s="12" t="s">
        <v>246</v>
      </c>
      <c r="I181" s="12" t="s">
        <v>60</v>
      </c>
      <c r="J181" s="12" t="s">
        <v>1027</v>
      </c>
      <c r="K181" s="12" t="s">
        <v>1028</v>
      </c>
      <c r="L181" s="12" t="s">
        <v>247</v>
      </c>
      <c r="M181" s="12" t="s">
        <v>994</v>
      </c>
      <c r="N181" s="13" t="s">
        <v>663</v>
      </c>
      <c r="O181" s="11" t="s">
        <v>118</v>
      </c>
      <c r="P181" s="11" t="s">
        <v>249</v>
      </c>
      <c r="Q181" s="11" t="s">
        <v>125</v>
      </c>
      <c r="R181" s="11" t="s">
        <v>150</v>
      </c>
      <c r="S181" s="11" t="s">
        <v>994</v>
      </c>
      <c r="T181" s="11" t="s">
        <v>126</v>
      </c>
      <c r="U181" s="11" t="s">
        <v>994</v>
      </c>
      <c r="V181" s="11" t="s">
        <v>994</v>
      </c>
      <c r="W181" s="11" t="s">
        <v>994</v>
      </c>
      <c r="X181" s="11" t="s">
        <v>994</v>
      </c>
      <c r="Y181" s="11" t="s">
        <v>994</v>
      </c>
      <c r="Z181" s="11" t="s">
        <v>994</v>
      </c>
      <c r="AA181" s="11" t="s">
        <v>994</v>
      </c>
      <c r="AB181" s="11" t="s">
        <v>994</v>
      </c>
      <c r="AC181" s="11" t="s">
        <v>994</v>
      </c>
      <c r="AD181" s="11" t="s">
        <v>994</v>
      </c>
      <c r="AE181" s="11" t="s">
        <v>1804</v>
      </c>
    </row>
    <row r="182">
      <c r="B182" s="26" t="s">
        <v>283</v>
      </c>
      <c r="C182" s="12" t="s">
        <v>1520</v>
      </c>
      <c r="D182" s="11" t="s">
        <v>664</v>
      </c>
      <c r="E182" s="11" t="s">
        <v>661</v>
      </c>
      <c r="F182" s="12" t="s">
        <v>283</v>
      </c>
      <c r="G182" s="12" t="s">
        <v>246</v>
      </c>
      <c r="H182" s="12" t="s">
        <v>246</v>
      </c>
      <c r="I182" s="12" t="s">
        <v>60</v>
      </c>
      <c r="J182" s="12" t="s">
        <v>1027</v>
      </c>
      <c r="K182" s="12" t="s">
        <v>1028</v>
      </c>
      <c r="L182" s="12" t="s">
        <v>247</v>
      </c>
      <c r="M182" s="12" t="s">
        <v>994</v>
      </c>
      <c r="N182" s="13" t="s">
        <v>665</v>
      </c>
      <c r="O182" s="11" t="s">
        <v>118</v>
      </c>
      <c r="P182" s="11" t="s">
        <v>249</v>
      </c>
      <c r="Q182" s="11" t="s">
        <v>125</v>
      </c>
      <c r="R182" s="11" t="s">
        <v>150</v>
      </c>
      <c r="S182" s="11" t="s">
        <v>994</v>
      </c>
      <c r="T182" s="11" t="s">
        <v>126</v>
      </c>
      <c r="U182" s="11" t="s">
        <v>994</v>
      </c>
      <c r="V182" s="11" t="s">
        <v>994</v>
      </c>
      <c r="W182" s="11" t="s">
        <v>994</v>
      </c>
      <c r="X182" s="11" t="s">
        <v>994</v>
      </c>
      <c r="Y182" s="11" t="s">
        <v>994</v>
      </c>
      <c r="Z182" s="11" t="s">
        <v>994</v>
      </c>
      <c r="AA182" s="11" t="s">
        <v>994</v>
      </c>
      <c r="AB182" s="11" t="s">
        <v>994</v>
      </c>
      <c r="AC182" s="11" t="s">
        <v>994</v>
      </c>
      <c r="AD182" s="11" t="s">
        <v>994</v>
      </c>
      <c r="AE182" s="11" t="s">
        <v>1804</v>
      </c>
    </row>
    <row r="183">
      <c r="B183" s="26" t="s">
        <v>278</v>
      </c>
      <c r="C183" s="12" t="s">
        <v>1521</v>
      </c>
      <c r="D183" s="11" t="s">
        <v>667</v>
      </c>
      <c r="E183" s="11" t="s">
        <v>661</v>
      </c>
      <c r="F183" s="12" t="s">
        <v>278</v>
      </c>
      <c r="G183" s="12" t="s">
        <v>246</v>
      </c>
      <c r="H183" s="12" t="s">
        <v>246</v>
      </c>
      <c r="I183" s="12" t="s">
        <v>60</v>
      </c>
      <c r="J183" s="12" t="s">
        <v>1027</v>
      </c>
      <c r="K183" s="12" t="s">
        <v>1028</v>
      </c>
      <c r="L183" s="12" t="s">
        <v>247</v>
      </c>
      <c r="M183" s="12" t="s">
        <v>994</v>
      </c>
      <c r="N183" s="13" t="s">
        <v>668</v>
      </c>
      <c r="O183" s="11" t="s">
        <v>118</v>
      </c>
      <c r="P183" s="11" t="s">
        <v>249</v>
      </c>
      <c r="Q183" s="11" t="s">
        <v>125</v>
      </c>
      <c r="R183" s="11" t="s">
        <v>150</v>
      </c>
      <c r="S183" s="11" t="s">
        <v>994</v>
      </c>
      <c r="T183" s="11" t="s">
        <v>126</v>
      </c>
      <c r="U183" s="11" t="s">
        <v>994</v>
      </c>
      <c r="V183" s="11" t="s">
        <v>994</v>
      </c>
      <c r="W183" s="11" t="s">
        <v>994</v>
      </c>
      <c r="X183" s="11" t="s">
        <v>994</v>
      </c>
      <c r="Y183" s="11" t="s">
        <v>994</v>
      </c>
      <c r="Z183" s="11" t="s">
        <v>994</v>
      </c>
      <c r="AA183" s="11" t="s">
        <v>994</v>
      </c>
      <c r="AB183" s="11" t="s">
        <v>994</v>
      </c>
      <c r="AC183" s="11" t="s">
        <v>994</v>
      </c>
      <c r="AD183" s="11" t="s">
        <v>994</v>
      </c>
      <c r="AE183" s="11" t="s">
        <v>1804</v>
      </c>
    </row>
    <row r="184">
      <c r="B184" s="26" t="s">
        <v>278</v>
      </c>
      <c r="C184" s="12" t="s">
        <v>1522</v>
      </c>
      <c r="D184" s="11" t="s">
        <v>669</v>
      </c>
      <c r="E184" s="11" t="s">
        <v>661</v>
      </c>
      <c r="F184" s="12" t="s">
        <v>278</v>
      </c>
      <c r="G184" s="12" t="s">
        <v>246</v>
      </c>
      <c r="H184" s="12" t="s">
        <v>246</v>
      </c>
      <c r="I184" s="12" t="s">
        <v>60</v>
      </c>
      <c r="J184" s="12" t="s">
        <v>1027</v>
      </c>
      <c r="K184" s="12" t="s">
        <v>1028</v>
      </c>
      <c r="L184" s="12" t="s">
        <v>247</v>
      </c>
      <c r="M184" s="12" t="s">
        <v>994</v>
      </c>
      <c r="N184" s="13" t="s">
        <v>670</v>
      </c>
      <c r="O184" s="11" t="s">
        <v>118</v>
      </c>
      <c r="P184" s="11" t="s">
        <v>249</v>
      </c>
      <c r="Q184" s="11" t="s">
        <v>125</v>
      </c>
      <c r="R184" s="11" t="s">
        <v>150</v>
      </c>
      <c r="S184" s="11" t="s">
        <v>994</v>
      </c>
      <c r="T184" s="11" t="s">
        <v>126</v>
      </c>
      <c r="U184" s="11" t="s">
        <v>994</v>
      </c>
      <c r="V184" s="11" t="s">
        <v>994</v>
      </c>
      <c r="W184" s="11" t="s">
        <v>994</v>
      </c>
      <c r="X184" s="11" t="s">
        <v>994</v>
      </c>
      <c r="Y184" s="11" t="s">
        <v>994</v>
      </c>
      <c r="Z184" s="11" t="s">
        <v>994</v>
      </c>
      <c r="AA184" s="11" t="s">
        <v>994</v>
      </c>
      <c r="AB184" s="11" t="s">
        <v>994</v>
      </c>
      <c r="AC184" s="11" t="s">
        <v>994</v>
      </c>
      <c r="AD184" s="11" t="s">
        <v>994</v>
      </c>
      <c r="AE184" s="11" t="s">
        <v>1804</v>
      </c>
    </row>
    <row r="185">
      <c r="B185" s="26" t="s">
        <v>308</v>
      </c>
      <c r="C185" s="12" t="s">
        <v>1523</v>
      </c>
      <c r="D185" s="11" t="s">
        <v>673</v>
      </c>
      <c r="E185" s="11" t="s">
        <v>661</v>
      </c>
      <c r="F185" s="12" t="s">
        <v>308</v>
      </c>
      <c r="G185" s="12" t="s">
        <v>246</v>
      </c>
      <c r="H185" s="12" t="s">
        <v>246</v>
      </c>
      <c r="I185" s="12" t="s">
        <v>60</v>
      </c>
      <c r="J185" s="12" t="s">
        <v>1027</v>
      </c>
      <c r="K185" s="12" t="s">
        <v>1028</v>
      </c>
      <c r="L185" s="12" t="s">
        <v>247</v>
      </c>
      <c r="M185" s="12" t="s">
        <v>994</v>
      </c>
      <c r="N185" s="13" t="s">
        <v>674</v>
      </c>
      <c r="O185" s="11" t="s">
        <v>118</v>
      </c>
      <c r="P185" s="11" t="s">
        <v>249</v>
      </c>
      <c r="Q185" s="11" t="s">
        <v>125</v>
      </c>
      <c r="R185" s="11" t="s">
        <v>150</v>
      </c>
      <c r="S185" s="11" t="s">
        <v>994</v>
      </c>
      <c r="T185" s="11" t="s">
        <v>126</v>
      </c>
      <c r="U185" s="11" t="s">
        <v>994</v>
      </c>
      <c r="V185" s="11" t="s">
        <v>994</v>
      </c>
      <c r="W185" s="11" t="s">
        <v>994</v>
      </c>
      <c r="X185" s="11" t="s">
        <v>994</v>
      </c>
      <c r="Y185" s="11" t="s">
        <v>994</v>
      </c>
      <c r="Z185" s="11" t="s">
        <v>994</v>
      </c>
      <c r="AA185" s="11" t="s">
        <v>994</v>
      </c>
      <c r="AB185" s="11" t="s">
        <v>994</v>
      </c>
      <c r="AC185" s="11" t="s">
        <v>994</v>
      </c>
      <c r="AD185" s="11" t="s">
        <v>994</v>
      </c>
      <c r="AE185" s="11" t="s">
        <v>1804</v>
      </c>
    </row>
    <row r="186">
      <c r="B186" s="26" t="s">
        <v>308</v>
      </c>
      <c r="C186" s="12" t="s">
        <v>1524</v>
      </c>
      <c r="D186" s="11" t="s">
        <v>675</v>
      </c>
      <c r="E186" s="11" t="s">
        <v>661</v>
      </c>
      <c r="F186" s="12" t="s">
        <v>308</v>
      </c>
      <c r="G186" s="12" t="s">
        <v>246</v>
      </c>
      <c r="H186" s="12" t="s">
        <v>246</v>
      </c>
      <c r="I186" s="12" t="s">
        <v>60</v>
      </c>
      <c r="J186" s="12" t="s">
        <v>1027</v>
      </c>
      <c r="K186" s="12" t="s">
        <v>1028</v>
      </c>
      <c r="L186" s="12" t="s">
        <v>247</v>
      </c>
      <c r="M186" s="12" t="s">
        <v>994</v>
      </c>
      <c r="N186" s="13" t="s">
        <v>676</v>
      </c>
      <c r="O186" s="11" t="s">
        <v>118</v>
      </c>
      <c r="P186" s="11" t="s">
        <v>249</v>
      </c>
      <c r="Q186" s="11" t="s">
        <v>125</v>
      </c>
      <c r="R186" s="11" t="s">
        <v>150</v>
      </c>
      <c r="S186" s="11" t="s">
        <v>994</v>
      </c>
      <c r="T186" s="11" t="s">
        <v>126</v>
      </c>
      <c r="U186" s="11" t="s">
        <v>994</v>
      </c>
      <c r="V186" s="11" t="s">
        <v>994</v>
      </c>
      <c r="W186" s="11" t="s">
        <v>994</v>
      </c>
      <c r="X186" s="11" t="s">
        <v>994</v>
      </c>
      <c r="Y186" s="11" t="s">
        <v>994</v>
      </c>
      <c r="Z186" s="11" t="s">
        <v>994</v>
      </c>
      <c r="AA186" s="11" t="s">
        <v>994</v>
      </c>
      <c r="AB186" s="11" t="s">
        <v>994</v>
      </c>
      <c r="AC186" s="11" t="s">
        <v>994</v>
      </c>
      <c r="AD186" s="11" t="s">
        <v>994</v>
      </c>
      <c r="AE186" s="11" t="s">
        <v>1804</v>
      </c>
    </row>
    <row r="187">
      <c r="B187" s="26" t="s">
        <v>308</v>
      </c>
      <c r="C187" s="12" t="s">
        <v>1525</v>
      </c>
      <c r="D187" s="11" t="s">
        <v>62</v>
      </c>
      <c r="E187" s="11" t="s">
        <v>661</v>
      </c>
      <c r="F187" s="12" t="s">
        <v>308</v>
      </c>
      <c r="G187" s="12" t="s">
        <v>247</v>
      </c>
      <c r="H187" s="12" t="s">
        <v>126</v>
      </c>
      <c r="I187" s="12" t="s">
        <v>60</v>
      </c>
      <c r="J187" s="12" t="s">
        <v>1027</v>
      </c>
      <c r="K187" s="12" t="s">
        <v>1028</v>
      </c>
      <c r="L187" s="12" t="s">
        <v>247</v>
      </c>
      <c r="M187" s="12" t="s">
        <v>994</v>
      </c>
      <c r="N187" s="13" t="s">
        <v>677</v>
      </c>
      <c r="O187" s="11" t="s">
        <v>118</v>
      </c>
      <c r="P187" s="11" t="s">
        <v>249</v>
      </c>
      <c r="Q187" s="11" t="s">
        <v>125</v>
      </c>
      <c r="R187" s="11" t="s">
        <v>150</v>
      </c>
      <c r="S187" s="11" t="s">
        <v>994</v>
      </c>
      <c r="T187" s="11" t="s">
        <v>126</v>
      </c>
      <c r="U187" s="11" t="s">
        <v>994</v>
      </c>
      <c r="V187" s="11" t="s">
        <v>994</v>
      </c>
      <c r="W187" s="11" t="s">
        <v>994</v>
      </c>
      <c r="X187" s="11" t="s">
        <v>994</v>
      </c>
      <c r="Y187" s="11" t="s">
        <v>994</v>
      </c>
      <c r="Z187" s="11" t="s">
        <v>994</v>
      </c>
      <c r="AA187" s="11" t="s">
        <v>994</v>
      </c>
      <c r="AB187" s="11" t="s">
        <v>994</v>
      </c>
      <c r="AC187" s="11" t="s">
        <v>994</v>
      </c>
      <c r="AD187" s="11" t="s">
        <v>994</v>
      </c>
      <c r="AE187" s="11" t="s">
        <v>1804</v>
      </c>
    </row>
    <row r="188">
      <c r="B188" s="26" t="s">
        <v>311</v>
      </c>
      <c r="C188" s="12" t="s">
        <v>1526</v>
      </c>
      <c r="D188" s="11" t="s">
        <v>682</v>
      </c>
      <c r="E188" s="11" t="s">
        <v>661</v>
      </c>
      <c r="F188" s="12" t="s">
        <v>311</v>
      </c>
      <c r="G188" s="12" t="s">
        <v>246</v>
      </c>
      <c r="H188" s="12" t="s">
        <v>246</v>
      </c>
      <c r="I188" s="12" t="s">
        <v>60</v>
      </c>
      <c r="J188" s="12" t="s">
        <v>1027</v>
      </c>
      <c r="K188" s="12" t="s">
        <v>1028</v>
      </c>
      <c r="L188" s="12" t="s">
        <v>247</v>
      </c>
      <c r="M188" s="12" t="s">
        <v>994</v>
      </c>
      <c r="N188" s="13" t="s">
        <v>683</v>
      </c>
      <c r="O188" s="11" t="s">
        <v>118</v>
      </c>
      <c r="P188" s="11" t="s">
        <v>249</v>
      </c>
      <c r="Q188" s="11" t="s">
        <v>125</v>
      </c>
      <c r="R188" s="11" t="s">
        <v>150</v>
      </c>
      <c r="S188" s="11" t="s">
        <v>994</v>
      </c>
      <c r="T188" s="11" t="s">
        <v>126</v>
      </c>
      <c r="U188" s="11" t="s">
        <v>994</v>
      </c>
      <c r="V188" s="11" t="s">
        <v>994</v>
      </c>
      <c r="W188" s="11" t="s">
        <v>994</v>
      </c>
      <c r="X188" s="11" t="s">
        <v>994</v>
      </c>
      <c r="Y188" s="11" t="s">
        <v>994</v>
      </c>
      <c r="Z188" s="11" t="s">
        <v>994</v>
      </c>
      <c r="AA188" s="11" t="s">
        <v>994</v>
      </c>
      <c r="AB188" s="11" t="s">
        <v>994</v>
      </c>
      <c r="AC188" s="11" t="s">
        <v>994</v>
      </c>
      <c r="AD188" s="11" t="s">
        <v>994</v>
      </c>
      <c r="AE188" s="11" t="s">
        <v>1804</v>
      </c>
    </row>
    <row r="189">
      <c r="B189" s="26" t="s">
        <v>311</v>
      </c>
      <c r="C189" s="12" t="s">
        <v>1527</v>
      </c>
      <c r="D189" s="11" t="s">
        <v>684</v>
      </c>
      <c r="E189" s="11" t="s">
        <v>661</v>
      </c>
      <c r="F189" s="12" t="s">
        <v>311</v>
      </c>
      <c r="G189" s="12" t="s">
        <v>246</v>
      </c>
      <c r="H189" s="12" t="s">
        <v>246</v>
      </c>
      <c r="I189" s="12" t="s">
        <v>60</v>
      </c>
      <c r="J189" s="12" t="s">
        <v>1027</v>
      </c>
      <c r="K189" s="12" t="s">
        <v>1028</v>
      </c>
      <c r="L189" s="12" t="s">
        <v>247</v>
      </c>
      <c r="M189" s="12" t="s">
        <v>994</v>
      </c>
      <c r="N189" s="13" t="s">
        <v>685</v>
      </c>
      <c r="O189" s="11" t="s">
        <v>118</v>
      </c>
      <c r="P189" s="11" t="s">
        <v>249</v>
      </c>
      <c r="Q189" s="11" t="s">
        <v>125</v>
      </c>
      <c r="R189" s="11" t="s">
        <v>150</v>
      </c>
      <c r="S189" s="11" t="s">
        <v>994</v>
      </c>
      <c r="T189" s="11" t="s">
        <v>126</v>
      </c>
      <c r="U189" s="11" t="s">
        <v>994</v>
      </c>
      <c r="V189" s="11" t="s">
        <v>994</v>
      </c>
      <c r="W189" s="11" t="s">
        <v>994</v>
      </c>
      <c r="X189" s="11" t="s">
        <v>994</v>
      </c>
      <c r="Y189" s="11" t="s">
        <v>994</v>
      </c>
      <c r="Z189" s="11" t="s">
        <v>994</v>
      </c>
      <c r="AA189" s="11" t="s">
        <v>994</v>
      </c>
      <c r="AB189" s="11" t="s">
        <v>994</v>
      </c>
      <c r="AC189" s="11" t="s">
        <v>994</v>
      </c>
      <c r="AD189" s="11" t="s">
        <v>994</v>
      </c>
      <c r="AE189" s="11" t="s">
        <v>1804</v>
      </c>
    </row>
    <row r="190">
      <c r="B190" s="26" t="s">
        <v>311</v>
      </c>
      <c r="C190" s="12" t="s">
        <v>1528</v>
      </c>
      <c r="D190" s="11" t="s">
        <v>63</v>
      </c>
      <c r="E190" s="11" t="s">
        <v>661</v>
      </c>
      <c r="F190" s="12" t="s">
        <v>311</v>
      </c>
      <c r="G190" s="12" t="s">
        <v>247</v>
      </c>
      <c r="H190" s="12" t="s">
        <v>126</v>
      </c>
      <c r="I190" s="12" t="s">
        <v>430</v>
      </c>
      <c r="J190" s="12" t="s">
        <v>1027</v>
      </c>
      <c r="K190" s="12" t="s">
        <v>1028</v>
      </c>
      <c r="L190" s="12" t="s">
        <v>247</v>
      </c>
      <c r="M190" s="12" t="s">
        <v>994</v>
      </c>
      <c r="N190" s="13" t="s">
        <v>686</v>
      </c>
      <c r="O190" s="11" t="s">
        <v>118</v>
      </c>
      <c r="P190" s="11" t="s">
        <v>249</v>
      </c>
      <c r="Q190" s="11" t="s">
        <v>125</v>
      </c>
      <c r="R190" s="11" t="s">
        <v>150</v>
      </c>
      <c r="S190" s="11" t="s">
        <v>125</v>
      </c>
      <c r="T190" s="11" t="s">
        <v>125</v>
      </c>
      <c r="U190" s="11" t="s">
        <v>38</v>
      </c>
      <c r="V190" s="11" t="s">
        <v>1378</v>
      </c>
      <c r="W190" s="11" t="s">
        <v>1777</v>
      </c>
      <c r="X190" s="11" t="s">
        <v>994</v>
      </c>
      <c r="Y190" s="11" t="s">
        <v>994</v>
      </c>
      <c r="Z190" s="11" t="s">
        <v>994</v>
      </c>
      <c r="AA190" s="11" t="s">
        <v>994</v>
      </c>
      <c r="AB190" s="11" t="s">
        <v>994</v>
      </c>
      <c r="AC190" s="11" t="s">
        <v>994</v>
      </c>
      <c r="AD190" s="11" t="s">
        <v>1262</v>
      </c>
      <c r="AE190" s="11" t="s">
        <v>995</v>
      </c>
    </row>
    <row r="191">
      <c r="B191" s="26" t="s">
        <v>49</v>
      </c>
      <c r="C191" s="12" t="s">
        <v>1529</v>
      </c>
      <c r="D191" s="11" t="s">
        <v>687</v>
      </c>
      <c r="E191" s="11" t="s">
        <v>661</v>
      </c>
      <c r="F191" s="12" t="s">
        <v>377</v>
      </c>
      <c r="G191" s="12" t="s">
        <v>246</v>
      </c>
      <c r="H191" s="12" t="s">
        <v>246</v>
      </c>
      <c r="I191" s="12" t="s">
        <v>430</v>
      </c>
      <c r="J191" s="12" t="s">
        <v>1027</v>
      </c>
      <c r="K191" s="12" t="s">
        <v>1028</v>
      </c>
      <c r="L191" s="12" t="s">
        <v>247</v>
      </c>
      <c r="M191" s="12" t="s">
        <v>994</v>
      </c>
      <c r="N191" s="13" t="s">
        <v>688</v>
      </c>
      <c r="O191" s="11" t="s">
        <v>118</v>
      </c>
      <c r="P191" s="11" t="s">
        <v>249</v>
      </c>
      <c r="Q191" s="11" t="s">
        <v>125</v>
      </c>
      <c r="R191" s="11" t="s">
        <v>150</v>
      </c>
      <c r="S191" s="11" t="s">
        <v>125</v>
      </c>
      <c r="T191" s="11" t="s">
        <v>125</v>
      </c>
      <c r="U191" s="11" t="s">
        <v>38</v>
      </c>
      <c r="V191" s="11" t="s">
        <v>1378</v>
      </c>
      <c r="W191" s="11" t="s">
        <v>994</v>
      </c>
      <c r="X191" s="11" t="s">
        <v>994</v>
      </c>
      <c r="Y191" s="11" t="s">
        <v>994</v>
      </c>
      <c r="Z191" s="11" t="s">
        <v>994</v>
      </c>
      <c r="AA191" s="11" t="s">
        <v>994</v>
      </c>
      <c r="AB191" s="11" t="s">
        <v>994</v>
      </c>
      <c r="AC191" s="11" t="s">
        <v>994</v>
      </c>
      <c r="AD191" s="11" t="s">
        <v>994</v>
      </c>
      <c r="AE191" s="11" t="s">
        <v>995</v>
      </c>
    </row>
    <row r="192">
      <c r="B192" s="26" t="s">
        <v>416</v>
      </c>
      <c r="C192" s="12" t="s">
        <v>1530</v>
      </c>
      <c r="D192" s="11" t="s">
        <v>689</v>
      </c>
      <c r="E192" s="11" t="s">
        <v>661</v>
      </c>
      <c r="F192" s="12" t="s">
        <v>416</v>
      </c>
      <c r="G192" s="12" t="s">
        <v>246</v>
      </c>
      <c r="H192" s="12" t="s">
        <v>246</v>
      </c>
      <c r="I192" s="12" t="s">
        <v>430</v>
      </c>
      <c r="J192" s="12" t="s">
        <v>1027</v>
      </c>
      <c r="K192" s="12" t="s">
        <v>1028</v>
      </c>
      <c r="L192" s="12" t="s">
        <v>247</v>
      </c>
      <c r="M192" s="12" t="s">
        <v>994</v>
      </c>
      <c r="N192" s="13" t="s">
        <v>690</v>
      </c>
      <c r="O192" s="11" t="s">
        <v>118</v>
      </c>
      <c r="P192" s="11" t="s">
        <v>249</v>
      </c>
      <c r="Q192" s="11" t="s">
        <v>125</v>
      </c>
      <c r="R192" s="11" t="s">
        <v>150</v>
      </c>
      <c r="S192" s="11" t="s">
        <v>125</v>
      </c>
      <c r="T192" s="11" t="s">
        <v>125</v>
      </c>
      <c r="U192" s="11" t="s">
        <v>38</v>
      </c>
      <c r="V192" s="11" t="s">
        <v>1378</v>
      </c>
      <c r="W192" s="11" t="s">
        <v>994</v>
      </c>
      <c r="X192" s="11" t="s">
        <v>994</v>
      </c>
      <c r="Y192" s="11" t="s">
        <v>994</v>
      </c>
      <c r="Z192" s="11" t="s">
        <v>994</v>
      </c>
      <c r="AA192" s="11" t="s">
        <v>994</v>
      </c>
      <c r="AB192" s="11" t="s">
        <v>994</v>
      </c>
      <c r="AC192" s="11" t="s">
        <v>994</v>
      </c>
      <c r="AD192" s="11" t="s">
        <v>994</v>
      </c>
      <c r="AE192" s="11" t="s">
        <v>995</v>
      </c>
    </row>
    <row r="193">
      <c r="B193" s="26" t="s">
        <v>49</v>
      </c>
      <c r="C193" s="12" t="s">
        <v>1531</v>
      </c>
      <c r="D193" s="11" t="s">
        <v>691</v>
      </c>
      <c r="E193" s="11" t="s">
        <v>661</v>
      </c>
      <c r="F193" s="12" t="s">
        <v>49</v>
      </c>
      <c r="G193" s="12" t="s">
        <v>246</v>
      </c>
      <c r="H193" s="12" t="s">
        <v>246</v>
      </c>
      <c r="I193" s="12" t="s">
        <v>430</v>
      </c>
      <c r="J193" s="12" t="s">
        <v>1027</v>
      </c>
      <c r="K193" s="12" t="s">
        <v>1028</v>
      </c>
      <c r="L193" s="12" t="s">
        <v>247</v>
      </c>
      <c r="M193" s="12" t="s">
        <v>994</v>
      </c>
      <c r="N193" s="13" t="s">
        <v>692</v>
      </c>
      <c r="O193" s="11" t="s">
        <v>118</v>
      </c>
      <c r="P193" s="11" t="s">
        <v>249</v>
      </c>
      <c r="Q193" s="11" t="s">
        <v>125</v>
      </c>
      <c r="R193" s="11" t="s">
        <v>150</v>
      </c>
      <c r="S193" s="11" t="s">
        <v>125</v>
      </c>
      <c r="T193" s="11" t="s">
        <v>125</v>
      </c>
      <c r="U193" s="11" t="s">
        <v>38</v>
      </c>
      <c r="V193" s="11" t="s">
        <v>1378</v>
      </c>
      <c r="W193" s="11" t="s">
        <v>994</v>
      </c>
      <c r="X193" s="11" t="s">
        <v>994</v>
      </c>
      <c r="Y193" s="11" t="s">
        <v>994</v>
      </c>
      <c r="Z193" s="11" t="s">
        <v>994</v>
      </c>
      <c r="AA193" s="11" t="s">
        <v>994</v>
      </c>
      <c r="AB193" s="11" t="s">
        <v>994</v>
      </c>
      <c r="AC193" s="11" t="s">
        <v>994</v>
      </c>
      <c r="AD193" s="11" t="s">
        <v>994</v>
      </c>
      <c r="AE193" s="11" t="s">
        <v>995</v>
      </c>
    </row>
    <row r="194">
      <c r="B194" s="26" t="s">
        <v>49</v>
      </c>
      <c r="C194" s="12" t="s">
        <v>1532</v>
      </c>
      <c r="D194" s="11" t="s">
        <v>693</v>
      </c>
      <c r="E194" s="11" t="s">
        <v>661</v>
      </c>
      <c r="F194" s="12" t="s">
        <v>694</v>
      </c>
      <c r="G194" s="12" t="s">
        <v>246</v>
      </c>
      <c r="H194" s="12" t="s">
        <v>246</v>
      </c>
      <c r="I194" s="12" t="s">
        <v>430</v>
      </c>
      <c r="J194" s="12" t="s">
        <v>1027</v>
      </c>
      <c r="K194" s="12" t="s">
        <v>1028</v>
      </c>
      <c r="L194" s="12" t="s">
        <v>247</v>
      </c>
      <c r="M194" s="12" t="s">
        <v>994</v>
      </c>
      <c r="N194" s="13" t="s">
        <v>695</v>
      </c>
      <c r="O194" s="11" t="s">
        <v>118</v>
      </c>
      <c r="P194" s="11" t="s">
        <v>249</v>
      </c>
      <c r="Q194" s="11" t="s">
        <v>125</v>
      </c>
      <c r="R194" s="11" t="s">
        <v>150</v>
      </c>
      <c r="S194" s="11" t="s">
        <v>125</v>
      </c>
      <c r="T194" s="11" t="s">
        <v>125</v>
      </c>
      <c r="U194" s="11" t="s">
        <v>38</v>
      </c>
      <c r="V194" s="11" t="s">
        <v>1378</v>
      </c>
      <c r="W194" s="11" t="s">
        <v>994</v>
      </c>
      <c r="X194" s="11" t="s">
        <v>994</v>
      </c>
      <c r="Y194" s="11" t="s">
        <v>994</v>
      </c>
      <c r="Z194" s="11" t="s">
        <v>994</v>
      </c>
      <c r="AA194" s="11" t="s">
        <v>994</v>
      </c>
      <c r="AB194" s="11" t="s">
        <v>994</v>
      </c>
      <c r="AC194" s="11" t="s">
        <v>994</v>
      </c>
      <c r="AD194" s="11" t="s">
        <v>994</v>
      </c>
      <c r="AE194" s="11" t="s">
        <v>995</v>
      </c>
    </row>
    <row r="195">
      <c r="B195" s="26" t="s">
        <v>49</v>
      </c>
      <c r="C195" s="12" t="s">
        <v>1533</v>
      </c>
      <c r="D195" s="11" t="s">
        <v>696</v>
      </c>
      <c r="E195" s="11" t="s">
        <v>661</v>
      </c>
      <c r="F195" s="12" t="s">
        <v>49</v>
      </c>
      <c r="G195" s="12" t="s">
        <v>246</v>
      </c>
      <c r="H195" s="12" t="s">
        <v>246</v>
      </c>
      <c r="I195" s="12" t="s">
        <v>430</v>
      </c>
      <c r="J195" s="12" t="s">
        <v>1027</v>
      </c>
      <c r="K195" s="12" t="s">
        <v>1028</v>
      </c>
      <c r="L195" s="12" t="s">
        <v>247</v>
      </c>
      <c r="M195" s="12" t="s">
        <v>994</v>
      </c>
      <c r="N195" s="13" t="s">
        <v>697</v>
      </c>
      <c r="O195" s="11" t="s">
        <v>118</v>
      </c>
      <c r="P195" s="11" t="s">
        <v>249</v>
      </c>
      <c r="Q195" s="11" t="s">
        <v>125</v>
      </c>
      <c r="R195" s="11" t="s">
        <v>150</v>
      </c>
      <c r="S195" s="11" t="s">
        <v>125</v>
      </c>
      <c r="T195" s="11" t="s">
        <v>125</v>
      </c>
      <c r="U195" s="11" t="s">
        <v>38</v>
      </c>
      <c r="V195" s="11" t="s">
        <v>1378</v>
      </c>
      <c r="W195" s="11" t="s">
        <v>994</v>
      </c>
      <c r="X195" s="11" t="s">
        <v>994</v>
      </c>
      <c r="Y195" s="11" t="s">
        <v>994</v>
      </c>
      <c r="Z195" s="11" t="s">
        <v>994</v>
      </c>
      <c r="AA195" s="11" t="s">
        <v>994</v>
      </c>
      <c r="AB195" s="11" t="s">
        <v>994</v>
      </c>
      <c r="AC195" s="11" t="s">
        <v>994</v>
      </c>
      <c r="AD195" s="11" t="s">
        <v>994</v>
      </c>
      <c r="AE195" s="11" t="s">
        <v>995</v>
      </c>
    </row>
    <row r="196">
      <c r="B196" s="26" t="s">
        <v>49</v>
      </c>
      <c r="C196" s="12" t="s">
        <v>1534</v>
      </c>
      <c r="D196" s="11" t="s">
        <v>698</v>
      </c>
      <c r="E196" s="11" t="s">
        <v>661</v>
      </c>
      <c r="F196" s="12" t="s">
        <v>49</v>
      </c>
      <c r="G196" s="12" t="s">
        <v>246</v>
      </c>
      <c r="H196" s="12" t="s">
        <v>246</v>
      </c>
      <c r="I196" s="12" t="s">
        <v>430</v>
      </c>
      <c r="J196" s="12" t="s">
        <v>1027</v>
      </c>
      <c r="K196" s="12" t="s">
        <v>1028</v>
      </c>
      <c r="L196" s="12" t="s">
        <v>247</v>
      </c>
      <c r="M196" s="12" t="s">
        <v>994</v>
      </c>
      <c r="N196" s="13" t="s">
        <v>699</v>
      </c>
      <c r="O196" s="11" t="s">
        <v>118</v>
      </c>
      <c r="P196" s="11" t="s">
        <v>249</v>
      </c>
      <c r="Q196" s="11" t="s">
        <v>125</v>
      </c>
      <c r="R196" s="11" t="s">
        <v>150</v>
      </c>
      <c r="S196" s="11" t="s">
        <v>125</v>
      </c>
      <c r="T196" s="11" t="s">
        <v>125</v>
      </c>
      <c r="U196" s="11" t="s">
        <v>38</v>
      </c>
      <c r="V196" s="11" t="s">
        <v>1378</v>
      </c>
      <c r="W196" s="11" t="s">
        <v>994</v>
      </c>
      <c r="X196" s="11" t="s">
        <v>994</v>
      </c>
      <c r="Y196" s="11" t="s">
        <v>994</v>
      </c>
      <c r="Z196" s="11" t="s">
        <v>994</v>
      </c>
      <c r="AA196" s="11" t="s">
        <v>994</v>
      </c>
      <c r="AB196" s="11" t="s">
        <v>994</v>
      </c>
      <c r="AC196" s="11" t="s">
        <v>994</v>
      </c>
      <c r="AD196" s="11" t="s">
        <v>994</v>
      </c>
      <c r="AE196" s="11" t="s">
        <v>995</v>
      </c>
    </row>
    <row r="197">
      <c r="B197" s="26" t="s">
        <v>49</v>
      </c>
      <c r="C197" s="12" t="s">
        <v>1535</v>
      </c>
      <c r="D197" s="11" t="s">
        <v>700</v>
      </c>
      <c r="E197" s="11" t="s">
        <v>661</v>
      </c>
      <c r="F197" s="12" t="s">
        <v>49</v>
      </c>
      <c r="G197" s="12" t="s">
        <v>246</v>
      </c>
      <c r="H197" s="12" t="s">
        <v>246</v>
      </c>
      <c r="I197" s="12" t="s">
        <v>430</v>
      </c>
      <c r="J197" s="12" t="s">
        <v>1027</v>
      </c>
      <c r="K197" s="12" t="s">
        <v>1028</v>
      </c>
      <c r="L197" s="12" t="s">
        <v>247</v>
      </c>
      <c r="M197" s="12" t="s">
        <v>994</v>
      </c>
      <c r="N197" s="13" t="s">
        <v>701</v>
      </c>
      <c r="O197" s="11" t="s">
        <v>118</v>
      </c>
      <c r="P197" s="11" t="s">
        <v>249</v>
      </c>
      <c r="Q197" s="11" t="s">
        <v>125</v>
      </c>
      <c r="R197" s="11" t="s">
        <v>150</v>
      </c>
      <c r="S197" s="11" t="s">
        <v>125</v>
      </c>
      <c r="T197" s="11" t="s">
        <v>125</v>
      </c>
      <c r="U197" s="11" t="s">
        <v>38</v>
      </c>
      <c r="V197" s="11" t="s">
        <v>1378</v>
      </c>
      <c r="W197" s="11" t="s">
        <v>994</v>
      </c>
      <c r="X197" s="11" t="s">
        <v>994</v>
      </c>
      <c r="Y197" s="11" t="s">
        <v>994</v>
      </c>
      <c r="Z197" s="11" t="s">
        <v>994</v>
      </c>
      <c r="AA197" s="11" t="s">
        <v>994</v>
      </c>
      <c r="AB197" s="11" t="s">
        <v>994</v>
      </c>
      <c r="AC197" s="11" t="s">
        <v>994</v>
      </c>
      <c r="AD197" s="11" t="s">
        <v>994</v>
      </c>
      <c r="AE197" s="11" t="s">
        <v>995</v>
      </c>
    </row>
    <row r="198">
      <c r="B198" s="26" t="s">
        <v>49</v>
      </c>
      <c r="C198" s="12" t="s">
        <v>1536</v>
      </c>
      <c r="D198" s="11" t="s">
        <v>702</v>
      </c>
      <c r="E198" s="11" t="s">
        <v>661</v>
      </c>
      <c r="F198" s="12" t="s">
        <v>286</v>
      </c>
      <c r="G198" s="12" t="s">
        <v>246</v>
      </c>
      <c r="H198" s="12" t="s">
        <v>246</v>
      </c>
      <c r="I198" s="12" t="s">
        <v>60</v>
      </c>
      <c r="J198" s="12" t="s">
        <v>1027</v>
      </c>
      <c r="K198" s="12" t="s">
        <v>1028</v>
      </c>
      <c r="L198" s="12" t="s">
        <v>247</v>
      </c>
      <c r="M198" s="12" t="s">
        <v>994</v>
      </c>
      <c r="N198" s="13" t="s">
        <v>703</v>
      </c>
      <c r="O198" s="11" t="s">
        <v>118</v>
      </c>
      <c r="P198" s="11" t="s">
        <v>249</v>
      </c>
      <c r="Q198" s="11" t="s">
        <v>125</v>
      </c>
      <c r="R198" s="11" t="s">
        <v>150</v>
      </c>
      <c r="S198" s="11" t="s">
        <v>994</v>
      </c>
      <c r="T198" s="11" t="s">
        <v>126</v>
      </c>
      <c r="U198" s="11" t="s">
        <v>994</v>
      </c>
      <c r="V198" s="11" t="s">
        <v>994</v>
      </c>
      <c r="W198" s="11" t="s">
        <v>994</v>
      </c>
      <c r="X198" s="11" t="s">
        <v>994</v>
      </c>
      <c r="Y198" s="11" t="s">
        <v>994</v>
      </c>
      <c r="Z198" s="11" t="s">
        <v>994</v>
      </c>
      <c r="AA198" s="11" t="s">
        <v>994</v>
      </c>
      <c r="AB198" s="11" t="s">
        <v>994</v>
      </c>
      <c r="AC198" s="11" t="s">
        <v>994</v>
      </c>
      <c r="AD198" s="11" t="s">
        <v>994</v>
      </c>
      <c r="AE198" s="11" t="s">
        <v>1804</v>
      </c>
    </row>
    <row r="199">
      <c r="B199" s="26" t="s">
        <v>49</v>
      </c>
      <c r="C199" s="12" t="s">
        <v>1537</v>
      </c>
      <c r="D199" s="11" t="s">
        <v>706</v>
      </c>
      <c r="E199" s="11" t="s">
        <v>661</v>
      </c>
      <c r="F199" s="12" t="s">
        <v>49</v>
      </c>
      <c r="G199" s="12" t="s">
        <v>246</v>
      </c>
      <c r="H199" s="12" t="s">
        <v>246</v>
      </c>
      <c r="I199" s="12" t="s">
        <v>60</v>
      </c>
      <c r="J199" s="12" t="s">
        <v>1027</v>
      </c>
      <c r="K199" s="12" t="s">
        <v>1028</v>
      </c>
      <c r="L199" s="12" t="s">
        <v>247</v>
      </c>
      <c r="M199" s="12" t="s">
        <v>994</v>
      </c>
      <c r="N199" s="13" t="s">
        <v>707</v>
      </c>
      <c r="O199" s="11" t="s">
        <v>118</v>
      </c>
      <c r="P199" s="11" t="s">
        <v>249</v>
      </c>
      <c r="Q199" s="11" t="s">
        <v>125</v>
      </c>
      <c r="R199" s="11" t="s">
        <v>150</v>
      </c>
      <c r="S199" s="11" t="s">
        <v>994</v>
      </c>
      <c r="T199" s="11" t="s">
        <v>126</v>
      </c>
      <c r="U199" s="11" t="s">
        <v>994</v>
      </c>
      <c r="V199" s="11" t="s">
        <v>994</v>
      </c>
      <c r="W199" s="11" t="s">
        <v>994</v>
      </c>
      <c r="X199" s="11" t="s">
        <v>994</v>
      </c>
      <c r="Y199" s="11" t="s">
        <v>994</v>
      </c>
      <c r="Z199" s="11" t="s">
        <v>994</v>
      </c>
      <c r="AA199" s="11" t="s">
        <v>994</v>
      </c>
      <c r="AB199" s="11" t="s">
        <v>994</v>
      </c>
      <c r="AC199" s="11" t="s">
        <v>994</v>
      </c>
      <c r="AD199" s="11" t="s">
        <v>994</v>
      </c>
      <c r="AE199" s="11" t="s">
        <v>1804</v>
      </c>
    </row>
    <row r="200">
      <c r="B200" s="26" t="s">
        <v>278</v>
      </c>
      <c r="C200" s="12" t="s">
        <v>1538</v>
      </c>
      <c r="D200" s="11" t="s">
        <v>708</v>
      </c>
      <c r="E200" s="11" t="s">
        <v>661</v>
      </c>
      <c r="F200" s="12" t="s">
        <v>278</v>
      </c>
      <c r="G200" s="12" t="s">
        <v>246</v>
      </c>
      <c r="H200" s="12" t="s">
        <v>246</v>
      </c>
      <c r="I200" s="12" t="s">
        <v>60</v>
      </c>
      <c r="J200" s="12" t="s">
        <v>1027</v>
      </c>
      <c r="K200" s="12" t="s">
        <v>1028</v>
      </c>
      <c r="L200" s="12" t="s">
        <v>247</v>
      </c>
      <c r="M200" s="12" t="s">
        <v>994</v>
      </c>
      <c r="N200" s="13" t="s">
        <v>709</v>
      </c>
      <c r="O200" s="11" t="s">
        <v>118</v>
      </c>
      <c r="P200" s="11" t="s">
        <v>249</v>
      </c>
      <c r="Q200" s="11" t="s">
        <v>125</v>
      </c>
      <c r="R200" s="11" t="s">
        <v>150</v>
      </c>
      <c r="S200" s="11" t="s">
        <v>994</v>
      </c>
      <c r="T200" s="11" t="s">
        <v>126</v>
      </c>
      <c r="U200" s="11" t="s">
        <v>994</v>
      </c>
      <c r="V200" s="11" t="s">
        <v>994</v>
      </c>
      <c r="W200" s="11" t="s">
        <v>994</v>
      </c>
      <c r="X200" s="11" t="s">
        <v>994</v>
      </c>
      <c r="Y200" s="11" t="s">
        <v>994</v>
      </c>
      <c r="Z200" s="11" t="s">
        <v>994</v>
      </c>
      <c r="AA200" s="11" t="s">
        <v>994</v>
      </c>
      <c r="AB200" s="11" t="s">
        <v>994</v>
      </c>
      <c r="AC200" s="11" t="s">
        <v>994</v>
      </c>
      <c r="AD200" s="11" t="s">
        <v>994</v>
      </c>
      <c r="AE200" s="11" t="s">
        <v>1804</v>
      </c>
    </row>
    <row r="201">
      <c r="B201" s="26" t="s">
        <v>49</v>
      </c>
      <c r="C201" s="12" t="s">
        <v>1539</v>
      </c>
      <c r="D201" s="11" t="s">
        <v>710</v>
      </c>
      <c r="E201" s="11" t="s">
        <v>661</v>
      </c>
      <c r="F201" s="12" t="s">
        <v>49</v>
      </c>
      <c r="G201" s="12" t="s">
        <v>246</v>
      </c>
      <c r="H201" s="12" t="s">
        <v>246</v>
      </c>
      <c r="I201" s="12" t="s">
        <v>60</v>
      </c>
      <c r="J201" s="12" t="s">
        <v>1027</v>
      </c>
      <c r="K201" s="12" t="s">
        <v>1028</v>
      </c>
      <c r="L201" s="12" t="s">
        <v>247</v>
      </c>
      <c r="M201" s="12" t="s">
        <v>994</v>
      </c>
      <c r="N201" s="13" t="s">
        <v>711</v>
      </c>
      <c r="O201" s="11" t="s">
        <v>118</v>
      </c>
      <c r="P201" s="11" t="s">
        <v>249</v>
      </c>
      <c r="Q201" s="11" t="s">
        <v>125</v>
      </c>
      <c r="R201" s="11" t="s">
        <v>150</v>
      </c>
      <c r="S201" s="11" t="s">
        <v>994</v>
      </c>
      <c r="T201" s="11" t="s">
        <v>126</v>
      </c>
      <c r="U201" s="11" t="s">
        <v>994</v>
      </c>
      <c r="V201" s="11" t="s">
        <v>994</v>
      </c>
      <c r="W201" s="11" t="s">
        <v>994</v>
      </c>
      <c r="X201" s="11" t="s">
        <v>994</v>
      </c>
      <c r="Y201" s="11" t="s">
        <v>994</v>
      </c>
      <c r="Z201" s="11" t="s">
        <v>994</v>
      </c>
      <c r="AA201" s="11" t="s">
        <v>994</v>
      </c>
      <c r="AB201" s="11" t="s">
        <v>994</v>
      </c>
      <c r="AC201" s="11" t="s">
        <v>994</v>
      </c>
      <c r="AD201" s="11" t="s">
        <v>994</v>
      </c>
      <c r="AE201" s="11" t="s">
        <v>1804</v>
      </c>
    </row>
    <row r="202">
      <c r="B202" s="26" t="s">
        <v>283</v>
      </c>
      <c r="C202" s="12" t="s">
        <v>1540</v>
      </c>
      <c r="D202" s="11" t="s">
        <v>712</v>
      </c>
      <c r="E202" s="11" t="s">
        <v>661</v>
      </c>
      <c r="F202" s="12" t="s">
        <v>283</v>
      </c>
      <c r="G202" s="12" t="s">
        <v>246</v>
      </c>
      <c r="H202" s="12" t="s">
        <v>246</v>
      </c>
      <c r="I202" s="12" t="s">
        <v>60</v>
      </c>
      <c r="J202" s="12" t="s">
        <v>1027</v>
      </c>
      <c r="K202" s="12" t="s">
        <v>1028</v>
      </c>
      <c r="L202" s="12" t="s">
        <v>247</v>
      </c>
      <c r="M202" s="12" t="s">
        <v>994</v>
      </c>
      <c r="N202" s="13" t="s">
        <v>713</v>
      </c>
      <c r="O202" s="11" t="s">
        <v>118</v>
      </c>
      <c r="P202" s="11" t="s">
        <v>249</v>
      </c>
      <c r="Q202" s="11" t="s">
        <v>125</v>
      </c>
      <c r="R202" s="11" t="s">
        <v>150</v>
      </c>
      <c r="S202" s="11" t="s">
        <v>994</v>
      </c>
      <c r="T202" s="11" t="s">
        <v>126</v>
      </c>
      <c r="U202" s="11" t="s">
        <v>994</v>
      </c>
      <c r="V202" s="11" t="s">
        <v>994</v>
      </c>
      <c r="W202" s="11" t="s">
        <v>994</v>
      </c>
      <c r="X202" s="11" t="s">
        <v>994</v>
      </c>
      <c r="Y202" s="11" t="s">
        <v>994</v>
      </c>
      <c r="Z202" s="11" t="s">
        <v>994</v>
      </c>
      <c r="AA202" s="11" t="s">
        <v>994</v>
      </c>
      <c r="AB202" s="11" t="s">
        <v>994</v>
      </c>
      <c r="AC202" s="11" t="s">
        <v>994</v>
      </c>
      <c r="AD202" s="11" t="s">
        <v>994</v>
      </c>
      <c r="AE202" s="11" t="s">
        <v>1804</v>
      </c>
    </row>
    <row r="203">
      <c r="B203" s="26" t="s">
        <v>49</v>
      </c>
      <c r="C203" s="12" t="s">
        <v>1541</v>
      </c>
      <c r="D203" s="11" t="s">
        <v>714</v>
      </c>
      <c r="E203" s="11" t="s">
        <v>661</v>
      </c>
      <c r="F203" s="12" t="s">
        <v>715</v>
      </c>
      <c r="G203" s="12" t="s">
        <v>246</v>
      </c>
      <c r="H203" s="12" t="s">
        <v>246</v>
      </c>
      <c r="I203" s="12" t="s">
        <v>60</v>
      </c>
      <c r="J203" s="12" t="s">
        <v>1027</v>
      </c>
      <c r="K203" s="12" t="s">
        <v>1028</v>
      </c>
      <c r="L203" s="12" t="s">
        <v>247</v>
      </c>
      <c r="M203" s="12" t="s">
        <v>994</v>
      </c>
      <c r="N203" s="13" t="s">
        <v>716</v>
      </c>
      <c r="O203" s="11" t="s">
        <v>118</v>
      </c>
      <c r="P203" s="11" t="s">
        <v>249</v>
      </c>
      <c r="Q203" s="11" t="s">
        <v>125</v>
      </c>
      <c r="R203" s="11" t="s">
        <v>150</v>
      </c>
      <c r="S203" s="11" t="s">
        <v>994</v>
      </c>
      <c r="T203" s="11" t="s">
        <v>126</v>
      </c>
      <c r="U203" s="11" t="s">
        <v>994</v>
      </c>
      <c r="V203" s="11" t="s">
        <v>994</v>
      </c>
      <c r="W203" s="11" t="s">
        <v>994</v>
      </c>
      <c r="X203" s="11" t="s">
        <v>994</v>
      </c>
      <c r="Y203" s="11" t="s">
        <v>994</v>
      </c>
      <c r="Z203" s="11" t="s">
        <v>994</v>
      </c>
      <c r="AA203" s="11" t="s">
        <v>994</v>
      </c>
      <c r="AB203" s="11" t="s">
        <v>994</v>
      </c>
      <c r="AC203" s="11" t="s">
        <v>994</v>
      </c>
      <c r="AD203" s="11" t="s">
        <v>994</v>
      </c>
      <c r="AE203" s="11" t="s">
        <v>1804</v>
      </c>
    </row>
    <row r="204">
      <c r="B204" s="26" t="s">
        <v>291</v>
      </c>
      <c r="C204" s="12" t="s">
        <v>1542</v>
      </c>
      <c r="D204" s="11" t="s">
        <v>717</v>
      </c>
      <c r="E204" s="11" t="s">
        <v>661</v>
      </c>
      <c r="F204" s="12" t="s">
        <v>291</v>
      </c>
      <c r="G204" s="12" t="s">
        <v>246</v>
      </c>
      <c r="H204" s="12" t="s">
        <v>246</v>
      </c>
      <c r="I204" s="12" t="s">
        <v>60</v>
      </c>
      <c r="J204" s="12" t="s">
        <v>1027</v>
      </c>
      <c r="K204" s="12" t="s">
        <v>1028</v>
      </c>
      <c r="L204" s="12" t="s">
        <v>247</v>
      </c>
      <c r="M204" s="12" t="s">
        <v>994</v>
      </c>
      <c r="N204" s="13" t="s">
        <v>1715</v>
      </c>
      <c r="O204" s="11" t="s">
        <v>118</v>
      </c>
      <c r="P204" s="11" t="s">
        <v>249</v>
      </c>
      <c r="Q204" s="11" t="s">
        <v>125</v>
      </c>
      <c r="R204" s="11" t="s">
        <v>150</v>
      </c>
      <c r="S204" s="11" t="s">
        <v>994</v>
      </c>
      <c r="T204" s="11" t="s">
        <v>126</v>
      </c>
      <c r="U204" s="11" t="s">
        <v>994</v>
      </c>
      <c r="V204" s="11" t="s">
        <v>994</v>
      </c>
      <c r="W204" s="11" t="s">
        <v>994</v>
      </c>
      <c r="X204" s="11" t="s">
        <v>994</v>
      </c>
      <c r="Y204" s="11" t="s">
        <v>994</v>
      </c>
      <c r="Z204" s="11" t="s">
        <v>994</v>
      </c>
      <c r="AA204" s="11" t="s">
        <v>994</v>
      </c>
      <c r="AB204" s="11" t="s">
        <v>994</v>
      </c>
      <c r="AC204" s="11" t="s">
        <v>994</v>
      </c>
      <c r="AD204" s="11" t="s">
        <v>994</v>
      </c>
      <c r="AE204" s="11" t="s">
        <v>1804</v>
      </c>
    </row>
    <row r="205">
      <c r="B205" s="26" t="s">
        <v>314</v>
      </c>
      <c r="C205" s="12" t="s">
        <v>1543</v>
      </c>
      <c r="D205" s="11" t="s">
        <v>718</v>
      </c>
      <c r="E205" s="11" t="s">
        <v>661</v>
      </c>
      <c r="F205" s="12" t="s">
        <v>314</v>
      </c>
      <c r="G205" s="12" t="s">
        <v>246</v>
      </c>
      <c r="H205" s="12" t="s">
        <v>246</v>
      </c>
      <c r="I205" s="12" t="s">
        <v>60</v>
      </c>
      <c r="J205" s="12" t="s">
        <v>1027</v>
      </c>
      <c r="K205" s="12" t="s">
        <v>1028</v>
      </c>
      <c r="L205" s="12" t="s">
        <v>247</v>
      </c>
      <c r="M205" s="12" t="s">
        <v>994</v>
      </c>
      <c r="N205" s="13" t="s">
        <v>719</v>
      </c>
      <c r="O205" s="11" t="s">
        <v>118</v>
      </c>
      <c r="P205" s="11" t="s">
        <v>249</v>
      </c>
      <c r="Q205" s="11" t="s">
        <v>125</v>
      </c>
      <c r="R205" s="11" t="s">
        <v>150</v>
      </c>
      <c r="S205" s="11" t="s">
        <v>994</v>
      </c>
      <c r="T205" s="11" t="s">
        <v>126</v>
      </c>
      <c r="U205" s="11" t="s">
        <v>994</v>
      </c>
      <c r="V205" s="11" t="s">
        <v>994</v>
      </c>
      <c r="W205" s="11" t="s">
        <v>994</v>
      </c>
      <c r="X205" s="11" t="s">
        <v>994</v>
      </c>
      <c r="Y205" s="11" t="s">
        <v>994</v>
      </c>
      <c r="Z205" s="11" t="s">
        <v>994</v>
      </c>
      <c r="AA205" s="11" t="s">
        <v>994</v>
      </c>
      <c r="AB205" s="11" t="s">
        <v>994</v>
      </c>
      <c r="AC205" s="11" t="s">
        <v>994</v>
      </c>
      <c r="AD205" s="11" t="s">
        <v>994</v>
      </c>
      <c r="AE205" s="11" t="s">
        <v>1804</v>
      </c>
    </row>
    <row r="206">
      <c r="B206" s="26" t="s">
        <v>311</v>
      </c>
      <c r="C206" s="12" t="s">
        <v>1544</v>
      </c>
      <c r="D206" s="11" t="s">
        <v>720</v>
      </c>
      <c r="E206" s="11" t="s">
        <v>661</v>
      </c>
      <c r="F206" s="12" t="s">
        <v>311</v>
      </c>
      <c r="G206" s="12" t="s">
        <v>246</v>
      </c>
      <c r="H206" s="12" t="s">
        <v>246</v>
      </c>
      <c r="I206" s="12" t="s">
        <v>60</v>
      </c>
      <c r="J206" s="12" t="s">
        <v>1027</v>
      </c>
      <c r="K206" s="12" t="s">
        <v>1028</v>
      </c>
      <c r="L206" s="12" t="s">
        <v>247</v>
      </c>
      <c r="M206" s="12" t="s">
        <v>994</v>
      </c>
      <c r="N206" s="13" t="s">
        <v>721</v>
      </c>
      <c r="O206" s="11" t="s">
        <v>118</v>
      </c>
      <c r="P206" s="11" t="s">
        <v>249</v>
      </c>
      <c r="Q206" s="11" t="s">
        <v>125</v>
      </c>
      <c r="R206" s="11" t="s">
        <v>150</v>
      </c>
      <c r="S206" s="11" t="s">
        <v>994</v>
      </c>
      <c r="T206" s="11" t="s">
        <v>126</v>
      </c>
      <c r="U206" s="11" t="s">
        <v>994</v>
      </c>
      <c r="V206" s="11" t="s">
        <v>994</v>
      </c>
      <c r="W206" s="11" t="s">
        <v>994</v>
      </c>
      <c r="X206" s="11" t="s">
        <v>994</v>
      </c>
      <c r="Y206" s="11" t="s">
        <v>994</v>
      </c>
      <c r="Z206" s="11" t="s">
        <v>994</v>
      </c>
      <c r="AA206" s="11" t="s">
        <v>994</v>
      </c>
      <c r="AB206" s="11" t="s">
        <v>994</v>
      </c>
      <c r="AC206" s="11" t="s">
        <v>994</v>
      </c>
      <c r="AD206" s="11" t="s">
        <v>994</v>
      </c>
      <c r="AE206" s="11" t="s">
        <v>1804</v>
      </c>
    </row>
    <row r="207">
      <c r="B207" s="26" t="s">
        <v>49</v>
      </c>
      <c r="C207" s="12" t="s">
        <v>1545</v>
      </c>
      <c r="D207" s="11" t="s">
        <v>722</v>
      </c>
      <c r="E207" s="11" t="s">
        <v>723</v>
      </c>
      <c r="F207" s="12" t="s">
        <v>49</v>
      </c>
      <c r="G207" s="12" t="s">
        <v>246</v>
      </c>
      <c r="H207" s="12" t="s">
        <v>246</v>
      </c>
      <c r="I207" s="12" t="s">
        <v>60</v>
      </c>
      <c r="J207" s="12" t="s">
        <v>1027</v>
      </c>
      <c r="K207" s="12" t="s">
        <v>1028</v>
      </c>
      <c r="L207" s="12" t="s">
        <v>247</v>
      </c>
      <c r="M207" s="12" t="s">
        <v>994</v>
      </c>
      <c r="N207" s="13" t="s">
        <v>724</v>
      </c>
      <c r="O207" s="11" t="s">
        <v>118</v>
      </c>
      <c r="P207" s="11" t="s">
        <v>310</v>
      </c>
      <c r="Q207" s="11" t="s">
        <v>125</v>
      </c>
      <c r="R207" s="11" t="s">
        <v>150</v>
      </c>
      <c r="S207" s="11" t="s">
        <v>994</v>
      </c>
      <c r="T207" s="11" t="s">
        <v>126</v>
      </c>
      <c r="U207" s="11" t="s">
        <v>994</v>
      </c>
      <c r="V207" s="11" t="s">
        <v>994</v>
      </c>
      <c r="W207" s="11" t="s">
        <v>994</v>
      </c>
      <c r="X207" s="11" t="s">
        <v>994</v>
      </c>
      <c r="Y207" s="11" t="s">
        <v>994</v>
      </c>
      <c r="Z207" s="11" t="s">
        <v>994</v>
      </c>
      <c r="AA207" s="11" t="s">
        <v>994</v>
      </c>
      <c r="AB207" s="11" t="s">
        <v>994</v>
      </c>
      <c r="AC207" s="11" t="s">
        <v>994</v>
      </c>
      <c r="AD207" s="11" t="s">
        <v>994</v>
      </c>
      <c r="AE207" s="11" t="s">
        <v>1804</v>
      </c>
    </row>
    <row r="208">
      <c r="B208" s="26" t="s">
        <v>49</v>
      </c>
      <c r="C208" s="12" t="s">
        <v>1546</v>
      </c>
      <c r="D208" s="11" t="s">
        <v>725</v>
      </c>
      <c r="E208" s="11" t="s">
        <v>723</v>
      </c>
      <c r="F208" s="12" t="s">
        <v>49</v>
      </c>
      <c r="G208" s="12" t="s">
        <v>246</v>
      </c>
      <c r="H208" s="12" t="s">
        <v>246</v>
      </c>
      <c r="I208" s="12" t="s">
        <v>430</v>
      </c>
      <c r="J208" s="12" t="s">
        <v>1027</v>
      </c>
      <c r="K208" s="12" t="s">
        <v>1028</v>
      </c>
      <c r="L208" s="12" t="s">
        <v>247</v>
      </c>
      <c r="M208" s="12" t="s">
        <v>994</v>
      </c>
      <c r="N208" s="13" t="s">
        <v>726</v>
      </c>
      <c r="O208" s="11" t="s">
        <v>118</v>
      </c>
      <c r="P208" s="11" t="s">
        <v>310</v>
      </c>
      <c r="Q208" s="11" t="s">
        <v>125</v>
      </c>
      <c r="R208" s="11" t="s">
        <v>150</v>
      </c>
      <c r="S208" s="11" t="s">
        <v>125</v>
      </c>
      <c r="T208" s="11" t="s">
        <v>125</v>
      </c>
      <c r="U208" s="11" t="s">
        <v>38</v>
      </c>
      <c r="V208" s="11" t="s">
        <v>1378</v>
      </c>
      <c r="W208" s="11" t="s">
        <v>994</v>
      </c>
      <c r="X208" s="11" t="s">
        <v>994</v>
      </c>
      <c r="Y208" s="11" t="s">
        <v>994</v>
      </c>
      <c r="Z208" s="11" t="s">
        <v>994</v>
      </c>
      <c r="AA208" s="11" t="s">
        <v>994</v>
      </c>
      <c r="AB208" s="11" t="s">
        <v>994</v>
      </c>
      <c r="AC208" s="11" t="s">
        <v>994</v>
      </c>
      <c r="AD208" s="11" t="s">
        <v>994</v>
      </c>
      <c r="AE208" s="11" t="s">
        <v>995</v>
      </c>
    </row>
    <row r="209">
      <c r="B209" s="26" t="s">
        <v>295</v>
      </c>
      <c r="C209" s="12" t="s">
        <v>1547</v>
      </c>
      <c r="D209" s="11" t="s">
        <v>727</v>
      </c>
      <c r="E209" s="11" t="s">
        <v>723</v>
      </c>
      <c r="F209" s="12" t="s">
        <v>295</v>
      </c>
      <c r="G209" s="12" t="s">
        <v>246</v>
      </c>
      <c r="H209" s="12" t="s">
        <v>246</v>
      </c>
      <c r="I209" s="12" t="s">
        <v>430</v>
      </c>
      <c r="J209" s="12" t="s">
        <v>1027</v>
      </c>
      <c r="K209" s="12" t="s">
        <v>1028</v>
      </c>
      <c r="L209" s="12" t="s">
        <v>247</v>
      </c>
      <c r="M209" s="12" t="s">
        <v>994</v>
      </c>
      <c r="N209" s="13" t="s">
        <v>728</v>
      </c>
      <c r="O209" s="11" t="s">
        <v>118</v>
      </c>
      <c r="P209" s="11" t="s">
        <v>310</v>
      </c>
      <c r="Q209" s="11" t="s">
        <v>125</v>
      </c>
      <c r="R209" s="11" t="s">
        <v>150</v>
      </c>
      <c r="S209" s="11" t="s">
        <v>125</v>
      </c>
      <c r="T209" s="11" t="s">
        <v>125</v>
      </c>
      <c r="U209" s="11" t="s">
        <v>38</v>
      </c>
      <c r="V209" s="11" t="s">
        <v>1378</v>
      </c>
      <c r="W209" s="11" t="s">
        <v>994</v>
      </c>
      <c r="X209" s="11" t="s">
        <v>994</v>
      </c>
      <c r="Y209" s="11" t="s">
        <v>994</v>
      </c>
      <c r="Z209" s="11" t="s">
        <v>994</v>
      </c>
      <c r="AA209" s="11" t="s">
        <v>994</v>
      </c>
      <c r="AB209" s="11" t="s">
        <v>994</v>
      </c>
      <c r="AC209" s="11" t="s">
        <v>994</v>
      </c>
      <c r="AD209" s="11" t="s">
        <v>994</v>
      </c>
      <c r="AE209" s="11" t="s">
        <v>995</v>
      </c>
    </row>
    <row r="210">
      <c r="B210" s="26" t="s">
        <v>49</v>
      </c>
      <c r="C210" s="12" t="s">
        <v>1548</v>
      </c>
      <c r="D210" s="11" t="s">
        <v>729</v>
      </c>
      <c r="E210" s="11" t="s">
        <v>723</v>
      </c>
      <c r="F210" s="12" t="s">
        <v>49</v>
      </c>
      <c r="G210" s="12" t="s">
        <v>246</v>
      </c>
      <c r="H210" s="12" t="s">
        <v>246</v>
      </c>
      <c r="I210" s="12" t="s">
        <v>430</v>
      </c>
      <c r="J210" s="12" t="s">
        <v>1027</v>
      </c>
      <c r="K210" s="12" t="s">
        <v>1028</v>
      </c>
      <c r="L210" s="12" t="s">
        <v>247</v>
      </c>
      <c r="M210" s="12" t="s">
        <v>994</v>
      </c>
      <c r="N210" s="13" t="s">
        <v>730</v>
      </c>
      <c r="O210" s="11" t="s">
        <v>118</v>
      </c>
      <c r="P210" s="11" t="s">
        <v>310</v>
      </c>
      <c r="Q210" s="11" t="s">
        <v>125</v>
      </c>
      <c r="R210" s="11" t="s">
        <v>150</v>
      </c>
      <c r="S210" s="11" t="s">
        <v>125</v>
      </c>
      <c r="T210" s="11" t="s">
        <v>125</v>
      </c>
      <c r="U210" s="11" t="s">
        <v>132</v>
      </c>
      <c r="V210" s="11" t="s">
        <v>1378</v>
      </c>
      <c r="W210" s="11" t="s">
        <v>994</v>
      </c>
      <c r="X210" s="11" t="s">
        <v>994</v>
      </c>
      <c r="Y210" s="11" t="s">
        <v>994</v>
      </c>
      <c r="Z210" s="11" t="s">
        <v>994</v>
      </c>
      <c r="AA210" s="11" t="s">
        <v>994</v>
      </c>
      <c r="AB210" s="11" t="s">
        <v>994</v>
      </c>
      <c r="AC210" s="11" t="s">
        <v>994</v>
      </c>
      <c r="AD210" s="11" t="s">
        <v>1209</v>
      </c>
      <c r="AE210" s="11" t="s">
        <v>995</v>
      </c>
    </row>
    <row r="211">
      <c r="B211" s="26" t="s">
        <v>49</v>
      </c>
      <c r="C211" s="12" t="s">
        <v>1549</v>
      </c>
      <c r="D211" s="11" t="s">
        <v>731</v>
      </c>
      <c r="E211" s="11" t="s">
        <v>732</v>
      </c>
      <c r="F211" s="12" t="s">
        <v>49</v>
      </c>
      <c r="G211" s="12" t="s">
        <v>246</v>
      </c>
      <c r="H211" s="12" t="s">
        <v>246</v>
      </c>
      <c r="I211" s="12" t="s">
        <v>60</v>
      </c>
      <c r="J211" s="12" t="s">
        <v>1018</v>
      </c>
      <c r="K211" s="12" t="s">
        <v>118</v>
      </c>
      <c r="L211" s="12" t="s">
        <v>247</v>
      </c>
      <c r="M211" s="12" t="s">
        <v>994</v>
      </c>
      <c r="N211" s="13" t="s">
        <v>733</v>
      </c>
      <c r="O211" s="11" t="s">
        <v>118</v>
      </c>
      <c r="P211" s="11" t="s">
        <v>323</v>
      </c>
      <c r="Q211" s="11" t="s">
        <v>126</v>
      </c>
      <c r="R211" s="11" t="s">
        <v>150</v>
      </c>
      <c r="S211" s="11" t="s">
        <v>994</v>
      </c>
      <c r="T211" s="11" t="s">
        <v>125</v>
      </c>
      <c r="U211" s="11" t="s">
        <v>131</v>
      </c>
      <c r="V211" s="11" t="s">
        <v>1762</v>
      </c>
      <c r="W211" s="11" t="s">
        <v>994</v>
      </c>
      <c r="X211" s="11" t="s">
        <v>994</v>
      </c>
      <c r="Y211" s="11" t="s">
        <v>994</v>
      </c>
      <c r="Z211" s="11" t="s">
        <v>994</v>
      </c>
      <c r="AA211" s="11" t="s">
        <v>994</v>
      </c>
      <c r="AB211" s="11" t="s">
        <v>994</v>
      </c>
      <c r="AC211" s="11" t="s">
        <v>994</v>
      </c>
      <c r="AD211" s="11" t="s">
        <v>989</v>
      </c>
      <c r="AE211" s="11" t="s">
        <v>995</v>
      </c>
    </row>
    <row r="212">
      <c r="B212" s="26" t="s">
        <v>49</v>
      </c>
      <c r="C212" s="12" t="s">
        <v>1550</v>
      </c>
      <c r="D212" s="11" t="s">
        <v>130</v>
      </c>
      <c r="E212" s="11" t="s">
        <v>734</v>
      </c>
      <c r="F212" s="12" t="s">
        <v>543</v>
      </c>
      <c r="G212" s="12" t="s">
        <v>246</v>
      </c>
      <c r="H212" s="12" t="s">
        <v>246</v>
      </c>
      <c r="I212" s="12" t="s">
        <v>60</v>
      </c>
      <c r="J212" s="12" t="s">
        <v>1029</v>
      </c>
      <c r="K212" s="12" t="s">
        <v>118</v>
      </c>
      <c r="L212" s="12" t="s">
        <v>247</v>
      </c>
      <c r="M212" s="12" t="s">
        <v>994</v>
      </c>
      <c r="N212" s="13" t="s">
        <v>735</v>
      </c>
      <c r="O212" s="11" t="s">
        <v>118</v>
      </c>
      <c r="P212" s="11" t="s">
        <v>323</v>
      </c>
      <c r="Q212" s="11" t="s">
        <v>126</v>
      </c>
      <c r="R212" s="11" t="s">
        <v>150</v>
      </c>
      <c r="S212" s="11" t="s">
        <v>994</v>
      </c>
      <c r="T212" s="11" t="s">
        <v>126</v>
      </c>
      <c r="U212" s="11" t="s">
        <v>994</v>
      </c>
      <c r="V212" s="11" t="s">
        <v>994</v>
      </c>
      <c r="W212" s="11" t="s">
        <v>994</v>
      </c>
      <c r="X212" s="11" t="s">
        <v>994</v>
      </c>
      <c r="Y212" s="11" t="s">
        <v>994</v>
      </c>
      <c r="Z212" s="11" t="s">
        <v>994</v>
      </c>
      <c r="AA212" s="11" t="s">
        <v>994</v>
      </c>
      <c r="AB212" s="11" t="s">
        <v>994</v>
      </c>
      <c r="AC212" s="11" t="s">
        <v>994</v>
      </c>
      <c r="AD212" s="11" t="s">
        <v>1292</v>
      </c>
      <c r="AE212" s="11" t="s">
        <v>1804</v>
      </c>
    </row>
    <row r="213">
      <c r="B213" s="26" t="s">
        <v>49</v>
      </c>
      <c r="C213" s="12" t="s">
        <v>1551</v>
      </c>
      <c r="D213" s="11" t="s">
        <v>736</v>
      </c>
      <c r="E213" s="11" t="s">
        <v>737</v>
      </c>
      <c r="F213" s="12" t="s">
        <v>286</v>
      </c>
      <c r="G213" s="12" t="s">
        <v>246</v>
      </c>
      <c r="H213" s="12" t="s">
        <v>246</v>
      </c>
      <c r="I213" s="12" t="s">
        <v>60</v>
      </c>
      <c r="J213" s="12" t="s">
        <v>1018</v>
      </c>
      <c r="K213" s="12" t="s">
        <v>118</v>
      </c>
      <c r="L213" s="12" t="s">
        <v>247</v>
      </c>
      <c r="M213" s="12" t="s">
        <v>994</v>
      </c>
      <c r="N213" s="13" t="s">
        <v>738</v>
      </c>
      <c r="O213" s="11" t="s">
        <v>118</v>
      </c>
      <c r="P213" s="11" t="s">
        <v>323</v>
      </c>
      <c r="Q213" s="11" t="s">
        <v>126</v>
      </c>
      <c r="R213" s="11" t="s">
        <v>150</v>
      </c>
      <c r="S213" s="11" t="s">
        <v>994</v>
      </c>
      <c r="T213" s="11" t="s">
        <v>126</v>
      </c>
      <c r="U213" s="11" t="s">
        <v>994</v>
      </c>
      <c r="V213" s="11" t="s">
        <v>994</v>
      </c>
      <c r="W213" s="11" t="s">
        <v>994</v>
      </c>
      <c r="X213" s="11" t="s">
        <v>994</v>
      </c>
      <c r="Y213" s="11" t="s">
        <v>994</v>
      </c>
      <c r="Z213" s="11" t="s">
        <v>994</v>
      </c>
      <c r="AA213" s="11" t="s">
        <v>994</v>
      </c>
      <c r="AB213" s="11" t="s">
        <v>994</v>
      </c>
      <c r="AC213" s="11" t="s">
        <v>994</v>
      </c>
      <c r="AD213" s="11" t="s">
        <v>994</v>
      </c>
      <c r="AE213" s="11" t="s">
        <v>1804</v>
      </c>
    </row>
    <row r="214">
      <c r="B214" s="26" t="s">
        <v>314</v>
      </c>
      <c r="C214" s="12" t="s">
        <v>1552</v>
      </c>
      <c r="D214" s="11" t="s">
        <v>739</v>
      </c>
      <c r="E214" s="11" t="s">
        <v>737</v>
      </c>
      <c r="F214" s="12" t="s">
        <v>314</v>
      </c>
      <c r="G214" s="12" t="s">
        <v>246</v>
      </c>
      <c r="H214" s="12" t="s">
        <v>246</v>
      </c>
      <c r="I214" s="12" t="s">
        <v>60</v>
      </c>
      <c r="J214" s="12" t="s">
        <v>1018</v>
      </c>
      <c r="K214" s="12" t="s">
        <v>118</v>
      </c>
      <c r="L214" s="12" t="s">
        <v>247</v>
      </c>
      <c r="M214" s="12" t="s">
        <v>994</v>
      </c>
      <c r="N214" s="13" t="s">
        <v>740</v>
      </c>
      <c r="O214" s="11" t="s">
        <v>118</v>
      </c>
      <c r="P214" s="11" t="s">
        <v>323</v>
      </c>
      <c r="Q214" s="11" t="s">
        <v>126</v>
      </c>
      <c r="R214" s="11" t="s">
        <v>150</v>
      </c>
      <c r="S214" s="11" t="s">
        <v>994</v>
      </c>
      <c r="T214" s="11" t="s">
        <v>126</v>
      </c>
      <c r="U214" s="11" t="s">
        <v>994</v>
      </c>
      <c r="V214" s="11" t="s">
        <v>994</v>
      </c>
      <c r="W214" s="11" t="s">
        <v>994</v>
      </c>
      <c r="X214" s="11" t="s">
        <v>994</v>
      </c>
      <c r="Y214" s="11" t="s">
        <v>994</v>
      </c>
      <c r="Z214" s="11" t="s">
        <v>994</v>
      </c>
      <c r="AA214" s="11" t="s">
        <v>994</v>
      </c>
      <c r="AB214" s="11" t="s">
        <v>994</v>
      </c>
      <c r="AC214" s="11" t="s">
        <v>994</v>
      </c>
      <c r="AD214" s="11" t="s">
        <v>994</v>
      </c>
      <c r="AE214" s="11" t="s">
        <v>1804</v>
      </c>
    </row>
    <row r="215">
      <c r="B215" s="26" t="s">
        <v>308</v>
      </c>
      <c r="C215" s="12" t="s">
        <v>1553</v>
      </c>
      <c r="D215" s="11" t="s">
        <v>741</v>
      </c>
      <c r="E215" s="11" t="s">
        <v>737</v>
      </c>
      <c r="F215" s="12" t="s">
        <v>308</v>
      </c>
      <c r="G215" s="12" t="s">
        <v>246</v>
      </c>
      <c r="H215" s="12" t="s">
        <v>246</v>
      </c>
      <c r="I215" s="12" t="s">
        <v>60</v>
      </c>
      <c r="J215" s="12" t="s">
        <v>1018</v>
      </c>
      <c r="K215" s="12" t="s">
        <v>118</v>
      </c>
      <c r="L215" s="12" t="s">
        <v>247</v>
      </c>
      <c r="M215" s="12" t="s">
        <v>994</v>
      </c>
      <c r="N215" s="13" t="s">
        <v>742</v>
      </c>
      <c r="O215" s="11" t="s">
        <v>118</v>
      </c>
      <c r="P215" s="11" t="s">
        <v>323</v>
      </c>
      <c r="Q215" s="11" t="s">
        <v>126</v>
      </c>
      <c r="R215" s="11" t="s">
        <v>150</v>
      </c>
      <c r="S215" s="11" t="s">
        <v>994</v>
      </c>
      <c r="T215" s="11" t="s">
        <v>126</v>
      </c>
      <c r="U215" s="11" t="s">
        <v>994</v>
      </c>
      <c r="V215" s="11" t="s">
        <v>994</v>
      </c>
      <c r="W215" s="11" t="s">
        <v>994</v>
      </c>
      <c r="X215" s="11" t="s">
        <v>994</v>
      </c>
      <c r="Y215" s="11" t="s">
        <v>994</v>
      </c>
      <c r="Z215" s="11" t="s">
        <v>994</v>
      </c>
      <c r="AA215" s="11" t="s">
        <v>994</v>
      </c>
      <c r="AB215" s="11" t="s">
        <v>994</v>
      </c>
      <c r="AC215" s="11" t="s">
        <v>994</v>
      </c>
      <c r="AD215" s="11" t="s">
        <v>994</v>
      </c>
      <c r="AE215" s="11" t="s">
        <v>1804</v>
      </c>
    </row>
    <row r="216">
      <c r="B216" s="26" t="s">
        <v>49</v>
      </c>
      <c r="C216" s="12" t="s">
        <v>1554</v>
      </c>
      <c r="D216" s="11" t="s">
        <v>743</v>
      </c>
      <c r="E216" s="11" t="s">
        <v>737</v>
      </c>
      <c r="F216" s="12" t="s">
        <v>286</v>
      </c>
      <c r="G216" s="12" t="s">
        <v>246</v>
      </c>
      <c r="H216" s="12" t="s">
        <v>246</v>
      </c>
      <c r="I216" s="12" t="s">
        <v>60</v>
      </c>
      <c r="J216" s="12" t="s">
        <v>1018</v>
      </c>
      <c r="K216" s="12" t="s">
        <v>118</v>
      </c>
      <c r="L216" s="12" t="s">
        <v>247</v>
      </c>
      <c r="M216" s="12" t="s">
        <v>994</v>
      </c>
      <c r="N216" s="13" t="s">
        <v>744</v>
      </c>
      <c r="O216" s="11" t="s">
        <v>118</v>
      </c>
      <c r="P216" s="11" t="s">
        <v>323</v>
      </c>
      <c r="Q216" s="11" t="s">
        <v>126</v>
      </c>
      <c r="R216" s="11" t="s">
        <v>150</v>
      </c>
      <c r="S216" s="11" t="s">
        <v>994</v>
      </c>
      <c r="T216" s="11" t="s">
        <v>125</v>
      </c>
      <c r="U216" s="11" t="s">
        <v>38</v>
      </c>
      <c r="V216" s="11" t="s">
        <v>1764</v>
      </c>
      <c r="W216" s="11" t="s">
        <v>994</v>
      </c>
      <c r="X216" s="11" t="s">
        <v>994</v>
      </c>
      <c r="Y216" s="11" t="s">
        <v>994</v>
      </c>
      <c r="Z216" s="11" t="s">
        <v>994</v>
      </c>
      <c r="AA216" s="11" t="s">
        <v>994</v>
      </c>
      <c r="AB216" s="11" t="s">
        <v>994</v>
      </c>
      <c r="AC216" s="11" t="s">
        <v>994</v>
      </c>
      <c r="AD216" s="11" t="s">
        <v>990</v>
      </c>
      <c r="AE216" s="11" t="s">
        <v>995</v>
      </c>
    </row>
    <row r="217">
      <c r="B217" s="26" t="s">
        <v>49</v>
      </c>
      <c r="C217" s="12" t="s">
        <v>1555</v>
      </c>
      <c r="D217" s="11" t="s">
        <v>747</v>
      </c>
      <c r="E217" s="11" t="s">
        <v>737</v>
      </c>
      <c r="F217" s="12" t="s">
        <v>557</v>
      </c>
      <c r="G217" s="12" t="s">
        <v>246</v>
      </c>
      <c r="H217" s="12" t="s">
        <v>246</v>
      </c>
      <c r="I217" s="12" t="s">
        <v>60</v>
      </c>
      <c r="J217" s="12" t="s">
        <v>1018</v>
      </c>
      <c r="K217" s="12" t="s">
        <v>118</v>
      </c>
      <c r="L217" s="12" t="s">
        <v>247</v>
      </c>
      <c r="M217" s="12" t="s">
        <v>994</v>
      </c>
      <c r="N217" s="13" t="s">
        <v>748</v>
      </c>
      <c r="O217" s="11" t="s">
        <v>118</v>
      </c>
      <c r="P217" s="11" t="s">
        <v>323</v>
      </c>
      <c r="Q217" s="11" t="s">
        <v>126</v>
      </c>
      <c r="R217" s="11" t="s">
        <v>150</v>
      </c>
      <c r="S217" s="11" t="s">
        <v>994</v>
      </c>
      <c r="T217" s="11" t="s">
        <v>125</v>
      </c>
      <c r="U217" s="11" t="s">
        <v>38</v>
      </c>
      <c r="V217" s="11" t="s">
        <v>1764</v>
      </c>
      <c r="W217" s="11" t="s">
        <v>994</v>
      </c>
      <c r="X217" s="11" t="s">
        <v>994</v>
      </c>
      <c r="Y217" s="11" t="s">
        <v>994</v>
      </c>
      <c r="Z217" s="11" t="s">
        <v>994</v>
      </c>
      <c r="AA217" s="11" t="s">
        <v>994</v>
      </c>
      <c r="AB217" s="11" t="s">
        <v>994</v>
      </c>
      <c r="AC217" s="11" t="s">
        <v>994</v>
      </c>
      <c r="AD217" s="11" t="s">
        <v>991</v>
      </c>
      <c r="AE217" s="11" t="s">
        <v>995</v>
      </c>
    </row>
    <row r="218">
      <c r="B218" s="26" t="s">
        <v>49</v>
      </c>
      <c r="C218" s="12" t="s">
        <v>1556</v>
      </c>
      <c r="D218" s="11" t="s">
        <v>749</v>
      </c>
      <c r="E218" s="11" t="s">
        <v>737</v>
      </c>
      <c r="F218" s="12" t="s">
        <v>447</v>
      </c>
      <c r="G218" s="12" t="s">
        <v>246</v>
      </c>
      <c r="H218" s="12" t="s">
        <v>246</v>
      </c>
      <c r="I218" s="12" t="s">
        <v>60</v>
      </c>
      <c r="J218" s="12" t="s">
        <v>1018</v>
      </c>
      <c r="K218" s="12" t="s">
        <v>118</v>
      </c>
      <c r="L218" s="12" t="s">
        <v>247</v>
      </c>
      <c r="M218" s="12" t="s">
        <v>994</v>
      </c>
      <c r="N218" s="13" t="s">
        <v>742</v>
      </c>
      <c r="O218" s="11" t="s">
        <v>118</v>
      </c>
      <c r="P218" s="11" t="s">
        <v>323</v>
      </c>
      <c r="Q218" s="11" t="s">
        <v>126</v>
      </c>
      <c r="R218" s="11" t="s">
        <v>150</v>
      </c>
      <c r="S218" s="11" t="s">
        <v>994</v>
      </c>
      <c r="T218" s="11" t="s">
        <v>126</v>
      </c>
      <c r="U218" s="11" t="s">
        <v>994</v>
      </c>
      <c r="V218" s="11" t="s">
        <v>994</v>
      </c>
      <c r="W218" s="11" t="s">
        <v>994</v>
      </c>
      <c r="X218" s="11" t="s">
        <v>994</v>
      </c>
      <c r="Y218" s="11" t="s">
        <v>994</v>
      </c>
      <c r="Z218" s="11" t="s">
        <v>994</v>
      </c>
      <c r="AA218" s="11" t="s">
        <v>994</v>
      </c>
      <c r="AB218" s="11" t="s">
        <v>994</v>
      </c>
      <c r="AC218" s="11" t="s">
        <v>994</v>
      </c>
      <c r="AD218" s="11" t="s">
        <v>994</v>
      </c>
      <c r="AE218" s="11" t="s">
        <v>1804</v>
      </c>
    </row>
    <row r="219">
      <c r="B219" s="26" t="s">
        <v>49</v>
      </c>
      <c r="C219" s="12" t="s">
        <v>1557</v>
      </c>
      <c r="D219" s="11" t="s">
        <v>752</v>
      </c>
      <c r="E219" s="11" t="s">
        <v>753</v>
      </c>
      <c r="F219" s="12" t="s">
        <v>450</v>
      </c>
      <c r="G219" s="12" t="s">
        <v>246</v>
      </c>
      <c r="H219" s="12" t="s">
        <v>246</v>
      </c>
      <c r="I219" s="12" t="s">
        <v>37</v>
      </c>
      <c r="J219" s="12" t="s">
        <v>1018</v>
      </c>
      <c r="K219" s="12" t="s">
        <v>1019</v>
      </c>
      <c r="L219" s="12" t="s">
        <v>247</v>
      </c>
      <c r="M219" s="12" t="s">
        <v>994</v>
      </c>
      <c r="N219" s="13" t="s">
        <v>754</v>
      </c>
      <c r="O219" s="11" t="s">
        <v>118</v>
      </c>
      <c r="P219" s="11" t="s">
        <v>323</v>
      </c>
      <c r="Q219" s="11" t="s">
        <v>126</v>
      </c>
      <c r="R219" s="11" t="s">
        <v>150</v>
      </c>
      <c r="S219" s="11" t="s">
        <v>994</v>
      </c>
      <c r="T219" s="11" t="s">
        <v>126</v>
      </c>
      <c r="U219" s="11" t="s">
        <v>994</v>
      </c>
      <c r="V219" s="11" t="s">
        <v>994</v>
      </c>
      <c r="W219" s="11" t="s">
        <v>994</v>
      </c>
      <c r="X219" s="11" t="s">
        <v>994</v>
      </c>
      <c r="Y219" s="11" t="s">
        <v>994</v>
      </c>
      <c r="Z219" s="11" t="s">
        <v>994</v>
      </c>
      <c r="AA219" s="11" t="s">
        <v>994</v>
      </c>
      <c r="AB219" s="11" t="s">
        <v>994</v>
      </c>
      <c r="AC219" s="11" t="s">
        <v>994</v>
      </c>
      <c r="AD219" s="11" t="s">
        <v>994</v>
      </c>
      <c r="AE219" s="11" t="s">
        <v>1804</v>
      </c>
    </row>
    <row r="220">
      <c r="B220" s="26" t="s">
        <v>49</v>
      </c>
      <c r="C220" s="12" t="s">
        <v>1558</v>
      </c>
      <c r="D220" s="11" t="s">
        <v>755</v>
      </c>
      <c r="E220" s="11" t="s">
        <v>756</v>
      </c>
      <c r="F220" s="12" t="s">
        <v>450</v>
      </c>
      <c r="G220" s="12" t="s">
        <v>246</v>
      </c>
      <c r="H220" s="12" t="s">
        <v>246</v>
      </c>
      <c r="I220" s="12" t="s">
        <v>37</v>
      </c>
      <c r="J220" s="12" t="s">
        <v>1018</v>
      </c>
      <c r="K220" s="12" t="s">
        <v>1019</v>
      </c>
      <c r="L220" s="12" t="s">
        <v>247</v>
      </c>
      <c r="M220" s="12" t="s">
        <v>994</v>
      </c>
      <c r="N220" s="13" t="s">
        <v>757</v>
      </c>
      <c r="O220" s="11" t="s">
        <v>118</v>
      </c>
      <c r="P220" s="11" t="s">
        <v>323</v>
      </c>
      <c r="Q220" s="11" t="s">
        <v>126</v>
      </c>
      <c r="R220" s="11" t="s">
        <v>150</v>
      </c>
      <c r="S220" s="11" t="s">
        <v>994</v>
      </c>
      <c r="T220" s="11" t="s">
        <v>126</v>
      </c>
      <c r="U220" s="11" t="s">
        <v>994</v>
      </c>
      <c r="V220" s="11" t="s">
        <v>994</v>
      </c>
      <c r="W220" s="11" t="s">
        <v>994</v>
      </c>
      <c r="X220" s="11" t="s">
        <v>994</v>
      </c>
      <c r="Y220" s="11" t="s">
        <v>994</v>
      </c>
      <c r="Z220" s="11" t="s">
        <v>994</v>
      </c>
      <c r="AA220" s="11" t="s">
        <v>994</v>
      </c>
      <c r="AB220" s="11" t="s">
        <v>994</v>
      </c>
      <c r="AC220" s="11" t="s">
        <v>994</v>
      </c>
      <c r="AD220" s="11" t="s">
        <v>994</v>
      </c>
      <c r="AE220" s="11" t="s">
        <v>1804</v>
      </c>
    </row>
    <row r="221">
      <c r="B221" s="26" t="s">
        <v>291</v>
      </c>
      <c r="C221" s="12" t="s">
        <v>1559</v>
      </c>
      <c r="D221" s="11" t="s">
        <v>758</v>
      </c>
      <c r="E221" s="11" t="s">
        <v>759</v>
      </c>
      <c r="F221" s="12" t="s">
        <v>291</v>
      </c>
      <c r="G221" s="12" t="s">
        <v>246</v>
      </c>
      <c r="H221" s="12" t="s">
        <v>246</v>
      </c>
      <c r="I221" s="12" t="s">
        <v>37</v>
      </c>
      <c r="J221" s="12" t="s">
        <v>1018</v>
      </c>
      <c r="K221" s="12" t="s">
        <v>1024</v>
      </c>
      <c r="L221" s="12" t="s">
        <v>247</v>
      </c>
      <c r="M221" s="12" t="s">
        <v>994</v>
      </c>
      <c r="N221" s="13" t="s">
        <v>1293</v>
      </c>
      <c r="O221" s="11" t="s">
        <v>118</v>
      </c>
      <c r="P221" s="11" t="s">
        <v>323</v>
      </c>
      <c r="Q221" s="11" t="s">
        <v>126</v>
      </c>
      <c r="R221" s="11" t="s">
        <v>150</v>
      </c>
      <c r="S221" s="11" t="s">
        <v>994</v>
      </c>
      <c r="T221" s="11" t="s">
        <v>126</v>
      </c>
      <c r="U221" s="11" t="s">
        <v>994</v>
      </c>
      <c r="V221" s="11" t="s">
        <v>994</v>
      </c>
      <c r="W221" s="11" t="s">
        <v>994</v>
      </c>
      <c r="X221" s="11" t="s">
        <v>994</v>
      </c>
      <c r="Y221" s="11" t="s">
        <v>994</v>
      </c>
      <c r="Z221" s="11" t="s">
        <v>994</v>
      </c>
      <c r="AA221" s="11" t="s">
        <v>994</v>
      </c>
      <c r="AB221" s="11" t="s">
        <v>994</v>
      </c>
      <c r="AC221" s="11" t="s">
        <v>994</v>
      </c>
      <c r="AD221" s="11" t="s">
        <v>994</v>
      </c>
      <c r="AE221" s="11" t="s">
        <v>1804</v>
      </c>
    </row>
    <row r="222">
      <c r="B222" s="26" t="s">
        <v>49</v>
      </c>
      <c r="C222" s="12" t="s">
        <v>1560</v>
      </c>
      <c r="D222" s="11" t="s">
        <v>762</v>
      </c>
      <c r="E222" s="11" t="s">
        <v>763</v>
      </c>
      <c r="F222" s="12" t="s">
        <v>374</v>
      </c>
      <c r="G222" s="12" t="s">
        <v>246</v>
      </c>
      <c r="H222" s="12" t="s">
        <v>246</v>
      </c>
      <c r="I222" s="12" t="s">
        <v>60</v>
      </c>
      <c r="J222" s="12" t="s">
        <v>1018</v>
      </c>
      <c r="K222" s="12" t="s">
        <v>118</v>
      </c>
      <c r="L222" s="12" t="s">
        <v>247</v>
      </c>
      <c r="M222" s="12" t="s">
        <v>994</v>
      </c>
      <c r="N222" s="13" t="s">
        <v>764</v>
      </c>
      <c r="O222" s="11" t="s">
        <v>118</v>
      </c>
      <c r="P222" s="11" t="s">
        <v>323</v>
      </c>
      <c r="Q222" s="11" t="s">
        <v>126</v>
      </c>
      <c r="R222" s="11" t="s">
        <v>150</v>
      </c>
      <c r="S222" s="11" t="s">
        <v>994</v>
      </c>
      <c r="T222" s="11" t="s">
        <v>126</v>
      </c>
      <c r="U222" s="11" t="s">
        <v>994</v>
      </c>
      <c r="V222" s="11" t="s">
        <v>994</v>
      </c>
      <c r="W222" s="11" t="s">
        <v>994</v>
      </c>
      <c r="X222" s="11" t="s">
        <v>994</v>
      </c>
      <c r="Y222" s="11" t="s">
        <v>994</v>
      </c>
      <c r="Z222" s="11" t="s">
        <v>994</v>
      </c>
      <c r="AA222" s="11" t="s">
        <v>994</v>
      </c>
      <c r="AB222" s="11" t="s">
        <v>994</v>
      </c>
      <c r="AC222" s="11" t="s">
        <v>994</v>
      </c>
      <c r="AD222" s="11" t="s">
        <v>994</v>
      </c>
      <c r="AE222" s="11" t="s">
        <v>1804</v>
      </c>
    </row>
    <row r="223">
      <c r="B223" s="26" t="s">
        <v>49</v>
      </c>
      <c r="C223" s="12" t="s">
        <v>1561</v>
      </c>
      <c r="D223" s="11" t="s">
        <v>1294</v>
      </c>
      <c r="E223" s="11" t="s">
        <v>765</v>
      </c>
      <c r="F223" s="12" t="s">
        <v>411</v>
      </c>
      <c r="G223" s="12" t="s">
        <v>246</v>
      </c>
      <c r="H223" s="12" t="s">
        <v>246</v>
      </c>
      <c r="I223" s="12" t="s">
        <v>60</v>
      </c>
      <c r="J223" s="12" t="s">
        <v>1018</v>
      </c>
      <c r="K223" s="12" t="s">
        <v>118</v>
      </c>
      <c r="L223" s="12" t="s">
        <v>247</v>
      </c>
      <c r="M223" s="12" t="s">
        <v>994</v>
      </c>
      <c r="N223" s="13" t="s">
        <v>766</v>
      </c>
      <c r="O223" s="11" t="s">
        <v>118</v>
      </c>
      <c r="P223" s="11" t="s">
        <v>323</v>
      </c>
      <c r="Q223" s="11" t="s">
        <v>126</v>
      </c>
      <c r="R223" s="11" t="s">
        <v>150</v>
      </c>
      <c r="S223" s="11" t="s">
        <v>994</v>
      </c>
      <c r="T223" s="11" t="s">
        <v>126</v>
      </c>
      <c r="U223" s="11" t="s">
        <v>994</v>
      </c>
      <c r="V223" s="11" t="s">
        <v>994</v>
      </c>
      <c r="W223" s="11" t="s">
        <v>994</v>
      </c>
      <c r="X223" s="11" t="s">
        <v>994</v>
      </c>
      <c r="Y223" s="11" t="s">
        <v>994</v>
      </c>
      <c r="Z223" s="11" t="s">
        <v>994</v>
      </c>
      <c r="AA223" s="11" t="s">
        <v>994</v>
      </c>
      <c r="AB223" s="11" t="s">
        <v>994</v>
      </c>
      <c r="AC223" s="11" t="s">
        <v>994</v>
      </c>
      <c r="AD223" s="11" t="s">
        <v>994</v>
      </c>
      <c r="AE223" s="11" t="s">
        <v>1804</v>
      </c>
    </row>
    <row r="224">
      <c r="B224" s="26" t="s">
        <v>49</v>
      </c>
      <c r="C224" s="12" t="s">
        <v>1562</v>
      </c>
      <c r="D224" s="11" t="s">
        <v>767</v>
      </c>
      <c r="E224" s="11" t="s">
        <v>768</v>
      </c>
      <c r="F224" s="12" t="s">
        <v>332</v>
      </c>
      <c r="G224" s="12" t="s">
        <v>246</v>
      </c>
      <c r="H224" s="12" t="s">
        <v>246</v>
      </c>
      <c r="I224" s="12" t="s">
        <v>37</v>
      </c>
      <c r="J224" s="12" t="s">
        <v>1018</v>
      </c>
      <c r="K224" s="12" t="s">
        <v>1024</v>
      </c>
      <c r="L224" s="12" t="s">
        <v>247</v>
      </c>
      <c r="M224" s="12" t="s">
        <v>994</v>
      </c>
      <c r="N224" s="13" t="s">
        <v>769</v>
      </c>
      <c r="O224" s="11" t="s">
        <v>118</v>
      </c>
      <c r="P224" s="11" t="s">
        <v>323</v>
      </c>
      <c r="Q224" s="11" t="s">
        <v>126</v>
      </c>
      <c r="R224" s="11" t="s">
        <v>150</v>
      </c>
      <c r="S224" s="11" t="s">
        <v>994</v>
      </c>
      <c r="T224" s="11" t="s">
        <v>126</v>
      </c>
      <c r="U224" s="11" t="s">
        <v>994</v>
      </c>
      <c r="V224" s="11" t="s">
        <v>994</v>
      </c>
      <c r="W224" s="11" t="s">
        <v>994</v>
      </c>
      <c r="X224" s="11" t="s">
        <v>994</v>
      </c>
      <c r="Y224" s="11" t="s">
        <v>994</v>
      </c>
      <c r="Z224" s="11" t="s">
        <v>994</v>
      </c>
      <c r="AA224" s="11" t="s">
        <v>994</v>
      </c>
      <c r="AB224" s="11" t="s">
        <v>994</v>
      </c>
      <c r="AC224" s="11" t="s">
        <v>994</v>
      </c>
      <c r="AD224" s="11" t="s">
        <v>994</v>
      </c>
      <c r="AE224" s="11" t="s">
        <v>1804</v>
      </c>
    </row>
    <row r="225">
      <c r="B225" s="26" t="s">
        <v>49</v>
      </c>
      <c r="C225" s="12" t="s">
        <v>1563</v>
      </c>
      <c r="D225" s="11" t="s">
        <v>770</v>
      </c>
      <c r="E225" s="11" t="s">
        <v>768</v>
      </c>
      <c r="F225" s="12" t="s">
        <v>374</v>
      </c>
      <c r="G225" s="12" t="s">
        <v>246</v>
      </c>
      <c r="H225" s="12" t="s">
        <v>246</v>
      </c>
      <c r="I225" s="12" t="s">
        <v>37</v>
      </c>
      <c r="J225" s="12" t="s">
        <v>1018</v>
      </c>
      <c r="K225" s="12" t="s">
        <v>1024</v>
      </c>
      <c r="L225" s="12" t="s">
        <v>247</v>
      </c>
      <c r="M225" s="12" t="s">
        <v>994</v>
      </c>
      <c r="N225" s="13" t="s">
        <v>771</v>
      </c>
      <c r="O225" s="11" t="s">
        <v>118</v>
      </c>
      <c r="P225" s="11" t="s">
        <v>323</v>
      </c>
      <c r="Q225" s="11" t="s">
        <v>126</v>
      </c>
      <c r="R225" s="11" t="s">
        <v>150</v>
      </c>
      <c r="S225" s="11" t="s">
        <v>994</v>
      </c>
      <c r="T225" s="11" t="s">
        <v>126</v>
      </c>
      <c r="U225" s="11" t="s">
        <v>994</v>
      </c>
      <c r="V225" s="11" t="s">
        <v>994</v>
      </c>
      <c r="W225" s="11" t="s">
        <v>994</v>
      </c>
      <c r="X225" s="11" t="s">
        <v>994</v>
      </c>
      <c r="Y225" s="11" t="s">
        <v>994</v>
      </c>
      <c r="Z225" s="11" t="s">
        <v>994</v>
      </c>
      <c r="AA225" s="11" t="s">
        <v>994</v>
      </c>
      <c r="AB225" s="11" t="s">
        <v>994</v>
      </c>
      <c r="AC225" s="11" t="s">
        <v>994</v>
      </c>
      <c r="AD225" s="11" t="s">
        <v>994</v>
      </c>
      <c r="AE225" s="11" t="s">
        <v>1804</v>
      </c>
    </row>
    <row r="226">
      <c r="B226" s="26" t="s">
        <v>49</v>
      </c>
      <c r="C226" s="12" t="s">
        <v>1564</v>
      </c>
      <c r="D226" s="11" t="s">
        <v>772</v>
      </c>
      <c r="E226" s="11" t="s">
        <v>768</v>
      </c>
      <c r="F226" s="12" t="s">
        <v>557</v>
      </c>
      <c r="G226" s="12" t="s">
        <v>246</v>
      </c>
      <c r="H226" s="12" t="s">
        <v>246</v>
      </c>
      <c r="I226" s="12" t="s">
        <v>37</v>
      </c>
      <c r="J226" s="12" t="s">
        <v>1018</v>
      </c>
      <c r="K226" s="12" t="s">
        <v>1024</v>
      </c>
      <c r="L226" s="12" t="s">
        <v>247</v>
      </c>
      <c r="M226" s="12" t="s">
        <v>994</v>
      </c>
      <c r="N226" s="13" t="s">
        <v>773</v>
      </c>
      <c r="O226" s="11" t="s">
        <v>118</v>
      </c>
      <c r="P226" s="11" t="s">
        <v>323</v>
      </c>
      <c r="Q226" s="11" t="s">
        <v>126</v>
      </c>
      <c r="R226" s="11" t="s">
        <v>150</v>
      </c>
      <c r="S226" s="11" t="s">
        <v>994</v>
      </c>
      <c r="T226" s="11" t="s">
        <v>126</v>
      </c>
      <c r="U226" s="11" t="s">
        <v>994</v>
      </c>
      <c r="V226" s="11" t="s">
        <v>994</v>
      </c>
      <c r="W226" s="11" t="s">
        <v>994</v>
      </c>
      <c r="X226" s="11" t="s">
        <v>994</v>
      </c>
      <c r="Y226" s="11" t="s">
        <v>994</v>
      </c>
      <c r="Z226" s="11" t="s">
        <v>994</v>
      </c>
      <c r="AA226" s="11" t="s">
        <v>994</v>
      </c>
      <c r="AB226" s="11" t="s">
        <v>994</v>
      </c>
      <c r="AC226" s="11" t="s">
        <v>994</v>
      </c>
      <c r="AD226" s="11" t="s">
        <v>994</v>
      </c>
      <c r="AE226" s="11" t="s">
        <v>1804</v>
      </c>
    </row>
    <row r="227">
      <c r="B227" s="26" t="s">
        <v>314</v>
      </c>
      <c r="C227" s="12" t="s">
        <v>1565</v>
      </c>
      <c r="D227" s="11" t="s">
        <v>774</v>
      </c>
      <c r="E227" s="11" t="s">
        <v>775</v>
      </c>
      <c r="F227" s="12" t="s">
        <v>314</v>
      </c>
      <c r="G227" s="12" t="s">
        <v>246</v>
      </c>
      <c r="H227" s="12" t="s">
        <v>246</v>
      </c>
      <c r="I227" s="12" t="s">
        <v>60</v>
      </c>
      <c r="J227" s="12" t="s">
        <v>775</v>
      </c>
      <c r="K227" s="12" t="s">
        <v>118</v>
      </c>
      <c r="L227" s="12" t="s">
        <v>247</v>
      </c>
      <c r="M227" s="12" t="s">
        <v>994</v>
      </c>
      <c r="N227" s="13" t="s">
        <v>994</v>
      </c>
      <c r="O227" s="11" t="s">
        <v>118</v>
      </c>
      <c r="P227" s="11" t="s">
        <v>777</v>
      </c>
      <c r="Q227" s="11" t="s">
        <v>126</v>
      </c>
      <c r="R227" s="11" t="s">
        <v>150</v>
      </c>
      <c r="S227" s="11" t="s">
        <v>994</v>
      </c>
      <c r="T227" s="11" t="s">
        <v>126</v>
      </c>
      <c r="U227" s="11" t="s">
        <v>994</v>
      </c>
      <c r="V227" s="11" t="s">
        <v>994</v>
      </c>
      <c r="W227" s="11" t="s">
        <v>994</v>
      </c>
      <c r="X227" s="11" t="s">
        <v>994</v>
      </c>
      <c r="Y227" s="11" t="s">
        <v>994</v>
      </c>
      <c r="Z227" s="11" t="s">
        <v>994</v>
      </c>
      <c r="AA227" s="11" t="s">
        <v>994</v>
      </c>
      <c r="AB227" s="11" t="s">
        <v>994</v>
      </c>
      <c r="AC227" s="11" t="s">
        <v>994</v>
      </c>
      <c r="AD227" s="11" t="s">
        <v>994</v>
      </c>
      <c r="AE227" s="11" t="s">
        <v>1804</v>
      </c>
    </row>
    <row r="228">
      <c r="B228" s="26" t="s">
        <v>49</v>
      </c>
      <c r="C228" s="12" t="s">
        <v>1566</v>
      </c>
      <c r="D228" s="11" t="s">
        <v>779</v>
      </c>
      <c r="E228" s="11" t="s">
        <v>775</v>
      </c>
      <c r="F228" s="12" t="s">
        <v>435</v>
      </c>
      <c r="G228" s="12" t="s">
        <v>246</v>
      </c>
      <c r="H228" s="12" t="s">
        <v>246</v>
      </c>
      <c r="I228" s="12" t="s">
        <v>60</v>
      </c>
      <c r="J228" s="12" t="s">
        <v>775</v>
      </c>
      <c r="K228" s="12" t="s">
        <v>118</v>
      </c>
      <c r="L228" s="12" t="s">
        <v>247</v>
      </c>
      <c r="M228" s="12" t="s">
        <v>994</v>
      </c>
      <c r="N228" s="13" t="s">
        <v>994</v>
      </c>
      <c r="O228" s="11" t="s">
        <v>118</v>
      </c>
      <c r="P228" s="11" t="s">
        <v>777</v>
      </c>
      <c r="Q228" s="11" t="s">
        <v>126</v>
      </c>
      <c r="R228" s="11" t="s">
        <v>150</v>
      </c>
      <c r="S228" s="11" t="s">
        <v>994</v>
      </c>
      <c r="T228" s="11" t="s">
        <v>126</v>
      </c>
      <c r="U228" s="11" t="s">
        <v>994</v>
      </c>
      <c r="V228" s="11" t="s">
        <v>994</v>
      </c>
      <c r="W228" s="11" t="s">
        <v>994</v>
      </c>
      <c r="X228" s="11" t="s">
        <v>994</v>
      </c>
      <c r="Y228" s="11" t="s">
        <v>994</v>
      </c>
      <c r="Z228" s="11" t="s">
        <v>994</v>
      </c>
      <c r="AA228" s="11" t="s">
        <v>994</v>
      </c>
      <c r="AB228" s="11" t="s">
        <v>994</v>
      </c>
      <c r="AC228" s="11" t="s">
        <v>994</v>
      </c>
      <c r="AD228" s="11" t="s">
        <v>994</v>
      </c>
      <c r="AE228" s="11" t="s">
        <v>1804</v>
      </c>
    </row>
    <row r="229">
      <c r="B229" s="26" t="s">
        <v>49</v>
      </c>
      <c r="C229" s="12" t="s">
        <v>1567</v>
      </c>
      <c r="D229" s="11" t="s">
        <v>780</v>
      </c>
      <c r="E229" s="11" t="s">
        <v>775</v>
      </c>
      <c r="F229" s="12" t="s">
        <v>557</v>
      </c>
      <c r="G229" s="12" t="s">
        <v>246</v>
      </c>
      <c r="H229" s="12" t="s">
        <v>246</v>
      </c>
      <c r="I229" s="12" t="s">
        <v>60</v>
      </c>
      <c r="J229" s="12" t="s">
        <v>775</v>
      </c>
      <c r="K229" s="12" t="s">
        <v>118</v>
      </c>
      <c r="L229" s="12" t="s">
        <v>247</v>
      </c>
      <c r="M229" s="12" t="s">
        <v>994</v>
      </c>
      <c r="N229" s="13" t="s">
        <v>994</v>
      </c>
      <c r="O229" s="11" t="s">
        <v>118</v>
      </c>
      <c r="P229" s="11" t="s">
        <v>777</v>
      </c>
      <c r="Q229" s="11" t="s">
        <v>126</v>
      </c>
      <c r="R229" s="11" t="s">
        <v>150</v>
      </c>
      <c r="S229" s="11" t="s">
        <v>994</v>
      </c>
      <c r="T229" s="11" t="s">
        <v>126</v>
      </c>
      <c r="U229" s="11" t="s">
        <v>994</v>
      </c>
      <c r="V229" s="11" t="s">
        <v>994</v>
      </c>
      <c r="W229" s="11" t="s">
        <v>994</v>
      </c>
      <c r="X229" s="11" t="s">
        <v>994</v>
      </c>
      <c r="Y229" s="11" t="s">
        <v>994</v>
      </c>
      <c r="Z229" s="11" t="s">
        <v>994</v>
      </c>
      <c r="AA229" s="11" t="s">
        <v>994</v>
      </c>
      <c r="AB229" s="11" t="s">
        <v>994</v>
      </c>
      <c r="AC229" s="11" t="s">
        <v>994</v>
      </c>
      <c r="AD229" s="11" t="s">
        <v>994</v>
      </c>
      <c r="AE229" s="11" t="s">
        <v>1804</v>
      </c>
    </row>
    <row r="230">
      <c r="B230" s="26" t="s">
        <v>49</v>
      </c>
      <c r="C230" s="12" t="s">
        <v>1568</v>
      </c>
      <c r="D230" s="11" t="s">
        <v>782</v>
      </c>
      <c r="E230" s="11" t="s">
        <v>775</v>
      </c>
      <c r="F230" s="12" t="s">
        <v>447</v>
      </c>
      <c r="G230" s="12" t="s">
        <v>246</v>
      </c>
      <c r="H230" s="12" t="s">
        <v>246</v>
      </c>
      <c r="I230" s="12" t="s">
        <v>60</v>
      </c>
      <c r="J230" s="12" t="s">
        <v>775</v>
      </c>
      <c r="K230" s="12" t="s">
        <v>118</v>
      </c>
      <c r="L230" s="12" t="s">
        <v>247</v>
      </c>
      <c r="M230" s="12" t="s">
        <v>994</v>
      </c>
      <c r="N230" s="13" t="s">
        <v>994</v>
      </c>
      <c r="O230" s="11" t="s">
        <v>118</v>
      </c>
      <c r="P230" s="11" t="s">
        <v>777</v>
      </c>
      <c r="Q230" s="11" t="s">
        <v>126</v>
      </c>
      <c r="R230" s="11" t="s">
        <v>150</v>
      </c>
      <c r="S230" s="11" t="s">
        <v>994</v>
      </c>
      <c r="T230" s="11" t="s">
        <v>126</v>
      </c>
      <c r="U230" s="11" t="s">
        <v>994</v>
      </c>
      <c r="V230" s="11" t="s">
        <v>994</v>
      </c>
      <c r="W230" s="11" t="s">
        <v>994</v>
      </c>
      <c r="X230" s="11" t="s">
        <v>994</v>
      </c>
      <c r="Y230" s="11" t="s">
        <v>994</v>
      </c>
      <c r="Z230" s="11" t="s">
        <v>994</v>
      </c>
      <c r="AA230" s="11" t="s">
        <v>994</v>
      </c>
      <c r="AB230" s="11" t="s">
        <v>994</v>
      </c>
      <c r="AC230" s="11" t="s">
        <v>994</v>
      </c>
      <c r="AD230" s="11" t="s">
        <v>994</v>
      </c>
      <c r="AE230" s="11" t="s">
        <v>1804</v>
      </c>
    </row>
    <row r="231">
      <c r="B231" s="26" t="s">
        <v>49</v>
      </c>
      <c r="C231" s="12" t="s">
        <v>1569</v>
      </c>
      <c r="D231" s="11" t="s">
        <v>783</v>
      </c>
      <c r="E231" s="11" t="s">
        <v>775</v>
      </c>
      <c r="F231" s="12" t="s">
        <v>450</v>
      </c>
      <c r="G231" s="12" t="s">
        <v>246</v>
      </c>
      <c r="H231" s="12" t="s">
        <v>246</v>
      </c>
      <c r="I231" s="12" t="s">
        <v>60</v>
      </c>
      <c r="J231" s="12" t="s">
        <v>775</v>
      </c>
      <c r="K231" s="12" t="s">
        <v>118</v>
      </c>
      <c r="L231" s="12" t="s">
        <v>247</v>
      </c>
      <c r="M231" s="12" t="s">
        <v>994</v>
      </c>
      <c r="N231" s="13" t="s">
        <v>1716</v>
      </c>
      <c r="O231" s="11" t="s">
        <v>118</v>
      </c>
      <c r="P231" s="11" t="s">
        <v>777</v>
      </c>
      <c r="Q231" s="11" t="s">
        <v>126</v>
      </c>
      <c r="R231" s="11" t="s">
        <v>150</v>
      </c>
      <c r="S231" s="11" t="s">
        <v>994</v>
      </c>
      <c r="T231" s="11" t="s">
        <v>126</v>
      </c>
      <c r="U231" s="11" t="s">
        <v>994</v>
      </c>
      <c r="V231" s="11" t="s">
        <v>994</v>
      </c>
      <c r="W231" s="11" t="s">
        <v>994</v>
      </c>
      <c r="X231" s="11" t="s">
        <v>994</v>
      </c>
      <c r="Y231" s="11" t="s">
        <v>994</v>
      </c>
      <c r="Z231" s="11" t="s">
        <v>994</v>
      </c>
      <c r="AA231" s="11" t="s">
        <v>994</v>
      </c>
      <c r="AB231" s="11" t="s">
        <v>994</v>
      </c>
      <c r="AC231" s="11" t="s">
        <v>994</v>
      </c>
      <c r="AD231" s="11" t="s">
        <v>994</v>
      </c>
      <c r="AE231" s="11" t="s">
        <v>1804</v>
      </c>
    </row>
    <row r="232">
      <c r="B232" s="26" t="s">
        <v>49</v>
      </c>
      <c r="C232" s="12" t="s">
        <v>1570</v>
      </c>
      <c r="D232" s="11" t="s">
        <v>785</v>
      </c>
      <c r="E232" s="11" t="s">
        <v>775</v>
      </c>
      <c r="F232" s="12" t="s">
        <v>450</v>
      </c>
      <c r="G232" s="12" t="s">
        <v>246</v>
      </c>
      <c r="H232" s="12" t="s">
        <v>246</v>
      </c>
      <c r="I232" s="12" t="s">
        <v>60</v>
      </c>
      <c r="J232" s="12" t="s">
        <v>775</v>
      </c>
      <c r="K232" s="12" t="s">
        <v>118</v>
      </c>
      <c r="L232" s="12" t="s">
        <v>247</v>
      </c>
      <c r="M232" s="12" t="s">
        <v>994</v>
      </c>
      <c r="N232" s="13" t="s">
        <v>1717</v>
      </c>
      <c r="O232" s="11" t="s">
        <v>118</v>
      </c>
      <c r="P232" s="11" t="s">
        <v>777</v>
      </c>
      <c r="Q232" s="11" t="s">
        <v>126</v>
      </c>
      <c r="R232" s="11" t="s">
        <v>150</v>
      </c>
      <c r="S232" s="11" t="s">
        <v>994</v>
      </c>
      <c r="T232" s="11" t="s">
        <v>126</v>
      </c>
      <c r="U232" s="11" t="s">
        <v>994</v>
      </c>
      <c r="V232" s="11" t="s">
        <v>994</v>
      </c>
      <c r="W232" s="11" t="s">
        <v>994</v>
      </c>
      <c r="X232" s="11" t="s">
        <v>994</v>
      </c>
      <c r="Y232" s="11" t="s">
        <v>994</v>
      </c>
      <c r="Z232" s="11" t="s">
        <v>994</v>
      </c>
      <c r="AA232" s="11" t="s">
        <v>994</v>
      </c>
      <c r="AB232" s="11" t="s">
        <v>994</v>
      </c>
      <c r="AC232" s="11" t="s">
        <v>994</v>
      </c>
      <c r="AD232" s="11" t="s">
        <v>994</v>
      </c>
      <c r="AE232" s="11" t="s">
        <v>1804</v>
      </c>
    </row>
    <row r="233">
      <c r="B233" s="26" t="s">
        <v>291</v>
      </c>
      <c r="C233" s="12" t="s">
        <v>1571</v>
      </c>
      <c r="D233" s="11" t="s">
        <v>786</v>
      </c>
      <c r="E233" s="11" t="s">
        <v>775</v>
      </c>
      <c r="F233" s="12" t="s">
        <v>291</v>
      </c>
      <c r="G233" s="12" t="s">
        <v>246</v>
      </c>
      <c r="H233" s="12" t="s">
        <v>246</v>
      </c>
      <c r="I233" s="12" t="s">
        <v>60</v>
      </c>
      <c r="J233" s="12" t="s">
        <v>775</v>
      </c>
      <c r="K233" s="12" t="s">
        <v>118</v>
      </c>
      <c r="L233" s="12" t="s">
        <v>247</v>
      </c>
      <c r="M233" s="12" t="s">
        <v>994</v>
      </c>
      <c r="N233" s="13" t="s">
        <v>1718</v>
      </c>
      <c r="O233" s="11" t="s">
        <v>118</v>
      </c>
      <c r="P233" s="11" t="s">
        <v>777</v>
      </c>
      <c r="Q233" s="11" t="s">
        <v>125</v>
      </c>
      <c r="R233" s="11" t="s">
        <v>150</v>
      </c>
      <c r="S233" s="11" t="s">
        <v>994</v>
      </c>
      <c r="T233" s="11" t="s">
        <v>125</v>
      </c>
      <c r="U233" s="11" t="s">
        <v>38</v>
      </c>
      <c r="V233" s="11" t="s">
        <v>1753</v>
      </c>
      <c r="W233" s="11" t="s">
        <v>994</v>
      </c>
      <c r="X233" s="11" t="s">
        <v>994</v>
      </c>
      <c r="Y233" s="11" t="s">
        <v>994</v>
      </c>
      <c r="Z233" s="11" t="s">
        <v>994</v>
      </c>
      <c r="AA233" s="11" t="s">
        <v>994</v>
      </c>
      <c r="AB233" s="11" t="s">
        <v>994</v>
      </c>
      <c r="AC233" s="11" t="s">
        <v>994</v>
      </c>
      <c r="AD233" s="11" t="s">
        <v>994</v>
      </c>
      <c r="AE233" s="11" t="s">
        <v>995</v>
      </c>
    </row>
    <row r="234">
      <c r="B234" s="26" t="s">
        <v>278</v>
      </c>
      <c r="C234" s="12" t="s">
        <v>1572</v>
      </c>
      <c r="D234" s="11" t="s">
        <v>788</v>
      </c>
      <c r="E234" s="11" t="s">
        <v>775</v>
      </c>
      <c r="F234" s="12" t="s">
        <v>278</v>
      </c>
      <c r="G234" s="12" t="s">
        <v>246</v>
      </c>
      <c r="H234" s="12" t="s">
        <v>246</v>
      </c>
      <c r="I234" s="12" t="s">
        <v>60</v>
      </c>
      <c r="J234" s="12" t="s">
        <v>775</v>
      </c>
      <c r="K234" s="12" t="s">
        <v>118</v>
      </c>
      <c r="L234" s="12" t="s">
        <v>247</v>
      </c>
      <c r="M234" s="12" t="s">
        <v>994</v>
      </c>
      <c r="N234" s="13" t="s">
        <v>1719</v>
      </c>
      <c r="O234" s="11" t="s">
        <v>118</v>
      </c>
      <c r="P234" s="11" t="s">
        <v>777</v>
      </c>
      <c r="Q234" s="11" t="s">
        <v>126</v>
      </c>
      <c r="R234" s="11" t="s">
        <v>150</v>
      </c>
      <c r="S234" s="11" t="s">
        <v>994</v>
      </c>
      <c r="T234" s="11" t="s">
        <v>126</v>
      </c>
      <c r="U234" s="11" t="s">
        <v>994</v>
      </c>
      <c r="V234" s="11" t="s">
        <v>994</v>
      </c>
      <c r="W234" s="11" t="s">
        <v>994</v>
      </c>
      <c r="X234" s="11" t="s">
        <v>994</v>
      </c>
      <c r="Y234" s="11" t="s">
        <v>994</v>
      </c>
      <c r="Z234" s="11" t="s">
        <v>994</v>
      </c>
      <c r="AA234" s="11" t="s">
        <v>994</v>
      </c>
      <c r="AB234" s="11" t="s">
        <v>994</v>
      </c>
      <c r="AC234" s="11" t="s">
        <v>994</v>
      </c>
      <c r="AD234" s="11" t="s">
        <v>994</v>
      </c>
      <c r="AE234" s="11" t="s">
        <v>1804</v>
      </c>
    </row>
    <row r="235">
      <c r="B235" s="26" t="s">
        <v>49</v>
      </c>
      <c r="C235" s="12" t="s">
        <v>1573</v>
      </c>
      <c r="D235" s="11" t="s">
        <v>789</v>
      </c>
      <c r="E235" s="11" t="s">
        <v>775</v>
      </c>
      <c r="F235" s="12" t="s">
        <v>374</v>
      </c>
      <c r="G235" s="12" t="s">
        <v>246</v>
      </c>
      <c r="H235" s="12" t="s">
        <v>246</v>
      </c>
      <c r="I235" s="12" t="s">
        <v>60</v>
      </c>
      <c r="J235" s="12" t="s">
        <v>775</v>
      </c>
      <c r="K235" s="12" t="s">
        <v>118</v>
      </c>
      <c r="L235" s="12" t="s">
        <v>247</v>
      </c>
      <c r="M235" s="12" t="s">
        <v>994</v>
      </c>
      <c r="N235" s="13" t="s">
        <v>1720</v>
      </c>
      <c r="O235" s="11" t="s">
        <v>118</v>
      </c>
      <c r="P235" s="11" t="s">
        <v>777</v>
      </c>
      <c r="Q235" s="11" t="s">
        <v>126</v>
      </c>
      <c r="R235" s="11" t="s">
        <v>150</v>
      </c>
      <c r="S235" s="11" t="s">
        <v>994</v>
      </c>
      <c r="T235" s="11" t="s">
        <v>126</v>
      </c>
      <c r="U235" s="11" t="s">
        <v>994</v>
      </c>
      <c r="V235" s="11" t="s">
        <v>994</v>
      </c>
      <c r="W235" s="11" t="s">
        <v>994</v>
      </c>
      <c r="X235" s="11" t="s">
        <v>994</v>
      </c>
      <c r="Y235" s="11" t="s">
        <v>994</v>
      </c>
      <c r="Z235" s="11" t="s">
        <v>994</v>
      </c>
      <c r="AA235" s="11" t="s">
        <v>994</v>
      </c>
      <c r="AB235" s="11" t="s">
        <v>994</v>
      </c>
      <c r="AC235" s="11" t="s">
        <v>994</v>
      </c>
      <c r="AD235" s="11" t="s">
        <v>994</v>
      </c>
      <c r="AE235" s="11" t="s">
        <v>1804</v>
      </c>
    </row>
    <row r="236">
      <c r="B236" s="26" t="s">
        <v>49</v>
      </c>
      <c r="C236" s="12" t="s">
        <v>1574</v>
      </c>
      <c r="D236" s="11" t="s">
        <v>790</v>
      </c>
      <c r="E236" s="11" t="s">
        <v>775</v>
      </c>
      <c r="F236" s="12" t="s">
        <v>411</v>
      </c>
      <c r="G236" s="12" t="s">
        <v>246</v>
      </c>
      <c r="H236" s="12" t="s">
        <v>246</v>
      </c>
      <c r="I236" s="12" t="s">
        <v>60</v>
      </c>
      <c r="J236" s="12" t="s">
        <v>775</v>
      </c>
      <c r="K236" s="12" t="s">
        <v>118</v>
      </c>
      <c r="L236" s="12" t="s">
        <v>247</v>
      </c>
      <c r="M236" s="12" t="s">
        <v>994</v>
      </c>
      <c r="N236" s="13" t="s">
        <v>1721</v>
      </c>
      <c r="O236" s="11" t="s">
        <v>118</v>
      </c>
      <c r="P236" s="11" t="s">
        <v>777</v>
      </c>
      <c r="Q236" s="11" t="s">
        <v>126</v>
      </c>
      <c r="R236" s="11" t="s">
        <v>150</v>
      </c>
      <c r="S236" s="11" t="s">
        <v>994</v>
      </c>
      <c r="T236" s="11" t="s">
        <v>126</v>
      </c>
      <c r="U236" s="11" t="s">
        <v>994</v>
      </c>
      <c r="V236" s="11" t="s">
        <v>994</v>
      </c>
      <c r="W236" s="11" t="s">
        <v>994</v>
      </c>
      <c r="X236" s="11" t="s">
        <v>994</v>
      </c>
      <c r="Y236" s="11" t="s">
        <v>994</v>
      </c>
      <c r="Z236" s="11" t="s">
        <v>994</v>
      </c>
      <c r="AA236" s="11" t="s">
        <v>994</v>
      </c>
      <c r="AB236" s="11" t="s">
        <v>994</v>
      </c>
      <c r="AC236" s="11" t="s">
        <v>994</v>
      </c>
      <c r="AD236" s="11" t="s">
        <v>994</v>
      </c>
      <c r="AE236" s="11" t="s">
        <v>1804</v>
      </c>
    </row>
    <row r="237">
      <c r="B237" s="26" t="s">
        <v>49</v>
      </c>
      <c r="C237" s="12" t="s">
        <v>1575</v>
      </c>
      <c r="D237" s="11" t="s">
        <v>791</v>
      </c>
      <c r="E237" s="11" t="s">
        <v>775</v>
      </c>
      <c r="F237" s="12" t="s">
        <v>332</v>
      </c>
      <c r="G237" s="12" t="s">
        <v>246</v>
      </c>
      <c r="H237" s="12" t="s">
        <v>246</v>
      </c>
      <c r="I237" s="12" t="s">
        <v>60</v>
      </c>
      <c r="J237" s="12" t="s">
        <v>775</v>
      </c>
      <c r="K237" s="12" t="s">
        <v>118</v>
      </c>
      <c r="L237" s="12" t="s">
        <v>247</v>
      </c>
      <c r="M237" s="12" t="s">
        <v>994</v>
      </c>
      <c r="N237" s="13" t="s">
        <v>1722</v>
      </c>
      <c r="O237" s="11" t="s">
        <v>118</v>
      </c>
      <c r="P237" s="11" t="s">
        <v>777</v>
      </c>
      <c r="Q237" s="11" t="s">
        <v>126</v>
      </c>
      <c r="R237" s="11" t="s">
        <v>150</v>
      </c>
      <c r="S237" s="11" t="s">
        <v>994</v>
      </c>
      <c r="T237" s="11" t="s">
        <v>126</v>
      </c>
      <c r="U237" s="11" t="s">
        <v>994</v>
      </c>
      <c r="V237" s="11" t="s">
        <v>994</v>
      </c>
      <c r="W237" s="11" t="s">
        <v>994</v>
      </c>
      <c r="X237" s="11" t="s">
        <v>994</v>
      </c>
      <c r="Y237" s="11" t="s">
        <v>994</v>
      </c>
      <c r="Z237" s="11" t="s">
        <v>994</v>
      </c>
      <c r="AA237" s="11" t="s">
        <v>994</v>
      </c>
      <c r="AB237" s="11" t="s">
        <v>994</v>
      </c>
      <c r="AC237" s="11" t="s">
        <v>994</v>
      </c>
      <c r="AD237" s="11" t="s">
        <v>994</v>
      </c>
      <c r="AE237" s="11" t="s">
        <v>1804</v>
      </c>
    </row>
    <row r="238">
      <c r="B238" s="26" t="s">
        <v>49</v>
      </c>
      <c r="C238" s="12" t="s">
        <v>1576</v>
      </c>
      <c r="D238" s="11" t="s">
        <v>792</v>
      </c>
      <c r="E238" s="11" t="s">
        <v>775</v>
      </c>
      <c r="F238" s="12" t="s">
        <v>374</v>
      </c>
      <c r="G238" s="12" t="s">
        <v>246</v>
      </c>
      <c r="H238" s="12" t="s">
        <v>246</v>
      </c>
      <c r="I238" s="12" t="s">
        <v>60</v>
      </c>
      <c r="J238" s="12" t="s">
        <v>775</v>
      </c>
      <c r="K238" s="12" t="s">
        <v>118</v>
      </c>
      <c r="L238" s="12" t="s">
        <v>247</v>
      </c>
      <c r="M238" s="12" t="s">
        <v>994</v>
      </c>
      <c r="N238" s="13" t="s">
        <v>1723</v>
      </c>
      <c r="O238" s="11" t="s">
        <v>118</v>
      </c>
      <c r="P238" s="11" t="s">
        <v>777</v>
      </c>
      <c r="Q238" s="11" t="s">
        <v>126</v>
      </c>
      <c r="R238" s="11" t="s">
        <v>150</v>
      </c>
      <c r="S238" s="11" t="s">
        <v>994</v>
      </c>
      <c r="T238" s="11" t="s">
        <v>126</v>
      </c>
      <c r="U238" s="11" t="s">
        <v>994</v>
      </c>
      <c r="V238" s="11" t="s">
        <v>994</v>
      </c>
      <c r="W238" s="11" t="s">
        <v>994</v>
      </c>
      <c r="X238" s="11" t="s">
        <v>994</v>
      </c>
      <c r="Y238" s="11" t="s">
        <v>994</v>
      </c>
      <c r="Z238" s="11" t="s">
        <v>994</v>
      </c>
      <c r="AA238" s="11" t="s">
        <v>994</v>
      </c>
      <c r="AB238" s="11" t="s">
        <v>994</v>
      </c>
      <c r="AC238" s="11" t="s">
        <v>994</v>
      </c>
      <c r="AD238" s="11" t="s">
        <v>994</v>
      </c>
      <c r="AE238" s="11" t="s">
        <v>1804</v>
      </c>
    </row>
    <row r="239">
      <c r="B239" s="26" t="s">
        <v>49</v>
      </c>
      <c r="C239" s="12" t="s">
        <v>1577</v>
      </c>
      <c r="D239" s="11" t="s">
        <v>793</v>
      </c>
      <c r="E239" s="11" t="s">
        <v>775</v>
      </c>
      <c r="F239" s="12" t="s">
        <v>557</v>
      </c>
      <c r="G239" s="12" t="s">
        <v>246</v>
      </c>
      <c r="H239" s="12" t="s">
        <v>246</v>
      </c>
      <c r="I239" s="12" t="s">
        <v>60</v>
      </c>
      <c r="J239" s="12" t="s">
        <v>775</v>
      </c>
      <c r="K239" s="12" t="s">
        <v>118</v>
      </c>
      <c r="L239" s="12" t="s">
        <v>247</v>
      </c>
      <c r="M239" s="12" t="s">
        <v>994</v>
      </c>
      <c r="N239" s="13" t="s">
        <v>1724</v>
      </c>
      <c r="O239" s="11" t="s">
        <v>118</v>
      </c>
      <c r="P239" s="11" t="s">
        <v>777</v>
      </c>
      <c r="Q239" s="11" t="s">
        <v>126</v>
      </c>
      <c r="R239" s="11" t="s">
        <v>150</v>
      </c>
      <c r="S239" s="11" t="s">
        <v>994</v>
      </c>
      <c r="T239" s="11" t="s">
        <v>126</v>
      </c>
      <c r="U239" s="11" t="s">
        <v>994</v>
      </c>
      <c r="V239" s="11" t="s">
        <v>994</v>
      </c>
      <c r="W239" s="11" t="s">
        <v>994</v>
      </c>
      <c r="X239" s="11" t="s">
        <v>994</v>
      </c>
      <c r="Y239" s="11" t="s">
        <v>994</v>
      </c>
      <c r="Z239" s="11" t="s">
        <v>994</v>
      </c>
      <c r="AA239" s="11" t="s">
        <v>994</v>
      </c>
      <c r="AB239" s="11" t="s">
        <v>994</v>
      </c>
      <c r="AC239" s="11" t="s">
        <v>994</v>
      </c>
      <c r="AD239" s="11" t="s">
        <v>994</v>
      </c>
      <c r="AE239" s="11" t="s">
        <v>1804</v>
      </c>
    </row>
    <row r="240">
      <c r="B240" s="26" t="s">
        <v>49</v>
      </c>
      <c r="C240" s="12" t="s">
        <v>1578</v>
      </c>
      <c r="D240" s="11" t="s">
        <v>794</v>
      </c>
      <c r="E240" s="11" t="s">
        <v>775</v>
      </c>
      <c r="F240" s="12" t="s">
        <v>776</v>
      </c>
      <c r="G240" s="12" t="s">
        <v>246</v>
      </c>
      <c r="H240" s="12" t="s">
        <v>246</v>
      </c>
      <c r="I240" s="12" t="s">
        <v>60</v>
      </c>
      <c r="J240" s="12" t="s">
        <v>775</v>
      </c>
      <c r="K240" s="12" t="s">
        <v>118</v>
      </c>
      <c r="L240" s="12" t="s">
        <v>247</v>
      </c>
      <c r="M240" s="12" t="s">
        <v>994</v>
      </c>
      <c r="N240" s="13" t="s">
        <v>1725</v>
      </c>
      <c r="O240" s="11" t="s">
        <v>118</v>
      </c>
      <c r="P240" s="11" t="s">
        <v>777</v>
      </c>
      <c r="Q240" s="11" t="s">
        <v>126</v>
      </c>
      <c r="R240" s="11" t="s">
        <v>150</v>
      </c>
      <c r="S240" s="11" t="s">
        <v>994</v>
      </c>
      <c r="T240" s="11" t="s">
        <v>126</v>
      </c>
      <c r="U240" s="11" t="s">
        <v>994</v>
      </c>
      <c r="V240" s="11" t="s">
        <v>994</v>
      </c>
      <c r="W240" s="11" t="s">
        <v>994</v>
      </c>
      <c r="X240" s="11" t="s">
        <v>994</v>
      </c>
      <c r="Y240" s="11" t="s">
        <v>994</v>
      </c>
      <c r="Z240" s="11" t="s">
        <v>994</v>
      </c>
      <c r="AA240" s="11" t="s">
        <v>994</v>
      </c>
      <c r="AB240" s="11" t="s">
        <v>994</v>
      </c>
      <c r="AC240" s="11" t="s">
        <v>994</v>
      </c>
      <c r="AD240" s="11" t="s">
        <v>994</v>
      </c>
      <c r="AE240" s="11" t="s">
        <v>1804</v>
      </c>
    </row>
    <row r="241">
      <c r="B241" s="26" t="s">
        <v>49</v>
      </c>
      <c r="C241" s="12" t="s">
        <v>1579</v>
      </c>
      <c r="D241" s="11" t="s">
        <v>795</v>
      </c>
      <c r="E241" s="11" t="s">
        <v>775</v>
      </c>
      <c r="F241" s="12" t="s">
        <v>499</v>
      </c>
      <c r="G241" s="12" t="s">
        <v>246</v>
      </c>
      <c r="H241" s="12" t="s">
        <v>246</v>
      </c>
      <c r="I241" s="12" t="s">
        <v>60</v>
      </c>
      <c r="J241" s="12" t="s">
        <v>775</v>
      </c>
      <c r="K241" s="12" t="s">
        <v>118</v>
      </c>
      <c r="L241" s="12" t="s">
        <v>247</v>
      </c>
      <c r="M241" s="12" t="s">
        <v>994</v>
      </c>
      <c r="N241" s="13" t="s">
        <v>1726</v>
      </c>
      <c r="O241" s="11" t="s">
        <v>118</v>
      </c>
      <c r="P241" s="11" t="s">
        <v>777</v>
      </c>
      <c r="Q241" s="11" t="s">
        <v>126</v>
      </c>
      <c r="R241" s="11" t="s">
        <v>150</v>
      </c>
      <c r="S241" s="11" t="s">
        <v>994</v>
      </c>
      <c r="T241" s="11" t="s">
        <v>126</v>
      </c>
      <c r="U241" s="11" t="s">
        <v>994</v>
      </c>
      <c r="V241" s="11" t="s">
        <v>994</v>
      </c>
      <c r="W241" s="11" t="s">
        <v>994</v>
      </c>
      <c r="X241" s="11" t="s">
        <v>994</v>
      </c>
      <c r="Y241" s="11" t="s">
        <v>994</v>
      </c>
      <c r="Z241" s="11" t="s">
        <v>994</v>
      </c>
      <c r="AA241" s="11" t="s">
        <v>994</v>
      </c>
      <c r="AB241" s="11" t="s">
        <v>994</v>
      </c>
      <c r="AC241" s="11" t="s">
        <v>994</v>
      </c>
      <c r="AD241" s="11" t="s">
        <v>994</v>
      </c>
      <c r="AE241" s="11" t="s">
        <v>1804</v>
      </c>
    </row>
    <row r="242">
      <c r="B242" s="26" t="s">
        <v>49</v>
      </c>
      <c r="C242" s="12" t="s">
        <v>1580</v>
      </c>
      <c r="D242" s="11" t="s">
        <v>796</v>
      </c>
      <c r="E242" s="11" t="s">
        <v>775</v>
      </c>
      <c r="F242" s="12" t="s">
        <v>286</v>
      </c>
      <c r="G242" s="12" t="s">
        <v>246</v>
      </c>
      <c r="H242" s="12" t="s">
        <v>246</v>
      </c>
      <c r="I242" s="12" t="s">
        <v>60</v>
      </c>
      <c r="J242" s="12" t="s">
        <v>775</v>
      </c>
      <c r="K242" s="12" t="s">
        <v>118</v>
      </c>
      <c r="L242" s="12" t="s">
        <v>247</v>
      </c>
      <c r="M242" s="12" t="s">
        <v>994</v>
      </c>
      <c r="N242" s="13" t="s">
        <v>1727</v>
      </c>
      <c r="O242" s="11" t="s">
        <v>118</v>
      </c>
      <c r="P242" s="11" t="s">
        <v>777</v>
      </c>
      <c r="Q242" s="11" t="s">
        <v>126</v>
      </c>
      <c r="R242" s="11" t="s">
        <v>150</v>
      </c>
      <c r="S242" s="11" t="s">
        <v>994</v>
      </c>
      <c r="T242" s="11" t="s">
        <v>126</v>
      </c>
      <c r="U242" s="11" t="s">
        <v>994</v>
      </c>
      <c r="V242" s="11" t="s">
        <v>994</v>
      </c>
      <c r="W242" s="11" t="s">
        <v>994</v>
      </c>
      <c r="X242" s="11" t="s">
        <v>994</v>
      </c>
      <c r="Y242" s="11" t="s">
        <v>994</v>
      </c>
      <c r="Z242" s="11" t="s">
        <v>994</v>
      </c>
      <c r="AA242" s="11" t="s">
        <v>994</v>
      </c>
      <c r="AB242" s="11" t="s">
        <v>994</v>
      </c>
      <c r="AC242" s="11" t="s">
        <v>994</v>
      </c>
      <c r="AD242" s="11" t="s">
        <v>994</v>
      </c>
      <c r="AE242" s="11" t="s">
        <v>1804</v>
      </c>
    </row>
    <row r="243">
      <c r="B243" s="26" t="s">
        <v>49</v>
      </c>
      <c r="C243" s="12" t="s">
        <v>1581</v>
      </c>
      <c r="D243" s="11" t="s">
        <v>797</v>
      </c>
      <c r="E243" s="11" t="s">
        <v>775</v>
      </c>
      <c r="F243" s="12" t="s">
        <v>447</v>
      </c>
      <c r="G243" s="12" t="s">
        <v>246</v>
      </c>
      <c r="H243" s="12" t="s">
        <v>246</v>
      </c>
      <c r="I243" s="12" t="s">
        <v>60</v>
      </c>
      <c r="J243" s="12" t="s">
        <v>775</v>
      </c>
      <c r="K243" s="12" t="s">
        <v>118</v>
      </c>
      <c r="L243" s="12" t="s">
        <v>247</v>
      </c>
      <c r="M243" s="12" t="s">
        <v>994</v>
      </c>
      <c r="N243" s="13" t="s">
        <v>1728</v>
      </c>
      <c r="O243" s="11" t="s">
        <v>118</v>
      </c>
      <c r="P243" s="11" t="s">
        <v>777</v>
      </c>
      <c r="Q243" s="11" t="s">
        <v>126</v>
      </c>
      <c r="R243" s="11" t="s">
        <v>150</v>
      </c>
      <c r="S243" s="11" t="s">
        <v>994</v>
      </c>
      <c r="T243" s="11" t="s">
        <v>126</v>
      </c>
      <c r="U243" s="11" t="s">
        <v>994</v>
      </c>
      <c r="V243" s="11" t="s">
        <v>994</v>
      </c>
      <c r="W243" s="11" t="s">
        <v>994</v>
      </c>
      <c r="X243" s="11" t="s">
        <v>994</v>
      </c>
      <c r="Y243" s="11" t="s">
        <v>994</v>
      </c>
      <c r="Z243" s="11" t="s">
        <v>994</v>
      </c>
      <c r="AA243" s="11" t="s">
        <v>994</v>
      </c>
      <c r="AB243" s="11" t="s">
        <v>994</v>
      </c>
      <c r="AC243" s="11" t="s">
        <v>994</v>
      </c>
      <c r="AD243" s="11" t="s">
        <v>994</v>
      </c>
      <c r="AE243" s="11" t="s">
        <v>1804</v>
      </c>
    </row>
    <row r="244">
      <c r="B244" s="26" t="s">
        <v>49</v>
      </c>
      <c r="C244" s="12" t="s">
        <v>1582</v>
      </c>
      <c r="D244" s="11" t="s">
        <v>798</v>
      </c>
      <c r="E244" s="11" t="s">
        <v>775</v>
      </c>
      <c r="F244" s="12" t="s">
        <v>781</v>
      </c>
      <c r="G244" s="12" t="s">
        <v>246</v>
      </c>
      <c r="H244" s="12" t="s">
        <v>246</v>
      </c>
      <c r="I244" s="12" t="s">
        <v>60</v>
      </c>
      <c r="J244" s="12" t="s">
        <v>775</v>
      </c>
      <c r="K244" s="12" t="s">
        <v>118</v>
      </c>
      <c r="L244" s="12" t="s">
        <v>247</v>
      </c>
      <c r="M244" s="12" t="s">
        <v>994</v>
      </c>
      <c r="N244" s="13" t="s">
        <v>1729</v>
      </c>
      <c r="O244" s="11" t="s">
        <v>118</v>
      </c>
      <c r="P244" s="11" t="s">
        <v>777</v>
      </c>
      <c r="Q244" s="11" t="s">
        <v>126</v>
      </c>
      <c r="R244" s="11" t="s">
        <v>150</v>
      </c>
      <c r="S244" s="11" t="s">
        <v>994</v>
      </c>
      <c r="T244" s="11" t="s">
        <v>126</v>
      </c>
      <c r="U244" s="11" t="s">
        <v>994</v>
      </c>
      <c r="V244" s="11" t="s">
        <v>994</v>
      </c>
      <c r="W244" s="11" t="s">
        <v>994</v>
      </c>
      <c r="X244" s="11" t="s">
        <v>994</v>
      </c>
      <c r="Y244" s="11" t="s">
        <v>994</v>
      </c>
      <c r="Z244" s="11" t="s">
        <v>994</v>
      </c>
      <c r="AA244" s="11" t="s">
        <v>994</v>
      </c>
      <c r="AB244" s="11" t="s">
        <v>994</v>
      </c>
      <c r="AC244" s="11" t="s">
        <v>994</v>
      </c>
      <c r="AD244" s="11" t="s">
        <v>994</v>
      </c>
      <c r="AE244" s="11" t="s">
        <v>1804</v>
      </c>
    </row>
    <row r="245">
      <c r="B245" s="26" t="s">
        <v>49</v>
      </c>
      <c r="C245" s="12" t="s">
        <v>1583</v>
      </c>
      <c r="D245" s="11" t="s">
        <v>799</v>
      </c>
      <c r="E245" s="11" t="s">
        <v>775</v>
      </c>
      <c r="F245" s="12" t="s">
        <v>554</v>
      </c>
      <c r="G245" s="12" t="s">
        <v>246</v>
      </c>
      <c r="H245" s="12" t="s">
        <v>246</v>
      </c>
      <c r="I245" s="12" t="s">
        <v>60</v>
      </c>
      <c r="J245" s="12" t="s">
        <v>775</v>
      </c>
      <c r="K245" s="12" t="s">
        <v>118</v>
      </c>
      <c r="L245" s="12" t="s">
        <v>247</v>
      </c>
      <c r="M245" s="12" t="s">
        <v>994</v>
      </c>
      <c r="N245" s="13" t="s">
        <v>1730</v>
      </c>
      <c r="O245" s="11" t="s">
        <v>118</v>
      </c>
      <c r="P245" s="11" t="s">
        <v>777</v>
      </c>
      <c r="Q245" s="11" t="s">
        <v>126</v>
      </c>
      <c r="R245" s="11" t="s">
        <v>150</v>
      </c>
      <c r="S245" s="11" t="s">
        <v>994</v>
      </c>
      <c r="T245" s="11" t="s">
        <v>126</v>
      </c>
      <c r="U245" s="11" t="s">
        <v>994</v>
      </c>
      <c r="V245" s="11" t="s">
        <v>994</v>
      </c>
      <c r="W245" s="11" t="s">
        <v>994</v>
      </c>
      <c r="X245" s="11" t="s">
        <v>994</v>
      </c>
      <c r="Y245" s="11" t="s">
        <v>994</v>
      </c>
      <c r="Z245" s="11" t="s">
        <v>994</v>
      </c>
      <c r="AA245" s="11" t="s">
        <v>994</v>
      </c>
      <c r="AB245" s="11" t="s">
        <v>994</v>
      </c>
      <c r="AC245" s="11" t="s">
        <v>994</v>
      </c>
      <c r="AD245" s="11" t="s">
        <v>994</v>
      </c>
      <c r="AE245" s="11" t="s">
        <v>1804</v>
      </c>
    </row>
    <row r="246">
      <c r="B246" s="26" t="s">
        <v>49</v>
      </c>
      <c r="C246" s="12" t="s">
        <v>1584</v>
      </c>
      <c r="D246" s="11" t="s">
        <v>800</v>
      </c>
      <c r="E246" s="11" t="s">
        <v>775</v>
      </c>
      <c r="F246" s="12" t="s">
        <v>435</v>
      </c>
      <c r="G246" s="12" t="s">
        <v>246</v>
      </c>
      <c r="H246" s="12" t="s">
        <v>246</v>
      </c>
      <c r="I246" s="12" t="s">
        <v>60</v>
      </c>
      <c r="J246" s="12" t="s">
        <v>775</v>
      </c>
      <c r="K246" s="12" t="s">
        <v>118</v>
      </c>
      <c r="L246" s="12" t="s">
        <v>247</v>
      </c>
      <c r="M246" s="12" t="s">
        <v>994</v>
      </c>
      <c r="N246" s="13" t="s">
        <v>1731</v>
      </c>
      <c r="O246" s="11" t="s">
        <v>118</v>
      </c>
      <c r="P246" s="11" t="s">
        <v>777</v>
      </c>
      <c r="Q246" s="11" t="s">
        <v>126</v>
      </c>
      <c r="R246" s="11" t="s">
        <v>150</v>
      </c>
      <c r="S246" s="11" t="s">
        <v>994</v>
      </c>
      <c r="T246" s="11" t="s">
        <v>126</v>
      </c>
      <c r="U246" s="11" t="s">
        <v>994</v>
      </c>
      <c r="V246" s="11" t="s">
        <v>994</v>
      </c>
      <c r="W246" s="11" t="s">
        <v>994</v>
      </c>
      <c r="X246" s="11" t="s">
        <v>994</v>
      </c>
      <c r="Y246" s="11" t="s">
        <v>994</v>
      </c>
      <c r="Z246" s="11" t="s">
        <v>994</v>
      </c>
      <c r="AA246" s="11" t="s">
        <v>994</v>
      </c>
      <c r="AB246" s="11" t="s">
        <v>994</v>
      </c>
      <c r="AC246" s="11" t="s">
        <v>994</v>
      </c>
      <c r="AD246" s="11" t="s">
        <v>994</v>
      </c>
      <c r="AE246" s="11" t="s">
        <v>1804</v>
      </c>
    </row>
    <row r="247">
      <c r="B247" s="26" t="s">
        <v>49</v>
      </c>
      <c r="C247" s="12" t="s">
        <v>1585</v>
      </c>
      <c r="D247" s="11" t="s">
        <v>801</v>
      </c>
      <c r="E247" s="11" t="s">
        <v>775</v>
      </c>
      <c r="F247" s="12" t="s">
        <v>784</v>
      </c>
      <c r="G247" s="12" t="s">
        <v>246</v>
      </c>
      <c r="H247" s="12" t="s">
        <v>246</v>
      </c>
      <c r="I247" s="12" t="s">
        <v>60</v>
      </c>
      <c r="J247" s="12" t="s">
        <v>775</v>
      </c>
      <c r="K247" s="12" t="s">
        <v>118</v>
      </c>
      <c r="L247" s="12" t="s">
        <v>247</v>
      </c>
      <c r="M247" s="12" t="s">
        <v>994</v>
      </c>
      <c r="N247" s="13" t="s">
        <v>1732</v>
      </c>
      <c r="O247" s="11" t="s">
        <v>118</v>
      </c>
      <c r="P247" s="11" t="s">
        <v>777</v>
      </c>
      <c r="Q247" s="11" t="s">
        <v>126</v>
      </c>
      <c r="R247" s="11" t="s">
        <v>150</v>
      </c>
      <c r="S247" s="11" t="s">
        <v>994</v>
      </c>
      <c r="T247" s="11" t="s">
        <v>126</v>
      </c>
      <c r="U247" s="11" t="s">
        <v>994</v>
      </c>
      <c r="V247" s="11" t="s">
        <v>994</v>
      </c>
      <c r="W247" s="11" t="s">
        <v>994</v>
      </c>
      <c r="X247" s="11" t="s">
        <v>994</v>
      </c>
      <c r="Y247" s="11" t="s">
        <v>994</v>
      </c>
      <c r="Z247" s="11" t="s">
        <v>994</v>
      </c>
      <c r="AA247" s="11" t="s">
        <v>994</v>
      </c>
      <c r="AB247" s="11" t="s">
        <v>994</v>
      </c>
      <c r="AC247" s="11" t="s">
        <v>994</v>
      </c>
      <c r="AD247" s="11" t="s">
        <v>994</v>
      </c>
      <c r="AE247" s="11" t="s">
        <v>1804</v>
      </c>
    </row>
    <row r="248">
      <c r="B248" s="26" t="s">
        <v>295</v>
      </c>
      <c r="C248" s="12" t="s">
        <v>1586</v>
      </c>
      <c r="D248" s="11" t="s">
        <v>802</v>
      </c>
      <c r="E248" s="11" t="s">
        <v>775</v>
      </c>
      <c r="F248" s="12" t="s">
        <v>295</v>
      </c>
      <c r="G248" s="12" t="s">
        <v>246</v>
      </c>
      <c r="H248" s="12" t="s">
        <v>246</v>
      </c>
      <c r="I248" s="12" t="s">
        <v>60</v>
      </c>
      <c r="J248" s="12" t="s">
        <v>775</v>
      </c>
      <c r="K248" s="12" t="s">
        <v>118</v>
      </c>
      <c r="L248" s="12" t="s">
        <v>247</v>
      </c>
      <c r="M248" s="12" t="s">
        <v>994</v>
      </c>
      <c r="N248" s="13" t="s">
        <v>1733</v>
      </c>
      <c r="O248" s="11" t="s">
        <v>118</v>
      </c>
      <c r="P248" s="11" t="s">
        <v>777</v>
      </c>
      <c r="Q248" s="11" t="s">
        <v>126</v>
      </c>
      <c r="R248" s="11" t="s">
        <v>150</v>
      </c>
      <c r="S248" s="11" t="s">
        <v>994</v>
      </c>
      <c r="T248" s="11" t="s">
        <v>126</v>
      </c>
      <c r="U248" s="11" t="s">
        <v>994</v>
      </c>
      <c r="V248" s="11" t="s">
        <v>994</v>
      </c>
      <c r="W248" s="11" t="s">
        <v>994</v>
      </c>
      <c r="X248" s="11" t="s">
        <v>994</v>
      </c>
      <c r="Y248" s="11" t="s">
        <v>994</v>
      </c>
      <c r="Z248" s="11" t="s">
        <v>994</v>
      </c>
      <c r="AA248" s="11" t="s">
        <v>994</v>
      </c>
      <c r="AB248" s="11" t="s">
        <v>994</v>
      </c>
      <c r="AC248" s="11" t="s">
        <v>994</v>
      </c>
      <c r="AD248" s="11" t="s">
        <v>994</v>
      </c>
      <c r="AE248" s="11" t="s">
        <v>1804</v>
      </c>
    </row>
    <row r="249">
      <c r="B249" s="26" t="s">
        <v>49</v>
      </c>
      <c r="C249" s="12" t="s">
        <v>1587</v>
      </c>
      <c r="D249" s="11" t="s">
        <v>803</v>
      </c>
      <c r="E249" s="11" t="s">
        <v>775</v>
      </c>
      <c r="F249" s="12" t="s">
        <v>787</v>
      </c>
      <c r="G249" s="12" t="s">
        <v>246</v>
      </c>
      <c r="H249" s="12" t="s">
        <v>246</v>
      </c>
      <c r="I249" s="12" t="s">
        <v>60</v>
      </c>
      <c r="J249" s="12" t="s">
        <v>775</v>
      </c>
      <c r="K249" s="12" t="s">
        <v>118</v>
      </c>
      <c r="L249" s="12" t="s">
        <v>247</v>
      </c>
      <c r="M249" s="12" t="s">
        <v>994</v>
      </c>
      <c r="N249" s="13" t="s">
        <v>1734</v>
      </c>
      <c r="O249" s="11" t="s">
        <v>118</v>
      </c>
      <c r="P249" s="11" t="s">
        <v>777</v>
      </c>
      <c r="Q249" s="11" t="s">
        <v>126</v>
      </c>
      <c r="R249" s="11" t="s">
        <v>150</v>
      </c>
      <c r="S249" s="11" t="s">
        <v>994</v>
      </c>
      <c r="T249" s="11" t="s">
        <v>126</v>
      </c>
      <c r="U249" s="11" t="s">
        <v>994</v>
      </c>
      <c r="V249" s="11" t="s">
        <v>994</v>
      </c>
      <c r="W249" s="11" t="s">
        <v>994</v>
      </c>
      <c r="X249" s="11" t="s">
        <v>994</v>
      </c>
      <c r="Y249" s="11" t="s">
        <v>994</v>
      </c>
      <c r="Z249" s="11" t="s">
        <v>994</v>
      </c>
      <c r="AA249" s="11" t="s">
        <v>994</v>
      </c>
      <c r="AB249" s="11" t="s">
        <v>994</v>
      </c>
      <c r="AC249" s="11" t="s">
        <v>994</v>
      </c>
      <c r="AD249" s="11" t="s">
        <v>994</v>
      </c>
      <c r="AE249" s="11" t="s">
        <v>1804</v>
      </c>
    </row>
    <row r="250">
      <c r="B250" s="26" t="s">
        <v>49</v>
      </c>
      <c r="C250" s="12" t="s">
        <v>1588</v>
      </c>
      <c r="D250" s="11" t="s">
        <v>804</v>
      </c>
      <c r="E250" s="11" t="s">
        <v>775</v>
      </c>
      <c r="F250" s="12" t="s">
        <v>305</v>
      </c>
      <c r="G250" s="12" t="s">
        <v>246</v>
      </c>
      <c r="H250" s="12" t="s">
        <v>246</v>
      </c>
      <c r="I250" s="12" t="s">
        <v>60</v>
      </c>
      <c r="J250" s="12" t="s">
        <v>775</v>
      </c>
      <c r="K250" s="12" t="s">
        <v>118</v>
      </c>
      <c r="L250" s="12" t="s">
        <v>247</v>
      </c>
      <c r="M250" s="12" t="s">
        <v>994</v>
      </c>
      <c r="N250" s="13" t="s">
        <v>1735</v>
      </c>
      <c r="O250" s="11" t="s">
        <v>118</v>
      </c>
      <c r="P250" s="11" t="s">
        <v>777</v>
      </c>
      <c r="Q250" s="11" t="s">
        <v>126</v>
      </c>
      <c r="R250" s="11" t="s">
        <v>150</v>
      </c>
      <c r="S250" s="11" t="s">
        <v>994</v>
      </c>
      <c r="T250" s="11" t="s">
        <v>126</v>
      </c>
      <c r="U250" s="11" t="s">
        <v>994</v>
      </c>
      <c r="V250" s="11" t="s">
        <v>994</v>
      </c>
      <c r="W250" s="11" t="s">
        <v>994</v>
      </c>
      <c r="X250" s="11" t="s">
        <v>994</v>
      </c>
      <c r="Y250" s="11" t="s">
        <v>994</v>
      </c>
      <c r="Z250" s="11" t="s">
        <v>994</v>
      </c>
      <c r="AA250" s="11" t="s">
        <v>994</v>
      </c>
      <c r="AB250" s="11" t="s">
        <v>994</v>
      </c>
      <c r="AC250" s="11" t="s">
        <v>994</v>
      </c>
      <c r="AD250" s="11" t="s">
        <v>994</v>
      </c>
      <c r="AE250" s="11" t="s">
        <v>1804</v>
      </c>
    </row>
    <row r="251">
      <c r="B251" s="26" t="s">
        <v>49</v>
      </c>
      <c r="C251" s="12" t="s">
        <v>1589</v>
      </c>
      <c r="D251" s="11" t="s">
        <v>805</v>
      </c>
      <c r="E251" s="11" t="s">
        <v>775</v>
      </c>
      <c r="F251" s="12" t="s">
        <v>305</v>
      </c>
      <c r="G251" s="12" t="s">
        <v>246</v>
      </c>
      <c r="H251" s="12" t="s">
        <v>246</v>
      </c>
      <c r="I251" s="12" t="s">
        <v>60</v>
      </c>
      <c r="J251" s="12" t="s">
        <v>775</v>
      </c>
      <c r="K251" s="12" t="s">
        <v>118</v>
      </c>
      <c r="L251" s="12" t="s">
        <v>247</v>
      </c>
      <c r="M251" s="12" t="s">
        <v>994</v>
      </c>
      <c r="N251" s="13" t="s">
        <v>1736</v>
      </c>
      <c r="O251" s="11" t="s">
        <v>118</v>
      </c>
      <c r="P251" s="11" t="s">
        <v>777</v>
      </c>
      <c r="Q251" s="11" t="s">
        <v>126</v>
      </c>
      <c r="R251" s="11" t="s">
        <v>150</v>
      </c>
      <c r="S251" s="11" t="s">
        <v>994</v>
      </c>
      <c r="T251" s="11" t="s">
        <v>126</v>
      </c>
      <c r="U251" s="11" t="s">
        <v>994</v>
      </c>
      <c r="V251" s="11" t="s">
        <v>994</v>
      </c>
      <c r="W251" s="11" t="s">
        <v>994</v>
      </c>
      <c r="X251" s="11" t="s">
        <v>994</v>
      </c>
      <c r="Y251" s="11" t="s">
        <v>994</v>
      </c>
      <c r="Z251" s="11" t="s">
        <v>994</v>
      </c>
      <c r="AA251" s="11" t="s">
        <v>994</v>
      </c>
      <c r="AB251" s="11" t="s">
        <v>994</v>
      </c>
      <c r="AC251" s="11" t="s">
        <v>994</v>
      </c>
      <c r="AD251" s="11" t="s">
        <v>994</v>
      </c>
      <c r="AE251" s="11" t="s">
        <v>1804</v>
      </c>
    </row>
    <row r="252">
      <c r="B252" s="26" t="s">
        <v>295</v>
      </c>
      <c r="C252" s="12" t="s">
        <v>1590</v>
      </c>
      <c r="D252" s="11" t="s">
        <v>806</v>
      </c>
      <c r="E252" s="11" t="s">
        <v>775</v>
      </c>
      <c r="F252" s="12" t="s">
        <v>295</v>
      </c>
      <c r="G252" s="12" t="s">
        <v>246</v>
      </c>
      <c r="H252" s="12" t="s">
        <v>246</v>
      </c>
      <c r="I252" s="12" t="s">
        <v>60</v>
      </c>
      <c r="J252" s="12" t="s">
        <v>775</v>
      </c>
      <c r="K252" s="12" t="s">
        <v>118</v>
      </c>
      <c r="L252" s="12" t="s">
        <v>247</v>
      </c>
      <c r="M252" s="12" t="s">
        <v>994</v>
      </c>
      <c r="N252" s="13" t="s">
        <v>1737</v>
      </c>
      <c r="O252" s="11" t="s">
        <v>118</v>
      </c>
      <c r="P252" s="11" t="s">
        <v>777</v>
      </c>
      <c r="Q252" s="11" t="s">
        <v>126</v>
      </c>
      <c r="R252" s="11" t="s">
        <v>150</v>
      </c>
      <c r="S252" s="11" t="s">
        <v>994</v>
      </c>
      <c r="T252" s="11" t="s">
        <v>126</v>
      </c>
      <c r="U252" s="11" t="s">
        <v>994</v>
      </c>
      <c r="V252" s="11" t="s">
        <v>994</v>
      </c>
      <c r="W252" s="11" t="s">
        <v>994</v>
      </c>
      <c r="X252" s="11" t="s">
        <v>994</v>
      </c>
      <c r="Y252" s="11" t="s">
        <v>994</v>
      </c>
      <c r="Z252" s="11" t="s">
        <v>994</v>
      </c>
      <c r="AA252" s="11" t="s">
        <v>994</v>
      </c>
      <c r="AB252" s="11" t="s">
        <v>994</v>
      </c>
      <c r="AC252" s="11" t="s">
        <v>994</v>
      </c>
      <c r="AD252" s="11" t="s">
        <v>994</v>
      </c>
      <c r="AE252" s="11" t="s">
        <v>1804</v>
      </c>
    </row>
    <row r="253">
      <c r="B253" s="26" t="s">
        <v>314</v>
      </c>
      <c r="C253" s="12" t="s">
        <v>1591</v>
      </c>
      <c r="D253" s="11" t="s">
        <v>1002</v>
      </c>
      <c r="E253" s="11" t="s">
        <v>775</v>
      </c>
      <c r="F253" s="12" t="s">
        <v>314</v>
      </c>
      <c r="G253" s="12" t="s">
        <v>246</v>
      </c>
      <c r="H253" s="12" t="s">
        <v>246</v>
      </c>
      <c r="I253" s="12" t="s">
        <v>60</v>
      </c>
      <c r="J253" s="12" t="s">
        <v>775</v>
      </c>
      <c r="K253" s="12" t="s">
        <v>118</v>
      </c>
      <c r="L253" s="12" t="s">
        <v>247</v>
      </c>
      <c r="M253" s="12" t="s">
        <v>994</v>
      </c>
      <c r="N253" s="13" t="s">
        <v>1738</v>
      </c>
      <c r="O253" s="11" t="s">
        <v>118</v>
      </c>
      <c r="P253" s="11" t="s">
        <v>777</v>
      </c>
      <c r="Q253" s="11" t="s">
        <v>126</v>
      </c>
      <c r="R253" s="11" t="s">
        <v>150</v>
      </c>
      <c r="S253" s="11" t="s">
        <v>126</v>
      </c>
      <c r="T253" s="11" t="s">
        <v>125</v>
      </c>
      <c r="U253" s="11" t="s">
        <v>1016</v>
      </c>
      <c r="V253" s="11" t="s">
        <v>1753</v>
      </c>
      <c r="W253" s="11" t="s">
        <v>994</v>
      </c>
      <c r="X253" s="11" t="s">
        <v>994</v>
      </c>
      <c r="Y253" s="11" t="s">
        <v>1784</v>
      </c>
      <c r="Z253" s="11" t="s">
        <v>1784</v>
      </c>
      <c r="AA253" s="11" t="s">
        <v>994</v>
      </c>
      <c r="AB253" s="11" t="s">
        <v>30</v>
      </c>
      <c r="AC253" s="11" t="s">
        <v>1353</v>
      </c>
      <c r="AD253" s="11" t="s">
        <v>1005</v>
      </c>
      <c r="AE253" s="11" t="s">
        <v>995</v>
      </c>
    </row>
    <row r="254">
      <c r="B254" s="26" t="s">
        <v>283</v>
      </c>
      <c r="C254" s="12" t="s">
        <v>1592</v>
      </c>
      <c r="D254" s="11" t="s">
        <v>807</v>
      </c>
      <c r="E254" s="11" t="s">
        <v>775</v>
      </c>
      <c r="F254" s="12" t="s">
        <v>283</v>
      </c>
      <c r="G254" s="12" t="s">
        <v>246</v>
      </c>
      <c r="H254" s="12" t="s">
        <v>246</v>
      </c>
      <c r="I254" s="12" t="s">
        <v>60</v>
      </c>
      <c r="J254" s="12" t="s">
        <v>775</v>
      </c>
      <c r="K254" s="12" t="s">
        <v>118</v>
      </c>
      <c r="L254" s="12" t="s">
        <v>247</v>
      </c>
      <c r="M254" s="12" t="s">
        <v>994</v>
      </c>
      <c r="N254" s="13" t="s">
        <v>1739</v>
      </c>
      <c r="O254" s="11" t="s">
        <v>118</v>
      </c>
      <c r="P254" s="11" t="s">
        <v>777</v>
      </c>
      <c r="Q254" s="11" t="s">
        <v>126</v>
      </c>
      <c r="R254" s="11" t="s">
        <v>150</v>
      </c>
      <c r="S254" s="11" t="s">
        <v>994</v>
      </c>
      <c r="T254" s="11" t="s">
        <v>126</v>
      </c>
      <c r="U254" s="11" t="s">
        <v>994</v>
      </c>
      <c r="V254" s="11" t="s">
        <v>994</v>
      </c>
      <c r="W254" s="11" t="s">
        <v>994</v>
      </c>
      <c r="X254" s="11" t="s">
        <v>994</v>
      </c>
      <c r="Y254" s="11" t="s">
        <v>994</v>
      </c>
      <c r="Z254" s="11" t="s">
        <v>994</v>
      </c>
      <c r="AA254" s="11" t="s">
        <v>994</v>
      </c>
      <c r="AB254" s="11" t="s">
        <v>994</v>
      </c>
      <c r="AC254" s="11" t="s">
        <v>994</v>
      </c>
      <c r="AD254" s="11" t="s">
        <v>994</v>
      </c>
      <c r="AE254" s="11" t="s">
        <v>1804</v>
      </c>
    </row>
    <row r="255">
      <c r="B255" s="26" t="s">
        <v>49</v>
      </c>
      <c r="C255" s="12" t="s">
        <v>1593</v>
      </c>
      <c r="D255" s="11" t="s">
        <v>808</v>
      </c>
      <c r="E255" s="11" t="s">
        <v>775</v>
      </c>
      <c r="F255" s="12" t="s">
        <v>419</v>
      </c>
      <c r="G255" s="12" t="s">
        <v>246</v>
      </c>
      <c r="H255" s="12" t="s">
        <v>246</v>
      </c>
      <c r="I255" s="12" t="s">
        <v>60</v>
      </c>
      <c r="J255" s="12" t="s">
        <v>775</v>
      </c>
      <c r="K255" s="12" t="s">
        <v>118</v>
      </c>
      <c r="L255" s="12" t="s">
        <v>247</v>
      </c>
      <c r="M255" s="12" t="s">
        <v>994</v>
      </c>
      <c r="N255" s="13" t="s">
        <v>1740</v>
      </c>
      <c r="O255" s="11" t="s">
        <v>118</v>
      </c>
      <c r="P255" s="11" t="s">
        <v>777</v>
      </c>
      <c r="Q255" s="11" t="s">
        <v>126</v>
      </c>
      <c r="R255" s="11" t="s">
        <v>150</v>
      </c>
      <c r="S255" s="11" t="s">
        <v>994</v>
      </c>
      <c r="T255" s="11" t="s">
        <v>126</v>
      </c>
      <c r="U255" s="11" t="s">
        <v>994</v>
      </c>
      <c r="V255" s="11" t="s">
        <v>994</v>
      </c>
      <c r="W255" s="11" t="s">
        <v>994</v>
      </c>
      <c r="X255" s="11" t="s">
        <v>994</v>
      </c>
      <c r="Y255" s="11" t="s">
        <v>994</v>
      </c>
      <c r="Z255" s="11" t="s">
        <v>994</v>
      </c>
      <c r="AA255" s="11" t="s">
        <v>994</v>
      </c>
      <c r="AB255" s="11" t="s">
        <v>994</v>
      </c>
      <c r="AC255" s="11" t="s">
        <v>994</v>
      </c>
      <c r="AD255" s="11" t="s">
        <v>994</v>
      </c>
      <c r="AE255" s="11" t="s">
        <v>1804</v>
      </c>
    </row>
    <row r="256">
      <c r="B256" s="26" t="s">
        <v>49</v>
      </c>
      <c r="C256" s="12" t="s">
        <v>1594</v>
      </c>
      <c r="D256" s="11" t="s">
        <v>809</v>
      </c>
      <c r="E256" s="11" t="s">
        <v>775</v>
      </c>
      <c r="F256" s="12" t="s">
        <v>543</v>
      </c>
      <c r="G256" s="12" t="s">
        <v>246</v>
      </c>
      <c r="H256" s="12" t="s">
        <v>246</v>
      </c>
      <c r="I256" s="12" t="s">
        <v>60</v>
      </c>
      <c r="J256" s="12" t="s">
        <v>775</v>
      </c>
      <c r="K256" s="12" t="s">
        <v>118</v>
      </c>
      <c r="L256" s="12" t="s">
        <v>247</v>
      </c>
      <c r="M256" s="12" t="s">
        <v>994</v>
      </c>
      <c r="N256" s="13" t="s">
        <v>1741</v>
      </c>
      <c r="O256" s="11" t="s">
        <v>118</v>
      </c>
      <c r="P256" s="11" t="s">
        <v>777</v>
      </c>
      <c r="Q256" s="11" t="s">
        <v>126</v>
      </c>
      <c r="R256" s="11" t="s">
        <v>150</v>
      </c>
      <c r="S256" s="11" t="s">
        <v>994</v>
      </c>
      <c r="T256" s="11" t="s">
        <v>126</v>
      </c>
      <c r="U256" s="11" t="s">
        <v>994</v>
      </c>
      <c r="V256" s="11" t="s">
        <v>994</v>
      </c>
      <c r="W256" s="11" t="s">
        <v>994</v>
      </c>
      <c r="X256" s="11" t="s">
        <v>994</v>
      </c>
      <c r="Y256" s="11" t="s">
        <v>994</v>
      </c>
      <c r="Z256" s="11" t="s">
        <v>994</v>
      </c>
      <c r="AA256" s="11" t="s">
        <v>994</v>
      </c>
      <c r="AB256" s="11" t="s">
        <v>994</v>
      </c>
      <c r="AC256" s="11" t="s">
        <v>994</v>
      </c>
      <c r="AD256" s="11" t="s">
        <v>994</v>
      </c>
      <c r="AE256" s="11" t="s">
        <v>1804</v>
      </c>
    </row>
    <row r="257">
      <c r="B257" s="26" t="s">
        <v>283</v>
      </c>
      <c r="C257" s="12" t="s">
        <v>1595</v>
      </c>
      <c r="D257" s="11" t="s">
        <v>810</v>
      </c>
      <c r="E257" s="11" t="s">
        <v>775</v>
      </c>
      <c r="F257" s="12" t="s">
        <v>283</v>
      </c>
      <c r="G257" s="12" t="s">
        <v>246</v>
      </c>
      <c r="H257" s="12" t="s">
        <v>246</v>
      </c>
      <c r="I257" s="12" t="s">
        <v>60</v>
      </c>
      <c r="J257" s="12" t="s">
        <v>775</v>
      </c>
      <c r="K257" s="12" t="s">
        <v>118</v>
      </c>
      <c r="L257" s="12" t="s">
        <v>247</v>
      </c>
      <c r="M257" s="12" t="s">
        <v>994</v>
      </c>
      <c r="N257" s="13" t="s">
        <v>1741</v>
      </c>
      <c r="O257" s="11" t="s">
        <v>118</v>
      </c>
      <c r="P257" s="11" t="s">
        <v>777</v>
      </c>
      <c r="Q257" s="11" t="s">
        <v>126</v>
      </c>
      <c r="R257" s="11" t="s">
        <v>150</v>
      </c>
      <c r="S257" s="11" t="s">
        <v>994</v>
      </c>
      <c r="T257" s="11" t="s">
        <v>125</v>
      </c>
      <c r="U257" s="11" t="s">
        <v>1016</v>
      </c>
      <c r="V257" s="11" t="s">
        <v>1753</v>
      </c>
      <c r="W257" s="11" t="s">
        <v>994</v>
      </c>
      <c r="X257" s="11" t="s">
        <v>994</v>
      </c>
      <c r="Y257" s="11" t="s">
        <v>1774</v>
      </c>
      <c r="Z257" s="11" t="s">
        <v>1796</v>
      </c>
      <c r="AA257" s="11" t="s">
        <v>994</v>
      </c>
      <c r="AB257" s="11" t="s">
        <v>30</v>
      </c>
      <c r="AC257" s="11" t="s">
        <v>1361</v>
      </c>
      <c r="AD257" s="11" t="s">
        <v>994</v>
      </c>
      <c r="AE257" s="11" t="s">
        <v>995</v>
      </c>
    </row>
    <row r="258">
      <c r="B258" s="26" t="s">
        <v>283</v>
      </c>
      <c r="C258" s="12" t="s">
        <v>1596</v>
      </c>
      <c r="D258" s="11" t="s">
        <v>811</v>
      </c>
      <c r="E258" s="11" t="s">
        <v>775</v>
      </c>
      <c r="F258" s="12" t="s">
        <v>283</v>
      </c>
      <c r="G258" s="12" t="s">
        <v>246</v>
      </c>
      <c r="H258" s="12" t="s">
        <v>246</v>
      </c>
      <c r="I258" s="12" t="s">
        <v>60</v>
      </c>
      <c r="J258" s="12" t="s">
        <v>775</v>
      </c>
      <c r="K258" s="12" t="s">
        <v>118</v>
      </c>
      <c r="L258" s="12" t="s">
        <v>247</v>
      </c>
      <c r="M258" s="12" t="s">
        <v>994</v>
      </c>
      <c r="N258" s="13" t="s">
        <v>1742</v>
      </c>
      <c r="O258" s="11" t="s">
        <v>118</v>
      </c>
      <c r="P258" s="11" t="s">
        <v>777</v>
      </c>
      <c r="Q258" s="11" t="s">
        <v>126</v>
      </c>
      <c r="R258" s="11" t="s">
        <v>150</v>
      </c>
      <c r="S258" s="11" t="s">
        <v>994</v>
      </c>
      <c r="T258" s="11" t="s">
        <v>126</v>
      </c>
      <c r="U258" s="11" t="s">
        <v>994</v>
      </c>
      <c r="V258" s="11" t="s">
        <v>994</v>
      </c>
      <c r="W258" s="11" t="s">
        <v>994</v>
      </c>
      <c r="X258" s="11" t="s">
        <v>994</v>
      </c>
      <c r="Y258" s="11" t="s">
        <v>994</v>
      </c>
      <c r="Z258" s="11" t="s">
        <v>994</v>
      </c>
      <c r="AA258" s="11" t="s">
        <v>994</v>
      </c>
      <c r="AB258" s="11" t="s">
        <v>994</v>
      </c>
      <c r="AC258" s="11" t="s">
        <v>994</v>
      </c>
      <c r="AD258" s="11" t="s">
        <v>994</v>
      </c>
      <c r="AE258" s="11" t="s">
        <v>1804</v>
      </c>
    </row>
    <row r="259">
      <c r="B259" s="26" t="s">
        <v>49</v>
      </c>
      <c r="C259" s="12" t="s">
        <v>1597</v>
      </c>
      <c r="D259" s="11" t="s">
        <v>812</v>
      </c>
      <c r="E259" s="11" t="s">
        <v>775</v>
      </c>
      <c r="F259" s="12" t="s">
        <v>377</v>
      </c>
      <c r="G259" s="12" t="s">
        <v>246</v>
      </c>
      <c r="H259" s="12" t="s">
        <v>246</v>
      </c>
      <c r="I259" s="12" t="s">
        <v>60</v>
      </c>
      <c r="J259" s="12" t="s">
        <v>775</v>
      </c>
      <c r="K259" s="12" t="s">
        <v>118</v>
      </c>
      <c r="L259" s="12" t="s">
        <v>247</v>
      </c>
      <c r="M259" s="12" t="s">
        <v>994</v>
      </c>
      <c r="N259" s="13" t="s">
        <v>1743</v>
      </c>
      <c r="O259" s="11" t="s">
        <v>118</v>
      </c>
      <c r="P259" s="11" t="s">
        <v>777</v>
      </c>
      <c r="Q259" s="11" t="s">
        <v>126</v>
      </c>
      <c r="R259" s="11" t="s">
        <v>150</v>
      </c>
      <c r="S259" s="11" t="s">
        <v>994</v>
      </c>
      <c r="T259" s="11" t="s">
        <v>126</v>
      </c>
      <c r="U259" s="11" t="s">
        <v>994</v>
      </c>
      <c r="V259" s="11" t="s">
        <v>994</v>
      </c>
      <c r="W259" s="11" t="s">
        <v>994</v>
      </c>
      <c r="X259" s="11" t="s">
        <v>994</v>
      </c>
      <c r="Y259" s="11" t="s">
        <v>994</v>
      </c>
      <c r="Z259" s="11" t="s">
        <v>994</v>
      </c>
      <c r="AA259" s="11" t="s">
        <v>994</v>
      </c>
      <c r="AB259" s="11" t="s">
        <v>994</v>
      </c>
      <c r="AC259" s="11" t="s">
        <v>994</v>
      </c>
      <c r="AD259" s="11" t="s">
        <v>994</v>
      </c>
      <c r="AE259" s="11" t="s">
        <v>1804</v>
      </c>
    </row>
    <row r="260">
      <c r="B260" s="26" t="s">
        <v>308</v>
      </c>
      <c r="C260" s="12" t="s">
        <v>1598</v>
      </c>
      <c r="D260" s="11" t="s">
        <v>1030</v>
      </c>
      <c r="E260" s="11" t="s">
        <v>775</v>
      </c>
      <c r="F260" s="12" t="s">
        <v>308</v>
      </c>
      <c r="G260" s="12" t="s">
        <v>246</v>
      </c>
      <c r="H260" s="12" t="s">
        <v>246</v>
      </c>
      <c r="I260" s="12" t="s">
        <v>60</v>
      </c>
      <c r="J260" s="12" t="s">
        <v>775</v>
      </c>
      <c r="K260" s="12" t="s">
        <v>118</v>
      </c>
      <c r="L260" s="12" t="s">
        <v>247</v>
      </c>
      <c r="M260" s="12" t="s">
        <v>994</v>
      </c>
      <c r="N260" s="13" t="s">
        <v>1031</v>
      </c>
      <c r="O260" s="11" t="s">
        <v>118</v>
      </c>
      <c r="P260" s="11" t="s">
        <v>777</v>
      </c>
      <c r="Q260" s="11" t="s">
        <v>126</v>
      </c>
      <c r="R260" s="11" t="s">
        <v>150</v>
      </c>
      <c r="S260" s="11" t="s">
        <v>994</v>
      </c>
      <c r="T260" s="11" t="s">
        <v>125</v>
      </c>
      <c r="U260" s="11" t="s">
        <v>1016</v>
      </c>
      <c r="V260" s="11" t="s">
        <v>994</v>
      </c>
      <c r="W260" s="11" t="s">
        <v>994</v>
      </c>
      <c r="X260" s="11" t="s">
        <v>994</v>
      </c>
      <c r="Y260" s="11" t="s">
        <v>994</v>
      </c>
      <c r="Z260" s="11" t="s">
        <v>1796</v>
      </c>
      <c r="AA260" s="11" t="s">
        <v>994</v>
      </c>
      <c r="AB260" s="11" t="s">
        <v>30</v>
      </c>
      <c r="AC260" s="11" t="s">
        <v>1357</v>
      </c>
      <c r="AD260" s="11" t="s">
        <v>1032</v>
      </c>
      <c r="AE260" s="11" t="s">
        <v>995</v>
      </c>
    </row>
    <row r="261">
      <c r="B261" s="26" t="s">
        <v>49</v>
      </c>
      <c r="C261" s="12" t="s">
        <v>1599</v>
      </c>
      <c r="D261" s="11" t="s">
        <v>1112</v>
      </c>
      <c r="E261" s="11" t="s">
        <v>775</v>
      </c>
      <c r="F261" s="12" t="s">
        <v>694</v>
      </c>
      <c r="G261" s="12" t="s">
        <v>246</v>
      </c>
      <c r="H261" s="12" t="s">
        <v>246</v>
      </c>
      <c r="I261" s="12" t="s">
        <v>60</v>
      </c>
      <c r="J261" s="12" t="s">
        <v>775</v>
      </c>
      <c r="K261" s="12" t="s">
        <v>118</v>
      </c>
      <c r="L261" s="12" t="s">
        <v>247</v>
      </c>
      <c r="M261" s="12" t="s">
        <v>994</v>
      </c>
      <c r="N261" s="13" t="s">
        <v>1744</v>
      </c>
      <c r="O261" s="11" t="s">
        <v>118</v>
      </c>
      <c r="P261" s="11" t="s">
        <v>777</v>
      </c>
      <c r="Q261" s="11" t="s">
        <v>126</v>
      </c>
      <c r="R261" s="11" t="s">
        <v>150</v>
      </c>
      <c r="S261" s="11" t="s">
        <v>126</v>
      </c>
      <c r="T261" s="11" t="s">
        <v>125</v>
      </c>
      <c r="U261" s="11" t="s">
        <v>1016</v>
      </c>
      <c r="V261" s="11" t="s">
        <v>1753</v>
      </c>
      <c r="W261" s="11" t="s">
        <v>994</v>
      </c>
      <c r="X261" s="11" t="s">
        <v>994</v>
      </c>
      <c r="Y261" s="11" t="s">
        <v>1785</v>
      </c>
      <c r="Z261" s="11" t="s">
        <v>1797</v>
      </c>
      <c r="AA261" s="11" t="s">
        <v>994</v>
      </c>
      <c r="AB261" s="11" t="s">
        <v>30</v>
      </c>
      <c r="AC261" s="11" t="s">
        <v>1354</v>
      </c>
      <c r="AD261" s="11" t="s">
        <v>1033</v>
      </c>
      <c r="AE261" s="11" t="s">
        <v>995</v>
      </c>
    </row>
    <row r="262">
      <c r="B262" s="26" t="s">
        <v>49</v>
      </c>
      <c r="C262" s="12" t="s">
        <v>1600</v>
      </c>
      <c r="D262" s="11" t="s">
        <v>813</v>
      </c>
      <c r="E262" s="11" t="s">
        <v>775</v>
      </c>
      <c r="F262" s="12" t="s">
        <v>787</v>
      </c>
      <c r="G262" s="12" t="s">
        <v>246</v>
      </c>
      <c r="H262" s="12" t="s">
        <v>246</v>
      </c>
      <c r="I262" s="12" t="s">
        <v>60</v>
      </c>
      <c r="J262" s="12" t="s">
        <v>775</v>
      </c>
      <c r="K262" s="12" t="s">
        <v>118</v>
      </c>
      <c r="L262" s="12" t="s">
        <v>247</v>
      </c>
      <c r="M262" s="12" t="s">
        <v>994</v>
      </c>
      <c r="N262" s="13" t="s">
        <v>1745</v>
      </c>
      <c r="O262" s="11" t="s">
        <v>118</v>
      </c>
      <c r="P262" s="11" t="s">
        <v>777</v>
      </c>
      <c r="Q262" s="11" t="s">
        <v>126</v>
      </c>
      <c r="R262" s="11" t="s">
        <v>150</v>
      </c>
      <c r="S262" s="11" t="s">
        <v>125</v>
      </c>
      <c r="T262" s="11" t="s">
        <v>126</v>
      </c>
      <c r="U262" s="11" t="s">
        <v>38</v>
      </c>
      <c r="V262" s="11" t="s">
        <v>1765</v>
      </c>
      <c r="W262" s="11" t="s">
        <v>994</v>
      </c>
      <c r="X262" s="11" t="s">
        <v>994</v>
      </c>
      <c r="Y262" s="11" t="s">
        <v>994</v>
      </c>
      <c r="Z262" s="11" t="s">
        <v>994</v>
      </c>
      <c r="AA262" s="11" t="s">
        <v>994</v>
      </c>
      <c r="AB262" s="11" t="s">
        <v>994</v>
      </c>
      <c r="AC262" s="11" t="s">
        <v>994</v>
      </c>
      <c r="AD262" s="11" t="s">
        <v>994</v>
      </c>
      <c r="AE262" s="11" t="s">
        <v>995</v>
      </c>
    </row>
    <row r="263">
      <c r="B263" s="26" t="s">
        <v>49</v>
      </c>
      <c r="C263" s="12" t="s">
        <v>1601</v>
      </c>
      <c r="D263" s="11" t="s">
        <v>814</v>
      </c>
      <c r="E263" s="11" t="s">
        <v>775</v>
      </c>
      <c r="F263" s="12" t="s">
        <v>694</v>
      </c>
      <c r="G263" s="12" t="s">
        <v>246</v>
      </c>
      <c r="H263" s="12" t="s">
        <v>246</v>
      </c>
      <c r="I263" s="12" t="s">
        <v>60</v>
      </c>
      <c r="J263" s="12" t="s">
        <v>775</v>
      </c>
      <c r="K263" s="12" t="s">
        <v>118</v>
      </c>
      <c r="L263" s="12" t="s">
        <v>247</v>
      </c>
      <c r="M263" s="12" t="s">
        <v>994</v>
      </c>
      <c r="N263" s="13" t="s">
        <v>1746</v>
      </c>
      <c r="O263" s="11" t="s">
        <v>118</v>
      </c>
      <c r="P263" s="11" t="s">
        <v>777</v>
      </c>
      <c r="Q263" s="11" t="s">
        <v>126</v>
      </c>
      <c r="R263" s="11" t="s">
        <v>150</v>
      </c>
      <c r="S263" s="11" t="s">
        <v>994</v>
      </c>
      <c r="T263" s="11" t="s">
        <v>126</v>
      </c>
      <c r="U263" s="11" t="s">
        <v>994</v>
      </c>
      <c r="V263" s="11" t="s">
        <v>994</v>
      </c>
      <c r="W263" s="11" t="s">
        <v>994</v>
      </c>
      <c r="X263" s="11" t="s">
        <v>994</v>
      </c>
      <c r="Y263" s="11" t="s">
        <v>994</v>
      </c>
      <c r="Z263" s="11" t="s">
        <v>994</v>
      </c>
      <c r="AA263" s="11" t="s">
        <v>994</v>
      </c>
      <c r="AB263" s="11" t="s">
        <v>994</v>
      </c>
      <c r="AC263" s="11" t="s">
        <v>994</v>
      </c>
      <c r="AD263" s="11" t="s">
        <v>994</v>
      </c>
      <c r="AE263" s="11" t="s">
        <v>1804</v>
      </c>
    </row>
    <row r="264">
      <c r="B264" s="26" t="s">
        <v>49</v>
      </c>
      <c r="C264" s="12" t="s">
        <v>1602</v>
      </c>
      <c r="D264" s="11" t="s">
        <v>815</v>
      </c>
      <c r="E264" s="11" t="s">
        <v>775</v>
      </c>
      <c r="F264" s="12" t="s">
        <v>286</v>
      </c>
      <c r="G264" s="12" t="s">
        <v>246</v>
      </c>
      <c r="H264" s="12" t="s">
        <v>246</v>
      </c>
      <c r="I264" s="12" t="s">
        <v>60</v>
      </c>
      <c r="J264" s="12" t="s">
        <v>775</v>
      </c>
      <c r="K264" s="12" t="s">
        <v>118</v>
      </c>
      <c r="L264" s="12" t="s">
        <v>247</v>
      </c>
      <c r="M264" s="12" t="s">
        <v>994</v>
      </c>
      <c r="N264" s="13" t="s">
        <v>1747</v>
      </c>
      <c r="O264" s="11" t="s">
        <v>118</v>
      </c>
      <c r="P264" s="11" t="s">
        <v>777</v>
      </c>
      <c r="Q264" s="11" t="s">
        <v>126</v>
      </c>
      <c r="R264" s="11" t="s">
        <v>150</v>
      </c>
      <c r="S264" s="11" t="s">
        <v>994</v>
      </c>
      <c r="T264" s="11" t="s">
        <v>126</v>
      </c>
      <c r="U264" s="11" t="s">
        <v>994</v>
      </c>
      <c r="V264" s="11" t="s">
        <v>994</v>
      </c>
      <c r="W264" s="11" t="s">
        <v>994</v>
      </c>
      <c r="X264" s="11" t="s">
        <v>994</v>
      </c>
      <c r="Y264" s="11" t="s">
        <v>994</v>
      </c>
      <c r="Z264" s="11" t="s">
        <v>994</v>
      </c>
      <c r="AA264" s="11" t="s">
        <v>994</v>
      </c>
      <c r="AB264" s="11" t="s">
        <v>994</v>
      </c>
      <c r="AC264" s="11" t="s">
        <v>994</v>
      </c>
      <c r="AD264" s="11" t="s">
        <v>994</v>
      </c>
      <c r="AE264" s="11" t="s">
        <v>1804</v>
      </c>
    </row>
    <row r="265">
      <c r="B265" s="26" t="s">
        <v>49</v>
      </c>
      <c r="C265" s="12" t="s">
        <v>1603</v>
      </c>
      <c r="D265" s="11" t="s">
        <v>816</v>
      </c>
      <c r="E265" s="11" t="s">
        <v>69</v>
      </c>
      <c r="F265" s="12" t="s">
        <v>494</v>
      </c>
      <c r="G265" s="12" t="s">
        <v>246</v>
      </c>
      <c r="H265" s="12" t="s">
        <v>246</v>
      </c>
      <c r="I265" s="12" t="s">
        <v>430</v>
      </c>
      <c r="J265" s="12" t="s">
        <v>1027</v>
      </c>
      <c r="K265" s="12" t="s">
        <v>69</v>
      </c>
      <c r="L265" s="12" t="s">
        <v>247</v>
      </c>
      <c r="M265" s="12" t="s">
        <v>994</v>
      </c>
      <c r="N265" s="13" t="s">
        <v>817</v>
      </c>
      <c r="O265" s="11" t="s">
        <v>818</v>
      </c>
      <c r="P265" s="11" t="s">
        <v>600</v>
      </c>
      <c r="Q265" s="11" t="s">
        <v>125</v>
      </c>
      <c r="R265" s="11" t="s">
        <v>150</v>
      </c>
      <c r="S265" s="11" t="s">
        <v>125</v>
      </c>
      <c r="T265" s="11" t="s">
        <v>125</v>
      </c>
      <c r="U265" s="11" t="s">
        <v>38</v>
      </c>
      <c r="V265" s="11" t="s">
        <v>1378</v>
      </c>
      <c r="W265" s="11" t="s">
        <v>994</v>
      </c>
      <c r="X265" s="11" t="s">
        <v>994</v>
      </c>
      <c r="Y265" s="11" t="s">
        <v>994</v>
      </c>
      <c r="Z265" s="11" t="s">
        <v>994</v>
      </c>
      <c r="AA265" s="11" t="s">
        <v>994</v>
      </c>
      <c r="AB265" s="11" t="s">
        <v>994</v>
      </c>
      <c r="AC265" s="11" t="s">
        <v>994</v>
      </c>
      <c r="AD265" s="11" t="s">
        <v>994</v>
      </c>
      <c r="AE265" s="11" t="s">
        <v>995</v>
      </c>
    </row>
    <row r="266">
      <c r="B266" s="26" t="s">
        <v>49</v>
      </c>
      <c r="C266" s="12" t="s">
        <v>1604</v>
      </c>
      <c r="D266" s="11" t="s">
        <v>819</v>
      </c>
      <c r="E266" s="11" t="s">
        <v>69</v>
      </c>
      <c r="F266" s="12" t="s">
        <v>286</v>
      </c>
      <c r="G266" s="12" t="s">
        <v>246</v>
      </c>
      <c r="H266" s="12" t="s">
        <v>246</v>
      </c>
      <c r="I266" s="12" t="s">
        <v>430</v>
      </c>
      <c r="J266" s="12" t="s">
        <v>1027</v>
      </c>
      <c r="K266" s="12" t="s">
        <v>69</v>
      </c>
      <c r="L266" s="12" t="s">
        <v>247</v>
      </c>
      <c r="M266" s="12" t="s">
        <v>994</v>
      </c>
      <c r="N266" s="13" t="s">
        <v>820</v>
      </c>
      <c r="O266" s="11" t="s">
        <v>818</v>
      </c>
      <c r="P266" s="11" t="s">
        <v>600</v>
      </c>
      <c r="Q266" s="11" t="s">
        <v>125</v>
      </c>
      <c r="R266" s="11" t="s">
        <v>150</v>
      </c>
      <c r="S266" s="11" t="s">
        <v>125</v>
      </c>
      <c r="T266" s="11" t="s">
        <v>125</v>
      </c>
      <c r="U266" s="11" t="s">
        <v>38</v>
      </c>
      <c r="V266" s="11" t="s">
        <v>1378</v>
      </c>
      <c r="W266" s="11" t="s">
        <v>994</v>
      </c>
      <c r="X266" s="11" t="s">
        <v>994</v>
      </c>
      <c r="Y266" s="11" t="s">
        <v>994</v>
      </c>
      <c r="Z266" s="11" t="s">
        <v>994</v>
      </c>
      <c r="AA266" s="11" t="s">
        <v>994</v>
      </c>
      <c r="AB266" s="11" t="s">
        <v>994</v>
      </c>
      <c r="AC266" s="11" t="s">
        <v>994</v>
      </c>
      <c r="AD266" s="11" t="s">
        <v>994</v>
      </c>
      <c r="AE266" s="11" t="s">
        <v>995</v>
      </c>
    </row>
    <row r="267">
      <c r="B267" s="26" t="s">
        <v>49</v>
      </c>
      <c r="C267" s="12" t="s">
        <v>1605</v>
      </c>
      <c r="D267" s="11" t="s">
        <v>821</v>
      </c>
      <c r="E267" s="11" t="s">
        <v>69</v>
      </c>
      <c r="F267" s="12" t="s">
        <v>305</v>
      </c>
      <c r="G267" s="12" t="s">
        <v>246</v>
      </c>
      <c r="H267" s="12" t="s">
        <v>246</v>
      </c>
      <c r="I267" s="12" t="s">
        <v>430</v>
      </c>
      <c r="J267" s="12" t="s">
        <v>1027</v>
      </c>
      <c r="K267" s="12" t="s">
        <v>69</v>
      </c>
      <c r="L267" s="12" t="s">
        <v>247</v>
      </c>
      <c r="M267" s="12" t="s">
        <v>994</v>
      </c>
      <c r="N267" s="13" t="s">
        <v>822</v>
      </c>
      <c r="O267" s="11" t="s">
        <v>818</v>
      </c>
      <c r="P267" s="11" t="s">
        <v>600</v>
      </c>
      <c r="Q267" s="11" t="s">
        <v>125</v>
      </c>
      <c r="R267" s="11" t="s">
        <v>150</v>
      </c>
      <c r="S267" s="11" t="s">
        <v>125</v>
      </c>
      <c r="T267" s="11" t="s">
        <v>125</v>
      </c>
      <c r="U267" s="11" t="s">
        <v>38</v>
      </c>
      <c r="V267" s="11" t="s">
        <v>1378</v>
      </c>
      <c r="W267" s="11" t="s">
        <v>994</v>
      </c>
      <c r="X267" s="11" t="s">
        <v>994</v>
      </c>
      <c r="Y267" s="11" t="s">
        <v>994</v>
      </c>
      <c r="Z267" s="11" t="s">
        <v>994</v>
      </c>
      <c r="AA267" s="11" t="s">
        <v>994</v>
      </c>
      <c r="AB267" s="11" t="s">
        <v>994</v>
      </c>
      <c r="AC267" s="11" t="s">
        <v>994</v>
      </c>
      <c r="AD267" s="11" t="s">
        <v>994</v>
      </c>
      <c r="AE267" s="11" t="s">
        <v>995</v>
      </c>
    </row>
    <row r="268">
      <c r="B268" s="26" t="s">
        <v>295</v>
      </c>
      <c r="C268" s="12" t="s">
        <v>1606</v>
      </c>
      <c r="D268" s="11" t="s">
        <v>823</v>
      </c>
      <c r="E268" s="11" t="s">
        <v>69</v>
      </c>
      <c r="F268" s="12" t="s">
        <v>295</v>
      </c>
      <c r="G268" s="12" t="s">
        <v>246</v>
      </c>
      <c r="H268" s="12" t="s">
        <v>246</v>
      </c>
      <c r="I268" s="12" t="s">
        <v>430</v>
      </c>
      <c r="J268" s="12" t="s">
        <v>1027</v>
      </c>
      <c r="K268" s="12" t="s">
        <v>69</v>
      </c>
      <c r="L268" s="12" t="s">
        <v>247</v>
      </c>
      <c r="M268" s="12" t="s">
        <v>994</v>
      </c>
      <c r="N268" s="13" t="s">
        <v>824</v>
      </c>
      <c r="O268" s="11" t="s">
        <v>818</v>
      </c>
      <c r="P268" s="11" t="s">
        <v>600</v>
      </c>
      <c r="Q268" s="11" t="s">
        <v>125</v>
      </c>
      <c r="R268" s="11" t="s">
        <v>150</v>
      </c>
      <c r="S268" s="11" t="s">
        <v>125</v>
      </c>
      <c r="T268" s="11" t="s">
        <v>125</v>
      </c>
      <c r="U268" s="11" t="s">
        <v>29</v>
      </c>
      <c r="V268" s="11" t="s">
        <v>1378</v>
      </c>
      <c r="W268" s="11" t="s">
        <v>1779</v>
      </c>
      <c r="X268" s="11" t="s">
        <v>994</v>
      </c>
      <c r="Y268" s="11" t="s">
        <v>994</v>
      </c>
      <c r="Z268" s="11" t="s">
        <v>994</v>
      </c>
      <c r="AA268" s="11" t="s">
        <v>994</v>
      </c>
      <c r="AB268" s="11" t="s">
        <v>994</v>
      </c>
      <c r="AC268" s="11" t="s">
        <v>994</v>
      </c>
      <c r="AD268" s="11" t="s">
        <v>994</v>
      </c>
      <c r="AE268" s="11" t="s">
        <v>995</v>
      </c>
    </row>
    <row r="269">
      <c r="B269" s="26" t="s">
        <v>49</v>
      </c>
      <c r="C269" s="12" t="s">
        <v>1607</v>
      </c>
      <c r="D269" s="11" t="s">
        <v>825</v>
      </c>
      <c r="E269" s="11" t="s">
        <v>69</v>
      </c>
      <c r="F269" s="12" t="s">
        <v>374</v>
      </c>
      <c r="G269" s="12" t="s">
        <v>246</v>
      </c>
      <c r="H269" s="12" t="s">
        <v>246</v>
      </c>
      <c r="I269" s="12" t="s">
        <v>430</v>
      </c>
      <c r="J269" s="12" t="s">
        <v>1027</v>
      </c>
      <c r="K269" s="12" t="s">
        <v>69</v>
      </c>
      <c r="L269" s="12" t="s">
        <v>247</v>
      </c>
      <c r="M269" s="12" t="s">
        <v>994</v>
      </c>
      <c r="N269" s="13" t="s">
        <v>826</v>
      </c>
      <c r="O269" s="11" t="s">
        <v>818</v>
      </c>
      <c r="P269" s="11" t="s">
        <v>600</v>
      </c>
      <c r="Q269" s="11" t="s">
        <v>125</v>
      </c>
      <c r="R269" s="11" t="s">
        <v>150</v>
      </c>
      <c r="S269" s="11" t="s">
        <v>125</v>
      </c>
      <c r="T269" s="11" t="s">
        <v>125</v>
      </c>
      <c r="U269" s="11" t="s">
        <v>1016</v>
      </c>
      <c r="V269" s="11" t="s">
        <v>1378</v>
      </c>
      <c r="W269" s="11" t="s">
        <v>994</v>
      </c>
      <c r="X269" s="11" t="s">
        <v>994</v>
      </c>
      <c r="Y269" s="11" t="s">
        <v>994</v>
      </c>
      <c r="Z269" s="11" t="s">
        <v>1795</v>
      </c>
      <c r="AA269" s="11" t="s">
        <v>994</v>
      </c>
      <c r="AB269" s="11" t="s">
        <v>30</v>
      </c>
      <c r="AC269" s="11" t="s">
        <v>994</v>
      </c>
      <c r="AD269" s="11" t="s">
        <v>994</v>
      </c>
      <c r="AE269" s="11" t="s">
        <v>995</v>
      </c>
    </row>
    <row r="270">
      <c r="B270" s="26" t="s">
        <v>314</v>
      </c>
      <c r="C270" s="12" t="s">
        <v>1608</v>
      </c>
      <c r="D270" s="11" t="s">
        <v>827</v>
      </c>
      <c r="E270" s="11" t="s">
        <v>69</v>
      </c>
      <c r="F270" s="12" t="s">
        <v>314</v>
      </c>
      <c r="G270" s="12" t="s">
        <v>246</v>
      </c>
      <c r="H270" s="12" t="s">
        <v>246</v>
      </c>
      <c r="I270" s="12" t="s">
        <v>430</v>
      </c>
      <c r="J270" s="12" t="s">
        <v>1027</v>
      </c>
      <c r="K270" s="12" t="s">
        <v>69</v>
      </c>
      <c r="L270" s="12" t="s">
        <v>247</v>
      </c>
      <c r="M270" s="12" t="s">
        <v>994</v>
      </c>
      <c r="N270" s="13" t="s">
        <v>828</v>
      </c>
      <c r="O270" s="11" t="s">
        <v>818</v>
      </c>
      <c r="P270" s="11" t="s">
        <v>600</v>
      </c>
      <c r="Q270" s="11" t="s">
        <v>125</v>
      </c>
      <c r="R270" s="11" t="s">
        <v>150</v>
      </c>
      <c r="S270" s="11" t="s">
        <v>125</v>
      </c>
      <c r="T270" s="11" t="s">
        <v>125</v>
      </c>
      <c r="U270" s="11" t="s">
        <v>38</v>
      </c>
      <c r="V270" s="11" t="s">
        <v>1378</v>
      </c>
      <c r="W270" s="11" t="s">
        <v>994</v>
      </c>
      <c r="X270" s="11" t="s">
        <v>994</v>
      </c>
      <c r="Y270" s="11" t="s">
        <v>994</v>
      </c>
      <c r="Z270" s="11" t="s">
        <v>994</v>
      </c>
      <c r="AA270" s="11" t="s">
        <v>994</v>
      </c>
      <c r="AB270" s="11" t="s">
        <v>994</v>
      </c>
      <c r="AC270" s="11" t="s">
        <v>994</v>
      </c>
      <c r="AD270" s="11" t="s">
        <v>994</v>
      </c>
      <c r="AE270" s="11" t="s">
        <v>995</v>
      </c>
    </row>
    <row r="271">
      <c r="B271" s="26" t="s">
        <v>314</v>
      </c>
      <c r="C271" s="12" t="s">
        <v>1609</v>
      </c>
      <c r="D271" s="11" t="s">
        <v>829</v>
      </c>
      <c r="E271" s="11" t="s">
        <v>69</v>
      </c>
      <c r="F271" s="12" t="s">
        <v>314</v>
      </c>
      <c r="G271" s="12" t="s">
        <v>246</v>
      </c>
      <c r="H271" s="12" t="s">
        <v>246</v>
      </c>
      <c r="I271" s="12" t="s">
        <v>430</v>
      </c>
      <c r="J271" s="12" t="s">
        <v>1027</v>
      </c>
      <c r="K271" s="12" t="s">
        <v>69</v>
      </c>
      <c r="L271" s="12" t="s">
        <v>247</v>
      </c>
      <c r="M271" s="12" t="s">
        <v>994</v>
      </c>
      <c r="N271" s="13" t="s">
        <v>830</v>
      </c>
      <c r="O271" s="11" t="s">
        <v>818</v>
      </c>
      <c r="P271" s="11" t="s">
        <v>600</v>
      </c>
      <c r="Q271" s="11" t="s">
        <v>125</v>
      </c>
      <c r="R271" s="11" t="s">
        <v>150</v>
      </c>
      <c r="S271" s="11" t="s">
        <v>125</v>
      </c>
      <c r="T271" s="11" t="s">
        <v>125</v>
      </c>
      <c r="U271" s="11" t="s">
        <v>38</v>
      </c>
      <c r="V271" s="11" t="s">
        <v>1378</v>
      </c>
      <c r="W271" s="11" t="s">
        <v>994</v>
      </c>
      <c r="X271" s="11" t="s">
        <v>994</v>
      </c>
      <c r="Y271" s="11" t="s">
        <v>994</v>
      </c>
      <c r="Z271" s="11" t="s">
        <v>994</v>
      </c>
      <c r="AA271" s="11" t="s">
        <v>994</v>
      </c>
      <c r="AB271" s="11" t="s">
        <v>994</v>
      </c>
      <c r="AC271" s="11" t="s">
        <v>994</v>
      </c>
      <c r="AD271" s="11" t="s">
        <v>994</v>
      </c>
      <c r="AE271" s="11" t="s">
        <v>995</v>
      </c>
    </row>
    <row r="272">
      <c r="B272" s="26" t="s">
        <v>49</v>
      </c>
      <c r="C272" s="12" t="s">
        <v>1610</v>
      </c>
      <c r="D272" s="11" t="s">
        <v>831</v>
      </c>
      <c r="E272" s="11" t="s">
        <v>69</v>
      </c>
      <c r="F272" s="12" t="s">
        <v>554</v>
      </c>
      <c r="G272" s="12" t="s">
        <v>246</v>
      </c>
      <c r="H272" s="12" t="s">
        <v>246</v>
      </c>
      <c r="I272" s="12" t="s">
        <v>430</v>
      </c>
      <c r="J272" s="12" t="s">
        <v>1027</v>
      </c>
      <c r="K272" s="12" t="s">
        <v>69</v>
      </c>
      <c r="L272" s="12" t="s">
        <v>247</v>
      </c>
      <c r="M272" s="12" t="s">
        <v>994</v>
      </c>
      <c r="N272" s="13" t="s">
        <v>832</v>
      </c>
      <c r="O272" s="11" t="s">
        <v>818</v>
      </c>
      <c r="P272" s="11" t="s">
        <v>600</v>
      </c>
      <c r="Q272" s="11" t="s">
        <v>125</v>
      </c>
      <c r="R272" s="11" t="s">
        <v>150</v>
      </c>
      <c r="S272" s="11" t="s">
        <v>125</v>
      </c>
      <c r="T272" s="11" t="s">
        <v>125</v>
      </c>
      <c r="U272" s="11" t="s">
        <v>29</v>
      </c>
      <c r="V272" s="11" t="s">
        <v>1378</v>
      </c>
      <c r="W272" s="11" t="s">
        <v>1780</v>
      </c>
      <c r="X272" s="11" t="s">
        <v>994</v>
      </c>
      <c r="Y272" s="11" t="s">
        <v>994</v>
      </c>
      <c r="Z272" s="11" t="s">
        <v>994</v>
      </c>
      <c r="AA272" s="11" t="s">
        <v>994</v>
      </c>
      <c r="AB272" s="11" t="s">
        <v>994</v>
      </c>
      <c r="AC272" s="11" t="s">
        <v>994</v>
      </c>
      <c r="AD272" s="11" t="s">
        <v>1295</v>
      </c>
      <c r="AE272" s="11" t="s">
        <v>995</v>
      </c>
    </row>
    <row r="273">
      <c r="B273" s="26" t="s">
        <v>49</v>
      </c>
      <c r="C273" s="12" t="s">
        <v>1611</v>
      </c>
      <c r="D273" s="11" t="s">
        <v>833</v>
      </c>
      <c r="E273" s="11" t="s">
        <v>69</v>
      </c>
      <c r="F273" s="12" t="s">
        <v>557</v>
      </c>
      <c r="G273" s="12" t="s">
        <v>246</v>
      </c>
      <c r="H273" s="12" t="s">
        <v>246</v>
      </c>
      <c r="I273" s="12" t="s">
        <v>430</v>
      </c>
      <c r="J273" s="12" t="s">
        <v>1027</v>
      </c>
      <c r="K273" s="12" t="s">
        <v>69</v>
      </c>
      <c r="L273" s="12" t="s">
        <v>247</v>
      </c>
      <c r="M273" s="12" t="s">
        <v>994</v>
      </c>
      <c r="N273" s="13" t="s">
        <v>834</v>
      </c>
      <c r="O273" s="11" t="s">
        <v>818</v>
      </c>
      <c r="P273" s="11" t="s">
        <v>600</v>
      </c>
      <c r="Q273" s="11" t="s">
        <v>125</v>
      </c>
      <c r="R273" s="11" t="s">
        <v>150</v>
      </c>
      <c r="S273" s="11" t="s">
        <v>125</v>
      </c>
      <c r="T273" s="11" t="s">
        <v>125</v>
      </c>
      <c r="U273" s="11" t="s">
        <v>38</v>
      </c>
      <c r="V273" s="11" t="s">
        <v>1378</v>
      </c>
      <c r="W273" s="11" t="s">
        <v>994</v>
      </c>
      <c r="X273" s="11" t="s">
        <v>994</v>
      </c>
      <c r="Y273" s="11" t="s">
        <v>994</v>
      </c>
      <c r="Z273" s="11" t="s">
        <v>994</v>
      </c>
      <c r="AA273" s="11" t="s">
        <v>994</v>
      </c>
      <c r="AB273" s="11" t="s">
        <v>994</v>
      </c>
      <c r="AC273" s="11" t="s">
        <v>994</v>
      </c>
      <c r="AD273" s="11" t="s">
        <v>994</v>
      </c>
      <c r="AE273" s="11" t="s">
        <v>995</v>
      </c>
    </row>
    <row r="274">
      <c r="B274" s="26" t="s">
        <v>49</v>
      </c>
      <c r="C274" s="12" t="s">
        <v>1612</v>
      </c>
      <c r="D274" s="11" t="s">
        <v>835</v>
      </c>
      <c r="E274" s="11" t="s">
        <v>69</v>
      </c>
      <c r="F274" s="12" t="s">
        <v>407</v>
      </c>
      <c r="G274" s="12" t="s">
        <v>246</v>
      </c>
      <c r="H274" s="12" t="s">
        <v>246</v>
      </c>
      <c r="I274" s="12" t="s">
        <v>60</v>
      </c>
      <c r="J274" s="12" t="s">
        <v>1027</v>
      </c>
      <c r="K274" s="12" t="s">
        <v>69</v>
      </c>
      <c r="L274" s="12" t="s">
        <v>247</v>
      </c>
      <c r="M274" s="12" t="s">
        <v>994</v>
      </c>
      <c r="N274" s="13" t="s">
        <v>836</v>
      </c>
      <c r="O274" s="11" t="s">
        <v>818</v>
      </c>
      <c r="P274" s="11" t="s">
        <v>600</v>
      </c>
      <c r="Q274" s="11" t="s">
        <v>125</v>
      </c>
      <c r="R274" s="11" t="s">
        <v>150</v>
      </c>
      <c r="S274" s="11" t="s">
        <v>994</v>
      </c>
      <c r="T274" s="11" t="s">
        <v>126</v>
      </c>
      <c r="U274" s="11" t="s">
        <v>994</v>
      </c>
      <c r="V274" s="11" t="s">
        <v>994</v>
      </c>
      <c r="W274" s="11" t="s">
        <v>994</v>
      </c>
      <c r="X274" s="11" t="s">
        <v>994</v>
      </c>
      <c r="Y274" s="11" t="s">
        <v>994</v>
      </c>
      <c r="Z274" s="11" t="s">
        <v>994</v>
      </c>
      <c r="AA274" s="11" t="s">
        <v>994</v>
      </c>
      <c r="AB274" s="11" t="s">
        <v>994</v>
      </c>
      <c r="AC274" s="11" t="s">
        <v>994</v>
      </c>
      <c r="AD274" s="11" t="s">
        <v>994</v>
      </c>
      <c r="AE274" s="11" t="s">
        <v>1804</v>
      </c>
    </row>
    <row r="275">
      <c r="B275" s="26" t="s">
        <v>49</v>
      </c>
      <c r="C275" s="12" t="s">
        <v>1613</v>
      </c>
      <c r="D275" s="11" t="s">
        <v>837</v>
      </c>
      <c r="E275" s="11" t="s">
        <v>69</v>
      </c>
      <c r="F275" s="12" t="s">
        <v>411</v>
      </c>
      <c r="G275" s="12" t="s">
        <v>246</v>
      </c>
      <c r="H275" s="12" t="s">
        <v>246</v>
      </c>
      <c r="I275" s="12" t="s">
        <v>60</v>
      </c>
      <c r="J275" s="12" t="s">
        <v>1027</v>
      </c>
      <c r="K275" s="12" t="s">
        <v>69</v>
      </c>
      <c r="L275" s="12" t="s">
        <v>247</v>
      </c>
      <c r="M275" s="12" t="s">
        <v>994</v>
      </c>
      <c r="N275" s="13" t="s">
        <v>838</v>
      </c>
      <c r="O275" s="11" t="s">
        <v>818</v>
      </c>
      <c r="P275" s="11" t="s">
        <v>600</v>
      </c>
      <c r="Q275" s="11" t="s">
        <v>125</v>
      </c>
      <c r="R275" s="11" t="s">
        <v>150</v>
      </c>
      <c r="S275" s="11" t="s">
        <v>994</v>
      </c>
      <c r="T275" s="11" t="s">
        <v>126</v>
      </c>
      <c r="U275" s="11" t="s">
        <v>994</v>
      </c>
      <c r="V275" s="11" t="s">
        <v>994</v>
      </c>
      <c r="W275" s="11" t="s">
        <v>994</v>
      </c>
      <c r="X275" s="11" t="s">
        <v>994</v>
      </c>
      <c r="Y275" s="11" t="s">
        <v>994</v>
      </c>
      <c r="Z275" s="11" t="s">
        <v>994</v>
      </c>
      <c r="AA275" s="11" t="s">
        <v>994</v>
      </c>
      <c r="AB275" s="11" t="s">
        <v>994</v>
      </c>
      <c r="AC275" s="11" t="s">
        <v>994</v>
      </c>
      <c r="AD275" s="11" t="s">
        <v>994</v>
      </c>
      <c r="AE275" s="11" t="s">
        <v>1804</v>
      </c>
    </row>
    <row r="276">
      <c r="B276" s="26" t="s">
        <v>49</v>
      </c>
      <c r="C276" s="12" t="s">
        <v>1614</v>
      </c>
      <c r="D276" s="11" t="s">
        <v>839</v>
      </c>
      <c r="E276" s="11" t="s">
        <v>69</v>
      </c>
      <c r="F276" s="12" t="s">
        <v>606</v>
      </c>
      <c r="G276" s="12" t="s">
        <v>246</v>
      </c>
      <c r="H276" s="12" t="s">
        <v>246</v>
      </c>
      <c r="I276" s="12" t="s">
        <v>60</v>
      </c>
      <c r="J276" s="12" t="s">
        <v>1027</v>
      </c>
      <c r="K276" s="12" t="s">
        <v>69</v>
      </c>
      <c r="L276" s="12" t="s">
        <v>247</v>
      </c>
      <c r="M276" s="12" t="s">
        <v>994</v>
      </c>
      <c r="N276" s="13" t="s">
        <v>840</v>
      </c>
      <c r="O276" s="11" t="s">
        <v>818</v>
      </c>
      <c r="P276" s="11" t="s">
        <v>600</v>
      </c>
      <c r="Q276" s="11" t="s">
        <v>125</v>
      </c>
      <c r="R276" s="11" t="s">
        <v>150</v>
      </c>
      <c r="S276" s="11" t="s">
        <v>994</v>
      </c>
      <c r="T276" s="11" t="s">
        <v>126</v>
      </c>
      <c r="U276" s="11" t="s">
        <v>994</v>
      </c>
      <c r="V276" s="11" t="s">
        <v>994</v>
      </c>
      <c r="W276" s="11" t="s">
        <v>994</v>
      </c>
      <c r="X276" s="11" t="s">
        <v>994</v>
      </c>
      <c r="Y276" s="11" t="s">
        <v>994</v>
      </c>
      <c r="Z276" s="11" t="s">
        <v>994</v>
      </c>
      <c r="AA276" s="11" t="s">
        <v>994</v>
      </c>
      <c r="AB276" s="11" t="s">
        <v>994</v>
      </c>
      <c r="AC276" s="11" t="s">
        <v>994</v>
      </c>
      <c r="AD276" s="11" t="s">
        <v>994</v>
      </c>
      <c r="AE276" s="11" t="s">
        <v>1804</v>
      </c>
    </row>
    <row r="277">
      <c r="B277" s="26" t="s">
        <v>49</v>
      </c>
      <c r="C277" s="12" t="s">
        <v>1615</v>
      </c>
      <c r="D277" s="11" t="s">
        <v>841</v>
      </c>
      <c r="E277" s="11" t="s">
        <v>69</v>
      </c>
      <c r="F277" s="12" t="s">
        <v>842</v>
      </c>
      <c r="G277" s="12" t="s">
        <v>246</v>
      </c>
      <c r="H277" s="12" t="s">
        <v>246</v>
      </c>
      <c r="I277" s="12" t="s">
        <v>60</v>
      </c>
      <c r="J277" s="12" t="s">
        <v>1027</v>
      </c>
      <c r="K277" s="12" t="s">
        <v>69</v>
      </c>
      <c r="L277" s="12" t="s">
        <v>247</v>
      </c>
      <c r="M277" s="12" t="s">
        <v>994</v>
      </c>
      <c r="N277" s="13" t="s">
        <v>843</v>
      </c>
      <c r="O277" s="11" t="s">
        <v>818</v>
      </c>
      <c r="P277" s="11" t="s">
        <v>600</v>
      </c>
      <c r="Q277" s="11" t="s">
        <v>125</v>
      </c>
      <c r="R277" s="11" t="s">
        <v>150</v>
      </c>
      <c r="S277" s="11" t="s">
        <v>994</v>
      </c>
      <c r="T277" s="11" t="s">
        <v>126</v>
      </c>
      <c r="U277" s="11" t="s">
        <v>994</v>
      </c>
      <c r="V277" s="11" t="s">
        <v>994</v>
      </c>
      <c r="W277" s="11" t="s">
        <v>994</v>
      </c>
      <c r="X277" s="11" t="s">
        <v>994</v>
      </c>
      <c r="Y277" s="11" t="s">
        <v>994</v>
      </c>
      <c r="Z277" s="11" t="s">
        <v>994</v>
      </c>
      <c r="AA277" s="11" t="s">
        <v>994</v>
      </c>
      <c r="AB277" s="11" t="s">
        <v>994</v>
      </c>
      <c r="AC277" s="11" t="s">
        <v>994</v>
      </c>
      <c r="AD277" s="11" t="s">
        <v>994</v>
      </c>
      <c r="AE277" s="11" t="s">
        <v>1804</v>
      </c>
    </row>
    <row r="278">
      <c r="B278" s="26" t="s">
        <v>49</v>
      </c>
      <c r="C278" s="12" t="s">
        <v>1616</v>
      </c>
      <c r="D278" s="11" t="s">
        <v>844</v>
      </c>
      <c r="E278" s="11" t="s">
        <v>69</v>
      </c>
      <c r="F278" s="12" t="s">
        <v>543</v>
      </c>
      <c r="G278" s="12" t="s">
        <v>246</v>
      </c>
      <c r="H278" s="12" t="s">
        <v>246</v>
      </c>
      <c r="I278" s="12" t="s">
        <v>60</v>
      </c>
      <c r="J278" s="12" t="s">
        <v>1027</v>
      </c>
      <c r="K278" s="12" t="s">
        <v>69</v>
      </c>
      <c r="L278" s="12" t="s">
        <v>247</v>
      </c>
      <c r="M278" s="12" t="s">
        <v>994</v>
      </c>
      <c r="N278" s="13" t="s">
        <v>845</v>
      </c>
      <c r="O278" s="11" t="s">
        <v>818</v>
      </c>
      <c r="P278" s="11" t="s">
        <v>600</v>
      </c>
      <c r="Q278" s="11" t="s">
        <v>125</v>
      </c>
      <c r="R278" s="11" t="s">
        <v>150</v>
      </c>
      <c r="S278" s="11" t="s">
        <v>994</v>
      </c>
      <c r="T278" s="11" t="s">
        <v>126</v>
      </c>
      <c r="U278" s="11" t="s">
        <v>994</v>
      </c>
      <c r="V278" s="11" t="s">
        <v>994</v>
      </c>
      <c r="W278" s="11" t="s">
        <v>994</v>
      </c>
      <c r="X278" s="11" t="s">
        <v>994</v>
      </c>
      <c r="Y278" s="11" t="s">
        <v>994</v>
      </c>
      <c r="Z278" s="11" t="s">
        <v>994</v>
      </c>
      <c r="AA278" s="11" t="s">
        <v>994</v>
      </c>
      <c r="AB278" s="11" t="s">
        <v>994</v>
      </c>
      <c r="AC278" s="11" t="s">
        <v>994</v>
      </c>
      <c r="AD278" s="11" t="s">
        <v>994</v>
      </c>
      <c r="AE278" s="11" t="s">
        <v>1804</v>
      </c>
    </row>
    <row r="279">
      <c r="B279" s="26" t="s">
        <v>49</v>
      </c>
      <c r="C279" s="12" t="s">
        <v>1617</v>
      </c>
      <c r="D279" s="11" t="s">
        <v>846</v>
      </c>
      <c r="E279" s="11" t="s">
        <v>69</v>
      </c>
      <c r="F279" s="12" t="s">
        <v>435</v>
      </c>
      <c r="G279" s="12" t="s">
        <v>246</v>
      </c>
      <c r="H279" s="12" t="s">
        <v>246</v>
      </c>
      <c r="I279" s="12" t="s">
        <v>60</v>
      </c>
      <c r="J279" s="12" t="s">
        <v>1027</v>
      </c>
      <c r="K279" s="12" t="s">
        <v>69</v>
      </c>
      <c r="L279" s="12" t="s">
        <v>247</v>
      </c>
      <c r="M279" s="12" t="s">
        <v>994</v>
      </c>
      <c r="N279" s="13" t="s">
        <v>847</v>
      </c>
      <c r="O279" s="11" t="s">
        <v>818</v>
      </c>
      <c r="P279" s="11" t="s">
        <v>600</v>
      </c>
      <c r="Q279" s="11" t="s">
        <v>125</v>
      </c>
      <c r="R279" s="11" t="s">
        <v>150</v>
      </c>
      <c r="S279" s="11" t="s">
        <v>994</v>
      </c>
      <c r="T279" s="11" t="s">
        <v>126</v>
      </c>
      <c r="U279" s="11" t="s">
        <v>994</v>
      </c>
      <c r="V279" s="11" t="s">
        <v>994</v>
      </c>
      <c r="W279" s="11" t="s">
        <v>994</v>
      </c>
      <c r="X279" s="11" t="s">
        <v>994</v>
      </c>
      <c r="Y279" s="11" t="s">
        <v>994</v>
      </c>
      <c r="Z279" s="11" t="s">
        <v>994</v>
      </c>
      <c r="AA279" s="11" t="s">
        <v>994</v>
      </c>
      <c r="AB279" s="11" t="s">
        <v>994</v>
      </c>
      <c r="AC279" s="11" t="s">
        <v>994</v>
      </c>
      <c r="AD279" s="11" t="s">
        <v>994</v>
      </c>
      <c r="AE279" s="11" t="s">
        <v>1804</v>
      </c>
    </row>
    <row r="280">
      <c r="B280" s="26" t="s">
        <v>49</v>
      </c>
      <c r="C280" s="12" t="s">
        <v>1618</v>
      </c>
      <c r="D280" s="11" t="s">
        <v>848</v>
      </c>
      <c r="E280" s="11" t="s">
        <v>69</v>
      </c>
      <c r="F280" s="12" t="s">
        <v>447</v>
      </c>
      <c r="G280" s="12" t="s">
        <v>246</v>
      </c>
      <c r="H280" s="12" t="s">
        <v>246</v>
      </c>
      <c r="I280" s="12" t="s">
        <v>60</v>
      </c>
      <c r="J280" s="12" t="s">
        <v>1027</v>
      </c>
      <c r="K280" s="12" t="s">
        <v>69</v>
      </c>
      <c r="L280" s="12" t="s">
        <v>247</v>
      </c>
      <c r="M280" s="12" t="s">
        <v>994</v>
      </c>
      <c r="N280" s="13" t="s">
        <v>849</v>
      </c>
      <c r="O280" s="11" t="s">
        <v>818</v>
      </c>
      <c r="P280" s="11" t="s">
        <v>600</v>
      </c>
      <c r="Q280" s="11" t="s">
        <v>125</v>
      </c>
      <c r="R280" s="11" t="s">
        <v>150</v>
      </c>
      <c r="S280" s="11" t="s">
        <v>125</v>
      </c>
      <c r="T280" s="11" t="s">
        <v>126</v>
      </c>
      <c r="U280" s="11" t="s">
        <v>38</v>
      </c>
      <c r="V280" s="11" t="s">
        <v>1765</v>
      </c>
      <c r="W280" s="11" t="s">
        <v>994</v>
      </c>
      <c r="X280" s="11" t="s">
        <v>994</v>
      </c>
      <c r="Y280" s="11" t="s">
        <v>994</v>
      </c>
      <c r="Z280" s="11" t="s">
        <v>994</v>
      </c>
      <c r="AA280" s="11" t="s">
        <v>994</v>
      </c>
      <c r="AB280" s="11" t="s">
        <v>994</v>
      </c>
      <c r="AC280" s="11" t="s">
        <v>994</v>
      </c>
      <c r="AD280" s="11" t="s">
        <v>994</v>
      </c>
      <c r="AE280" s="11" t="s">
        <v>995</v>
      </c>
    </row>
    <row r="281">
      <c r="B281" s="26" t="s">
        <v>49</v>
      </c>
      <c r="C281" s="12" t="s">
        <v>1619</v>
      </c>
      <c r="D281" s="11" t="s">
        <v>850</v>
      </c>
      <c r="E281" s="11" t="s">
        <v>69</v>
      </c>
      <c r="F281" s="12" t="s">
        <v>784</v>
      </c>
      <c r="G281" s="12" t="s">
        <v>246</v>
      </c>
      <c r="H281" s="12" t="s">
        <v>246</v>
      </c>
      <c r="I281" s="12" t="s">
        <v>60</v>
      </c>
      <c r="J281" s="12" t="s">
        <v>1027</v>
      </c>
      <c r="K281" s="12" t="s">
        <v>69</v>
      </c>
      <c r="L281" s="12" t="s">
        <v>247</v>
      </c>
      <c r="M281" s="12" t="s">
        <v>994</v>
      </c>
      <c r="N281" s="13" t="s">
        <v>851</v>
      </c>
      <c r="O281" s="11" t="s">
        <v>818</v>
      </c>
      <c r="P281" s="11" t="s">
        <v>600</v>
      </c>
      <c r="Q281" s="11" t="s">
        <v>125</v>
      </c>
      <c r="R281" s="11" t="s">
        <v>150</v>
      </c>
      <c r="S281" s="11" t="s">
        <v>125</v>
      </c>
      <c r="T281" s="11" t="s">
        <v>126</v>
      </c>
      <c r="U281" s="11" t="s">
        <v>38</v>
      </c>
      <c r="V281" s="11" t="s">
        <v>1765</v>
      </c>
      <c r="W281" s="11" t="s">
        <v>994</v>
      </c>
      <c r="X281" s="11" t="s">
        <v>994</v>
      </c>
      <c r="Y281" s="11" t="s">
        <v>994</v>
      </c>
      <c r="Z281" s="11" t="s">
        <v>994</v>
      </c>
      <c r="AA281" s="11" t="s">
        <v>994</v>
      </c>
      <c r="AB281" s="11" t="s">
        <v>994</v>
      </c>
      <c r="AC281" s="11" t="s">
        <v>994</v>
      </c>
      <c r="AD281" s="11" t="s">
        <v>994</v>
      </c>
      <c r="AE281" s="11" t="s">
        <v>995</v>
      </c>
    </row>
    <row r="282">
      <c r="B282" s="26" t="s">
        <v>283</v>
      </c>
      <c r="C282" s="12" t="s">
        <v>1620</v>
      </c>
      <c r="D282" s="11" t="s">
        <v>852</v>
      </c>
      <c r="E282" s="11" t="s">
        <v>69</v>
      </c>
      <c r="F282" s="12" t="s">
        <v>283</v>
      </c>
      <c r="G282" s="12" t="s">
        <v>246</v>
      </c>
      <c r="H282" s="12" t="s">
        <v>246</v>
      </c>
      <c r="I282" s="12" t="s">
        <v>60</v>
      </c>
      <c r="J282" s="12" t="s">
        <v>1027</v>
      </c>
      <c r="K282" s="12" t="s">
        <v>69</v>
      </c>
      <c r="L282" s="12" t="s">
        <v>247</v>
      </c>
      <c r="M282" s="12" t="s">
        <v>994</v>
      </c>
      <c r="N282" s="13" t="s">
        <v>853</v>
      </c>
      <c r="O282" s="11" t="s">
        <v>818</v>
      </c>
      <c r="P282" s="11" t="s">
        <v>600</v>
      </c>
      <c r="Q282" s="11" t="s">
        <v>125</v>
      </c>
      <c r="R282" s="11" t="s">
        <v>150</v>
      </c>
      <c r="S282" s="11" t="s">
        <v>125</v>
      </c>
      <c r="T282" s="11" t="s">
        <v>126</v>
      </c>
      <c r="U282" s="11" t="s">
        <v>38</v>
      </c>
      <c r="V282" s="11" t="s">
        <v>1765</v>
      </c>
      <c r="W282" s="11" t="s">
        <v>994</v>
      </c>
      <c r="X282" s="11" t="s">
        <v>994</v>
      </c>
      <c r="Y282" s="11" t="s">
        <v>994</v>
      </c>
      <c r="Z282" s="11" t="s">
        <v>994</v>
      </c>
      <c r="AA282" s="11" t="s">
        <v>994</v>
      </c>
      <c r="AB282" s="11" t="s">
        <v>994</v>
      </c>
      <c r="AC282" s="11" t="s">
        <v>994</v>
      </c>
      <c r="AD282" s="11" t="s">
        <v>994</v>
      </c>
      <c r="AE282" s="11" t="s">
        <v>995</v>
      </c>
    </row>
    <row r="283">
      <c r="B283" s="26" t="s">
        <v>291</v>
      </c>
      <c r="C283" s="12" t="s">
        <v>1621</v>
      </c>
      <c r="D283" s="11" t="s">
        <v>854</v>
      </c>
      <c r="E283" s="11" t="s">
        <v>69</v>
      </c>
      <c r="F283" s="12" t="s">
        <v>291</v>
      </c>
      <c r="G283" s="12" t="s">
        <v>246</v>
      </c>
      <c r="H283" s="12" t="s">
        <v>246</v>
      </c>
      <c r="I283" s="12" t="s">
        <v>60</v>
      </c>
      <c r="J283" s="12" t="s">
        <v>1027</v>
      </c>
      <c r="K283" s="12" t="s">
        <v>69</v>
      </c>
      <c r="L283" s="12" t="s">
        <v>247</v>
      </c>
      <c r="M283" s="12" t="s">
        <v>994</v>
      </c>
      <c r="N283" s="13" t="s">
        <v>855</v>
      </c>
      <c r="O283" s="11" t="s">
        <v>818</v>
      </c>
      <c r="P283" s="11" t="s">
        <v>600</v>
      </c>
      <c r="Q283" s="11" t="s">
        <v>125</v>
      </c>
      <c r="R283" s="11" t="s">
        <v>150</v>
      </c>
      <c r="S283" s="11" t="s">
        <v>125</v>
      </c>
      <c r="T283" s="11" t="s">
        <v>126</v>
      </c>
      <c r="U283" s="11" t="s">
        <v>38</v>
      </c>
      <c r="V283" s="11" t="s">
        <v>1765</v>
      </c>
      <c r="W283" s="11" t="s">
        <v>994</v>
      </c>
      <c r="X283" s="11" t="s">
        <v>994</v>
      </c>
      <c r="Y283" s="11" t="s">
        <v>994</v>
      </c>
      <c r="Z283" s="11" t="s">
        <v>994</v>
      </c>
      <c r="AA283" s="11" t="s">
        <v>994</v>
      </c>
      <c r="AB283" s="11" t="s">
        <v>994</v>
      </c>
      <c r="AC283" s="11" t="s">
        <v>994</v>
      </c>
      <c r="AD283" s="11" t="s">
        <v>994</v>
      </c>
      <c r="AE283" s="11" t="s">
        <v>995</v>
      </c>
    </row>
    <row r="284">
      <c r="B284" s="26" t="s">
        <v>308</v>
      </c>
      <c r="C284" s="12" t="s">
        <v>1622</v>
      </c>
      <c r="D284" s="11" t="s">
        <v>856</v>
      </c>
      <c r="E284" s="11" t="s">
        <v>69</v>
      </c>
      <c r="F284" s="12" t="s">
        <v>308</v>
      </c>
      <c r="G284" s="12" t="s">
        <v>246</v>
      </c>
      <c r="H284" s="12" t="s">
        <v>246</v>
      </c>
      <c r="I284" s="12" t="s">
        <v>60</v>
      </c>
      <c r="J284" s="12" t="s">
        <v>1027</v>
      </c>
      <c r="K284" s="12" t="s">
        <v>69</v>
      </c>
      <c r="L284" s="12" t="s">
        <v>247</v>
      </c>
      <c r="M284" s="12" t="s">
        <v>994</v>
      </c>
      <c r="N284" s="13" t="s">
        <v>857</v>
      </c>
      <c r="O284" s="11" t="s">
        <v>818</v>
      </c>
      <c r="P284" s="11" t="s">
        <v>600</v>
      </c>
      <c r="Q284" s="11" t="s">
        <v>125</v>
      </c>
      <c r="R284" s="11" t="s">
        <v>150</v>
      </c>
      <c r="S284" s="11" t="s">
        <v>994</v>
      </c>
      <c r="T284" s="11" t="s">
        <v>126</v>
      </c>
      <c r="U284" s="11" t="s">
        <v>994</v>
      </c>
      <c r="V284" s="11" t="s">
        <v>994</v>
      </c>
      <c r="W284" s="11" t="s">
        <v>994</v>
      </c>
      <c r="X284" s="11" t="s">
        <v>994</v>
      </c>
      <c r="Y284" s="11" t="s">
        <v>994</v>
      </c>
      <c r="Z284" s="11" t="s">
        <v>994</v>
      </c>
      <c r="AA284" s="11" t="s">
        <v>994</v>
      </c>
      <c r="AB284" s="11" t="s">
        <v>994</v>
      </c>
      <c r="AC284" s="11" t="s">
        <v>994</v>
      </c>
      <c r="AD284" s="11" t="s">
        <v>994</v>
      </c>
      <c r="AE284" s="11" t="s">
        <v>1804</v>
      </c>
    </row>
    <row r="285">
      <c r="B285" s="26" t="s">
        <v>278</v>
      </c>
      <c r="C285" s="12" t="s">
        <v>1623</v>
      </c>
      <c r="D285" s="11" t="s">
        <v>858</v>
      </c>
      <c r="E285" s="11" t="s">
        <v>69</v>
      </c>
      <c r="F285" s="12" t="s">
        <v>278</v>
      </c>
      <c r="G285" s="12" t="s">
        <v>246</v>
      </c>
      <c r="H285" s="12" t="s">
        <v>246</v>
      </c>
      <c r="I285" s="12" t="s">
        <v>60</v>
      </c>
      <c r="J285" s="12" t="s">
        <v>1027</v>
      </c>
      <c r="K285" s="12" t="s">
        <v>69</v>
      </c>
      <c r="L285" s="12" t="s">
        <v>247</v>
      </c>
      <c r="M285" s="12" t="s">
        <v>994</v>
      </c>
      <c r="N285" s="13" t="s">
        <v>859</v>
      </c>
      <c r="O285" s="11" t="s">
        <v>818</v>
      </c>
      <c r="P285" s="11" t="s">
        <v>600</v>
      </c>
      <c r="Q285" s="11" t="s">
        <v>125</v>
      </c>
      <c r="R285" s="11" t="s">
        <v>150</v>
      </c>
      <c r="S285" s="11" t="s">
        <v>125</v>
      </c>
      <c r="T285" s="11" t="s">
        <v>126</v>
      </c>
      <c r="U285" s="11" t="s">
        <v>38</v>
      </c>
      <c r="V285" s="11" t="s">
        <v>1765</v>
      </c>
      <c r="W285" s="11" t="s">
        <v>994</v>
      </c>
      <c r="X285" s="11" t="s">
        <v>994</v>
      </c>
      <c r="Y285" s="11" t="s">
        <v>994</v>
      </c>
      <c r="Z285" s="11" t="s">
        <v>994</v>
      </c>
      <c r="AA285" s="11" t="s">
        <v>994</v>
      </c>
      <c r="AB285" s="11" t="s">
        <v>994</v>
      </c>
      <c r="AC285" s="11" t="s">
        <v>994</v>
      </c>
      <c r="AD285" s="11" t="s">
        <v>994</v>
      </c>
      <c r="AE285" s="11" t="s">
        <v>995</v>
      </c>
    </row>
    <row r="286">
      <c r="B286" s="26" t="s">
        <v>295</v>
      </c>
      <c r="C286" s="12" t="s">
        <v>1624</v>
      </c>
      <c r="D286" s="11" t="s">
        <v>860</v>
      </c>
      <c r="E286" s="11" t="s">
        <v>69</v>
      </c>
      <c r="F286" s="12" t="s">
        <v>295</v>
      </c>
      <c r="G286" s="12" t="s">
        <v>246</v>
      </c>
      <c r="H286" s="12" t="s">
        <v>246</v>
      </c>
      <c r="I286" s="12" t="s">
        <v>60</v>
      </c>
      <c r="J286" s="12" t="s">
        <v>1027</v>
      </c>
      <c r="K286" s="12" t="s">
        <v>69</v>
      </c>
      <c r="L286" s="12" t="s">
        <v>247</v>
      </c>
      <c r="M286" s="12" t="s">
        <v>994</v>
      </c>
      <c r="N286" s="13" t="s">
        <v>861</v>
      </c>
      <c r="O286" s="11" t="s">
        <v>818</v>
      </c>
      <c r="P286" s="11" t="s">
        <v>600</v>
      </c>
      <c r="Q286" s="11" t="s">
        <v>125</v>
      </c>
      <c r="R286" s="11" t="s">
        <v>150</v>
      </c>
      <c r="S286" s="11" t="s">
        <v>125</v>
      </c>
      <c r="T286" s="11" t="s">
        <v>126</v>
      </c>
      <c r="U286" s="11" t="s">
        <v>38</v>
      </c>
      <c r="V286" s="11" t="s">
        <v>1765</v>
      </c>
      <c r="W286" s="11" t="s">
        <v>994</v>
      </c>
      <c r="X286" s="11" t="s">
        <v>994</v>
      </c>
      <c r="Y286" s="11" t="s">
        <v>994</v>
      </c>
      <c r="Z286" s="11" t="s">
        <v>994</v>
      </c>
      <c r="AA286" s="11" t="s">
        <v>994</v>
      </c>
      <c r="AB286" s="11" t="s">
        <v>994</v>
      </c>
      <c r="AC286" s="11" t="s">
        <v>994</v>
      </c>
      <c r="AD286" s="11" t="s">
        <v>994</v>
      </c>
      <c r="AE286" s="11" t="s">
        <v>995</v>
      </c>
    </row>
    <row r="287">
      <c r="B287" s="26" t="s">
        <v>49</v>
      </c>
      <c r="C287" s="12" t="s">
        <v>1625</v>
      </c>
      <c r="D287" s="11" t="s">
        <v>862</v>
      </c>
      <c r="E287" s="11" t="s">
        <v>69</v>
      </c>
      <c r="F287" s="12" t="s">
        <v>419</v>
      </c>
      <c r="G287" s="12" t="s">
        <v>246</v>
      </c>
      <c r="H287" s="12" t="s">
        <v>246</v>
      </c>
      <c r="I287" s="12" t="s">
        <v>60</v>
      </c>
      <c r="J287" s="12" t="s">
        <v>1027</v>
      </c>
      <c r="K287" s="12" t="s">
        <v>69</v>
      </c>
      <c r="L287" s="12" t="s">
        <v>247</v>
      </c>
      <c r="M287" s="12" t="s">
        <v>994</v>
      </c>
      <c r="N287" s="13" t="s">
        <v>863</v>
      </c>
      <c r="O287" s="11" t="s">
        <v>818</v>
      </c>
      <c r="P287" s="11" t="s">
        <v>600</v>
      </c>
      <c r="Q287" s="11" t="s">
        <v>125</v>
      </c>
      <c r="R287" s="11" t="s">
        <v>150</v>
      </c>
      <c r="S287" s="11" t="s">
        <v>125</v>
      </c>
      <c r="T287" s="11" t="s">
        <v>125</v>
      </c>
      <c r="U287" s="11" t="s">
        <v>29</v>
      </c>
      <c r="V287" s="11" t="s">
        <v>1766</v>
      </c>
      <c r="W287" s="11" t="s">
        <v>994</v>
      </c>
      <c r="X287" s="11" t="s">
        <v>994</v>
      </c>
      <c r="Y287" s="11" t="s">
        <v>994</v>
      </c>
      <c r="Z287" s="11" t="s">
        <v>994</v>
      </c>
      <c r="AA287" s="11" t="s">
        <v>994</v>
      </c>
      <c r="AB287" s="11" t="s">
        <v>994</v>
      </c>
      <c r="AC287" s="11" t="s">
        <v>994</v>
      </c>
      <c r="AD287" s="11" t="s">
        <v>1296</v>
      </c>
      <c r="AE287" s="11" t="s">
        <v>995</v>
      </c>
    </row>
    <row r="288">
      <c r="B288" s="26" t="s">
        <v>49</v>
      </c>
      <c r="C288" s="12" t="s">
        <v>1626</v>
      </c>
      <c r="D288" s="11" t="s">
        <v>864</v>
      </c>
      <c r="E288" s="11" t="s">
        <v>69</v>
      </c>
      <c r="F288" s="12" t="s">
        <v>49</v>
      </c>
      <c r="G288" s="12" t="s">
        <v>246</v>
      </c>
      <c r="H288" s="12" t="s">
        <v>246</v>
      </c>
      <c r="I288" s="12" t="s">
        <v>60</v>
      </c>
      <c r="J288" s="12" t="s">
        <v>1027</v>
      </c>
      <c r="K288" s="12" t="s">
        <v>69</v>
      </c>
      <c r="L288" s="12" t="s">
        <v>247</v>
      </c>
      <c r="M288" s="12" t="s">
        <v>994</v>
      </c>
      <c r="N288" s="13" t="s">
        <v>865</v>
      </c>
      <c r="O288" s="11" t="s">
        <v>818</v>
      </c>
      <c r="P288" s="11" t="s">
        <v>600</v>
      </c>
      <c r="Q288" s="11" t="s">
        <v>125</v>
      </c>
      <c r="R288" s="11" t="s">
        <v>150</v>
      </c>
      <c r="S288" s="11" t="s">
        <v>125</v>
      </c>
      <c r="T288" s="11" t="s">
        <v>126</v>
      </c>
      <c r="U288" s="11" t="s">
        <v>38</v>
      </c>
      <c r="V288" s="11" t="s">
        <v>1765</v>
      </c>
      <c r="W288" s="11" t="s">
        <v>994</v>
      </c>
      <c r="X288" s="11" t="s">
        <v>994</v>
      </c>
      <c r="Y288" s="11" t="s">
        <v>994</v>
      </c>
      <c r="Z288" s="11" t="s">
        <v>994</v>
      </c>
      <c r="AA288" s="11" t="s">
        <v>994</v>
      </c>
      <c r="AB288" s="11" t="s">
        <v>994</v>
      </c>
      <c r="AC288" s="11" t="s">
        <v>994</v>
      </c>
      <c r="AD288" s="11" t="s">
        <v>994</v>
      </c>
      <c r="AE288" s="11" t="s">
        <v>995</v>
      </c>
    </row>
    <row r="289">
      <c r="B289" s="26" t="s">
        <v>49</v>
      </c>
      <c r="C289" s="12" t="s">
        <v>1627</v>
      </c>
      <c r="D289" s="11" t="s">
        <v>866</v>
      </c>
      <c r="E289" s="11" t="s">
        <v>69</v>
      </c>
      <c r="F289" s="12" t="s">
        <v>130</v>
      </c>
      <c r="G289" s="12" t="s">
        <v>246</v>
      </c>
      <c r="H289" s="12" t="s">
        <v>246</v>
      </c>
      <c r="I289" s="12" t="s">
        <v>60</v>
      </c>
      <c r="J289" s="12" t="s">
        <v>1027</v>
      </c>
      <c r="K289" s="12" t="s">
        <v>69</v>
      </c>
      <c r="L289" s="12" t="s">
        <v>247</v>
      </c>
      <c r="M289" s="12" t="s">
        <v>994</v>
      </c>
      <c r="N289" s="13" t="s">
        <v>867</v>
      </c>
      <c r="O289" s="11" t="s">
        <v>818</v>
      </c>
      <c r="P289" s="11" t="s">
        <v>600</v>
      </c>
      <c r="Q289" s="11" t="s">
        <v>125</v>
      </c>
      <c r="R289" s="11" t="s">
        <v>150</v>
      </c>
      <c r="S289" s="11" t="s">
        <v>125</v>
      </c>
      <c r="T289" s="11" t="s">
        <v>126</v>
      </c>
      <c r="U289" s="11" t="s">
        <v>38</v>
      </c>
      <c r="V289" s="11" t="s">
        <v>1765</v>
      </c>
      <c r="W289" s="11" t="s">
        <v>994</v>
      </c>
      <c r="X289" s="11" t="s">
        <v>994</v>
      </c>
      <c r="Y289" s="11" t="s">
        <v>994</v>
      </c>
      <c r="Z289" s="11" t="s">
        <v>994</v>
      </c>
      <c r="AA289" s="11" t="s">
        <v>994</v>
      </c>
      <c r="AB289" s="11" t="s">
        <v>994</v>
      </c>
      <c r="AC289" s="11" t="s">
        <v>994</v>
      </c>
      <c r="AD289" s="11" t="s">
        <v>994</v>
      </c>
      <c r="AE289" s="11" t="s">
        <v>995</v>
      </c>
    </row>
    <row r="290">
      <c r="B290" s="26" t="s">
        <v>49</v>
      </c>
      <c r="C290" s="12" t="s">
        <v>1628</v>
      </c>
      <c r="D290" s="11" t="s">
        <v>868</v>
      </c>
      <c r="E290" s="11" t="s">
        <v>69</v>
      </c>
      <c r="F290" s="12" t="s">
        <v>130</v>
      </c>
      <c r="G290" s="12" t="s">
        <v>246</v>
      </c>
      <c r="H290" s="12" t="s">
        <v>246</v>
      </c>
      <c r="I290" s="12" t="s">
        <v>60</v>
      </c>
      <c r="J290" s="12" t="s">
        <v>1027</v>
      </c>
      <c r="K290" s="12" t="s">
        <v>69</v>
      </c>
      <c r="L290" s="12" t="s">
        <v>247</v>
      </c>
      <c r="M290" s="12" t="s">
        <v>994</v>
      </c>
      <c r="N290" s="13" t="s">
        <v>869</v>
      </c>
      <c r="O290" s="11" t="s">
        <v>818</v>
      </c>
      <c r="P290" s="11" t="s">
        <v>600</v>
      </c>
      <c r="Q290" s="11" t="s">
        <v>125</v>
      </c>
      <c r="R290" s="11" t="s">
        <v>150</v>
      </c>
      <c r="S290" s="11" t="s">
        <v>125</v>
      </c>
      <c r="T290" s="11" t="s">
        <v>126</v>
      </c>
      <c r="U290" s="11" t="s">
        <v>38</v>
      </c>
      <c r="V290" s="11" t="s">
        <v>1765</v>
      </c>
      <c r="W290" s="11" t="s">
        <v>994</v>
      </c>
      <c r="X290" s="11" t="s">
        <v>994</v>
      </c>
      <c r="Y290" s="11" t="s">
        <v>994</v>
      </c>
      <c r="Z290" s="11" t="s">
        <v>994</v>
      </c>
      <c r="AA290" s="11" t="s">
        <v>994</v>
      </c>
      <c r="AB290" s="11" t="s">
        <v>994</v>
      </c>
      <c r="AC290" s="11" t="s">
        <v>994</v>
      </c>
      <c r="AD290" s="11" t="s">
        <v>994</v>
      </c>
      <c r="AE290" s="11" t="s">
        <v>995</v>
      </c>
    </row>
    <row r="291">
      <c r="B291" s="26" t="s">
        <v>49</v>
      </c>
      <c r="C291" s="12" t="s">
        <v>1629</v>
      </c>
      <c r="D291" s="11" t="s">
        <v>870</v>
      </c>
      <c r="E291" s="11" t="s">
        <v>69</v>
      </c>
      <c r="F291" s="12" t="s">
        <v>130</v>
      </c>
      <c r="G291" s="12" t="s">
        <v>246</v>
      </c>
      <c r="H291" s="12" t="s">
        <v>246</v>
      </c>
      <c r="I291" s="12" t="s">
        <v>60</v>
      </c>
      <c r="J291" s="12" t="s">
        <v>1027</v>
      </c>
      <c r="K291" s="12" t="s">
        <v>69</v>
      </c>
      <c r="L291" s="12" t="s">
        <v>247</v>
      </c>
      <c r="M291" s="12" t="s">
        <v>994</v>
      </c>
      <c r="N291" s="13" t="s">
        <v>871</v>
      </c>
      <c r="O291" s="11" t="s">
        <v>818</v>
      </c>
      <c r="P291" s="11" t="s">
        <v>600</v>
      </c>
      <c r="Q291" s="11" t="s">
        <v>125</v>
      </c>
      <c r="R291" s="11" t="s">
        <v>150</v>
      </c>
      <c r="S291" s="11" t="s">
        <v>125</v>
      </c>
      <c r="T291" s="11" t="s">
        <v>126</v>
      </c>
      <c r="U291" s="11" t="s">
        <v>38</v>
      </c>
      <c r="V291" s="11" t="s">
        <v>1765</v>
      </c>
      <c r="W291" s="11" t="s">
        <v>994</v>
      </c>
      <c r="X291" s="11" t="s">
        <v>994</v>
      </c>
      <c r="Y291" s="11" t="s">
        <v>994</v>
      </c>
      <c r="Z291" s="11" t="s">
        <v>994</v>
      </c>
      <c r="AA291" s="11" t="s">
        <v>994</v>
      </c>
      <c r="AB291" s="11" t="s">
        <v>994</v>
      </c>
      <c r="AC291" s="11" t="s">
        <v>994</v>
      </c>
      <c r="AD291" s="11" t="s">
        <v>994</v>
      </c>
      <c r="AE291" s="11" t="s">
        <v>995</v>
      </c>
    </row>
    <row r="292">
      <c r="B292" s="26" t="s">
        <v>49</v>
      </c>
      <c r="C292" s="12" t="s">
        <v>1630</v>
      </c>
      <c r="D292" s="11" t="s">
        <v>872</v>
      </c>
      <c r="E292" s="11" t="s">
        <v>69</v>
      </c>
      <c r="F292" s="12" t="s">
        <v>130</v>
      </c>
      <c r="G292" s="12" t="s">
        <v>246</v>
      </c>
      <c r="H292" s="12" t="s">
        <v>246</v>
      </c>
      <c r="I292" s="12" t="s">
        <v>60</v>
      </c>
      <c r="J292" s="12" t="s">
        <v>1027</v>
      </c>
      <c r="K292" s="12" t="s">
        <v>69</v>
      </c>
      <c r="L292" s="12" t="s">
        <v>247</v>
      </c>
      <c r="M292" s="12" t="s">
        <v>994</v>
      </c>
      <c r="N292" s="13" t="s">
        <v>873</v>
      </c>
      <c r="O292" s="11" t="s">
        <v>818</v>
      </c>
      <c r="P292" s="11" t="s">
        <v>600</v>
      </c>
      <c r="Q292" s="11" t="s">
        <v>125</v>
      </c>
      <c r="R292" s="11" t="s">
        <v>150</v>
      </c>
      <c r="S292" s="11" t="s">
        <v>125</v>
      </c>
      <c r="T292" s="11" t="s">
        <v>126</v>
      </c>
      <c r="U292" s="11" t="s">
        <v>38</v>
      </c>
      <c r="V292" s="11" t="s">
        <v>1765</v>
      </c>
      <c r="W292" s="11" t="s">
        <v>994</v>
      </c>
      <c r="X292" s="11" t="s">
        <v>994</v>
      </c>
      <c r="Y292" s="11" t="s">
        <v>994</v>
      </c>
      <c r="Z292" s="11" t="s">
        <v>994</v>
      </c>
      <c r="AA292" s="11" t="s">
        <v>994</v>
      </c>
      <c r="AB292" s="11" t="s">
        <v>994</v>
      </c>
      <c r="AC292" s="11" t="s">
        <v>994</v>
      </c>
      <c r="AD292" s="11" t="s">
        <v>994</v>
      </c>
      <c r="AE292" s="11" t="s">
        <v>995</v>
      </c>
    </row>
    <row r="293">
      <c r="B293" s="26" t="s">
        <v>49</v>
      </c>
      <c r="C293" s="12" t="s">
        <v>1631</v>
      </c>
      <c r="D293" s="11" t="s">
        <v>874</v>
      </c>
      <c r="E293" s="11" t="s">
        <v>69</v>
      </c>
      <c r="F293" s="12" t="s">
        <v>49</v>
      </c>
      <c r="G293" s="12" t="s">
        <v>246</v>
      </c>
      <c r="H293" s="12" t="s">
        <v>246</v>
      </c>
      <c r="I293" s="12" t="s">
        <v>60</v>
      </c>
      <c r="J293" s="12" t="s">
        <v>1027</v>
      </c>
      <c r="K293" s="12" t="s">
        <v>69</v>
      </c>
      <c r="L293" s="12" t="s">
        <v>247</v>
      </c>
      <c r="M293" s="12" t="s">
        <v>994</v>
      </c>
      <c r="N293" s="13" t="s">
        <v>875</v>
      </c>
      <c r="O293" s="11" t="s">
        <v>818</v>
      </c>
      <c r="P293" s="11" t="s">
        <v>600</v>
      </c>
      <c r="Q293" s="11" t="s">
        <v>125</v>
      </c>
      <c r="R293" s="11" t="s">
        <v>150</v>
      </c>
      <c r="S293" s="11" t="s">
        <v>125</v>
      </c>
      <c r="T293" s="11" t="s">
        <v>126</v>
      </c>
      <c r="U293" s="11" t="s">
        <v>38</v>
      </c>
      <c r="V293" s="11" t="s">
        <v>1765</v>
      </c>
      <c r="W293" s="11" t="s">
        <v>994</v>
      </c>
      <c r="X293" s="11" t="s">
        <v>994</v>
      </c>
      <c r="Y293" s="11" t="s">
        <v>994</v>
      </c>
      <c r="Z293" s="11" t="s">
        <v>994</v>
      </c>
      <c r="AA293" s="11" t="s">
        <v>994</v>
      </c>
      <c r="AB293" s="11" t="s">
        <v>994</v>
      </c>
      <c r="AC293" s="11" t="s">
        <v>994</v>
      </c>
      <c r="AD293" s="11" t="s">
        <v>994</v>
      </c>
      <c r="AE293" s="11" t="s">
        <v>995</v>
      </c>
    </row>
    <row r="294">
      <c r="B294" s="26" t="s">
        <v>49</v>
      </c>
      <c r="C294" s="12" t="s">
        <v>1632</v>
      </c>
      <c r="D294" s="11" t="s">
        <v>876</v>
      </c>
      <c r="E294" s="11" t="s">
        <v>69</v>
      </c>
      <c r="F294" s="12" t="s">
        <v>286</v>
      </c>
      <c r="G294" s="12" t="s">
        <v>246</v>
      </c>
      <c r="H294" s="12" t="s">
        <v>246</v>
      </c>
      <c r="I294" s="12" t="s">
        <v>60</v>
      </c>
      <c r="J294" s="12" t="s">
        <v>1027</v>
      </c>
      <c r="K294" s="12" t="s">
        <v>69</v>
      </c>
      <c r="L294" s="12" t="s">
        <v>247</v>
      </c>
      <c r="M294" s="12" t="s">
        <v>994</v>
      </c>
      <c r="N294" s="13" t="s">
        <v>877</v>
      </c>
      <c r="O294" s="11" t="s">
        <v>818</v>
      </c>
      <c r="P294" s="11" t="s">
        <v>600</v>
      </c>
      <c r="Q294" s="11" t="s">
        <v>125</v>
      </c>
      <c r="R294" s="11" t="s">
        <v>150</v>
      </c>
      <c r="S294" s="11" t="s">
        <v>125</v>
      </c>
      <c r="T294" s="11" t="s">
        <v>126</v>
      </c>
      <c r="U294" s="11" t="s">
        <v>38</v>
      </c>
      <c r="V294" s="11" t="s">
        <v>1765</v>
      </c>
      <c r="W294" s="11" t="s">
        <v>994</v>
      </c>
      <c r="X294" s="11" t="s">
        <v>994</v>
      </c>
      <c r="Y294" s="11" t="s">
        <v>994</v>
      </c>
      <c r="Z294" s="11" t="s">
        <v>994</v>
      </c>
      <c r="AA294" s="11" t="s">
        <v>994</v>
      </c>
      <c r="AB294" s="11" t="s">
        <v>994</v>
      </c>
      <c r="AC294" s="11" t="s">
        <v>994</v>
      </c>
      <c r="AD294" s="11" t="s">
        <v>994</v>
      </c>
      <c r="AE294" s="11" t="s">
        <v>995</v>
      </c>
    </row>
    <row r="295">
      <c r="B295" s="26" t="s">
        <v>49</v>
      </c>
      <c r="C295" s="12" t="s">
        <v>1633</v>
      </c>
      <c r="D295" s="11" t="s">
        <v>878</v>
      </c>
      <c r="E295" s="11" t="s">
        <v>69</v>
      </c>
      <c r="F295" s="12" t="s">
        <v>49</v>
      </c>
      <c r="G295" s="12" t="s">
        <v>246</v>
      </c>
      <c r="H295" s="12" t="s">
        <v>246</v>
      </c>
      <c r="I295" s="12" t="s">
        <v>60</v>
      </c>
      <c r="J295" s="12" t="s">
        <v>1027</v>
      </c>
      <c r="K295" s="12" t="s">
        <v>69</v>
      </c>
      <c r="L295" s="12" t="s">
        <v>247</v>
      </c>
      <c r="M295" s="12" t="s">
        <v>994</v>
      </c>
      <c r="N295" s="13" t="s">
        <v>879</v>
      </c>
      <c r="O295" s="11" t="s">
        <v>818</v>
      </c>
      <c r="P295" s="11" t="s">
        <v>600</v>
      </c>
      <c r="Q295" s="11" t="s">
        <v>125</v>
      </c>
      <c r="R295" s="11" t="s">
        <v>150</v>
      </c>
      <c r="S295" s="11" t="s">
        <v>125</v>
      </c>
      <c r="T295" s="11" t="s">
        <v>126</v>
      </c>
      <c r="U295" s="11" t="s">
        <v>38</v>
      </c>
      <c r="V295" s="11" t="s">
        <v>1765</v>
      </c>
      <c r="W295" s="11" t="s">
        <v>994</v>
      </c>
      <c r="X295" s="11" t="s">
        <v>994</v>
      </c>
      <c r="Y295" s="11" t="s">
        <v>994</v>
      </c>
      <c r="Z295" s="11" t="s">
        <v>994</v>
      </c>
      <c r="AA295" s="11" t="s">
        <v>994</v>
      </c>
      <c r="AB295" s="11" t="s">
        <v>994</v>
      </c>
      <c r="AC295" s="11" t="s">
        <v>994</v>
      </c>
      <c r="AD295" s="11" t="s">
        <v>994</v>
      </c>
      <c r="AE295" s="11" t="s">
        <v>995</v>
      </c>
    </row>
    <row r="296">
      <c r="B296" s="26" t="s">
        <v>278</v>
      </c>
      <c r="C296" s="12" t="s">
        <v>1634</v>
      </c>
      <c r="D296" s="11" t="s">
        <v>880</v>
      </c>
      <c r="E296" s="11" t="s">
        <v>69</v>
      </c>
      <c r="F296" s="12" t="s">
        <v>278</v>
      </c>
      <c r="G296" s="12" t="s">
        <v>246</v>
      </c>
      <c r="H296" s="12" t="s">
        <v>246</v>
      </c>
      <c r="I296" s="12" t="s">
        <v>60</v>
      </c>
      <c r="J296" s="12" t="s">
        <v>1027</v>
      </c>
      <c r="K296" s="12" t="s">
        <v>69</v>
      </c>
      <c r="L296" s="12" t="s">
        <v>247</v>
      </c>
      <c r="M296" s="12" t="s">
        <v>994</v>
      </c>
      <c r="N296" s="13" t="s">
        <v>881</v>
      </c>
      <c r="O296" s="11" t="s">
        <v>818</v>
      </c>
      <c r="P296" s="11" t="s">
        <v>600</v>
      </c>
      <c r="Q296" s="11" t="s">
        <v>125</v>
      </c>
      <c r="R296" s="11" t="s">
        <v>150</v>
      </c>
      <c r="S296" s="11" t="s">
        <v>125</v>
      </c>
      <c r="T296" s="11" t="s">
        <v>126</v>
      </c>
      <c r="U296" s="11" t="s">
        <v>38</v>
      </c>
      <c r="V296" s="11" t="s">
        <v>1765</v>
      </c>
      <c r="W296" s="11" t="s">
        <v>994</v>
      </c>
      <c r="X296" s="11" t="s">
        <v>994</v>
      </c>
      <c r="Y296" s="11" t="s">
        <v>994</v>
      </c>
      <c r="Z296" s="11" t="s">
        <v>994</v>
      </c>
      <c r="AA296" s="11" t="s">
        <v>994</v>
      </c>
      <c r="AB296" s="11" t="s">
        <v>994</v>
      </c>
      <c r="AC296" s="11" t="s">
        <v>994</v>
      </c>
      <c r="AD296" s="11" t="s">
        <v>994</v>
      </c>
      <c r="AE296" s="11" t="s">
        <v>995</v>
      </c>
    </row>
    <row r="297">
      <c r="B297" s="26" t="s">
        <v>295</v>
      </c>
      <c r="C297" s="12" t="s">
        <v>1635</v>
      </c>
      <c r="D297" s="11" t="s">
        <v>882</v>
      </c>
      <c r="E297" s="11" t="s">
        <v>69</v>
      </c>
      <c r="F297" s="12" t="s">
        <v>295</v>
      </c>
      <c r="G297" s="12" t="s">
        <v>246</v>
      </c>
      <c r="H297" s="12" t="s">
        <v>246</v>
      </c>
      <c r="I297" s="12" t="s">
        <v>60</v>
      </c>
      <c r="J297" s="12" t="s">
        <v>1027</v>
      </c>
      <c r="K297" s="12" t="s">
        <v>69</v>
      </c>
      <c r="L297" s="12" t="s">
        <v>247</v>
      </c>
      <c r="M297" s="12" t="s">
        <v>994</v>
      </c>
      <c r="N297" s="13" t="s">
        <v>883</v>
      </c>
      <c r="O297" s="11" t="s">
        <v>818</v>
      </c>
      <c r="P297" s="11" t="s">
        <v>600</v>
      </c>
      <c r="Q297" s="11" t="s">
        <v>125</v>
      </c>
      <c r="R297" s="11" t="s">
        <v>150</v>
      </c>
      <c r="S297" s="11" t="s">
        <v>125</v>
      </c>
      <c r="T297" s="11" t="s">
        <v>126</v>
      </c>
      <c r="U297" s="11" t="s">
        <v>38</v>
      </c>
      <c r="V297" s="11" t="s">
        <v>1765</v>
      </c>
      <c r="W297" s="11" t="s">
        <v>994</v>
      </c>
      <c r="X297" s="11" t="s">
        <v>994</v>
      </c>
      <c r="Y297" s="11" t="s">
        <v>994</v>
      </c>
      <c r="Z297" s="11" t="s">
        <v>994</v>
      </c>
      <c r="AA297" s="11" t="s">
        <v>994</v>
      </c>
      <c r="AB297" s="11" t="s">
        <v>994</v>
      </c>
      <c r="AC297" s="11" t="s">
        <v>994</v>
      </c>
      <c r="AD297" s="11" t="s">
        <v>994</v>
      </c>
      <c r="AE297" s="11" t="s">
        <v>995</v>
      </c>
    </row>
    <row r="298">
      <c r="B298" s="26" t="s">
        <v>311</v>
      </c>
      <c r="C298" s="12" t="s">
        <v>1636</v>
      </c>
      <c r="D298" s="11" t="s">
        <v>884</v>
      </c>
      <c r="E298" s="11" t="s">
        <v>69</v>
      </c>
      <c r="F298" s="12" t="s">
        <v>311</v>
      </c>
      <c r="G298" s="12" t="s">
        <v>246</v>
      </c>
      <c r="H298" s="12" t="s">
        <v>246</v>
      </c>
      <c r="I298" s="12" t="s">
        <v>60</v>
      </c>
      <c r="J298" s="12" t="s">
        <v>1027</v>
      </c>
      <c r="K298" s="12" t="s">
        <v>69</v>
      </c>
      <c r="L298" s="12" t="s">
        <v>247</v>
      </c>
      <c r="M298" s="12" t="s">
        <v>994</v>
      </c>
      <c r="N298" s="13" t="s">
        <v>885</v>
      </c>
      <c r="O298" s="11" t="s">
        <v>818</v>
      </c>
      <c r="P298" s="11" t="s">
        <v>600</v>
      </c>
      <c r="Q298" s="11" t="s">
        <v>125</v>
      </c>
      <c r="R298" s="11" t="s">
        <v>150</v>
      </c>
      <c r="S298" s="11" t="s">
        <v>125</v>
      </c>
      <c r="T298" s="11" t="s">
        <v>126</v>
      </c>
      <c r="U298" s="11" t="s">
        <v>38</v>
      </c>
      <c r="V298" s="11" t="s">
        <v>1765</v>
      </c>
      <c r="W298" s="11" t="s">
        <v>994</v>
      </c>
      <c r="X298" s="11" t="s">
        <v>994</v>
      </c>
      <c r="Y298" s="11" t="s">
        <v>994</v>
      </c>
      <c r="Z298" s="11" t="s">
        <v>994</v>
      </c>
      <c r="AA298" s="11" t="s">
        <v>994</v>
      </c>
      <c r="AB298" s="11" t="s">
        <v>994</v>
      </c>
      <c r="AC298" s="11" t="s">
        <v>994</v>
      </c>
      <c r="AD298" s="11" t="s">
        <v>994</v>
      </c>
      <c r="AE298" s="11" t="s">
        <v>995</v>
      </c>
    </row>
    <row r="299">
      <c r="B299" s="26" t="s">
        <v>49</v>
      </c>
      <c r="C299" s="12" t="s">
        <v>1637</v>
      </c>
      <c r="D299" s="11" t="s">
        <v>886</v>
      </c>
      <c r="E299" s="11" t="s">
        <v>69</v>
      </c>
      <c r="F299" s="12" t="s">
        <v>694</v>
      </c>
      <c r="G299" s="12" t="s">
        <v>246</v>
      </c>
      <c r="H299" s="12" t="s">
        <v>246</v>
      </c>
      <c r="I299" s="12" t="s">
        <v>60</v>
      </c>
      <c r="J299" s="12" t="s">
        <v>1027</v>
      </c>
      <c r="K299" s="12" t="s">
        <v>69</v>
      </c>
      <c r="L299" s="12" t="s">
        <v>247</v>
      </c>
      <c r="M299" s="12" t="s">
        <v>994</v>
      </c>
      <c r="N299" s="13" t="s">
        <v>1748</v>
      </c>
      <c r="O299" s="11" t="s">
        <v>818</v>
      </c>
      <c r="P299" s="11" t="s">
        <v>600</v>
      </c>
      <c r="Q299" s="11" t="s">
        <v>125</v>
      </c>
      <c r="R299" s="11" t="s">
        <v>150</v>
      </c>
      <c r="S299" s="11" t="s">
        <v>994</v>
      </c>
      <c r="T299" s="11" t="s">
        <v>126</v>
      </c>
      <c r="U299" s="11" t="s">
        <v>994</v>
      </c>
      <c r="V299" s="11" t="s">
        <v>994</v>
      </c>
      <c r="W299" s="11" t="s">
        <v>994</v>
      </c>
      <c r="X299" s="11" t="s">
        <v>994</v>
      </c>
      <c r="Y299" s="11" t="s">
        <v>994</v>
      </c>
      <c r="Z299" s="11" t="s">
        <v>994</v>
      </c>
      <c r="AA299" s="11" t="s">
        <v>994</v>
      </c>
      <c r="AB299" s="11" t="s">
        <v>994</v>
      </c>
      <c r="AC299" s="11" t="s">
        <v>994</v>
      </c>
      <c r="AD299" s="11" t="s">
        <v>994</v>
      </c>
      <c r="AE299" s="11" t="s">
        <v>1804</v>
      </c>
    </row>
    <row r="300">
      <c r="B300" s="26" t="s">
        <v>49</v>
      </c>
      <c r="C300" s="12" t="s">
        <v>1638</v>
      </c>
      <c r="D300" s="11" t="s">
        <v>887</v>
      </c>
      <c r="E300" s="11" t="s">
        <v>69</v>
      </c>
      <c r="F300" s="12" t="s">
        <v>49</v>
      </c>
      <c r="G300" s="12" t="s">
        <v>246</v>
      </c>
      <c r="H300" s="12" t="s">
        <v>246</v>
      </c>
      <c r="I300" s="12" t="s">
        <v>60</v>
      </c>
      <c r="J300" s="12" t="s">
        <v>1027</v>
      </c>
      <c r="K300" s="12" t="s">
        <v>69</v>
      </c>
      <c r="L300" s="12" t="s">
        <v>247</v>
      </c>
      <c r="M300" s="12" t="s">
        <v>994</v>
      </c>
      <c r="N300" s="13" t="s">
        <v>1749</v>
      </c>
      <c r="O300" s="11" t="s">
        <v>818</v>
      </c>
      <c r="P300" s="11" t="s">
        <v>600</v>
      </c>
      <c r="Q300" s="11" t="s">
        <v>125</v>
      </c>
      <c r="R300" s="11" t="s">
        <v>150</v>
      </c>
      <c r="S300" s="11" t="s">
        <v>994</v>
      </c>
      <c r="T300" s="11" t="s">
        <v>126</v>
      </c>
      <c r="U300" s="11" t="s">
        <v>994</v>
      </c>
      <c r="V300" s="11" t="s">
        <v>994</v>
      </c>
      <c r="W300" s="11" t="s">
        <v>994</v>
      </c>
      <c r="X300" s="11" t="s">
        <v>994</v>
      </c>
      <c r="Y300" s="11" t="s">
        <v>994</v>
      </c>
      <c r="Z300" s="11" t="s">
        <v>994</v>
      </c>
      <c r="AA300" s="11" t="s">
        <v>994</v>
      </c>
      <c r="AB300" s="11" t="s">
        <v>994</v>
      </c>
      <c r="AC300" s="11" t="s">
        <v>994</v>
      </c>
      <c r="AD300" s="11" t="s">
        <v>994</v>
      </c>
      <c r="AE300" s="11" t="s">
        <v>1804</v>
      </c>
    </row>
    <row r="301">
      <c r="B301" s="26" t="s">
        <v>49</v>
      </c>
      <c r="C301" s="12" t="s">
        <v>1639</v>
      </c>
      <c r="D301" s="11" t="s">
        <v>888</v>
      </c>
      <c r="E301" s="11" t="s">
        <v>69</v>
      </c>
      <c r="F301" s="12" t="s">
        <v>49</v>
      </c>
      <c r="G301" s="12" t="s">
        <v>246</v>
      </c>
      <c r="H301" s="12" t="s">
        <v>246</v>
      </c>
      <c r="I301" s="12" t="s">
        <v>430</v>
      </c>
      <c r="J301" s="12" t="s">
        <v>1027</v>
      </c>
      <c r="K301" s="12" t="s">
        <v>69</v>
      </c>
      <c r="L301" s="12" t="s">
        <v>247</v>
      </c>
      <c r="M301" s="12" t="s">
        <v>994</v>
      </c>
      <c r="N301" s="13" t="s">
        <v>1750</v>
      </c>
      <c r="O301" s="11" t="s">
        <v>818</v>
      </c>
      <c r="P301" s="11" t="s">
        <v>600</v>
      </c>
      <c r="Q301" s="11" t="s">
        <v>125</v>
      </c>
      <c r="R301" s="11" t="s">
        <v>150</v>
      </c>
      <c r="S301" s="11" t="s">
        <v>994</v>
      </c>
      <c r="T301" s="11" t="s">
        <v>125</v>
      </c>
      <c r="U301" s="11" t="s">
        <v>1016</v>
      </c>
      <c r="V301" s="11" t="s">
        <v>1762</v>
      </c>
      <c r="W301" s="11" t="s">
        <v>994</v>
      </c>
      <c r="X301" s="11" t="s">
        <v>994</v>
      </c>
      <c r="Y301" s="11" t="s">
        <v>994</v>
      </c>
      <c r="Z301" s="11" t="s">
        <v>1798</v>
      </c>
      <c r="AA301" s="11" t="s">
        <v>1798</v>
      </c>
      <c r="AB301" s="11" t="s">
        <v>30</v>
      </c>
      <c r="AC301" s="11" t="s">
        <v>1354</v>
      </c>
      <c r="AD301" s="11" t="s">
        <v>992</v>
      </c>
      <c r="AE301" s="11" t="s">
        <v>995</v>
      </c>
    </row>
    <row r="302">
      <c r="B302" s="26" t="s">
        <v>49</v>
      </c>
      <c r="C302" s="12" t="s">
        <v>1640</v>
      </c>
      <c r="D302" s="11" t="s">
        <v>889</v>
      </c>
      <c r="E302" s="11" t="s">
        <v>69</v>
      </c>
      <c r="F302" s="12" t="s">
        <v>49</v>
      </c>
      <c r="G302" s="12" t="s">
        <v>246</v>
      </c>
      <c r="H302" s="12" t="s">
        <v>246</v>
      </c>
      <c r="I302" s="12" t="s">
        <v>430</v>
      </c>
      <c r="J302" s="12" t="s">
        <v>1027</v>
      </c>
      <c r="K302" s="12" t="s">
        <v>69</v>
      </c>
      <c r="L302" s="12" t="s">
        <v>247</v>
      </c>
      <c r="M302" s="12" t="s">
        <v>994</v>
      </c>
      <c r="N302" s="13" t="s">
        <v>1751</v>
      </c>
      <c r="O302" s="11" t="s">
        <v>818</v>
      </c>
      <c r="P302" s="11" t="s">
        <v>600</v>
      </c>
      <c r="Q302" s="11" t="s">
        <v>125</v>
      </c>
      <c r="R302" s="11" t="s">
        <v>150</v>
      </c>
      <c r="S302" s="11" t="s">
        <v>994</v>
      </c>
      <c r="T302" s="11" t="s">
        <v>125</v>
      </c>
      <c r="U302" s="11" t="s">
        <v>1016</v>
      </c>
      <c r="V302" s="11" t="s">
        <v>1762</v>
      </c>
      <c r="W302" s="11" t="s">
        <v>1764</v>
      </c>
      <c r="X302" s="11" t="s">
        <v>994</v>
      </c>
      <c r="Y302" s="11" t="s">
        <v>994</v>
      </c>
      <c r="Z302" s="11" t="s">
        <v>1799</v>
      </c>
      <c r="AA302" s="11" t="s">
        <v>1803</v>
      </c>
      <c r="AB302" s="11" t="s">
        <v>30</v>
      </c>
      <c r="AC302" s="11" t="s">
        <v>1347</v>
      </c>
      <c r="AD302" s="11" t="s">
        <v>1006</v>
      </c>
      <c r="AE302" s="11" t="s">
        <v>995</v>
      </c>
    </row>
    <row r="303">
      <c r="B303" s="26" t="s">
        <v>49</v>
      </c>
      <c r="C303" s="12" t="s">
        <v>1641</v>
      </c>
      <c r="D303" s="11" t="s">
        <v>890</v>
      </c>
      <c r="E303" s="11" t="s">
        <v>69</v>
      </c>
      <c r="F303" s="12" t="s">
        <v>49</v>
      </c>
      <c r="G303" s="12" t="s">
        <v>246</v>
      </c>
      <c r="H303" s="12" t="s">
        <v>246</v>
      </c>
      <c r="I303" s="12" t="s">
        <v>430</v>
      </c>
      <c r="J303" s="12" t="s">
        <v>1027</v>
      </c>
      <c r="K303" s="12" t="s">
        <v>69</v>
      </c>
      <c r="L303" s="12" t="s">
        <v>247</v>
      </c>
      <c r="M303" s="12" t="s">
        <v>994</v>
      </c>
      <c r="N303" s="13" t="s">
        <v>891</v>
      </c>
      <c r="O303" s="11" t="s">
        <v>818</v>
      </c>
      <c r="P303" s="11" t="s">
        <v>600</v>
      </c>
      <c r="Q303" s="11" t="s">
        <v>125</v>
      </c>
      <c r="R303" s="11" t="s">
        <v>150</v>
      </c>
      <c r="S303" s="11" t="s">
        <v>994</v>
      </c>
      <c r="T303" s="11" t="s">
        <v>125</v>
      </c>
      <c r="U303" s="11" t="s">
        <v>38</v>
      </c>
      <c r="V303" s="11" t="s">
        <v>1762</v>
      </c>
      <c r="W303" s="11" t="s">
        <v>1765</v>
      </c>
      <c r="X303" s="11" t="s">
        <v>994</v>
      </c>
      <c r="Y303" s="11" t="s">
        <v>994</v>
      </c>
      <c r="Z303" s="11" t="s">
        <v>994</v>
      </c>
      <c r="AA303" s="11" t="s">
        <v>994</v>
      </c>
      <c r="AB303" s="11" t="s">
        <v>994</v>
      </c>
      <c r="AC303" s="11" t="s">
        <v>994</v>
      </c>
      <c r="AD303" s="11" t="s">
        <v>973</v>
      </c>
      <c r="AE303" s="11" t="s">
        <v>995</v>
      </c>
    </row>
    <row r="304">
      <c r="B304" s="26" t="s">
        <v>49</v>
      </c>
      <c r="C304" s="12" t="s">
        <v>1642</v>
      </c>
      <c r="D304" s="11" t="s">
        <v>130</v>
      </c>
      <c r="E304" s="11" t="s">
        <v>892</v>
      </c>
      <c r="F304" s="12" t="s">
        <v>49</v>
      </c>
      <c r="G304" s="12" t="s">
        <v>246</v>
      </c>
      <c r="H304" s="12" t="s">
        <v>246</v>
      </c>
      <c r="I304" s="12" t="s">
        <v>60</v>
      </c>
      <c r="J304" s="12" t="s">
        <v>1034</v>
      </c>
      <c r="K304" s="12" t="s">
        <v>118</v>
      </c>
      <c r="L304" s="12" t="s">
        <v>247</v>
      </c>
      <c r="M304" s="12" t="s">
        <v>994</v>
      </c>
      <c r="N304" s="13" t="s">
        <v>994</v>
      </c>
      <c r="O304" s="11" t="s">
        <v>118</v>
      </c>
      <c r="P304" s="11" t="s">
        <v>323</v>
      </c>
      <c r="Q304" s="11" t="s">
        <v>126</v>
      </c>
      <c r="R304" s="11" t="s">
        <v>150</v>
      </c>
      <c r="S304" s="11" t="s">
        <v>994</v>
      </c>
      <c r="T304" s="11" t="s">
        <v>126</v>
      </c>
      <c r="U304" s="11" t="s">
        <v>994</v>
      </c>
      <c r="V304" s="11" t="s">
        <v>994</v>
      </c>
      <c r="W304" s="11" t="s">
        <v>994</v>
      </c>
      <c r="X304" s="11" t="s">
        <v>994</v>
      </c>
      <c r="Y304" s="11" t="s">
        <v>994</v>
      </c>
      <c r="Z304" s="11" t="s">
        <v>994</v>
      </c>
      <c r="AA304" s="11" t="s">
        <v>994</v>
      </c>
      <c r="AB304" s="11" t="s">
        <v>994</v>
      </c>
      <c r="AC304" s="11" t="s">
        <v>994</v>
      </c>
      <c r="AD304" s="11" t="s">
        <v>994</v>
      </c>
      <c r="AE304" s="11" t="s">
        <v>1804</v>
      </c>
    </row>
    <row r="305">
      <c r="B305" s="26" t="s">
        <v>49</v>
      </c>
      <c r="C305" s="12" t="s">
        <v>1643</v>
      </c>
      <c r="D305" s="11" t="s">
        <v>130</v>
      </c>
      <c r="E305" s="11" t="s">
        <v>892</v>
      </c>
      <c r="F305" s="12" t="s">
        <v>49</v>
      </c>
      <c r="G305" s="12" t="s">
        <v>246</v>
      </c>
      <c r="H305" s="12" t="s">
        <v>246</v>
      </c>
      <c r="I305" s="12" t="s">
        <v>60</v>
      </c>
      <c r="J305" s="12" t="s">
        <v>1034</v>
      </c>
      <c r="K305" s="12" t="s">
        <v>118</v>
      </c>
      <c r="L305" s="12" t="s">
        <v>247</v>
      </c>
      <c r="M305" s="12" t="s">
        <v>994</v>
      </c>
      <c r="N305" s="13" t="s">
        <v>994</v>
      </c>
      <c r="O305" s="11" t="s">
        <v>118</v>
      </c>
      <c r="P305" s="11" t="s">
        <v>323</v>
      </c>
      <c r="Q305" s="11" t="s">
        <v>126</v>
      </c>
      <c r="R305" s="11" t="s">
        <v>150</v>
      </c>
      <c r="S305" s="11" t="s">
        <v>994</v>
      </c>
      <c r="T305" s="11" t="s">
        <v>126</v>
      </c>
      <c r="U305" s="11" t="s">
        <v>994</v>
      </c>
      <c r="V305" s="11" t="s">
        <v>994</v>
      </c>
      <c r="W305" s="11" t="s">
        <v>994</v>
      </c>
      <c r="X305" s="11" t="s">
        <v>994</v>
      </c>
      <c r="Y305" s="11" t="s">
        <v>994</v>
      </c>
      <c r="Z305" s="11" t="s">
        <v>994</v>
      </c>
      <c r="AA305" s="11" t="s">
        <v>994</v>
      </c>
      <c r="AB305" s="11" t="s">
        <v>994</v>
      </c>
      <c r="AC305" s="11" t="s">
        <v>994</v>
      </c>
      <c r="AD305" s="11" t="s">
        <v>994</v>
      </c>
      <c r="AE305" s="11" t="s">
        <v>1804</v>
      </c>
    </row>
    <row r="306">
      <c r="B306" s="26" t="s">
        <v>49</v>
      </c>
      <c r="C306" s="12" t="s">
        <v>1644</v>
      </c>
      <c r="D306" s="11" t="s">
        <v>130</v>
      </c>
      <c r="E306" s="11" t="s">
        <v>892</v>
      </c>
      <c r="F306" s="12" t="s">
        <v>49</v>
      </c>
      <c r="G306" s="12" t="s">
        <v>246</v>
      </c>
      <c r="H306" s="12" t="s">
        <v>246</v>
      </c>
      <c r="I306" s="12" t="s">
        <v>60</v>
      </c>
      <c r="J306" s="12" t="s">
        <v>1034</v>
      </c>
      <c r="K306" s="12" t="s">
        <v>118</v>
      </c>
      <c r="L306" s="12" t="s">
        <v>247</v>
      </c>
      <c r="M306" s="12" t="s">
        <v>994</v>
      </c>
      <c r="N306" s="13" t="s">
        <v>994</v>
      </c>
      <c r="O306" s="11" t="s">
        <v>118</v>
      </c>
      <c r="P306" s="11" t="s">
        <v>323</v>
      </c>
      <c r="Q306" s="11" t="s">
        <v>126</v>
      </c>
      <c r="R306" s="11" t="s">
        <v>150</v>
      </c>
      <c r="S306" s="11" t="s">
        <v>994</v>
      </c>
      <c r="T306" s="11" t="s">
        <v>126</v>
      </c>
      <c r="U306" s="11" t="s">
        <v>994</v>
      </c>
      <c r="V306" s="11" t="s">
        <v>994</v>
      </c>
      <c r="W306" s="11" t="s">
        <v>994</v>
      </c>
      <c r="X306" s="11" t="s">
        <v>994</v>
      </c>
      <c r="Y306" s="11" t="s">
        <v>994</v>
      </c>
      <c r="Z306" s="11" t="s">
        <v>994</v>
      </c>
      <c r="AA306" s="11" t="s">
        <v>994</v>
      </c>
      <c r="AB306" s="11" t="s">
        <v>994</v>
      </c>
      <c r="AC306" s="11" t="s">
        <v>994</v>
      </c>
      <c r="AD306" s="11" t="s">
        <v>994</v>
      </c>
      <c r="AE306" s="11" t="s">
        <v>1804</v>
      </c>
    </row>
    <row r="307">
      <c r="B307" s="26" t="s">
        <v>49</v>
      </c>
      <c r="C307" s="12" t="s">
        <v>1645</v>
      </c>
      <c r="D307" s="11" t="s">
        <v>130</v>
      </c>
      <c r="E307" s="11" t="s">
        <v>892</v>
      </c>
      <c r="F307" s="12" t="s">
        <v>49</v>
      </c>
      <c r="G307" s="12" t="s">
        <v>246</v>
      </c>
      <c r="H307" s="12" t="s">
        <v>246</v>
      </c>
      <c r="I307" s="12" t="s">
        <v>60</v>
      </c>
      <c r="J307" s="12" t="s">
        <v>1034</v>
      </c>
      <c r="K307" s="12" t="s">
        <v>118</v>
      </c>
      <c r="L307" s="12" t="s">
        <v>247</v>
      </c>
      <c r="M307" s="12" t="s">
        <v>994</v>
      </c>
      <c r="N307" s="13" t="s">
        <v>994</v>
      </c>
      <c r="O307" s="11" t="s">
        <v>118</v>
      </c>
      <c r="P307" s="11" t="s">
        <v>323</v>
      </c>
      <c r="Q307" s="11" t="s">
        <v>126</v>
      </c>
      <c r="R307" s="11" t="s">
        <v>150</v>
      </c>
      <c r="S307" s="11" t="s">
        <v>994</v>
      </c>
      <c r="T307" s="11" t="s">
        <v>126</v>
      </c>
      <c r="U307" s="11" t="s">
        <v>994</v>
      </c>
      <c r="V307" s="11" t="s">
        <v>994</v>
      </c>
      <c r="W307" s="11" t="s">
        <v>994</v>
      </c>
      <c r="X307" s="11" t="s">
        <v>994</v>
      </c>
      <c r="Y307" s="11" t="s">
        <v>994</v>
      </c>
      <c r="Z307" s="11" t="s">
        <v>994</v>
      </c>
      <c r="AA307" s="11" t="s">
        <v>994</v>
      </c>
      <c r="AB307" s="11" t="s">
        <v>994</v>
      </c>
      <c r="AC307" s="11" t="s">
        <v>994</v>
      </c>
      <c r="AD307" s="11" t="s">
        <v>994</v>
      </c>
      <c r="AE307" s="11" t="s">
        <v>1804</v>
      </c>
    </row>
    <row r="308">
      <c r="B308" s="26" t="s">
        <v>49</v>
      </c>
      <c r="C308" s="12" t="s">
        <v>1646</v>
      </c>
      <c r="D308" s="11" t="s">
        <v>893</v>
      </c>
      <c r="E308" s="11" t="s">
        <v>77</v>
      </c>
      <c r="F308" s="12" t="s">
        <v>49</v>
      </c>
      <c r="G308" s="12" t="s">
        <v>246</v>
      </c>
      <c r="H308" s="12" t="s">
        <v>246</v>
      </c>
      <c r="I308" s="12" t="s">
        <v>430</v>
      </c>
      <c r="J308" s="12" t="s">
        <v>1027</v>
      </c>
      <c r="K308" s="12" t="s">
        <v>77</v>
      </c>
      <c r="L308" s="12" t="s">
        <v>247</v>
      </c>
      <c r="M308" s="12" t="s">
        <v>994</v>
      </c>
      <c r="N308" s="13" t="s">
        <v>894</v>
      </c>
      <c r="O308" s="11" t="s">
        <v>895</v>
      </c>
      <c r="P308" s="11" t="s">
        <v>600</v>
      </c>
      <c r="Q308" s="11" t="s">
        <v>125</v>
      </c>
      <c r="R308" s="11" t="s">
        <v>150</v>
      </c>
      <c r="S308" s="11" t="s">
        <v>125</v>
      </c>
      <c r="T308" s="11" t="s">
        <v>125</v>
      </c>
      <c r="U308" s="11" t="s">
        <v>38</v>
      </c>
      <c r="V308" s="11" t="s">
        <v>1378</v>
      </c>
      <c r="W308" s="11" t="s">
        <v>994</v>
      </c>
      <c r="X308" s="11" t="s">
        <v>994</v>
      </c>
      <c r="Y308" s="11" t="s">
        <v>994</v>
      </c>
      <c r="Z308" s="11" t="s">
        <v>994</v>
      </c>
      <c r="AA308" s="11" t="s">
        <v>994</v>
      </c>
      <c r="AB308" s="11" t="s">
        <v>994</v>
      </c>
      <c r="AC308" s="11" t="s">
        <v>994</v>
      </c>
      <c r="AD308" s="11" t="s">
        <v>994</v>
      </c>
      <c r="AE308" s="11" t="s">
        <v>995</v>
      </c>
    </row>
    <row r="309">
      <c r="B309" s="26" t="s">
        <v>49</v>
      </c>
      <c r="C309" s="12" t="s">
        <v>1647</v>
      </c>
      <c r="D309" s="11" t="s">
        <v>896</v>
      </c>
      <c r="E309" s="11" t="s">
        <v>77</v>
      </c>
      <c r="F309" s="12" t="s">
        <v>49</v>
      </c>
      <c r="G309" s="12" t="s">
        <v>246</v>
      </c>
      <c r="H309" s="12" t="s">
        <v>246</v>
      </c>
      <c r="I309" s="12" t="s">
        <v>60</v>
      </c>
      <c r="J309" s="12" t="s">
        <v>1027</v>
      </c>
      <c r="K309" s="12" t="s">
        <v>77</v>
      </c>
      <c r="L309" s="12" t="s">
        <v>247</v>
      </c>
      <c r="M309" s="12" t="s">
        <v>994</v>
      </c>
      <c r="N309" s="13" t="s">
        <v>897</v>
      </c>
      <c r="O309" s="11" t="s">
        <v>895</v>
      </c>
      <c r="P309" s="11" t="s">
        <v>600</v>
      </c>
      <c r="Q309" s="11" t="s">
        <v>125</v>
      </c>
      <c r="R309" s="11" t="s">
        <v>150</v>
      </c>
      <c r="S309" s="11" t="s">
        <v>125</v>
      </c>
      <c r="T309" s="11" t="s">
        <v>126</v>
      </c>
      <c r="U309" s="11" t="s">
        <v>38</v>
      </c>
      <c r="V309" s="11" t="s">
        <v>1765</v>
      </c>
      <c r="W309" s="11" t="s">
        <v>994</v>
      </c>
      <c r="X309" s="11" t="s">
        <v>994</v>
      </c>
      <c r="Y309" s="11" t="s">
        <v>994</v>
      </c>
      <c r="Z309" s="11" t="s">
        <v>994</v>
      </c>
      <c r="AA309" s="11" t="s">
        <v>994</v>
      </c>
      <c r="AB309" s="11" t="s">
        <v>994</v>
      </c>
      <c r="AC309" s="11" t="s">
        <v>994</v>
      </c>
      <c r="AD309" s="11" t="s">
        <v>994</v>
      </c>
      <c r="AE309" s="11" t="s">
        <v>995</v>
      </c>
    </row>
    <row r="310">
      <c r="B310" s="26" t="s">
        <v>49</v>
      </c>
      <c r="C310" s="12" t="s">
        <v>1648</v>
      </c>
      <c r="D310" s="11" t="s">
        <v>898</v>
      </c>
      <c r="E310" s="11" t="s">
        <v>77</v>
      </c>
      <c r="F310" s="12" t="s">
        <v>49</v>
      </c>
      <c r="G310" s="12" t="s">
        <v>246</v>
      </c>
      <c r="H310" s="12" t="s">
        <v>246</v>
      </c>
      <c r="I310" s="12" t="s">
        <v>430</v>
      </c>
      <c r="J310" s="12" t="s">
        <v>1027</v>
      </c>
      <c r="K310" s="12" t="s">
        <v>77</v>
      </c>
      <c r="L310" s="12" t="s">
        <v>247</v>
      </c>
      <c r="M310" s="12" t="s">
        <v>994</v>
      </c>
      <c r="N310" s="13" t="s">
        <v>899</v>
      </c>
      <c r="O310" s="11" t="s">
        <v>895</v>
      </c>
      <c r="P310" s="11" t="s">
        <v>600</v>
      </c>
      <c r="Q310" s="11" t="s">
        <v>125</v>
      </c>
      <c r="R310" s="11" t="s">
        <v>150</v>
      </c>
      <c r="S310" s="11" t="s">
        <v>125</v>
      </c>
      <c r="T310" s="11" t="s">
        <v>125</v>
      </c>
      <c r="U310" s="11" t="s">
        <v>38</v>
      </c>
      <c r="V310" s="11" t="s">
        <v>1378</v>
      </c>
      <c r="W310" s="11" t="s">
        <v>994</v>
      </c>
      <c r="X310" s="11" t="s">
        <v>994</v>
      </c>
      <c r="Y310" s="11" t="s">
        <v>994</v>
      </c>
      <c r="Z310" s="11" t="s">
        <v>994</v>
      </c>
      <c r="AA310" s="11" t="s">
        <v>994</v>
      </c>
      <c r="AB310" s="11" t="s">
        <v>994</v>
      </c>
      <c r="AC310" s="11" t="s">
        <v>994</v>
      </c>
      <c r="AD310" s="11" t="s">
        <v>994</v>
      </c>
      <c r="AE310" s="11" t="s">
        <v>995</v>
      </c>
    </row>
    <row r="311">
      <c r="B311" s="26" t="s">
        <v>49</v>
      </c>
      <c r="C311" s="12" t="s">
        <v>1649</v>
      </c>
      <c r="D311" s="11" t="s">
        <v>900</v>
      </c>
      <c r="E311" s="11" t="s">
        <v>77</v>
      </c>
      <c r="F311" s="12" t="s">
        <v>49</v>
      </c>
      <c r="G311" s="12" t="s">
        <v>246</v>
      </c>
      <c r="H311" s="12" t="s">
        <v>246</v>
      </c>
      <c r="I311" s="12" t="s">
        <v>430</v>
      </c>
      <c r="J311" s="12" t="s">
        <v>1027</v>
      </c>
      <c r="K311" s="12" t="s">
        <v>77</v>
      </c>
      <c r="L311" s="12" t="s">
        <v>247</v>
      </c>
      <c r="M311" s="12" t="s">
        <v>994</v>
      </c>
      <c r="N311" s="13" t="s">
        <v>901</v>
      </c>
      <c r="O311" s="11" t="s">
        <v>895</v>
      </c>
      <c r="P311" s="11" t="s">
        <v>600</v>
      </c>
      <c r="Q311" s="11" t="s">
        <v>125</v>
      </c>
      <c r="R311" s="11" t="s">
        <v>150</v>
      </c>
      <c r="S311" s="11" t="s">
        <v>125</v>
      </c>
      <c r="T311" s="11" t="s">
        <v>125</v>
      </c>
      <c r="U311" s="11" t="s">
        <v>38</v>
      </c>
      <c r="V311" s="11" t="s">
        <v>1378</v>
      </c>
      <c r="W311" s="11" t="s">
        <v>994</v>
      </c>
      <c r="X311" s="11" t="s">
        <v>994</v>
      </c>
      <c r="Y311" s="11" t="s">
        <v>994</v>
      </c>
      <c r="Z311" s="11" t="s">
        <v>994</v>
      </c>
      <c r="AA311" s="11" t="s">
        <v>994</v>
      </c>
      <c r="AB311" s="11" t="s">
        <v>994</v>
      </c>
      <c r="AC311" s="11" t="s">
        <v>994</v>
      </c>
      <c r="AD311" s="11" t="s">
        <v>994</v>
      </c>
      <c r="AE311" s="11" t="s">
        <v>995</v>
      </c>
    </row>
    <row r="312">
      <c r="B312" s="26" t="s">
        <v>49</v>
      </c>
      <c r="C312" s="12" t="s">
        <v>1650</v>
      </c>
      <c r="D312" s="11" t="s">
        <v>902</v>
      </c>
      <c r="E312" s="11" t="s">
        <v>77</v>
      </c>
      <c r="F312" s="12" t="s">
        <v>49</v>
      </c>
      <c r="G312" s="12" t="s">
        <v>246</v>
      </c>
      <c r="H312" s="12" t="s">
        <v>246</v>
      </c>
      <c r="I312" s="12" t="s">
        <v>60</v>
      </c>
      <c r="J312" s="12" t="s">
        <v>1027</v>
      </c>
      <c r="K312" s="12" t="s">
        <v>77</v>
      </c>
      <c r="L312" s="12" t="s">
        <v>247</v>
      </c>
      <c r="M312" s="12" t="s">
        <v>994</v>
      </c>
      <c r="N312" s="13" t="s">
        <v>903</v>
      </c>
      <c r="O312" s="11" t="s">
        <v>895</v>
      </c>
      <c r="P312" s="11" t="s">
        <v>600</v>
      </c>
      <c r="Q312" s="11" t="s">
        <v>125</v>
      </c>
      <c r="R312" s="11" t="s">
        <v>150</v>
      </c>
      <c r="S312" s="11" t="s">
        <v>125</v>
      </c>
      <c r="T312" s="11" t="s">
        <v>126</v>
      </c>
      <c r="U312" s="11" t="s">
        <v>38</v>
      </c>
      <c r="V312" s="11" t="s">
        <v>1765</v>
      </c>
      <c r="W312" s="11" t="s">
        <v>994</v>
      </c>
      <c r="X312" s="11" t="s">
        <v>994</v>
      </c>
      <c r="Y312" s="11" t="s">
        <v>994</v>
      </c>
      <c r="Z312" s="11" t="s">
        <v>994</v>
      </c>
      <c r="AA312" s="11" t="s">
        <v>994</v>
      </c>
      <c r="AB312" s="11" t="s">
        <v>994</v>
      </c>
      <c r="AC312" s="11" t="s">
        <v>994</v>
      </c>
      <c r="AD312" s="11" t="s">
        <v>994</v>
      </c>
      <c r="AE312" s="11" t="s">
        <v>995</v>
      </c>
    </row>
    <row r="313">
      <c r="B313" s="26" t="s">
        <v>49</v>
      </c>
      <c r="C313" s="12" t="s">
        <v>1651</v>
      </c>
      <c r="D313" s="11" t="s">
        <v>904</v>
      </c>
      <c r="E313" s="11" t="s">
        <v>77</v>
      </c>
      <c r="F313" s="12" t="s">
        <v>49</v>
      </c>
      <c r="G313" s="12" t="s">
        <v>246</v>
      </c>
      <c r="H313" s="12" t="s">
        <v>246</v>
      </c>
      <c r="I313" s="12" t="s">
        <v>60</v>
      </c>
      <c r="J313" s="12" t="s">
        <v>1027</v>
      </c>
      <c r="K313" s="12" t="s">
        <v>77</v>
      </c>
      <c r="L313" s="12" t="s">
        <v>247</v>
      </c>
      <c r="M313" s="12" t="s">
        <v>994</v>
      </c>
      <c r="N313" s="13" t="s">
        <v>905</v>
      </c>
      <c r="O313" s="11" t="s">
        <v>895</v>
      </c>
      <c r="P313" s="11" t="s">
        <v>600</v>
      </c>
      <c r="Q313" s="11" t="s">
        <v>125</v>
      </c>
      <c r="R313" s="11" t="s">
        <v>150</v>
      </c>
      <c r="S313" s="11" t="s">
        <v>125</v>
      </c>
      <c r="T313" s="11" t="s">
        <v>126</v>
      </c>
      <c r="U313" s="11" t="s">
        <v>38</v>
      </c>
      <c r="V313" s="11" t="s">
        <v>1765</v>
      </c>
      <c r="W313" s="11" t="s">
        <v>994</v>
      </c>
      <c r="X313" s="11" t="s">
        <v>994</v>
      </c>
      <c r="Y313" s="11" t="s">
        <v>994</v>
      </c>
      <c r="Z313" s="11" t="s">
        <v>994</v>
      </c>
      <c r="AA313" s="11" t="s">
        <v>994</v>
      </c>
      <c r="AB313" s="11" t="s">
        <v>994</v>
      </c>
      <c r="AC313" s="11" t="s">
        <v>994</v>
      </c>
      <c r="AD313" s="11" t="s">
        <v>994</v>
      </c>
      <c r="AE313" s="11" t="s">
        <v>995</v>
      </c>
    </row>
    <row r="314">
      <c r="B314" s="26" t="s">
        <v>49</v>
      </c>
      <c r="C314" s="12" t="s">
        <v>1652</v>
      </c>
      <c r="D314" s="11" t="s">
        <v>906</v>
      </c>
      <c r="E314" s="11" t="s">
        <v>907</v>
      </c>
      <c r="F314" s="12" t="s">
        <v>49</v>
      </c>
      <c r="G314" s="12" t="s">
        <v>246</v>
      </c>
      <c r="H314" s="12" t="s">
        <v>246</v>
      </c>
      <c r="I314" s="12" t="s">
        <v>111</v>
      </c>
      <c r="J314" s="12" t="s">
        <v>1035</v>
      </c>
      <c r="K314" s="12" t="s">
        <v>118</v>
      </c>
      <c r="L314" s="12" t="s">
        <v>247</v>
      </c>
      <c r="M314" s="12" t="s">
        <v>994</v>
      </c>
      <c r="N314" s="13" t="s">
        <v>1297</v>
      </c>
      <c r="O314" s="11" t="s">
        <v>118</v>
      </c>
      <c r="P314" s="11" t="s">
        <v>323</v>
      </c>
      <c r="Q314" s="11" t="s">
        <v>126</v>
      </c>
      <c r="R314" s="11" t="s">
        <v>150</v>
      </c>
      <c r="S314" s="11" t="s">
        <v>994</v>
      </c>
      <c r="T314" s="11" t="s">
        <v>126</v>
      </c>
      <c r="U314" s="11" t="s">
        <v>994</v>
      </c>
      <c r="V314" s="11" t="s">
        <v>994</v>
      </c>
      <c r="W314" s="11" t="s">
        <v>994</v>
      </c>
      <c r="X314" s="11" t="s">
        <v>994</v>
      </c>
      <c r="Y314" s="11" t="s">
        <v>994</v>
      </c>
      <c r="Z314" s="11" t="s">
        <v>994</v>
      </c>
      <c r="AA314" s="11" t="s">
        <v>994</v>
      </c>
      <c r="AB314" s="11" t="s">
        <v>994</v>
      </c>
      <c r="AC314" s="11" t="s">
        <v>994</v>
      </c>
      <c r="AD314" s="11" t="s">
        <v>994</v>
      </c>
      <c r="AE314" s="11" t="s">
        <v>1804</v>
      </c>
    </row>
    <row r="315">
      <c r="B315" s="26" t="s">
        <v>49</v>
      </c>
      <c r="C315" s="12" t="s">
        <v>1653</v>
      </c>
      <c r="D315" s="11" t="s">
        <v>908</v>
      </c>
      <c r="E315" s="11" t="s">
        <v>909</v>
      </c>
      <c r="F315" s="12" t="s">
        <v>49</v>
      </c>
      <c r="G315" s="12" t="s">
        <v>246</v>
      </c>
      <c r="H315" s="12" t="s">
        <v>246</v>
      </c>
      <c r="I315" s="12" t="s">
        <v>111</v>
      </c>
      <c r="J315" s="12" t="s">
        <v>1035</v>
      </c>
      <c r="K315" s="12" t="s">
        <v>118</v>
      </c>
      <c r="L315" s="12" t="s">
        <v>247</v>
      </c>
      <c r="M315" s="12" t="s">
        <v>994</v>
      </c>
      <c r="N315" s="13" t="s">
        <v>910</v>
      </c>
      <c r="O315" s="11" t="s">
        <v>118</v>
      </c>
      <c r="P315" s="11" t="s">
        <v>323</v>
      </c>
      <c r="Q315" s="11" t="s">
        <v>126</v>
      </c>
      <c r="R315" s="11" t="s">
        <v>150</v>
      </c>
      <c r="S315" s="11" t="s">
        <v>994</v>
      </c>
      <c r="T315" s="11" t="s">
        <v>126</v>
      </c>
      <c r="U315" s="11" t="s">
        <v>994</v>
      </c>
      <c r="V315" s="11" t="s">
        <v>994</v>
      </c>
      <c r="W315" s="11" t="s">
        <v>994</v>
      </c>
      <c r="X315" s="11" t="s">
        <v>994</v>
      </c>
      <c r="Y315" s="11" t="s">
        <v>994</v>
      </c>
      <c r="Z315" s="11" t="s">
        <v>994</v>
      </c>
      <c r="AA315" s="11" t="s">
        <v>994</v>
      </c>
      <c r="AB315" s="11" t="s">
        <v>994</v>
      </c>
      <c r="AC315" s="11" t="s">
        <v>994</v>
      </c>
      <c r="AD315" s="11" t="s">
        <v>994</v>
      </c>
      <c r="AE315" s="11" t="s">
        <v>1804</v>
      </c>
    </row>
    <row r="316">
      <c r="B316" s="26" t="s">
        <v>49</v>
      </c>
      <c r="C316" s="12" t="s">
        <v>1654</v>
      </c>
      <c r="D316" s="11" t="s">
        <v>911</v>
      </c>
      <c r="E316" s="11" t="s">
        <v>912</v>
      </c>
      <c r="F316" s="12" t="s">
        <v>49</v>
      </c>
      <c r="G316" s="12" t="s">
        <v>246</v>
      </c>
      <c r="H316" s="12" t="s">
        <v>246</v>
      </c>
      <c r="I316" s="12" t="s">
        <v>111</v>
      </c>
      <c r="J316" s="12" t="s">
        <v>1035</v>
      </c>
      <c r="K316" s="12" t="s">
        <v>118</v>
      </c>
      <c r="L316" s="12" t="s">
        <v>247</v>
      </c>
      <c r="M316" s="12" t="s">
        <v>994</v>
      </c>
      <c r="N316" s="13" t="s">
        <v>913</v>
      </c>
      <c r="O316" s="11" t="s">
        <v>118</v>
      </c>
      <c r="P316" s="11" t="s">
        <v>323</v>
      </c>
      <c r="Q316" s="11" t="s">
        <v>126</v>
      </c>
      <c r="R316" s="11" t="s">
        <v>150</v>
      </c>
      <c r="S316" s="11" t="s">
        <v>994</v>
      </c>
      <c r="T316" s="11" t="s">
        <v>126</v>
      </c>
      <c r="U316" s="11" t="s">
        <v>994</v>
      </c>
      <c r="V316" s="11" t="s">
        <v>994</v>
      </c>
      <c r="W316" s="11" t="s">
        <v>994</v>
      </c>
      <c r="X316" s="11" t="s">
        <v>994</v>
      </c>
      <c r="Y316" s="11" t="s">
        <v>994</v>
      </c>
      <c r="Z316" s="11" t="s">
        <v>994</v>
      </c>
      <c r="AA316" s="11" t="s">
        <v>994</v>
      </c>
      <c r="AB316" s="11" t="s">
        <v>994</v>
      </c>
      <c r="AC316" s="11" t="s">
        <v>994</v>
      </c>
      <c r="AD316" s="11" t="s">
        <v>994</v>
      </c>
      <c r="AE316" s="11" t="s">
        <v>1804</v>
      </c>
    </row>
    <row r="317">
      <c r="B317" s="26" t="s">
        <v>49</v>
      </c>
      <c r="C317" s="12" t="s">
        <v>1655</v>
      </c>
      <c r="D317" s="11" t="s">
        <v>914</v>
      </c>
      <c r="E317" s="11" t="s">
        <v>912</v>
      </c>
      <c r="F317" s="12" t="s">
        <v>49</v>
      </c>
      <c r="G317" s="12" t="s">
        <v>246</v>
      </c>
      <c r="H317" s="12" t="s">
        <v>246</v>
      </c>
      <c r="I317" s="12" t="s">
        <v>111</v>
      </c>
      <c r="J317" s="12" t="s">
        <v>1035</v>
      </c>
      <c r="K317" s="12" t="s">
        <v>118</v>
      </c>
      <c r="L317" s="12" t="s">
        <v>247</v>
      </c>
      <c r="M317" s="12" t="s">
        <v>994</v>
      </c>
      <c r="N317" s="13" t="s">
        <v>915</v>
      </c>
      <c r="O317" s="11" t="s">
        <v>118</v>
      </c>
      <c r="P317" s="11" t="s">
        <v>323</v>
      </c>
      <c r="Q317" s="11" t="s">
        <v>126</v>
      </c>
      <c r="R317" s="11" t="s">
        <v>150</v>
      </c>
      <c r="S317" s="11" t="s">
        <v>994</v>
      </c>
      <c r="T317" s="11" t="s">
        <v>126</v>
      </c>
      <c r="U317" s="11" t="s">
        <v>994</v>
      </c>
      <c r="V317" s="11" t="s">
        <v>994</v>
      </c>
      <c r="W317" s="11" t="s">
        <v>994</v>
      </c>
      <c r="X317" s="11" t="s">
        <v>994</v>
      </c>
      <c r="Y317" s="11" t="s">
        <v>994</v>
      </c>
      <c r="Z317" s="11" t="s">
        <v>994</v>
      </c>
      <c r="AA317" s="11" t="s">
        <v>994</v>
      </c>
      <c r="AB317" s="11" t="s">
        <v>994</v>
      </c>
      <c r="AC317" s="11" t="s">
        <v>994</v>
      </c>
      <c r="AD317" s="11" t="s">
        <v>994</v>
      </c>
      <c r="AE317" s="11" t="s">
        <v>1804</v>
      </c>
    </row>
    <row r="318">
      <c r="B318" s="26" t="s">
        <v>49</v>
      </c>
      <c r="C318" s="12" t="s">
        <v>1656</v>
      </c>
      <c r="D318" s="11" t="s">
        <v>916</v>
      </c>
      <c r="E318" s="11" t="s">
        <v>912</v>
      </c>
      <c r="F318" s="12" t="s">
        <v>49</v>
      </c>
      <c r="G318" s="12" t="s">
        <v>246</v>
      </c>
      <c r="H318" s="12" t="s">
        <v>246</v>
      </c>
      <c r="I318" s="12" t="s">
        <v>111</v>
      </c>
      <c r="J318" s="12" t="s">
        <v>1035</v>
      </c>
      <c r="K318" s="12" t="s">
        <v>118</v>
      </c>
      <c r="L318" s="12" t="s">
        <v>247</v>
      </c>
      <c r="M318" s="12" t="s">
        <v>994</v>
      </c>
      <c r="N318" s="13" t="s">
        <v>917</v>
      </c>
      <c r="O318" s="11" t="s">
        <v>118</v>
      </c>
      <c r="P318" s="11" t="s">
        <v>323</v>
      </c>
      <c r="Q318" s="11" t="s">
        <v>126</v>
      </c>
      <c r="R318" s="11" t="s">
        <v>150</v>
      </c>
      <c r="S318" s="11" t="s">
        <v>994</v>
      </c>
      <c r="T318" s="11" t="s">
        <v>125</v>
      </c>
      <c r="U318" s="11" t="s">
        <v>1016</v>
      </c>
      <c r="V318" s="11" t="s">
        <v>1767</v>
      </c>
      <c r="W318" s="11" t="s">
        <v>994</v>
      </c>
      <c r="X318" s="11" t="s">
        <v>994</v>
      </c>
      <c r="Y318" s="11" t="s">
        <v>1767</v>
      </c>
      <c r="Z318" s="11" t="s">
        <v>1800</v>
      </c>
      <c r="AA318" s="11" t="s">
        <v>994</v>
      </c>
      <c r="AB318" s="11" t="s">
        <v>30</v>
      </c>
      <c r="AC318" s="11" t="s">
        <v>994</v>
      </c>
      <c r="AD318" s="11" t="s">
        <v>1210</v>
      </c>
      <c r="AE318" s="11" t="s">
        <v>995</v>
      </c>
    </row>
    <row r="319">
      <c r="B319" s="26" t="s">
        <v>49</v>
      </c>
      <c r="C319" s="12" t="s">
        <v>1657</v>
      </c>
      <c r="D319" s="11" t="s">
        <v>918</v>
      </c>
      <c r="E319" s="11" t="s">
        <v>919</v>
      </c>
      <c r="F319" s="12" t="s">
        <v>49</v>
      </c>
      <c r="G319" s="12" t="s">
        <v>246</v>
      </c>
      <c r="H319" s="12" t="s">
        <v>246</v>
      </c>
      <c r="I319" s="12" t="s">
        <v>111</v>
      </c>
      <c r="J319" s="12" t="s">
        <v>1035</v>
      </c>
      <c r="K319" s="12" t="s">
        <v>118</v>
      </c>
      <c r="L319" s="12" t="s">
        <v>247</v>
      </c>
      <c r="M319" s="12" t="s">
        <v>994</v>
      </c>
      <c r="N319" s="13" t="s">
        <v>920</v>
      </c>
      <c r="O319" s="11" t="s">
        <v>118</v>
      </c>
      <c r="P319" s="11" t="s">
        <v>323</v>
      </c>
      <c r="Q319" s="11" t="s">
        <v>125</v>
      </c>
      <c r="R319" s="11" t="s">
        <v>150</v>
      </c>
      <c r="S319" s="11" t="s">
        <v>125</v>
      </c>
      <c r="T319" s="11" t="s">
        <v>126</v>
      </c>
      <c r="U319" s="11" t="s">
        <v>38</v>
      </c>
      <c r="V319" s="11" t="s">
        <v>1765</v>
      </c>
      <c r="W319" s="11" t="s">
        <v>994</v>
      </c>
      <c r="X319" s="11" t="s">
        <v>994</v>
      </c>
      <c r="Y319" s="11" t="s">
        <v>994</v>
      </c>
      <c r="Z319" s="11" t="s">
        <v>994</v>
      </c>
      <c r="AA319" s="11" t="s">
        <v>994</v>
      </c>
      <c r="AB319" s="11" t="s">
        <v>994</v>
      </c>
      <c r="AC319" s="11" t="s">
        <v>994</v>
      </c>
      <c r="AD319" s="11" t="s">
        <v>994</v>
      </c>
      <c r="AE319" s="11" t="s">
        <v>995</v>
      </c>
    </row>
    <row r="320">
      <c r="B320" s="26" t="s">
        <v>49</v>
      </c>
      <c r="C320" s="12" t="s">
        <v>1658</v>
      </c>
      <c r="D320" s="11" t="s">
        <v>921</v>
      </c>
      <c r="E320" s="11" t="s">
        <v>919</v>
      </c>
      <c r="F320" s="12" t="s">
        <v>49</v>
      </c>
      <c r="G320" s="12" t="s">
        <v>246</v>
      </c>
      <c r="H320" s="12" t="s">
        <v>246</v>
      </c>
      <c r="I320" s="12" t="s">
        <v>111</v>
      </c>
      <c r="J320" s="12" t="s">
        <v>1035</v>
      </c>
      <c r="K320" s="12" t="s">
        <v>118</v>
      </c>
      <c r="L320" s="12" t="s">
        <v>247</v>
      </c>
      <c r="M320" s="12" t="s">
        <v>994</v>
      </c>
      <c r="N320" s="13" t="s">
        <v>922</v>
      </c>
      <c r="O320" s="11" t="s">
        <v>118</v>
      </c>
      <c r="P320" s="11" t="s">
        <v>323</v>
      </c>
      <c r="Q320" s="11" t="s">
        <v>125</v>
      </c>
      <c r="R320" s="11" t="s">
        <v>150</v>
      </c>
      <c r="S320" s="11" t="s">
        <v>125</v>
      </c>
      <c r="T320" s="11" t="s">
        <v>126</v>
      </c>
      <c r="U320" s="11" t="s">
        <v>38</v>
      </c>
      <c r="V320" s="11" t="s">
        <v>1765</v>
      </c>
      <c r="W320" s="11" t="s">
        <v>994</v>
      </c>
      <c r="X320" s="11" t="s">
        <v>994</v>
      </c>
      <c r="Y320" s="11" t="s">
        <v>994</v>
      </c>
      <c r="Z320" s="11" t="s">
        <v>994</v>
      </c>
      <c r="AA320" s="11" t="s">
        <v>994</v>
      </c>
      <c r="AB320" s="11" t="s">
        <v>994</v>
      </c>
      <c r="AC320" s="11" t="s">
        <v>994</v>
      </c>
      <c r="AD320" s="11" t="s">
        <v>994</v>
      </c>
      <c r="AE320" s="11" t="s">
        <v>995</v>
      </c>
    </row>
    <row r="321">
      <c r="B321" s="26" t="s">
        <v>49</v>
      </c>
      <c r="C321" s="12" t="s">
        <v>1659</v>
      </c>
      <c r="D321" s="11" t="s">
        <v>923</v>
      </c>
      <c r="E321" s="11" t="s">
        <v>924</v>
      </c>
      <c r="F321" s="12" t="s">
        <v>49</v>
      </c>
      <c r="G321" s="12" t="s">
        <v>246</v>
      </c>
      <c r="H321" s="12" t="s">
        <v>246</v>
      </c>
      <c r="I321" s="12" t="s">
        <v>111</v>
      </c>
      <c r="J321" s="12" t="s">
        <v>1035</v>
      </c>
      <c r="K321" s="12" t="s">
        <v>118</v>
      </c>
      <c r="L321" s="12" t="s">
        <v>247</v>
      </c>
      <c r="M321" s="12" t="s">
        <v>994</v>
      </c>
      <c r="N321" s="13" t="s">
        <v>925</v>
      </c>
      <c r="O321" s="11" t="s">
        <v>118</v>
      </c>
      <c r="P321" s="11" t="s">
        <v>323</v>
      </c>
      <c r="Q321" s="11" t="s">
        <v>126</v>
      </c>
      <c r="R321" s="11" t="s">
        <v>150</v>
      </c>
      <c r="S321" s="11" t="s">
        <v>994</v>
      </c>
      <c r="T321" s="11" t="s">
        <v>126</v>
      </c>
      <c r="U321" s="11" t="s">
        <v>994</v>
      </c>
      <c r="V321" s="11" t="s">
        <v>994</v>
      </c>
      <c r="W321" s="11" t="s">
        <v>994</v>
      </c>
      <c r="X321" s="11" t="s">
        <v>994</v>
      </c>
      <c r="Y321" s="11" t="s">
        <v>994</v>
      </c>
      <c r="Z321" s="11" t="s">
        <v>994</v>
      </c>
      <c r="AA321" s="11" t="s">
        <v>994</v>
      </c>
      <c r="AB321" s="11" t="s">
        <v>994</v>
      </c>
      <c r="AC321" s="11" t="s">
        <v>994</v>
      </c>
      <c r="AD321" s="11" t="s">
        <v>994</v>
      </c>
      <c r="AE321" s="11" t="s">
        <v>1804</v>
      </c>
    </row>
    <row r="322">
      <c r="B322" s="26" t="s">
        <v>49</v>
      </c>
      <c r="C322" s="12" t="s">
        <v>1660</v>
      </c>
      <c r="D322" s="11" t="s">
        <v>926</v>
      </c>
      <c r="E322" s="11" t="s">
        <v>927</v>
      </c>
      <c r="F322" s="12" t="s">
        <v>49</v>
      </c>
      <c r="G322" s="12" t="s">
        <v>246</v>
      </c>
      <c r="H322" s="12" t="s">
        <v>246</v>
      </c>
      <c r="I322" s="12" t="s">
        <v>111</v>
      </c>
      <c r="J322" s="12" t="s">
        <v>1035</v>
      </c>
      <c r="K322" s="12" t="s">
        <v>118</v>
      </c>
      <c r="L322" s="12" t="s">
        <v>247</v>
      </c>
      <c r="M322" s="12" t="s">
        <v>994</v>
      </c>
      <c r="N322" s="13" t="s">
        <v>928</v>
      </c>
      <c r="O322" s="11" t="s">
        <v>118</v>
      </c>
      <c r="P322" s="11" t="s">
        <v>323</v>
      </c>
      <c r="Q322" s="11" t="s">
        <v>126</v>
      </c>
      <c r="R322" s="11" t="s">
        <v>150</v>
      </c>
      <c r="S322" s="11" t="s">
        <v>994</v>
      </c>
      <c r="T322" s="11" t="s">
        <v>126</v>
      </c>
      <c r="U322" s="11" t="s">
        <v>994</v>
      </c>
      <c r="V322" s="11" t="s">
        <v>994</v>
      </c>
      <c r="W322" s="11" t="s">
        <v>994</v>
      </c>
      <c r="X322" s="11" t="s">
        <v>994</v>
      </c>
      <c r="Y322" s="11" t="s">
        <v>994</v>
      </c>
      <c r="Z322" s="11" t="s">
        <v>994</v>
      </c>
      <c r="AA322" s="11" t="s">
        <v>994</v>
      </c>
      <c r="AB322" s="11" t="s">
        <v>994</v>
      </c>
      <c r="AC322" s="11" t="s">
        <v>994</v>
      </c>
      <c r="AD322" s="11" t="s">
        <v>994</v>
      </c>
      <c r="AE322" s="11" t="s">
        <v>1804</v>
      </c>
    </row>
    <row r="323">
      <c r="B323" s="26" t="s">
        <v>49</v>
      </c>
      <c r="C323" s="12" t="s">
        <v>1661</v>
      </c>
      <c r="D323" s="11" t="s">
        <v>929</v>
      </c>
      <c r="E323" s="11" t="s">
        <v>930</v>
      </c>
      <c r="F323" s="12" t="s">
        <v>49</v>
      </c>
      <c r="G323" s="12" t="s">
        <v>246</v>
      </c>
      <c r="H323" s="12" t="s">
        <v>246</v>
      </c>
      <c r="I323" s="12" t="s">
        <v>111</v>
      </c>
      <c r="J323" s="12" t="s">
        <v>1036</v>
      </c>
      <c r="K323" s="12" t="s">
        <v>118</v>
      </c>
      <c r="L323" s="12" t="s">
        <v>247</v>
      </c>
      <c r="M323" s="12" t="s">
        <v>994</v>
      </c>
      <c r="N323" s="13" t="s">
        <v>931</v>
      </c>
      <c r="O323" s="11" t="s">
        <v>118</v>
      </c>
      <c r="P323" s="11" t="s">
        <v>323</v>
      </c>
      <c r="Q323" s="11" t="s">
        <v>126</v>
      </c>
      <c r="R323" s="11" t="s">
        <v>150</v>
      </c>
      <c r="S323" s="11" t="s">
        <v>125</v>
      </c>
      <c r="T323" s="11" t="s">
        <v>125</v>
      </c>
      <c r="U323" s="11" t="s">
        <v>38</v>
      </c>
      <c r="V323" s="11" t="s">
        <v>1764</v>
      </c>
      <c r="W323" s="11" t="s">
        <v>1378</v>
      </c>
      <c r="X323" s="11" t="s">
        <v>994</v>
      </c>
      <c r="Y323" s="11" t="s">
        <v>994</v>
      </c>
      <c r="Z323" s="11" t="s">
        <v>994</v>
      </c>
      <c r="AA323" s="11" t="s">
        <v>994</v>
      </c>
      <c r="AB323" s="11" t="s">
        <v>994</v>
      </c>
      <c r="AC323" s="11" t="s">
        <v>994</v>
      </c>
      <c r="AD323" s="11" t="s">
        <v>993</v>
      </c>
      <c r="AE323" s="11" t="s">
        <v>995</v>
      </c>
    </row>
    <row r="324">
      <c r="B324" s="26" t="s">
        <v>49</v>
      </c>
      <c r="C324" s="12" t="s">
        <v>1662</v>
      </c>
      <c r="D324" s="11" t="s">
        <v>932</v>
      </c>
      <c r="E324" s="11" t="s">
        <v>933</v>
      </c>
      <c r="F324" s="12" t="s">
        <v>49</v>
      </c>
      <c r="G324" s="12" t="s">
        <v>246</v>
      </c>
      <c r="H324" s="12" t="s">
        <v>246</v>
      </c>
      <c r="I324" s="12" t="s">
        <v>111</v>
      </c>
      <c r="J324" s="12" t="s">
        <v>1036</v>
      </c>
      <c r="K324" s="12" t="s">
        <v>118</v>
      </c>
      <c r="L324" s="12" t="s">
        <v>247</v>
      </c>
      <c r="M324" s="12" t="s">
        <v>994</v>
      </c>
      <c r="N324" s="13" t="s">
        <v>934</v>
      </c>
      <c r="O324" s="11" t="s">
        <v>118</v>
      </c>
      <c r="P324" s="11" t="s">
        <v>323</v>
      </c>
      <c r="Q324" s="11" t="s">
        <v>126</v>
      </c>
      <c r="R324" s="11" t="s">
        <v>150</v>
      </c>
      <c r="S324" s="11" t="s">
        <v>994</v>
      </c>
      <c r="T324" s="11" t="s">
        <v>126</v>
      </c>
      <c r="U324" s="11" t="s">
        <v>994</v>
      </c>
      <c r="V324" s="11" t="s">
        <v>994</v>
      </c>
      <c r="W324" s="11" t="s">
        <v>994</v>
      </c>
      <c r="X324" s="11" t="s">
        <v>994</v>
      </c>
      <c r="Y324" s="11" t="s">
        <v>994</v>
      </c>
      <c r="Z324" s="11" t="s">
        <v>994</v>
      </c>
      <c r="AA324" s="11" t="s">
        <v>994</v>
      </c>
      <c r="AB324" s="11" t="s">
        <v>994</v>
      </c>
      <c r="AC324" s="11" t="s">
        <v>994</v>
      </c>
      <c r="AD324" s="11" t="s">
        <v>994</v>
      </c>
      <c r="AE324" s="11" t="s">
        <v>1804</v>
      </c>
    </row>
    <row r="325">
      <c r="B325" s="26" t="s">
        <v>49</v>
      </c>
      <c r="C325" s="12" t="s">
        <v>1663</v>
      </c>
      <c r="D325" s="11" t="s">
        <v>935</v>
      </c>
      <c r="E325" s="11" t="s">
        <v>933</v>
      </c>
      <c r="F325" s="12" t="s">
        <v>49</v>
      </c>
      <c r="G325" s="12" t="s">
        <v>246</v>
      </c>
      <c r="H325" s="12" t="s">
        <v>246</v>
      </c>
      <c r="I325" s="12" t="s">
        <v>111</v>
      </c>
      <c r="J325" s="12" t="s">
        <v>1036</v>
      </c>
      <c r="K325" s="12" t="s">
        <v>118</v>
      </c>
      <c r="L325" s="12" t="s">
        <v>247</v>
      </c>
      <c r="M325" s="12" t="s">
        <v>994</v>
      </c>
      <c r="N325" s="13" t="s">
        <v>936</v>
      </c>
      <c r="O325" s="11" t="s">
        <v>118</v>
      </c>
      <c r="P325" s="11" t="s">
        <v>323</v>
      </c>
      <c r="Q325" s="11" t="s">
        <v>126</v>
      </c>
      <c r="R325" s="11" t="s">
        <v>150</v>
      </c>
      <c r="S325" s="11" t="s">
        <v>994</v>
      </c>
      <c r="T325" s="11" t="s">
        <v>126</v>
      </c>
      <c r="U325" s="11" t="s">
        <v>994</v>
      </c>
      <c r="V325" s="11" t="s">
        <v>994</v>
      </c>
      <c r="W325" s="11" t="s">
        <v>994</v>
      </c>
      <c r="X325" s="11" t="s">
        <v>994</v>
      </c>
      <c r="Y325" s="11" t="s">
        <v>994</v>
      </c>
      <c r="Z325" s="11" t="s">
        <v>994</v>
      </c>
      <c r="AA325" s="11" t="s">
        <v>994</v>
      </c>
      <c r="AB325" s="11" t="s">
        <v>994</v>
      </c>
      <c r="AC325" s="11" t="s">
        <v>994</v>
      </c>
      <c r="AD325" s="11" t="s">
        <v>994</v>
      </c>
      <c r="AE325" s="11" t="s">
        <v>1804</v>
      </c>
    </row>
    <row r="326">
      <c r="B326" s="26" t="s">
        <v>49</v>
      </c>
      <c r="C326" s="12" t="s">
        <v>1664</v>
      </c>
      <c r="D326" s="11" t="s">
        <v>937</v>
      </c>
      <c r="E326" s="11" t="s">
        <v>938</v>
      </c>
      <c r="F326" s="12" t="s">
        <v>49</v>
      </c>
      <c r="G326" s="12" t="s">
        <v>246</v>
      </c>
      <c r="H326" s="12" t="s">
        <v>246</v>
      </c>
      <c r="I326" s="12" t="s">
        <v>111</v>
      </c>
      <c r="J326" s="12" t="s">
        <v>1036</v>
      </c>
      <c r="K326" s="12" t="s">
        <v>118</v>
      </c>
      <c r="L326" s="12" t="s">
        <v>247</v>
      </c>
      <c r="M326" s="12" t="s">
        <v>994</v>
      </c>
      <c r="N326" s="13" t="s">
        <v>939</v>
      </c>
      <c r="O326" s="11" t="s">
        <v>118</v>
      </c>
      <c r="P326" s="11" t="s">
        <v>323</v>
      </c>
      <c r="Q326" s="11" t="s">
        <v>126</v>
      </c>
      <c r="R326" s="11" t="s">
        <v>150</v>
      </c>
      <c r="S326" s="11" t="s">
        <v>994</v>
      </c>
      <c r="T326" s="11" t="s">
        <v>126</v>
      </c>
      <c r="U326" s="11" t="s">
        <v>994</v>
      </c>
      <c r="V326" s="11" t="s">
        <v>994</v>
      </c>
      <c r="W326" s="11" t="s">
        <v>994</v>
      </c>
      <c r="X326" s="11" t="s">
        <v>994</v>
      </c>
      <c r="Y326" s="11" t="s">
        <v>994</v>
      </c>
      <c r="Z326" s="11" t="s">
        <v>994</v>
      </c>
      <c r="AA326" s="11" t="s">
        <v>994</v>
      </c>
      <c r="AB326" s="11" t="s">
        <v>994</v>
      </c>
      <c r="AC326" s="11" t="s">
        <v>994</v>
      </c>
      <c r="AD326" s="11" t="s">
        <v>994</v>
      </c>
      <c r="AE326" s="11" t="s">
        <v>1804</v>
      </c>
    </row>
    <row r="327">
      <c r="B327" s="26" t="s">
        <v>49</v>
      </c>
      <c r="C327" s="12" t="s">
        <v>1665</v>
      </c>
      <c r="D327" s="11" t="s">
        <v>940</v>
      </c>
      <c r="E327" s="11" t="s">
        <v>941</v>
      </c>
      <c r="F327" s="12" t="s">
        <v>49</v>
      </c>
      <c r="G327" s="12" t="s">
        <v>246</v>
      </c>
      <c r="H327" s="12" t="s">
        <v>246</v>
      </c>
      <c r="I327" s="12" t="s">
        <v>111</v>
      </c>
      <c r="J327" s="12" t="s">
        <v>1035</v>
      </c>
      <c r="K327" s="12" t="s">
        <v>118</v>
      </c>
      <c r="L327" s="12" t="s">
        <v>247</v>
      </c>
      <c r="M327" s="12" t="s">
        <v>994</v>
      </c>
      <c r="N327" s="13" t="s">
        <v>942</v>
      </c>
      <c r="O327" s="11" t="s">
        <v>118</v>
      </c>
      <c r="P327" s="11" t="s">
        <v>323</v>
      </c>
      <c r="Q327" s="11" t="s">
        <v>126</v>
      </c>
      <c r="R327" s="11" t="s">
        <v>150</v>
      </c>
      <c r="S327" s="11" t="s">
        <v>994</v>
      </c>
      <c r="T327" s="11" t="s">
        <v>126</v>
      </c>
      <c r="U327" s="11" t="s">
        <v>994</v>
      </c>
      <c r="V327" s="11" t="s">
        <v>994</v>
      </c>
      <c r="W327" s="11" t="s">
        <v>994</v>
      </c>
      <c r="X327" s="11" t="s">
        <v>994</v>
      </c>
      <c r="Y327" s="11" t="s">
        <v>994</v>
      </c>
      <c r="Z327" s="11" t="s">
        <v>994</v>
      </c>
      <c r="AA327" s="11" t="s">
        <v>994</v>
      </c>
      <c r="AB327" s="11" t="s">
        <v>994</v>
      </c>
      <c r="AC327" s="11" t="s">
        <v>994</v>
      </c>
      <c r="AD327" s="11" t="s">
        <v>994</v>
      </c>
      <c r="AE327" s="11" t="s">
        <v>1804</v>
      </c>
    </row>
    <row r="328">
      <c r="B328" s="26" t="s">
        <v>49</v>
      </c>
      <c r="C328" s="12" t="s">
        <v>1666</v>
      </c>
      <c r="D328" s="11" t="s">
        <v>943</v>
      </c>
      <c r="E328" s="11" t="s">
        <v>944</v>
      </c>
      <c r="F328" s="12" t="s">
        <v>49</v>
      </c>
      <c r="G328" s="12" t="s">
        <v>246</v>
      </c>
      <c r="H328" s="12" t="s">
        <v>246</v>
      </c>
      <c r="I328" s="12" t="s">
        <v>111</v>
      </c>
      <c r="J328" s="12" t="s">
        <v>1035</v>
      </c>
      <c r="K328" s="12" t="s">
        <v>118</v>
      </c>
      <c r="L328" s="12" t="s">
        <v>247</v>
      </c>
      <c r="M328" s="12" t="s">
        <v>994</v>
      </c>
      <c r="N328" s="13" t="s">
        <v>945</v>
      </c>
      <c r="O328" s="11" t="s">
        <v>118</v>
      </c>
      <c r="P328" s="11" t="s">
        <v>323</v>
      </c>
      <c r="Q328" s="11" t="s">
        <v>126</v>
      </c>
      <c r="R328" s="11" t="s">
        <v>150</v>
      </c>
      <c r="S328" s="11" t="s">
        <v>994</v>
      </c>
      <c r="T328" s="11" t="s">
        <v>126</v>
      </c>
      <c r="U328" s="11" t="s">
        <v>994</v>
      </c>
      <c r="V328" s="11" t="s">
        <v>994</v>
      </c>
      <c r="W328" s="11" t="s">
        <v>994</v>
      </c>
      <c r="X328" s="11" t="s">
        <v>994</v>
      </c>
      <c r="Y328" s="11" t="s">
        <v>994</v>
      </c>
      <c r="Z328" s="11" t="s">
        <v>994</v>
      </c>
      <c r="AA328" s="11" t="s">
        <v>994</v>
      </c>
      <c r="AB328" s="11" t="s">
        <v>994</v>
      </c>
      <c r="AC328" s="11" t="s">
        <v>994</v>
      </c>
      <c r="AD328" s="11" t="s">
        <v>994</v>
      </c>
      <c r="AE328" s="11" t="s">
        <v>1804</v>
      </c>
    </row>
    <row r="329">
      <c r="B329" s="26" t="s">
        <v>49</v>
      </c>
      <c r="C329" s="12" t="s">
        <v>1667</v>
      </c>
      <c r="D329" s="11" t="s">
        <v>946</v>
      </c>
      <c r="E329" s="11" t="s">
        <v>947</v>
      </c>
      <c r="F329" s="12" t="s">
        <v>49</v>
      </c>
      <c r="G329" s="12" t="s">
        <v>246</v>
      </c>
      <c r="H329" s="12" t="s">
        <v>246</v>
      </c>
      <c r="I329" s="12" t="s">
        <v>111</v>
      </c>
      <c r="J329" s="12" t="s">
        <v>1035</v>
      </c>
      <c r="K329" s="12" t="s">
        <v>118</v>
      </c>
      <c r="L329" s="12" t="s">
        <v>247</v>
      </c>
      <c r="M329" s="12" t="s">
        <v>994</v>
      </c>
      <c r="N329" s="13" t="s">
        <v>948</v>
      </c>
      <c r="O329" s="11" t="s">
        <v>118</v>
      </c>
      <c r="P329" s="11" t="s">
        <v>323</v>
      </c>
      <c r="Q329" s="11" t="s">
        <v>125</v>
      </c>
      <c r="R329" s="11" t="s">
        <v>150</v>
      </c>
      <c r="S329" s="11" t="s">
        <v>125</v>
      </c>
      <c r="T329" s="11" t="s">
        <v>126</v>
      </c>
      <c r="U329" s="11" t="s">
        <v>38</v>
      </c>
      <c r="V329" s="11" t="s">
        <v>1765</v>
      </c>
      <c r="W329" s="11" t="s">
        <v>994</v>
      </c>
      <c r="X329" s="11" t="s">
        <v>994</v>
      </c>
      <c r="Y329" s="11" t="s">
        <v>994</v>
      </c>
      <c r="Z329" s="11" t="s">
        <v>994</v>
      </c>
      <c r="AA329" s="11" t="s">
        <v>994</v>
      </c>
      <c r="AB329" s="11" t="s">
        <v>994</v>
      </c>
      <c r="AC329" s="11" t="s">
        <v>994</v>
      </c>
      <c r="AD329" s="11" t="s">
        <v>994</v>
      </c>
      <c r="AE329" s="11" t="s">
        <v>995</v>
      </c>
    </row>
    <row r="330">
      <c r="B330" s="26" t="s">
        <v>291</v>
      </c>
      <c r="C330" s="12" t="s">
        <v>1668</v>
      </c>
      <c r="D330" s="11" t="s">
        <v>1043</v>
      </c>
      <c r="E330" s="11" t="s">
        <v>307</v>
      </c>
      <c r="F330" s="12" t="s">
        <v>291</v>
      </c>
      <c r="G330" s="12" t="s">
        <v>246</v>
      </c>
      <c r="H330" s="12" t="s">
        <v>246</v>
      </c>
      <c r="I330" s="12" t="s">
        <v>430</v>
      </c>
      <c r="J330" s="12" t="s">
        <v>71</v>
      </c>
      <c r="K330" s="12" t="s">
        <v>191</v>
      </c>
      <c r="L330" s="12" t="s">
        <v>247</v>
      </c>
      <c r="M330" s="12" t="s">
        <v>994</v>
      </c>
      <c r="N330" s="13" t="s">
        <v>1081</v>
      </c>
      <c r="O330" s="11" t="s">
        <v>309</v>
      </c>
      <c r="P330" s="11" t="s">
        <v>323</v>
      </c>
      <c r="Q330" s="11" t="s">
        <v>125</v>
      </c>
      <c r="R330" s="11" t="s">
        <v>150</v>
      </c>
      <c r="S330" s="11" t="s">
        <v>125</v>
      </c>
      <c r="T330" s="11" t="s">
        <v>126</v>
      </c>
      <c r="U330" s="11" t="s">
        <v>38</v>
      </c>
      <c r="V330" s="11" t="s">
        <v>1765</v>
      </c>
      <c r="W330" s="11" t="s">
        <v>994</v>
      </c>
      <c r="X330" s="11" t="s">
        <v>994</v>
      </c>
      <c r="Y330" s="11" t="s">
        <v>994</v>
      </c>
      <c r="Z330" s="11" t="s">
        <v>994</v>
      </c>
      <c r="AA330" s="11" t="s">
        <v>994</v>
      </c>
      <c r="AB330" s="11" t="s">
        <v>994</v>
      </c>
      <c r="AC330" s="11" t="s">
        <v>994</v>
      </c>
      <c r="AD330" s="11" t="s">
        <v>994</v>
      </c>
      <c r="AE330" s="11" t="s">
        <v>995</v>
      </c>
    </row>
    <row r="331">
      <c r="B331" s="26" t="s">
        <v>291</v>
      </c>
      <c r="C331" s="12" t="s">
        <v>1669</v>
      </c>
      <c r="D331" s="11" t="s">
        <v>1044</v>
      </c>
      <c r="E331" s="11" t="s">
        <v>93</v>
      </c>
      <c r="F331" s="12" t="s">
        <v>291</v>
      </c>
      <c r="G331" s="12" t="s">
        <v>246</v>
      </c>
      <c r="H331" s="12" t="s">
        <v>246</v>
      </c>
      <c r="I331" s="12" t="s">
        <v>430</v>
      </c>
      <c r="J331" s="12" t="s">
        <v>93</v>
      </c>
      <c r="K331" s="12" t="s">
        <v>1025</v>
      </c>
      <c r="L331" s="12" t="s">
        <v>247</v>
      </c>
      <c r="M331" s="12" t="s">
        <v>994</v>
      </c>
      <c r="N331" s="13" t="s">
        <v>1752</v>
      </c>
      <c r="O331" s="11" t="s">
        <v>532</v>
      </c>
      <c r="P331" s="11" t="s">
        <v>323</v>
      </c>
      <c r="Q331" s="11" t="s">
        <v>125</v>
      </c>
      <c r="R331" s="11" t="s">
        <v>150</v>
      </c>
      <c r="S331" s="11" t="s">
        <v>994</v>
      </c>
      <c r="T331" s="11" t="s">
        <v>126</v>
      </c>
      <c r="U331" s="11" t="s">
        <v>994</v>
      </c>
      <c r="V331" s="11" t="s">
        <v>994</v>
      </c>
      <c r="W331" s="11" t="s">
        <v>994</v>
      </c>
      <c r="X331" s="11" t="s">
        <v>994</v>
      </c>
      <c r="Y331" s="11" t="s">
        <v>994</v>
      </c>
      <c r="Z331" s="11" t="s">
        <v>994</v>
      </c>
      <c r="AA331" s="11" t="s">
        <v>994</v>
      </c>
      <c r="AB331" s="11" t="s">
        <v>994</v>
      </c>
      <c r="AC331" s="11" t="s">
        <v>994</v>
      </c>
      <c r="AD331" s="11" t="s">
        <v>994</v>
      </c>
      <c r="AE331" s="11" t="s">
        <v>1804</v>
      </c>
    </row>
    <row r="332">
      <c r="B332" s="26" t="s">
        <v>291</v>
      </c>
      <c r="C332" s="12" t="s">
        <v>1670</v>
      </c>
      <c r="D332" s="11" t="s">
        <v>1298</v>
      </c>
      <c r="E332" s="11" t="s">
        <v>1062</v>
      </c>
      <c r="F332" s="12" t="s">
        <v>291</v>
      </c>
      <c r="G332" s="12" t="s">
        <v>246</v>
      </c>
      <c r="H332" s="12" t="s">
        <v>246</v>
      </c>
      <c r="I332" s="12" t="s">
        <v>37</v>
      </c>
      <c r="J332" s="12" t="s">
        <v>1018</v>
      </c>
      <c r="K332" s="12" t="s">
        <v>1024</v>
      </c>
      <c r="L332" s="12" t="s">
        <v>247</v>
      </c>
      <c r="M332" s="12" t="s">
        <v>994</v>
      </c>
      <c r="N332" s="13" t="s">
        <v>1082</v>
      </c>
      <c r="O332" s="11" t="s">
        <v>118</v>
      </c>
      <c r="P332" s="11" t="s">
        <v>323</v>
      </c>
      <c r="Q332" s="11" t="s">
        <v>126</v>
      </c>
      <c r="R332" s="11" t="s">
        <v>150</v>
      </c>
      <c r="S332" s="11" t="s">
        <v>994</v>
      </c>
      <c r="T332" s="11" t="s">
        <v>126</v>
      </c>
      <c r="U332" s="11" t="s">
        <v>994</v>
      </c>
      <c r="V332" s="11" t="s">
        <v>994</v>
      </c>
      <c r="W332" s="11" t="s">
        <v>994</v>
      </c>
      <c r="X332" s="11" t="s">
        <v>994</v>
      </c>
      <c r="Y332" s="11" t="s">
        <v>994</v>
      </c>
      <c r="Z332" s="11" t="s">
        <v>994</v>
      </c>
      <c r="AA332" s="11" t="s">
        <v>994</v>
      </c>
      <c r="AB332" s="11" t="s">
        <v>994</v>
      </c>
      <c r="AC332" s="11" t="s">
        <v>994</v>
      </c>
      <c r="AD332" s="11" t="s">
        <v>994</v>
      </c>
      <c r="AE332" s="11" t="s">
        <v>1804</v>
      </c>
    </row>
    <row r="333">
      <c r="B333" s="26" t="s">
        <v>291</v>
      </c>
      <c r="C333" s="12" t="s">
        <v>1671</v>
      </c>
      <c r="D333" s="11" t="s">
        <v>1299</v>
      </c>
      <c r="E333" s="11" t="s">
        <v>1063</v>
      </c>
      <c r="F333" s="12" t="s">
        <v>291</v>
      </c>
      <c r="G333" s="12" t="s">
        <v>246</v>
      </c>
      <c r="H333" s="12" t="s">
        <v>246</v>
      </c>
      <c r="I333" s="12" t="s">
        <v>111</v>
      </c>
      <c r="J333" s="12" t="s">
        <v>1036</v>
      </c>
      <c r="K333" s="12" t="s">
        <v>118</v>
      </c>
      <c r="L333" s="12" t="s">
        <v>247</v>
      </c>
      <c r="M333" s="12" t="s">
        <v>994</v>
      </c>
      <c r="N333" s="13" t="s">
        <v>1300</v>
      </c>
      <c r="O333" s="11" t="s">
        <v>118</v>
      </c>
      <c r="P333" s="11" t="s">
        <v>323</v>
      </c>
      <c r="Q333" s="11" t="s">
        <v>126</v>
      </c>
      <c r="R333" s="11" t="s">
        <v>150</v>
      </c>
      <c r="S333" s="11" t="s">
        <v>994</v>
      </c>
      <c r="T333" s="11" t="s">
        <v>126</v>
      </c>
      <c r="U333" s="11" t="s">
        <v>994</v>
      </c>
      <c r="V333" s="11" t="s">
        <v>994</v>
      </c>
      <c r="W333" s="11" t="s">
        <v>994</v>
      </c>
      <c r="X333" s="11" t="s">
        <v>994</v>
      </c>
      <c r="Y333" s="11" t="s">
        <v>994</v>
      </c>
      <c r="Z333" s="11" t="s">
        <v>994</v>
      </c>
      <c r="AA333" s="11" t="s">
        <v>994</v>
      </c>
      <c r="AB333" s="11" t="s">
        <v>994</v>
      </c>
      <c r="AC333" s="11" t="s">
        <v>994</v>
      </c>
      <c r="AD333" s="11" t="s">
        <v>994</v>
      </c>
      <c r="AE333" s="11" t="s">
        <v>1804</v>
      </c>
    </row>
    <row r="334">
      <c r="B334" s="26" t="s">
        <v>291</v>
      </c>
      <c r="C334" s="12" t="s">
        <v>1672</v>
      </c>
      <c r="D334" s="11" t="s">
        <v>1301</v>
      </c>
      <c r="E334" s="11" t="s">
        <v>1064</v>
      </c>
      <c r="F334" s="12" t="s">
        <v>291</v>
      </c>
      <c r="G334" s="12" t="s">
        <v>246</v>
      </c>
      <c r="H334" s="12" t="s">
        <v>246</v>
      </c>
      <c r="I334" s="12" t="s">
        <v>37</v>
      </c>
      <c r="J334" s="12" t="s">
        <v>1018</v>
      </c>
      <c r="K334" s="12" t="s">
        <v>1022</v>
      </c>
      <c r="L334" s="12" t="s">
        <v>247</v>
      </c>
      <c r="M334" s="12" t="s">
        <v>994</v>
      </c>
      <c r="N334" s="13" t="s">
        <v>1083</v>
      </c>
      <c r="O334" s="11" t="s">
        <v>118</v>
      </c>
      <c r="P334" s="11" t="s">
        <v>323</v>
      </c>
      <c r="Q334" s="11" t="s">
        <v>126</v>
      </c>
      <c r="R334" s="11" t="s">
        <v>150</v>
      </c>
      <c r="S334" s="11" t="s">
        <v>994</v>
      </c>
      <c r="T334" s="11" t="s">
        <v>126</v>
      </c>
      <c r="U334" s="11" t="s">
        <v>994</v>
      </c>
      <c r="V334" s="11" t="s">
        <v>994</v>
      </c>
      <c r="W334" s="11" t="s">
        <v>994</v>
      </c>
      <c r="X334" s="11" t="s">
        <v>994</v>
      </c>
      <c r="Y334" s="11" t="s">
        <v>994</v>
      </c>
      <c r="Z334" s="11" t="s">
        <v>994</v>
      </c>
      <c r="AA334" s="11" t="s">
        <v>994</v>
      </c>
      <c r="AB334" s="11" t="s">
        <v>994</v>
      </c>
      <c r="AC334" s="11" t="s">
        <v>994</v>
      </c>
      <c r="AD334" s="11" t="s">
        <v>994</v>
      </c>
      <c r="AE334" s="11" t="s">
        <v>1804</v>
      </c>
    </row>
    <row r="335">
      <c r="B335" s="26" t="s">
        <v>291</v>
      </c>
      <c r="C335" s="12" t="s">
        <v>1673</v>
      </c>
      <c r="D335" s="11" t="s">
        <v>1302</v>
      </c>
      <c r="E335" s="11" t="s">
        <v>1065</v>
      </c>
      <c r="F335" s="12" t="s">
        <v>291</v>
      </c>
      <c r="G335" s="12" t="s">
        <v>246</v>
      </c>
      <c r="H335" s="12" t="s">
        <v>246</v>
      </c>
      <c r="I335" s="12" t="s">
        <v>37</v>
      </c>
      <c r="J335" s="12" t="s">
        <v>1018</v>
      </c>
      <c r="K335" s="12" t="s">
        <v>1024</v>
      </c>
      <c r="L335" s="12" t="s">
        <v>247</v>
      </c>
      <c r="M335" s="12" t="s">
        <v>994</v>
      </c>
      <c r="N335" s="13" t="s">
        <v>1303</v>
      </c>
      <c r="O335" s="11" t="s">
        <v>118</v>
      </c>
      <c r="P335" s="11" t="s">
        <v>323</v>
      </c>
      <c r="Q335" s="11" t="s">
        <v>126</v>
      </c>
      <c r="R335" s="11" t="s">
        <v>150</v>
      </c>
      <c r="S335" s="11" t="s">
        <v>994</v>
      </c>
      <c r="T335" s="11" t="s">
        <v>126</v>
      </c>
      <c r="U335" s="11" t="s">
        <v>994</v>
      </c>
      <c r="V335" s="11" t="s">
        <v>994</v>
      </c>
      <c r="W335" s="11" t="s">
        <v>994</v>
      </c>
      <c r="X335" s="11" t="s">
        <v>994</v>
      </c>
      <c r="Y335" s="11" t="s">
        <v>994</v>
      </c>
      <c r="Z335" s="11" t="s">
        <v>994</v>
      </c>
      <c r="AA335" s="11" t="s">
        <v>994</v>
      </c>
      <c r="AB335" s="11" t="s">
        <v>994</v>
      </c>
      <c r="AC335" s="11" t="s">
        <v>994</v>
      </c>
      <c r="AD335" s="11" t="s">
        <v>994</v>
      </c>
      <c r="AE335" s="11" t="s">
        <v>1804</v>
      </c>
    </row>
    <row r="336">
      <c r="B336" s="26" t="s">
        <v>416</v>
      </c>
      <c r="C336" s="12" t="s">
        <v>1674</v>
      </c>
      <c r="D336" s="11" t="s">
        <v>1045</v>
      </c>
      <c r="E336" s="11" t="s">
        <v>93</v>
      </c>
      <c r="F336" s="12" t="s">
        <v>416</v>
      </c>
      <c r="G336" s="12" t="s">
        <v>246</v>
      </c>
      <c r="H336" s="12" t="s">
        <v>246</v>
      </c>
      <c r="I336" s="12" t="s">
        <v>430</v>
      </c>
      <c r="J336" s="12" t="s">
        <v>93</v>
      </c>
      <c r="K336" s="12" t="s">
        <v>1025</v>
      </c>
      <c r="L336" s="12" t="s">
        <v>247</v>
      </c>
      <c r="M336" s="12" t="s">
        <v>994</v>
      </c>
      <c r="N336" s="13" t="s">
        <v>1084</v>
      </c>
      <c r="O336" s="11" t="s">
        <v>532</v>
      </c>
      <c r="P336" s="11" t="s">
        <v>323</v>
      </c>
      <c r="Q336" s="11" t="s">
        <v>125</v>
      </c>
      <c r="R336" s="11" t="s">
        <v>150</v>
      </c>
      <c r="S336" s="11" t="s">
        <v>125</v>
      </c>
      <c r="T336" s="11" t="s">
        <v>126</v>
      </c>
      <c r="U336" s="11" t="s">
        <v>38</v>
      </c>
      <c r="V336" s="11" t="s">
        <v>1765</v>
      </c>
      <c r="W336" s="11" t="s">
        <v>994</v>
      </c>
      <c r="X336" s="11" t="s">
        <v>994</v>
      </c>
      <c r="Y336" s="11" t="s">
        <v>994</v>
      </c>
      <c r="Z336" s="11" t="s">
        <v>994</v>
      </c>
      <c r="AA336" s="11" t="s">
        <v>994</v>
      </c>
      <c r="AB336" s="11" t="s">
        <v>994</v>
      </c>
      <c r="AC336" s="11" t="s">
        <v>994</v>
      </c>
      <c r="AD336" s="11" t="s">
        <v>994</v>
      </c>
      <c r="AE336" s="11" t="s">
        <v>995</v>
      </c>
    </row>
    <row r="337">
      <c r="B337" s="26" t="s">
        <v>416</v>
      </c>
      <c r="C337" s="12" t="s">
        <v>1675</v>
      </c>
      <c r="D337" s="11" t="s">
        <v>1046</v>
      </c>
      <c r="E337" s="11" t="s">
        <v>661</v>
      </c>
      <c r="F337" s="12" t="s">
        <v>416</v>
      </c>
      <c r="G337" s="12" t="s">
        <v>246</v>
      </c>
      <c r="H337" s="12" t="s">
        <v>246</v>
      </c>
      <c r="I337" s="12" t="s">
        <v>430</v>
      </c>
      <c r="J337" s="12" t="s">
        <v>71</v>
      </c>
      <c r="K337" s="12" t="s">
        <v>1028</v>
      </c>
      <c r="L337" s="12" t="s">
        <v>247</v>
      </c>
      <c r="M337" s="12" t="s">
        <v>994</v>
      </c>
      <c r="N337" s="13" t="s">
        <v>1085</v>
      </c>
      <c r="O337" s="11" t="s">
        <v>118</v>
      </c>
      <c r="P337" s="11" t="s">
        <v>323</v>
      </c>
      <c r="Q337" s="11" t="s">
        <v>125</v>
      </c>
      <c r="R337" s="11" t="s">
        <v>150</v>
      </c>
      <c r="S337" s="11" t="s">
        <v>125</v>
      </c>
      <c r="T337" s="11" t="s">
        <v>125</v>
      </c>
      <c r="U337" s="11" t="s">
        <v>1016</v>
      </c>
      <c r="V337" s="11" t="s">
        <v>1765</v>
      </c>
      <c r="W337" s="11" t="s">
        <v>994</v>
      </c>
      <c r="X337" s="11" t="s">
        <v>994</v>
      </c>
      <c r="Y337" s="11" t="s">
        <v>994</v>
      </c>
      <c r="Z337" s="11" t="s">
        <v>1801</v>
      </c>
      <c r="AA337" s="11" t="s">
        <v>994</v>
      </c>
      <c r="AB337" s="11" t="s">
        <v>30</v>
      </c>
      <c r="AC337" s="11" t="s">
        <v>994</v>
      </c>
      <c r="AD337" s="11" t="s">
        <v>994</v>
      </c>
      <c r="AE337" s="11" t="s">
        <v>995</v>
      </c>
    </row>
    <row r="338">
      <c r="B338" s="26" t="s">
        <v>308</v>
      </c>
      <c r="C338" s="12" t="s">
        <v>1676</v>
      </c>
      <c r="D338" s="11" t="s">
        <v>1304</v>
      </c>
      <c r="E338" s="11" t="s">
        <v>1066</v>
      </c>
      <c r="F338" s="12" t="s">
        <v>308</v>
      </c>
      <c r="G338" s="12" t="s">
        <v>246</v>
      </c>
      <c r="H338" s="12" t="s">
        <v>246</v>
      </c>
      <c r="I338" s="12" t="s">
        <v>111</v>
      </c>
      <c r="J338" s="12" t="s">
        <v>1036</v>
      </c>
      <c r="K338" s="12" t="s">
        <v>118</v>
      </c>
      <c r="L338" s="12" t="s">
        <v>247</v>
      </c>
      <c r="M338" s="12" t="s">
        <v>994</v>
      </c>
      <c r="N338" s="13" t="s">
        <v>1305</v>
      </c>
      <c r="O338" s="11" t="s">
        <v>118</v>
      </c>
      <c r="P338" s="11" t="s">
        <v>323</v>
      </c>
      <c r="Q338" s="11" t="s">
        <v>126</v>
      </c>
      <c r="R338" s="11" t="s">
        <v>150</v>
      </c>
      <c r="S338" s="11" t="s">
        <v>994</v>
      </c>
      <c r="T338" s="11" t="s">
        <v>126</v>
      </c>
      <c r="U338" s="11" t="s">
        <v>994</v>
      </c>
      <c r="V338" s="11" t="s">
        <v>994</v>
      </c>
      <c r="W338" s="11" t="s">
        <v>994</v>
      </c>
      <c r="X338" s="11" t="s">
        <v>994</v>
      </c>
      <c r="Y338" s="11" t="s">
        <v>994</v>
      </c>
      <c r="Z338" s="11" t="s">
        <v>994</v>
      </c>
      <c r="AA338" s="11" t="s">
        <v>994</v>
      </c>
      <c r="AB338" s="11" t="s">
        <v>994</v>
      </c>
      <c r="AC338" s="11" t="s">
        <v>994</v>
      </c>
      <c r="AD338" s="11" t="s">
        <v>994</v>
      </c>
      <c r="AE338" s="11" t="s">
        <v>1804</v>
      </c>
    </row>
    <row r="339">
      <c r="B339" s="26" t="s">
        <v>314</v>
      </c>
      <c r="C339" s="12" t="s">
        <v>1677</v>
      </c>
      <c r="D339" s="11" t="s">
        <v>438</v>
      </c>
      <c r="E339" s="11" t="s">
        <v>429</v>
      </c>
      <c r="F339" s="12" t="s">
        <v>314</v>
      </c>
      <c r="G339" s="12" t="s">
        <v>246</v>
      </c>
      <c r="H339" s="12" t="s">
        <v>246</v>
      </c>
      <c r="I339" s="12" t="s">
        <v>430</v>
      </c>
      <c r="J339" s="12" t="s">
        <v>20</v>
      </c>
      <c r="K339" s="12" t="s">
        <v>1025</v>
      </c>
      <c r="L339" s="12" t="s">
        <v>247</v>
      </c>
      <c r="M339" s="12" t="s">
        <v>994</v>
      </c>
      <c r="N339" s="13" t="s">
        <v>440</v>
      </c>
      <c r="O339" s="11" t="s">
        <v>1091</v>
      </c>
      <c r="P339" s="11" t="s">
        <v>323</v>
      </c>
      <c r="Q339" s="11" t="s">
        <v>125</v>
      </c>
      <c r="R339" s="11" t="s">
        <v>150</v>
      </c>
      <c r="S339" s="11" t="s">
        <v>994</v>
      </c>
      <c r="T339" s="11" t="s">
        <v>125</v>
      </c>
      <c r="U339" s="11" t="s">
        <v>38</v>
      </c>
      <c r="V339" s="11" t="s">
        <v>1378</v>
      </c>
      <c r="W339" s="11" t="s">
        <v>994</v>
      </c>
      <c r="X339" s="11" t="s">
        <v>994</v>
      </c>
      <c r="Y339" s="11" t="s">
        <v>994</v>
      </c>
      <c r="Z339" s="11" t="s">
        <v>994</v>
      </c>
      <c r="AA339" s="11" t="s">
        <v>994</v>
      </c>
      <c r="AB339" s="11" t="s">
        <v>994</v>
      </c>
      <c r="AC339" s="11" t="s">
        <v>994</v>
      </c>
      <c r="AD339" s="11" t="s">
        <v>994</v>
      </c>
      <c r="AE339" s="11" t="s">
        <v>995</v>
      </c>
    </row>
    <row r="340">
      <c r="B340" s="26" t="s">
        <v>49</v>
      </c>
      <c r="C340" s="12" t="s">
        <v>1678</v>
      </c>
      <c r="D340" s="11" t="s">
        <v>1047</v>
      </c>
      <c r="E340" s="11" t="s">
        <v>1067</v>
      </c>
      <c r="F340" s="12" t="s">
        <v>49</v>
      </c>
      <c r="G340" s="12" t="s">
        <v>246</v>
      </c>
      <c r="H340" s="12" t="s">
        <v>246</v>
      </c>
      <c r="I340" s="12" t="s">
        <v>82</v>
      </c>
      <c r="J340" s="12" t="s">
        <v>1011</v>
      </c>
      <c r="K340" s="12" t="s">
        <v>118</v>
      </c>
      <c r="L340" s="12" t="s">
        <v>247</v>
      </c>
      <c r="M340" s="12" t="s">
        <v>994</v>
      </c>
      <c r="N340" s="13" t="s">
        <v>1086</v>
      </c>
      <c r="O340" s="11" t="s">
        <v>118</v>
      </c>
      <c r="P340" s="11" t="s">
        <v>323</v>
      </c>
      <c r="Q340" s="11" t="s">
        <v>126</v>
      </c>
      <c r="R340" s="11" t="s">
        <v>150</v>
      </c>
      <c r="S340" s="11" t="s">
        <v>125</v>
      </c>
      <c r="T340" s="11" t="s">
        <v>126</v>
      </c>
      <c r="U340" s="11" t="s">
        <v>38</v>
      </c>
      <c r="V340" s="11" t="s">
        <v>1765</v>
      </c>
      <c r="W340" s="11" t="s">
        <v>994</v>
      </c>
      <c r="X340" s="11" t="s">
        <v>994</v>
      </c>
      <c r="Y340" s="11" t="s">
        <v>994</v>
      </c>
      <c r="Z340" s="11" t="s">
        <v>994</v>
      </c>
      <c r="AA340" s="11" t="s">
        <v>994</v>
      </c>
      <c r="AB340" s="11" t="s">
        <v>994</v>
      </c>
      <c r="AC340" s="11" t="s">
        <v>994</v>
      </c>
      <c r="AD340" s="11" t="s">
        <v>994</v>
      </c>
      <c r="AE340" s="11" t="s">
        <v>995</v>
      </c>
    </row>
    <row r="341">
      <c r="B341" s="26" t="s">
        <v>49</v>
      </c>
      <c r="C341" s="12" t="s">
        <v>1679</v>
      </c>
      <c r="D341" s="11" t="s">
        <v>1048</v>
      </c>
      <c r="E341" s="11" t="s">
        <v>282</v>
      </c>
      <c r="F341" s="12" t="s">
        <v>49</v>
      </c>
      <c r="G341" s="12" t="s">
        <v>246</v>
      </c>
      <c r="H341" s="12" t="s">
        <v>246</v>
      </c>
      <c r="I341" s="12" t="s">
        <v>82</v>
      </c>
      <c r="J341" s="12" t="s">
        <v>1011</v>
      </c>
      <c r="K341" s="12" t="s">
        <v>118</v>
      </c>
      <c r="L341" s="12" t="s">
        <v>247</v>
      </c>
      <c r="M341" s="12" t="s">
        <v>994</v>
      </c>
      <c r="N341" s="13" t="s">
        <v>994</v>
      </c>
      <c r="O341" s="11" t="s">
        <v>1092</v>
      </c>
      <c r="P341" s="11" t="s">
        <v>249</v>
      </c>
      <c r="Q341" s="11" t="s">
        <v>125</v>
      </c>
      <c r="R341" s="11" t="s">
        <v>150</v>
      </c>
      <c r="S341" s="11" t="s">
        <v>125</v>
      </c>
      <c r="T341" s="11" t="s">
        <v>126</v>
      </c>
      <c r="U341" s="11" t="s">
        <v>38</v>
      </c>
      <c r="V341" s="11" t="s">
        <v>1765</v>
      </c>
      <c r="W341" s="11" t="s">
        <v>994</v>
      </c>
      <c r="X341" s="11" t="s">
        <v>994</v>
      </c>
      <c r="Y341" s="11" t="s">
        <v>994</v>
      </c>
      <c r="Z341" s="11" t="s">
        <v>994</v>
      </c>
      <c r="AA341" s="11" t="s">
        <v>994</v>
      </c>
      <c r="AB341" s="11" t="s">
        <v>994</v>
      </c>
      <c r="AC341" s="11" t="s">
        <v>994</v>
      </c>
      <c r="AD341" s="11" t="s">
        <v>994</v>
      </c>
      <c r="AE341" s="11" t="s">
        <v>995</v>
      </c>
    </row>
    <row r="342">
      <c r="B342" s="26" t="s">
        <v>311</v>
      </c>
      <c r="C342" s="12" t="s">
        <v>1680</v>
      </c>
      <c r="D342" s="11" t="s">
        <v>1049</v>
      </c>
      <c r="E342" s="11" t="s">
        <v>1068</v>
      </c>
      <c r="F342" s="12" t="s">
        <v>311</v>
      </c>
      <c r="G342" s="12" t="s">
        <v>246</v>
      </c>
      <c r="H342" s="12" t="s">
        <v>246</v>
      </c>
      <c r="I342" s="12" t="s">
        <v>82</v>
      </c>
      <c r="J342" s="12" t="s">
        <v>1011</v>
      </c>
      <c r="K342" s="12" t="s">
        <v>118</v>
      </c>
      <c r="L342" s="12" t="s">
        <v>247</v>
      </c>
      <c r="M342" s="12" t="s">
        <v>994</v>
      </c>
      <c r="N342" s="13" t="s">
        <v>1087</v>
      </c>
      <c r="O342" s="11" t="s">
        <v>1093</v>
      </c>
      <c r="P342" s="11" t="s">
        <v>1102</v>
      </c>
      <c r="Q342" s="11" t="s">
        <v>126</v>
      </c>
      <c r="R342" s="11" t="s">
        <v>150</v>
      </c>
      <c r="S342" s="11" t="s">
        <v>125</v>
      </c>
      <c r="T342" s="11" t="s">
        <v>125</v>
      </c>
      <c r="U342" s="11" t="s">
        <v>1016</v>
      </c>
      <c r="V342" s="11" t="s">
        <v>1768</v>
      </c>
      <c r="W342" s="11" t="s">
        <v>994</v>
      </c>
      <c r="X342" s="11" t="s">
        <v>994</v>
      </c>
      <c r="Y342" s="11" t="s">
        <v>1786</v>
      </c>
      <c r="Z342" s="11" t="s">
        <v>994</v>
      </c>
      <c r="AA342" s="11" t="s">
        <v>994</v>
      </c>
      <c r="AB342" s="11" t="s">
        <v>30</v>
      </c>
      <c r="AC342" s="11" t="s">
        <v>994</v>
      </c>
      <c r="AD342" s="11" t="s">
        <v>994</v>
      </c>
      <c r="AE342" s="11" t="s">
        <v>995</v>
      </c>
    </row>
    <row r="343">
      <c r="B343" s="26" t="s">
        <v>283</v>
      </c>
      <c r="C343" s="12" t="s">
        <v>1681</v>
      </c>
      <c r="D343" s="11" t="s">
        <v>1050</v>
      </c>
      <c r="E343" s="11" t="s">
        <v>1306</v>
      </c>
      <c r="F343" s="12" t="s">
        <v>283</v>
      </c>
      <c r="G343" s="12" t="s">
        <v>246</v>
      </c>
      <c r="H343" s="12" t="s">
        <v>246</v>
      </c>
      <c r="I343" s="12" t="s">
        <v>82</v>
      </c>
      <c r="J343" s="12" t="s">
        <v>1011</v>
      </c>
      <c r="K343" s="12" t="s">
        <v>118</v>
      </c>
      <c r="L343" s="12" t="s">
        <v>247</v>
      </c>
      <c r="M343" s="12" t="s">
        <v>994</v>
      </c>
      <c r="N343" s="13" t="s">
        <v>994</v>
      </c>
      <c r="O343" s="11" t="s">
        <v>1094</v>
      </c>
      <c r="P343" s="11" t="s">
        <v>1102</v>
      </c>
      <c r="Q343" s="11" t="s">
        <v>125</v>
      </c>
      <c r="R343" s="11" t="s">
        <v>150</v>
      </c>
      <c r="S343" s="11" t="s">
        <v>125</v>
      </c>
      <c r="T343" s="11" t="s">
        <v>126</v>
      </c>
      <c r="U343" s="11" t="s">
        <v>38</v>
      </c>
      <c r="V343" s="11" t="s">
        <v>1765</v>
      </c>
      <c r="W343" s="11" t="s">
        <v>994</v>
      </c>
      <c r="X343" s="11" t="s">
        <v>994</v>
      </c>
      <c r="Y343" s="11" t="s">
        <v>994</v>
      </c>
      <c r="Z343" s="11" t="s">
        <v>994</v>
      </c>
      <c r="AA343" s="11" t="s">
        <v>994</v>
      </c>
      <c r="AB343" s="11" t="s">
        <v>994</v>
      </c>
      <c r="AC343" s="11" t="s">
        <v>994</v>
      </c>
      <c r="AD343" s="11" t="s">
        <v>994</v>
      </c>
      <c r="AE343" s="11" t="s">
        <v>995</v>
      </c>
    </row>
    <row r="344">
      <c r="B344" s="26" t="s">
        <v>49</v>
      </c>
      <c r="C344" s="12" t="s">
        <v>1682</v>
      </c>
      <c r="D344" s="11" t="s">
        <v>1051</v>
      </c>
      <c r="E344" s="11" t="s">
        <v>1069</v>
      </c>
      <c r="F344" s="12" t="s">
        <v>49</v>
      </c>
      <c r="G344" s="12" t="s">
        <v>246</v>
      </c>
      <c r="H344" s="12" t="s">
        <v>246</v>
      </c>
      <c r="I344" s="12" t="s">
        <v>82</v>
      </c>
      <c r="J344" s="12" t="s">
        <v>1011</v>
      </c>
      <c r="K344" s="12" t="s">
        <v>118</v>
      </c>
      <c r="L344" s="12" t="s">
        <v>247</v>
      </c>
      <c r="M344" s="12" t="s">
        <v>994</v>
      </c>
      <c r="N344" s="13" t="s">
        <v>994</v>
      </c>
      <c r="O344" s="11" t="s">
        <v>1095</v>
      </c>
      <c r="P344" s="11" t="s">
        <v>1102</v>
      </c>
      <c r="Q344" s="11" t="s">
        <v>125</v>
      </c>
      <c r="R344" s="11" t="s">
        <v>150</v>
      </c>
      <c r="S344" s="11" t="s">
        <v>125</v>
      </c>
      <c r="T344" s="11" t="s">
        <v>125</v>
      </c>
      <c r="U344" s="11" t="s">
        <v>132</v>
      </c>
      <c r="V344" s="11" t="s">
        <v>994</v>
      </c>
      <c r="W344" s="11" t="s">
        <v>994</v>
      </c>
      <c r="X344" s="11" t="s">
        <v>994</v>
      </c>
      <c r="Y344" s="11" t="s">
        <v>994</v>
      </c>
      <c r="Z344" s="11" t="s">
        <v>994</v>
      </c>
      <c r="AA344" s="11" t="s">
        <v>994</v>
      </c>
      <c r="AB344" s="11" t="s">
        <v>994</v>
      </c>
      <c r="AC344" s="11" t="s">
        <v>994</v>
      </c>
      <c r="AD344" s="11" t="s">
        <v>1263</v>
      </c>
      <c r="AE344" s="11" t="s">
        <v>995</v>
      </c>
    </row>
    <row r="345">
      <c r="B345" s="26" t="s">
        <v>49</v>
      </c>
      <c r="C345" s="12" t="s">
        <v>1683</v>
      </c>
      <c r="D345" s="11" t="s">
        <v>1052</v>
      </c>
      <c r="E345" s="11" t="s">
        <v>1070</v>
      </c>
      <c r="F345" s="12" t="s">
        <v>49</v>
      </c>
      <c r="G345" s="12" t="s">
        <v>246</v>
      </c>
      <c r="H345" s="12" t="s">
        <v>246</v>
      </c>
      <c r="I345" s="12" t="s">
        <v>111</v>
      </c>
      <c r="J345" s="12" t="s">
        <v>1036</v>
      </c>
      <c r="K345" s="12" t="s">
        <v>118</v>
      </c>
      <c r="L345" s="12" t="s">
        <v>247</v>
      </c>
      <c r="M345" s="12" t="s">
        <v>994</v>
      </c>
      <c r="N345" s="13" t="s">
        <v>1088</v>
      </c>
      <c r="O345" s="11" t="s">
        <v>994</v>
      </c>
      <c r="P345" s="11" t="s">
        <v>1102</v>
      </c>
      <c r="Q345" s="11" t="s">
        <v>126</v>
      </c>
      <c r="R345" s="11" t="s">
        <v>150</v>
      </c>
      <c r="S345" s="11" t="s">
        <v>125</v>
      </c>
      <c r="T345" s="11" t="s">
        <v>126</v>
      </c>
      <c r="U345" s="11" t="s">
        <v>38</v>
      </c>
      <c r="V345" s="11" t="s">
        <v>1765</v>
      </c>
      <c r="W345" s="11" t="s">
        <v>994</v>
      </c>
      <c r="X345" s="11" t="s">
        <v>994</v>
      </c>
      <c r="Y345" s="11" t="s">
        <v>994</v>
      </c>
      <c r="Z345" s="11" t="s">
        <v>994</v>
      </c>
      <c r="AA345" s="11" t="s">
        <v>994</v>
      </c>
      <c r="AB345" s="11" t="s">
        <v>994</v>
      </c>
      <c r="AC345" s="11" t="s">
        <v>994</v>
      </c>
      <c r="AD345" s="11" t="s">
        <v>994</v>
      </c>
      <c r="AE345" s="11" t="s">
        <v>995</v>
      </c>
    </row>
    <row r="346">
      <c r="B346" s="26" t="s">
        <v>314</v>
      </c>
      <c r="C346" s="12" t="s">
        <v>1684</v>
      </c>
      <c r="D346" s="11" t="s">
        <v>1053</v>
      </c>
      <c r="E346" s="11" t="s">
        <v>1071</v>
      </c>
      <c r="F346" s="12" t="s">
        <v>314</v>
      </c>
      <c r="G346" s="12" t="s">
        <v>246</v>
      </c>
      <c r="H346" s="12" t="s">
        <v>246</v>
      </c>
      <c r="I346" s="12" t="s">
        <v>37</v>
      </c>
      <c r="J346" s="12" t="s">
        <v>1015</v>
      </c>
      <c r="K346" s="12" t="s">
        <v>118</v>
      </c>
      <c r="L346" s="12" t="s">
        <v>247</v>
      </c>
      <c r="M346" s="12" t="s">
        <v>994</v>
      </c>
      <c r="N346" s="13" t="s">
        <v>994</v>
      </c>
      <c r="O346" s="11" t="s">
        <v>1096</v>
      </c>
      <c r="P346" s="11" t="s">
        <v>1102</v>
      </c>
      <c r="Q346" s="11" t="s">
        <v>125</v>
      </c>
      <c r="R346" s="11" t="s">
        <v>150</v>
      </c>
      <c r="S346" s="11" t="s">
        <v>125</v>
      </c>
      <c r="T346" s="11" t="s">
        <v>126</v>
      </c>
      <c r="U346" s="11" t="s">
        <v>38</v>
      </c>
      <c r="V346" s="11" t="s">
        <v>1765</v>
      </c>
      <c r="W346" s="11" t="s">
        <v>994</v>
      </c>
      <c r="X346" s="11" t="s">
        <v>994</v>
      </c>
      <c r="Y346" s="11" t="s">
        <v>994</v>
      </c>
      <c r="Z346" s="11" t="s">
        <v>994</v>
      </c>
      <c r="AA346" s="11" t="s">
        <v>994</v>
      </c>
      <c r="AB346" s="11" t="s">
        <v>994</v>
      </c>
      <c r="AC346" s="11" t="s">
        <v>994</v>
      </c>
      <c r="AD346" s="11" t="s">
        <v>994</v>
      </c>
      <c r="AE346" s="11" t="s">
        <v>995</v>
      </c>
    </row>
    <row r="347">
      <c r="B347" s="26" t="s">
        <v>283</v>
      </c>
      <c r="C347" s="12" t="s">
        <v>1685</v>
      </c>
      <c r="D347" s="11" t="s">
        <v>1054</v>
      </c>
      <c r="E347" s="11" t="s">
        <v>1072</v>
      </c>
      <c r="F347" s="12" t="s">
        <v>283</v>
      </c>
      <c r="G347" s="12" t="s">
        <v>246</v>
      </c>
      <c r="H347" s="12" t="s">
        <v>246</v>
      </c>
      <c r="I347" s="12" t="s">
        <v>37</v>
      </c>
      <c r="J347" s="12" t="s">
        <v>1015</v>
      </c>
      <c r="K347" s="12" t="s">
        <v>118</v>
      </c>
      <c r="L347" s="12" t="s">
        <v>247</v>
      </c>
      <c r="M347" s="12" t="s">
        <v>994</v>
      </c>
      <c r="N347" s="13" t="s">
        <v>994</v>
      </c>
      <c r="O347" s="11" t="s">
        <v>1097</v>
      </c>
      <c r="P347" s="11" t="s">
        <v>1102</v>
      </c>
      <c r="Q347" s="11" t="s">
        <v>125</v>
      </c>
      <c r="R347" s="11" t="s">
        <v>150</v>
      </c>
      <c r="S347" s="11" t="s">
        <v>125</v>
      </c>
      <c r="T347" s="11" t="s">
        <v>126</v>
      </c>
      <c r="U347" s="11" t="s">
        <v>38</v>
      </c>
      <c r="V347" s="11" t="s">
        <v>1765</v>
      </c>
      <c r="W347" s="11" t="s">
        <v>994</v>
      </c>
      <c r="X347" s="11" t="s">
        <v>994</v>
      </c>
      <c r="Y347" s="11" t="s">
        <v>994</v>
      </c>
      <c r="Z347" s="11" t="s">
        <v>994</v>
      </c>
      <c r="AA347" s="11" t="s">
        <v>994</v>
      </c>
      <c r="AB347" s="11" t="s">
        <v>994</v>
      </c>
      <c r="AC347" s="11" t="s">
        <v>994</v>
      </c>
      <c r="AD347" s="11" t="s">
        <v>994</v>
      </c>
      <c r="AE347" s="11" t="s">
        <v>995</v>
      </c>
    </row>
    <row r="348">
      <c r="B348" s="26" t="s">
        <v>49</v>
      </c>
      <c r="C348" s="12" t="s">
        <v>1686</v>
      </c>
      <c r="D348" s="11" t="s">
        <v>1055</v>
      </c>
      <c r="E348" s="11" t="s">
        <v>1073</v>
      </c>
      <c r="F348" s="12" t="s">
        <v>49</v>
      </c>
      <c r="G348" s="12" t="s">
        <v>246</v>
      </c>
      <c r="H348" s="12" t="s">
        <v>246</v>
      </c>
      <c r="I348" s="12" t="s">
        <v>111</v>
      </c>
      <c r="J348" s="12" t="s">
        <v>1036</v>
      </c>
      <c r="K348" s="12" t="s">
        <v>118</v>
      </c>
      <c r="L348" s="12" t="s">
        <v>247</v>
      </c>
      <c r="M348" s="12" t="s">
        <v>994</v>
      </c>
      <c r="N348" s="13" t="s">
        <v>994</v>
      </c>
      <c r="O348" s="11" t="s">
        <v>1098</v>
      </c>
      <c r="P348" s="11" t="s">
        <v>1102</v>
      </c>
      <c r="Q348" s="11" t="s">
        <v>125</v>
      </c>
      <c r="R348" s="11" t="s">
        <v>150</v>
      </c>
      <c r="S348" s="11" t="s">
        <v>125</v>
      </c>
      <c r="T348" s="11" t="s">
        <v>126</v>
      </c>
      <c r="U348" s="11" t="s">
        <v>38</v>
      </c>
      <c r="V348" s="11" t="s">
        <v>1765</v>
      </c>
      <c r="W348" s="11" t="s">
        <v>994</v>
      </c>
      <c r="X348" s="11" t="s">
        <v>994</v>
      </c>
      <c r="Y348" s="11" t="s">
        <v>994</v>
      </c>
      <c r="Z348" s="11" t="s">
        <v>994</v>
      </c>
      <c r="AA348" s="11" t="s">
        <v>994</v>
      </c>
      <c r="AB348" s="11" t="s">
        <v>994</v>
      </c>
      <c r="AC348" s="11" t="s">
        <v>994</v>
      </c>
      <c r="AD348" s="11" t="s">
        <v>994</v>
      </c>
      <c r="AE348" s="11" t="s">
        <v>995</v>
      </c>
    </row>
    <row r="349">
      <c r="B349" s="26" t="s">
        <v>49</v>
      </c>
      <c r="C349" s="12" t="s">
        <v>1687</v>
      </c>
      <c r="D349" s="11" t="s">
        <v>1056</v>
      </c>
      <c r="E349" s="11" t="s">
        <v>907</v>
      </c>
      <c r="F349" s="12" t="s">
        <v>49</v>
      </c>
      <c r="G349" s="12" t="s">
        <v>246</v>
      </c>
      <c r="H349" s="12" t="s">
        <v>246</v>
      </c>
      <c r="I349" s="12" t="s">
        <v>111</v>
      </c>
      <c r="J349" s="12" t="s">
        <v>1035</v>
      </c>
      <c r="K349" s="12" t="s">
        <v>118</v>
      </c>
      <c r="L349" s="12" t="s">
        <v>247</v>
      </c>
      <c r="M349" s="12" t="s">
        <v>994</v>
      </c>
      <c r="N349" s="13" t="s">
        <v>1089</v>
      </c>
      <c r="O349" s="11" t="s">
        <v>994</v>
      </c>
      <c r="P349" s="11" t="s">
        <v>1103</v>
      </c>
      <c r="Q349" s="11" t="s">
        <v>126</v>
      </c>
      <c r="R349" s="11" t="s">
        <v>150</v>
      </c>
      <c r="S349" s="11" t="s">
        <v>994</v>
      </c>
      <c r="T349" s="11" t="s">
        <v>126</v>
      </c>
      <c r="U349" s="11" t="s">
        <v>994</v>
      </c>
      <c r="V349" s="11" t="s">
        <v>994</v>
      </c>
      <c r="W349" s="11" t="s">
        <v>994</v>
      </c>
      <c r="X349" s="11" t="s">
        <v>994</v>
      </c>
      <c r="Y349" s="11" t="s">
        <v>994</v>
      </c>
      <c r="Z349" s="11" t="s">
        <v>994</v>
      </c>
      <c r="AA349" s="11" t="s">
        <v>994</v>
      </c>
      <c r="AB349" s="11" t="s">
        <v>994</v>
      </c>
      <c r="AC349" s="11" t="s">
        <v>994</v>
      </c>
      <c r="AD349" s="11" t="s">
        <v>994</v>
      </c>
      <c r="AE349" s="11" t="s">
        <v>1804</v>
      </c>
    </row>
    <row r="350">
      <c r="B350" s="26" t="s">
        <v>49</v>
      </c>
      <c r="C350" s="12" t="s">
        <v>1688</v>
      </c>
      <c r="D350" s="11" t="s">
        <v>1057</v>
      </c>
      <c r="E350" s="11" t="s">
        <v>1074</v>
      </c>
      <c r="F350" s="12" t="s">
        <v>49</v>
      </c>
      <c r="G350" s="12" t="s">
        <v>246</v>
      </c>
      <c r="H350" s="12" t="s">
        <v>246</v>
      </c>
      <c r="I350" s="12" t="s">
        <v>111</v>
      </c>
      <c r="J350" s="12" t="s">
        <v>1036</v>
      </c>
      <c r="K350" s="12" t="s">
        <v>118</v>
      </c>
      <c r="L350" s="12" t="s">
        <v>247</v>
      </c>
      <c r="M350" s="12" t="s">
        <v>994</v>
      </c>
      <c r="N350" s="13" t="s">
        <v>1090</v>
      </c>
      <c r="O350" s="11" t="s">
        <v>994</v>
      </c>
      <c r="P350" s="11" t="s">
        <v>1103</v>
      </c>
      <c r="Q350" s="11" t="s">
        <v>126</v>
      </c>
      <c r="R350" s="11" t="s">
        <v>150</v>
      </c>
      <c r="S350" s="11" t="s">
        <v>994</v>
      </c>
      <c r="T350" s="11" t="s">
        <v>126</v>
      </c>
      <c r="U350" s="11" t="s">
        <v>994</v>
      </c>
      <c r="V350" s="11" t="s">
        <v>994</v>
      </c>
      <c r="W350" s="11" t="s">
        <v>994</v>
      </c>
      <c r="X350" s="11" t="s">
        <v>994</v>
      </c>
      <c r="Y350" s="11" t="s">
        <v>994</v>
      </c>
      <c r="Z350" s="11" t="s">
        <v>994</v>
      </c>
      <c r="AA350" s="11" t="s">
        <v>994</v>
      </c>
      <c r="AB350" s="11" t="s">
        <v>994</v>
      </c>
      <c r="AC350" s="11" t="s">
        <v>994</v>
      </c>
      <c r="AD350" s="11" t="s">
        <v>994</v>
      </c>
      <c r="AE350" s="11" t="s">
        <v>1804</v>
      </c>
    </row>
    <row r="351">
      <c r="B351" s="26" t="s">
        <v>49</v>
      </c>
      <c r="C351" s="12" t="s">
        <v>1689</v>
      </c>
      <c r="D351" s="11" t="s">
        <v>1058</v>
      </c>
      <c r="E351" s="11" t="s">
        <v>1075</v>
      </c>
      <c r="F351" s="12" t="s">
        <v>49</v>
      </c>
      <c r="G351" s="12" t="s">
        <v>246</v>
      </c>
      <c r="H351" s="12" t="s">
        <v>246</v>
      </c>
      <c r="I351" s="12" t="s">
        <v>111</v>
      </c>
      <c r="J351" s="12" t="s">
        <v>1036</v>
      </c>
      <c r="K351" s="12" t="s">
        <v>118</v>
      </c>
      <c r="L351" s="12" t="s">
        <v>247</v>
      </c>
      <c r="M351" s="12" t="s">
        <v>994</v>
      </c>
      <c r="N351" s="13" t="s">
        <v>1090</v>
      </c>
      <c r="O351" s="11" t="s">
        <v>994</v>
      </c>
      <c r="P351" s="11" t="s">
        <v>1103</v>
      </c>
      <c r="Q351" s="11" t="s">
        <v>126</v>
      </c>
      <c r="R351" s="11" t="s">
        <v>150</v>
      </c>
      <c r="S351" s="11" t="s">
        <v>994</v>
      </c>
      <c r="T351" s="11" t="s">
        <v>125</v>
      </c>
      <c r="U351" s="11" t="s">
        <v>1016</v>
      </c>
      <c r="V351" s="11" t="s">
        <v>1769</v>
      </c>
      <c r="W351" s="11" t="s">
        <v>994</v>
      </c>
      <c r="X351" s="11" t="s">
        <v>994</v>
      </c>
      <c r="Y351" s="11" t="s">
        <v>994</v>
      </c>
      <c r="Z351" s="11" t="s">
        <v>994</v>
      </c>
      <c r="AA351" s="11" t="s">
        <v>994</v>
      </c>
      <c r="AB351" s="11" t="s">
        <v>30</v>
      </c>
      <c r="AC351" s="11" t="s">
        <v>994</v>
      </c>
      <c r="AD351" s="11" t="s">
        <v>1307</v>
      </c>
      <c r="AE351" s="11" t="s">
        <v>995</v>
      </c>
    </row>
    <row r="352">
      <c r="B352" s="26" t="s">
        <v>49</v>
      </c>
      <c r="C352" s="12" t="s">
        <v>1690</v>
      </c>
      <c r="D352" s="11" t="s">
        <v>1059</v>
      </c>
      <c r="E352" s="11" t="s">
        <v>1076</v>
      </c>
      <c r="F352" s="12" t="s">
        <v>49</v>
      </c>
      <c r="G352" s="12" t="s">
        <v>246</v>
      </c>
      <c r="H352" s="12" t="s">
        <v>246</v>
      </c>
      <c r="I352" s="12" t="s">
        <v>111</v>
      </c>
      <c r="J352" s="12" t="s">
        <v>1036</v>
      </c>
      <c r="K352" s="12" t="s">
        <v>118</v>
      </c>
      <c r="L352" s="12" t="s">
        <v>247</v>
      </c>
      <c r="M352" s="12" t="s">
        <v>994</v>
      </c>
      <c r="N352" s="13" t="s">
        <v>994</v>
      </c>
      <c r="O352" s="11" t="s">
        <v>1099</v>
      </c>
      <c r="P352" s="11" t="s">
        <v>1102</v>
      </c>
      <c r="Q352" s="11" t="s">
        <v>125</v>
      </c>
      <c r="R352" s="11" t="s">
        <v>150</v>
      </c>
      <c r="S352" s="11" t="s">
        <v>125</v>
      </c>
      <c r="T352" s="11" t="s">
        <v>126</v>
      </c>
      <c r="U352" s="11" t="s">
        <v>38</v>
      </c>
      <c r="V352" s="11" t="s">
        <v>1765</v>
      </c>
      <c r="W352" s="11" t="s">
        <v>994</v>
      </c>
      <c r="X352" s="11" t="s">
        <v>994</v>
      </c>
      <c r="Y352" s="11" t="s">
        <v>994</v>
      </c>
      <c r="Z352" s="11" t="s">
        <v>994</v>
      </c>
      <c r="AA352" s="11" t="s">
        <v>994</v>
      </c>
      <c r="AB352" s="11" t="s">
        <v>994</v>
      </c>
      <c r="AC352" s="11" t="s">
        <v>994</v>
      </c>
      <c r="AD352" s="11" t="s">
        <v>994</v>
      </c>
      <c r="AE352" s="11" t="s">
        <v>995</v>
      </c>
    </row>
    <row r="353">
      <c r="B353" s="26" t="s">
        <v>283</v>
      </c>
      <c r="C353" s="12" t="s">
        <v>1691</v>
      </c>
      <c r="D353" s="11" t="s">
        <v>1060</v>
      </c>
      <c r="E353" s="11" t="s">
        <v>1077</v>
      </c>
      <c r="F353" s="12" t="s">
        <v>283</v>
      </c>
      <c r="G353" s="12" t="s">
        <v>246</v>
      </c>
      <c r="H353" s="12" t="s">
        <v>246</v>
      </c>
      <c r="I353" s="12" t="s">
        <v>37</v>
      </c>
      <c r="J353" s="12" t="s">
        <v>1015</v>
      </c>
      <c r="K353" s="12" t="s">
        <v>118</v>
      </c>
      <c r="L353" s="12" t="s">
        <v>247</v>
      </c>
      <c r="M353" s="12" t="s">
        <v>994</v>
      </c>
      <c r="N353" s="13" t="s">
        <v>994</v>
      </c>
      <c r="O353" s="11" t="s">
        <v>1100</v>
      </c>
      <c r="P353" s="11" t="s">
        <v>1102</v>
      </c>
      <c r="Q353" s="11" t="s">
        <v>125</v>
      </c>
      <c r="R353" s="11" t="s">
        <v>150</v>
      </c>
      <c r="S353" s="11" t="s">
        <v>125</v>
      </c>
      <c r="T353" s="11" t="s">
        <v>126</v>
      </c>
      <c r="U353" s="11" t="s">
        <v>29</v>
      </c>
      <c r="V353" s="11" t="s">
        <v>1765</v>
      </c>
      <c r="W353" s="11" t="s">
        <v>1781</v>
      </c>
      <c r="X353" s="11" t="s">
        <v>994</v>
      </c>
      <c r="Y353" s="11" t="s">
        <v>994</v>
      </c>
      <c r="Z353" s="11" t="s">
        <v>994</v>
      </c>
      <c r="AA353" s="11" t="s">
        <v>994</v>
      </c>
      <c r="AB353" s="11" t="s">
        <v>994</v>
      </c>
      <c r="AC353" s="11" t="s">
        <v>994</v>
      </c>
      <c r="AD353" s="11" t="s">
        <v>1308</v>
      </c>
      <c r="AE353" s="11" t="s">
        <v>995</v>
      </c>
    </row>
    <row r="354">
      <c r="B354" s="26" t="s">
        <v>49</v>
      </c>
      <c r="C354" s="12" t="s">
        <v>1692</v>
      </c>
      <c r="D354" s="11" t="s">
        <v>1061</v>
      </c>
      <c r="E354" s="11" t="s">
        <v>1078</v>
      </c>
      <c r="F354" s="12" t="s">
        <v>49</v>
      </c>
      <c r="G354" s="12" t="s">
        <v>246</v>
      </c>
      <c r="H354" s="12" t="s">
        <v>246</v>
      </c>
      <c r="I354" s="12" t="s">
        <v>37</v>
      </c>
      <c r="J354" s="12" t="s">
        <v>1015</v>
      </c>
      <c r="K354" s="12" t="s">
        <v>118</v>
      </c>
      <c r="L354" s="12" t="s">
        <v>247</v>
      </c>
      <c r="M354" s="12" t="s">
        <v>994</v>
      </c>
      <c r="N354" s="13" t="s">
        <v>994</v>
      </c>
      <c r="O354" s="11" t="s">
        <v>1101</v>
      </c>
      <c r="P354" s="11" t="s">
        <v>1102</v>
      </c>
      <c r="Q354" s="11" t="s">
        <v>125</v>
      </c>
      <c r="R354" s="11" t="s">
        <v>150</v>
      </c>
      <c r="S354" s="11" t="s">
        <v>994</v>
      </c>
      <c r="T354" s="11" t="s">
        <v>126</v>
      </c>
      <c r="U354" s="11" t="s">
        <v>994</v>
      </c>
      <c r="V354" s="11" t="s">
        <v>994</v>
      </c>
      <c r="W354" s="11" t="s">
        <v>994</v>
      </c>
      <c r="X354" s="11" t="s">
        <v>994</v>
      </c>
      <c r="Y354" s="11" t="s">
        <v>994</v>
      </c>
      <c r="Z354" s="11" t="s">
        <v>994</v>
      </c>
      <c r="AA354" s="11" t="s">
        <v>994</v>
      </c>
      <c r="AB354" s="11" t="s">
        <v>994</v>
      </c>
      <c r="AC354" s="11" t="s">
        <v>994</v>
      </c>
      <c r="AD354" s="11" t="s">
        <v>994</v>
      </c>
      <c r="AE354" s="11" t="s">
        <v>1804</v>
      </c>
    </row>
    <row r="355">
      <c r="B355" s="26" t="s">
        <v>49</v>
      </c>
      <c r="C355" s="12" t="s">
        <v>1693</v>
      </c>
      <c r="D355" s="11" t="s">
        <v>1161</v>
      </c>
      <c r="E355" s="11" t="s">
        <v>1150</v>
      </c>
      <c r="F355" s="12" t="s">
        <v>49</v>
      </c>
      <c r="G355" s="12" t="s">
        <v>246</v>
      </c>
      <c r="H355" s="12" t="s">
        <v>246</v>
      </c>
      <c r="I355" s="12" t="s">
        <v>37</v>
      </c>
      <c r="J355" s="12" t="s">
        <v>1018</v>
      </c>
      <c r="K355" s="12" t="s">
        <v>1022</v>
      </c>
      <c r="L355" s="12" t="s">
        <v>247</v>
      </c>
      <c r="M355" s="12" t="s">
        <v>994</v>
      </c>
      <c r="N355" s="13" t="s">
        <v>994</v>
      </c>
      <c r="O355" s="11" t="s">
        <v>1162</v>
      </c>
      <c r="P355" s="11" t="s">
        <v>323</v>
      </c>
      <c r="Q355" s="11" t="s">
        <v>125</v>
      </c>
      <c r="R355" s="11" t="s">
        <v>150</v>
      </c>
      <c r="S355" s="11" t="s">
        <v>125</v>
      </c>
      <c r="T355" s="11" t="s">
        <v>126</v>
      </c>
      <c r="U355" s="11" t="s">
        <v>1251</v>
      </c>
      <c r="V355" s="11" t="s">
        <v>1765</v>
      </c>
      <c r="W355" s="11" t="s">
        <v>994</v>
      </c>
      <c r="X355" s="11" t="s">
        <v>994</v>
      </c>
      <c r="Y355" s="11" t="s">
        <v>994</v>
      </c>
      <c r="Z355" s="11" t="s">
        <v>994</v>
      </c>
      <c r="AA355" s="11" t="s">
        <v>994</v>
      </c>
      <c r="AB355" s="11" t="s">
        <v>994</v>
      </c>
      <c r="AC355" s="11" t="s">
        <v>994</v>
      </c>
      <c r="AD355" s="11" t="s">
        <v>994</v>
      </c>
      <c r="AE355" s="11" t="s">
        <v>995</v>
      </c>
    </row>
    <row r="356">
      <c r="B356" s="26" t="s">
        <v>295</v>
      </c>
      <c r="C356" s="12" t="s">
        <v>1694</v>
      </c>
      <c r="D356" s="11" t="s">
        <v>1163</v>
      </c>
      <c r="E356" s="11" t="s">
        <v>1164</v>
      </c>
      <c r="F356" s="12" t="s">
        <v>295</v>
      </c>
      <c r="G356" s="12" t="s">
        <v>246</v>
      </c>
      <c r="H356" s="12" t="s">
        <v>246</v>
      </c>
      <c r="I356" s="12" t="s">
        <v>60</v>
      </c>
      <c r="J356" s="12" t="s">
        <v>1018</v>
      </c>
      <c r="K356" s="12" t="s">
        <v>118</v>
      </c>
      <c r="L356" s="12" t="s">
        <v>247</v>
      </c>
      <c r="M356" s="12" t="s">
        <v>994</v>
      </c>
      <c r="N356" s="13" t="s">
        <v>994</v>
      </c>
      <c r="O356" s="11" t="s">
        <v>1165</v>
      </c>
      <c r="P356" s="11" t="s">
        <v>323</v>
      </c>
      <c r="Q356" s="11" t="s">
        <v>125</v>
      </c>
      <c r="R356" s="11" t="s">
        <v>150</v>
      </c>
      <c r="S356" s="11" t="s">
        <v>125</v>
      </c>
      <c r="T356" s="11" t="s">
        <v>126</v>
      </c>
      <c r="U356" s="11" t="s">
        <v>1251</v>
      </c>
      <c r="V356" s="11" t="s">
        <v>1765</v>
      </c>
      <c r="W356" s="11" t="s">
        <v>994</v>
      </c>
      <c r="X356" s="11" t="s">
        <v>994</v>
      </c>
      <c r="Y356" s="11" t="s">
        <v>994</v>
      </c>
      <c r="Z356" s="11" t="s">
        <v>994</v>
      </c>
      <c r="AA356" s="11" t="s">
        <v>994</v>
      </c>
      <c r="AB356" s="11" t="s">
        <v>994</v>
      </c>
      <c r="AC356" s="11" t="s">
        <v>994</v>
      </c>
      <c r="AD356" s="11" t="s">
        <v>994</v>
      </c>
      <c r="AE356" s="11" t="s">
        <v>995</v>
      </c>
    </row>
    <row r="357">
      <c r="B357" s="26" t="s">
        <v>49</v>
      </c>
      <c r="C357" s="12" t="s">
        <v>1695</v>
      </c>
      <c r="D357" s="11" t="s">
        <v>1166</v>
      </c>
      <c r="E357" s="11" t="s">
        <v>1167</v>
      </c>
      <c r="F357" s="12" t="s">
        <v>49</v>
      </c>
      <c r="G357" s="12" t="s">
        <v>246</v>
      </c>
      <c r="H357" s="12" t="s">
        <v>246</v>
      </c>
      <c r="I357" s="12" t="s">
        <v>60</v>
      </c>
      <c r="J357" s="12" t="s">
        <v>1018</v>
      </c>
      <c r="K357" s="12" t="s">
        <v>118</v>
      </c>
      <c r="L357" s="12" t="s">
        <v>247</v>
      </c>
      <c r="M357" s="12" t="s">
        <v>994</v>
      </c>
      <c r="N357" s="13" t="s">
        <v>994</v>
      </c>
      <c r="O357" s="11" t="s">
        <v>1168</v>
      </c>
      <c r="P357" s="11" t="s">
        <v>323</v>
      </c>
      <c r="Q357" s="11" t="s">
        <v>125</v>
      </c>
      <c r="R357" s="11" t="s">
        <v>150</v>
      </c>
      <c r="S357" s="11" t="s">
        <v>125</v>
      </c>
      <c r="T357" s="11" t="s">
        <v>125</v>
      </c>
      <c r="U357" s="11" t="s">
        <v>1016</v>
      </c>
      <c r="V357" s="11" t="s">
        <v>1765</v>
      </c>
      <c r="W357" s="11" t="s">
        <v>994</v>
      </c>
      <c r="X357" s="11" t="s">
        <v>994</v>
      </c>
      <c r="Y357" s="11" t="s">
        <v>994</v>
      </c>
      <c r="Z357" s="11" t="s">
        <v>994</v>
      </c>
      <c r="AA357" s="11" t="s">
        <v>994</v>
      </c>
      <c r="AB357" s="11" t="s">
        <v>30</v>
      </c>
      <c r="AC357" s="11" t="s">
        <v>994</v>
      </c>
      <c r="AD357" s="11" t="s">
        <v>994</v>
      </c>
      <c r="AE357" s="11" t="s">
        <v>995</v>
      </c>
    </row>
    <row r="358">
      <c r="B358" s="26" t="s">
        <v>49</v>
      </c>
      <c r="C358" s="12" t="s">
        <v>1696</v>
      </c>
      <c r="D358" s="11" t="s">
        <v>1169</v>
      </c>
      <c r="E358" s="11" t="s">
        <v>1170</v>
      </c>
      <c r="F358" s="12" t="s">
        <v>49</v>
      </c>
      <c r="G358" s="12" t="s">
        <v>246</v>
      </c>
      <c r="H358" s="12" t="s">
        <v>246</v>
      </c>
      <c r="I358" s="12" t="s">
        <v>60</v>
      </c>
      <c r="J358" s="12" t="s">
        <v>1018</v>
      </c>
      <c r="K358" s="12" t="s">
        <v>118</v>
      </c>
      <c r="L358" s="12" t="s">
        <v>247</v>
      </c>
      <c r="M358" s="12" t="s">
        <v>994</v>
      </c>
      <c r="N358" s="13" t="s">
        <v>994</v>
      </c>
      <c r="O358" s="11" t="s">
        <v>1171</v>
      </c>
      <c r="P358" s="11" t="s">
        <v>323</v>
      </c>
      <c r="Q358" s="11" t="s">
        <v>125</v>
      </c>
      <c r="R358" s="11" t="s">
        <v>150</v>
      </c>
      <c r="S358" s="11" t="s">
        <v>125</v>
      </c>
      <c r="T358" s="11" t="s">
        <v>126</v>
      </c>
      <c r="U358" s="11" t="s">
        <v>1251</v>
      </c>
      <c r="V358" s="11" t="s">
        <v>1765</v>
      </c>
      <c r="W358" s="11" t="s">
        <v>994</v>
      </c>
      <c r="X358" s="11" t="s">
        <v>994</v>
      </c>
      <c r="Y358" s="11" t="s">
        <v>994</v>
      </c>
      <c r="Z358" s="11" t="s">
        <v>994</v>
      </c>
      <c r="AA358" s="11" t="s">
        <v>994</v>
      </c>
      <c r="AB358" s="11" t="s">
        <v>994</v>
      </c>
      <c r="AC358" s="11" t="s">
        <v>994</v>
      </c>
      <c r="AD358" s="11" t="s">
        <v>994</v>
      </c>
      <c r="AE358" s="11" t="s">
        <v>995</v>
      </c>
    </row>
    <row r="359">
      <c r="B359" s="26" t="s">
        <v>49</v>
      </c>
      <c r="C359" s="12" t="s">
        <v>1697</v>
      </c>
      <c r="D359" s="11" t="s">
        <v>1172</v>
      </c>
      <c r="E359" s="11" t="s">
        <v>1173</v>
      </c>
      <c r="F359" s="12" t="s">
        <v>286</v>
      </c>
      <c r="G359" s="12" t="s">
        <v>246</v>
      </c>
      <c r="H359" s="12" t="s">
        <v>246</v>
      </c>
      <c r="I359" s="12" t="s">
        <v>37</v>
      </c>
      <c r="J359" s="12" t="s">
        <v>1018</v>
      </c>
      <c r="K359" s="12" t="s">
        <v>1024</v>
      </c>
      <c r="L359" s="12" t="s">
        <v>247</v>
      </c>
      <c r="M359" s="12" t="s">
        <v>994</v>
      </c>
      <c r="N359" s="13" t="s">
        <v>994</v>
      </c>
      <c r="O359" s="11" t="s">
        <v>1174</v>
      </c>
      <c r="P359" s="11" t="s">
        <v>323</v>
      </c>
      <c r="Q359" s="11" t="s">
        <v>126</v>
      </c>
      <c r="R359" s="11" t="s">
        <v>150</v>
      </c>
      <c r="S359" s="11" t="s">
        <v>125</v>
      </c>
      <c r="T359" s="11" t="s">
        <v>126</v>
      </c>
      <c r="U359" s="11" t="s">
        <v>1251</v>
      </c>
      <c r="V359" s="11" t="s">
        <v>1765</v>
      </c>
      <c r="W359" s="11" t="s">
        <v>994</v>
      </c>
      <c r="X359" s="11" t="s">
        <v>994</v>
      </c>
      <c r="Y359" s="11" t="s">
        <v>994</v>
      </c>
      <c r="Z359" s="11" t="s">
        <v>994</v>
      </c>
      <c r="AA359" s="11" t="s">
        <v>994</v>
      </c>
      <c r="AB359" s="11" t="s">
        <v>994</v>
      </c>
      <c r="AC359" s="11" t="s">
        <v>994</v>
      </c>
      <c r="AD359" s="11" t="s">
        <v>994</v>
      </c>
      <c r="AE359" s="11" t="s">
        <v>995</v>
      </c>
    </row>
    <row r="360">
      <c r="B360" s="26" t="s">
        <v>49</v>
      </c>
      <c r="C360" s="12" t="s">
        <v>1698</v>
      </c>
      <c r="D360" s="11" t="s">
        <v>1175</v>
      </c>
      <c r="E360" s="11" t="s">
        <v>1176</v>
      </c>
      <c r="F360" s="12" t="s">
        <v>49</v>
      </c>
      <c r="G360" s="12" t="s">
        <v>246</v>
      </c>
      <c r="H360" s="12" t="s">
        <v>246</v>
      </c>
      <c r="I360" s="12" t="s">
        <v>37</v>
      </c>
      <c r="J360" s="12" t="s">
        <v>1018</v>
      </c>
      <c r="K360" s="12" t="s">
        <v>1024</v>
      </c>
      <c r="L360" s="12" t="s">
        <v>247</v>
      </c>
      <c r="M360" s="12" t="s">
        <v>994</v>
      </c>
      <c r="N360" s="13" t="s">
        <v>994</v>
      </c>
      <c r="O360" s="11" t="s">
        <v>1177</v>
      </c>
      <c r="P360" s="11" t="s">
        <v>323</v>
      </c>
      <c r="Q360" s="11" t="s">
        <v>126</v>
      </c>
      <c r="R360" s="11" t="s">
        <v>150</v>
      </c>
      <c r="S360" s="11" t="s">
        <v>125</v>
      </c>
      <c r="T360" s="11" t="s">
        <v>126</v>
      </c>
      <c r="U360" s="11" t="s">
        <v>1251</v>
      </c>
      <c r="V360" s="11" t="s">
        <v>1765</v>
      </c>
      <c r="W360" s="11" t="s">
        <v>994</v>
      </c>
      <c r="X360" s="11" t="s">
        <v>994</v>
      </c>
      <c r="Y360" s="11" t="s">
        <v>994</v>
      </c>
      <c r="Z360" s="11" t="s">
        <v>994</v>
      </c>
      <c r="AA360" s="11" t="s">
        <v>994</v>
      </c>
      <c r="AB360" s="11" t="s">
        <v>994</v>
      </c>
      <c r="AC360" s="11" t="s">
        <v>994</v>
      </c>
      <c r="AD360" s="11" t="s">
        <v>994</v>
      </c>
      <c r="AE360" s="11" t="s">
        <v>995</v>
      </c>
    </row>
    <row r="361">
      <c r="B361" s="26" t="s">
        <v>49</v>
      </c>
      <c r="C361" s="12" t="s">
        <v>1699</v>
      </c>
      <c r="D361" s="11" t="s">
        <v>1178</v>
      </c>
      <c r="E361" s="11" t="s">
        <v>1179</v>
      </c>
      <c r="F361" s="12" t="s">
        <v>49</v>
      </c>
      <c r="G361" s="12" t="s">
        <v>246</v>
      </c>
      <c r="H361" s="12" t="s">
        <v>246</v>
      </c>
      <c r="I361" s="12" t="s">
        <v>60</v>
      </c>
      <c r="J361" s="12" t="s">
        <v>1018</v>
      </c>
      <c r="K361" s="12" t="s">
        <v>118</v>
      </c>
      <c r="L361" s="12" t="s">
        <v>247</v>
      </c>
      <c r="M361" s="12" t="s">
        <v>994</v>
      </c>
      <c r="N361" s="13" t="s">
        <v>994</v>
      </c>
      <c r="O361" s="11" t="s">
        <v>1180</v>
      </c>
      <c r="P361" s="11" t="s">
        <v>323</v>
      </c>
      <c r="Q361" s="11" t="s">
        <v>126</v>
      </c>
      <c r="R361" s="11" t="s">
        <v>150</v>
      </c>
      <c r="S361" s="11" t="s">
        <v>125</v>
      </c>
      <c r="T361" s="11" t="s">
        <v>126</v>
      </c>
      <c r="U361" s="11" t="s">
        <v>1251</v>
      </c>
      <c r="V361" s="11" t="s">
        <v>1765</v>
      </c>
      <c r="W361" s="11" t="s">
        <v>994</v>
      </c>
      <c r="X361" s="11" t="s">
        <v>994</v>
      </c>
      <c r="Y361" s="11" t="s">
        <v>994</v>
      </c>
      <c r="Z361" s="11" t="s">
        <v>994</v>
      </c>
      <c r="AA361" s="11" t="s">
        <v>994</v>
      </c>
      <c r="AB361" s="11" t="s">
        <v>994</v>
      </c>
      <c r="AC361" s="11" t="s">
        <v>994</v>
      </c>
      <c r="AD361" s="11" t="s">
        <v>994</v>
      </c>
      <c r="AE361" s="11" t="s">
        <v>995</v>
      </c>
    </row>
    <row r="362">
      <c r="B362" s="26" t="s">
        <v>49</v>
      </c>
      <c r="C362" s="12" t="s">
        <v>1700</v>
      </c>
      <c r="D362" s="11" t="s">
        <v>1181</v>
      </c>
      <c r="E362" s="11" t="s">
        <v>1182</v>
      </c>
      <c r="F362" s="12" t="s">
        <v>49</v>
      </c>
      <c r="G362" s="12" t="s">
        <v>246</v>
      </c>
      <c r="H362" s="12" t="s">
        <v>246</v>
      </c>
      <c r="I362" s="12" t="s">
        <v>37</v>
      </c>
      <c r="J362" s="12" t="s">
        <v>1018</v>
      </c>
      <c r="K362" s="12" t="s">
        <v>1024</v>
      </c>
      <c r="L362" s="12" t="s">
        <v>247</v>
      </c>
      <c r="M362" s="12" t="s">
        <v>994</v>
      </c>
      <c r="N362" s="13" t="s">
        <v>994</v>
      </c>
      <c r="O362" s="11" t="s">
        <v>1183</v>
      </c>
      <c r="P362" s="11" t="s">
        <v>323</v>
      </c>
      <c r="Q362" s="11" t="s">
        <v>126</v>
      </c>
      <c r="R362" s="11" t="s">
        <v>150</v>
      </c>
      <c r="S362" s="11" t="s">
        <v>125</v>
      </c>
      <c r="T362" s="11" t="s">
        <v>126</v>
      </c>
      <c r="U362" s="11" t="s">
        <v>1251</v>
      </c>
      <c r="V362" s="11" t="s">
        <v>1766</v>
      </c>
      <c r="W362" s="11" t="s">
        <v>994</v>
      </c>
      <c r="X362" s="11" t="s">
        <v>994</v>
      </c>
      <c r="Y362" s="11" t="s">
        <v>994</v>
      </c>
      <c r="Z362" s="11" t="s">
        <v>994</v>
      </c>
      <c r="AA362" s="11" t="s">
        <v>994</v>
      </c>
      <c r="AB362" s="11" t="s">
        <v>994</v>
      </c>
      <c r="AC362" s="11" t="s">
        <v>994</v>
      </c>
      <c r="AD362" s="11" t="s">
        <v>994</v>
      </c>
      <c r="AE362" s="11" t="s">
        <v>995</v>
      </c>
    </row>
    <row r="363">
      <c r="B363" s="26" t="s">
        <v>49</v>
      </c>
      <c r="C363" s="12" t="s">
        <v>1701</v>
      </c>
      <c r="D363" s="11" t="s">
        <v>1184</v>
      </c>
      <c r="E363" s="11" t="s">
        <v>1185</v>
      </c>
      <c r="F363" s="12" t="s">
        <v>49</v>
      </c>
      <c r="G363" s="12" t="s">
        <v>246</v>
      </c>
      <c r="H363" s="12" t="s">
        <v>246</v>
      </c>
      <c r="I363" s="12" t="s">
        <v>60</v>
      </c>
      <c r="J363" s="12" t="s">
        <v>1018</v>
      </c>
      <c r="K363" s="12" t="s">
        <v>118</v>
      </c>
      <c r="L363" s="12" t="s">
        <v>247</v>
      </c>
      <c r="M363" s="12" t="s">
        <v>994</v>
      </c>
      <c r="N363" s="13" t="s">
        <v>994</v>
      </c>
      <c r="O363" s="11" t="s">
        <v>1186</v>
      </c>
      <c r="P363" s="11" t="s">
        <v>323</v>
      </c>
      <c r="Q363" s="11" t="s">
        <v>126</v>
      </c>
      <c r="R363" s="11" t="s">
        <v>150</v>
      </c>
      <c r="S363" s="11" t="s">
        <v>125</v>
      </c>
      <c r="T363" s="11" t="s">
        <v>126</v>
      </c>
      <c r="U363" s="11" t="s">
        <v>1251</v>
      </c>
      <c r="V363" s="11" t="s">
        <v>1770</v>
      </c>
      <c r="W363" s="11" t="s">
        <v>994</v>
      </c>
      <c r="X363" s="11" t="s">
        <v>994</v>
      </c>
      <c r="Y363" s="11" t="s">
        <v>994</v>
      </c>
      <c r="Z363" s="11" t="s">
        <v>994</v>
      </c>
      <c r="AA363" s="11" t="s">
        <v>994</v>
      </c>
      <c r="AB363" s="11" t="s">
        <v>994</v>
      </c>
      <c r="AC363" s="11" t="s">
        <v>994</v>
      </c>
      <c r="AD363" s="11" t="s">
        <v>994</v>
      </c>
      <c r="AE363" s="11" t="s">
        <v>995</v>
      </c>
    </row>
    <row r="364">
      <c r="B364" s="26" t="s">
        <v>49</v>
      </c>
      <c r="C364" s="12" t="s">
        <v>1702</v>
      </c>
      <c r="D364" s="11" t="s">
        <v>1187</v>
      </c>
      <c r="E364" s="11" t="s">
        <v>1188</v>
      </c>
      <c r="F364" s="12" t="s">
        <v>49</v>
      </c>
      <c r="G364" s="12" t="s">
        <v>246</v>
      </c>
      <c r="H364" s="12" t="s">
        <v>246</v>
      </c>
      <c r="I364" s="12" t="s">
        <v>37</v>
      </c>
      <c r="J364" s="12" t="s">
        <v>1018</v>
      </c>
      <c r="K364" s="12" t="s">
        <v>1024</v>
      </c>
      <c r="L364" s="12" t="s">
        <v>247</v>
      </c>
      <c r="M364" s="12" t="s">
        <v>994</v>
      </c>
      <c r="N364" s="13" t="s">
        <v>994</v>
      </c>
      <c r="O364" s="11" t="s">
        <v>1189</v>
      </c>
      <c r="P364" s="11" t="s">
        <v>323</v>
      </c>
      <c r="Q364" s="11" t="s">
        <v>126</v>
      </c>
      <c r="R364" s="11" t="s">
        <v>150</v>
      </c>
      <c r="S364" s="11" t="s">
        <v>994</v>
      </c>
      <c r="T364" s="11" t="s">
        <v>126</v>
      </c>
      <c r="U364" s="11" t="s">
        <v>994</v>
      </c>
      <c r="V364" s="11" t="s">
        <v>994</v>
      </c>
      <c r="W364" s="11" t="s">
        <v>994</v>
      </c>
      <c r="X364" s="11" t="s">
        <v>994</v>
      </c>
      <c r="Y364" s="11" t="s">
        <v>994</v>
      </c>
      <c r="Z364" s="11" t="s">
        <v>994</v>
      </c>
      <c r="AA364" s="11" t="s">
        <v>994</v>
      </c>
      <c r="AB364" s="11" t="s">
        <v>994</v>
      </c>
      <c r="AC364" s="11" t="s">
        <v>994</v>
      </c>
      <c r="AD364" s="11" t="s">
        <v>994</v>
      </c>
      <c r="AE364" s="11" t="s">
        <v>1804</v>
      </c>
    </row>
    <row r="365">
      <c r="B365" s="26" t="s">
        <v>49</v>
      </c>
      <c r="C365" s="12" t="s">
        <v>1703</v>
      </c>
      <c r="D365" s="11" t="s">
        <v>1190</v>
      </c>
      <c r="E365" s="11" t="s">
        <v>47</v>
      </c>
      <c r="F365" s="12" t="s">
        <v>49</v>
      </c>
      <c r="G365" s="12" t="s">
        <v>246</v>
      </c>
      <c r="H365" s="12" t="s">
        <v>246</v>
      </c>
      <c r="I365" s="12" t="s">
        <v>37</v>
      </c>
      <c r="J365" s="12" t="s">
        <v>1018</v>
      </c>
      <c r="K365" s="12" t="s">
        <v>1024</v>
      </c>
      <c r="L365" s="12" t="s">
        <v>247</v>
      </c>
      <c r="M365" s="12" t="s">
        <v>994</v>
      </c>
      <c r="N365" s="13" t="s">
        <v>994</v>
      </c>
      <c r="O365" s="11" t="s">
        <v>1191</v>
      </c>
      <c r="P365" s="11" t="s">
        <v>323</v>
      </c>
      <c r="Q365" s="11" t="s">
        <v>126</v>
      </c>
      <c r="R365" s="11" t="s">
        <v>150</v>
      </c>
      <c r="S365" s="11" t="s">
        <v>125</v>
      </c>
      <c r="T365" s="11" t="s">
        <v>126</v>
      </c>
      <c r="U365" s="11" t="s">
        <v>1251</v>
      </c>
      <c r="V365" s="11" t="s">
        <v>1770</v>
      </c>
      <c r="W365" s="11" t="s">
        <v>994</v>
      </c>
      <c r="X365" s="11" t="s">
        <v>994</v>
      </c>
      <c r="Y365" s="11" t="s">
        <v>994</v>
      </c>
      <c r="Z365" s="11" t="s">
        <v>994</v>
      </c>
      <c r="AA365" s="11" t="s">
        <v>994</v>
      </c>
      <c r="AB365" s="11" t="s">
        <v>994</v>
      </c>
      <c r="AC365" s="11" t="s">
        <v>994</v>
      </c>
      <c r="AD365" s="11" t="s">
        <v>994</v>
      </c>
      <c r="AE365" s="11" t="s">
        <v>995</v>
      </c>
    </row>
    <row r="366">
      <c r="B366" s="26" t="s">
        <v>49</v>
      </c>
      <c r="C366" s="12" t="s">
        <v>1704</v>
      </c>
      <c r="D366" s="11" t="s">
        <v>1278</v>
      </c>
      <c r="E366" s="11" t="s">
        <v>1280</v>
      </c>
      <c r="F366" s="12" t="s">
        <v>49</v>
      </c>
      <c r="G366" s="12" t="s">
        <v>246</v>
      </c>
      <c r="H366" s="12" t="s">
        <v>246</v>
      </c>
      <c r="I366" s="12" t="s">
        <v>111</v>
      </c>
      <c r="J366" s="12" t="s">
        <v>1036</v>
      </c>
      <c r="K366" s="12" t="s">
        <v>118</v>
      </c>
      <c r="L366" s="12" t="s">
        <v>247</v>
      </c>
      <c r="M366" s="12" t="s">
        <v>994</v>
      </c>
      <c r="N366" s="13" t="s">
        <v>994</v>
      </c>
      <c r="O366" s="11" t="s">
        <v>994</v>
      </c>
      <c r="P366" s="11" t="s">
        <v>994</v>
      </c>
      <c r="Q366" s="11" t="s">
        <v>994</v>
      </c>
      <c r="R366" s="11" t="s">
        <v>994</v>
      </c>
      <c r="S366" s="11" t="s">
        <v>994</v>
      </c>
      <c r="T366" s="11" t="s">
        <v>125</v>
      </c>
      <c r="U366" s="11" t="s">
        <v>1016</v>
      </c>
      <c r="V366" s="11" t="s">
        <v>994</v>
      </c>
      <c r="W366" s="11" t="s">
        <v>994</v>
      </c>
      <c r="X366" s="11" t="s">
        <v>994</v>
      </c>
      <c r="Y366" s="11" t="s">
        <v>994</v>
      </c>
      <c r="Z366" s="11" t="s">
        <v>1802</v>
      </c>
      <c r="AA366" s="11" t="s">
        <v>994</v>
      </c>
      <c r="AB366" s="11" t="s">
        <v>30</v>
      </c>
      <c r="AC366" s="11" t="s">
        <v>994</v>
      </c>
      <c r="AD366" s="11" t="s">
        <v>994</v>
      </c>
      <c r="AE366" s="11" t="s">
        <v>995</v>
      </c>
    </row>
    <row r="367">
      <c r="B367" s="26" t="s">
        <v>49</v>
      </c>
      <c r="C367" s="12" t="s">
        <v>1705</v>
      </c>
      <c r="D367" s="11" t="s">
        <v>1279</v>
      </c>
      <c r="E367" s="11" t="s">
        <v>80</v>
      </c>
      <c r="F367" s="12" t="s">
        <v>49</v>
      </c>
      <c r="G367" s="12" t="s">
        <v>246</v>
      </c>
      <c r="H367" s="12" t="s">
        <v>246</v>
      </c>
      <c r="I367" s="12" t="s">
        <v>82</v>
      </c>
      <c r="J367" s="12" t="s">
        <v>1011</v>
      </c>
      <c r="K367" s="12" t="s">
        <v>118</v>
      </c>
      <c r="L367" s="12" t="s">
        <v>247</v>
      </c>
      <c r="M367" s="12" t="s">
        <v>994</v>
      </c>
      <c r="N367" s="13" t="s">
        <v>994</v>
      </c>
      <c r="O367" s="11" t="s">
        <v>994</v>
      </c>
      <c r="P367" s="11" t="s">
        <v>994</v>
      </c>
      <c r="Q367" s="11" t="s">
        <v>994</v>
      </c>
      <c r="R367" s="11" t="s">
        <v>994</v>
      </c>
      <c r="S367" s="11" t="s">
        <v>994</v>
      </c>
      <c r="T367" s="11" t="s">
        <v>125</v>
      </c>
      <c r="U367" s="11" t="s">
        <v>1016</v>
      </c>
      <c r="V367" s="11" t="s">
        <v>994</v>
      </c>
      <c r="W367" s="11" t="s">
        <v>994</v>
      </c>
      <c r="X367" s="11" t="s">
        <v>994</v>
      </c>
      <c r="Y367" s="11" t="s">
        <v>994</v>
      </c>
      <c r="Z367" s="11" t="s">
        <v>1800</v>
      </c>
      <c r="AA367" s="11" t="s">
        <v>994</v>
      </c>
      <c r="AB367" s="11" t="s">
        <v>30</v>
      </c>
      <c r="AC367" s="11" t="s">
        <v>994</v>
      </c>
      <c r="AD367" s="11" t="s">
        <v>994</v>
      </c>
      <c r="AE367" s="11" t="s">
        <v>995</v>
      </c>
    </row>
    <row r="368">
      <c r="B368" s="26" t="s">
        <v>49</v>
      </c>
      <c r="C368" s="12" t="s">
        <v>1706</v>
      </c>
      <c r="D368" s="11" t="s">
        <v>1247</v>
      </c>
      <c r="E368" s="11" t="s">
        <v>1249</v>
      </c>
      <c r="F368" s="12" t="s">
        <v>49</v>
      </c>
      <c r="G368" s="12" t="s">
        <v>246</v>
      </c>
      <c r="H368" s="12" t="s">
        <v>246</v>
      </c>
      <c r="I368" s="12" t="s">
        <v>37</v>
      </c>
      <c r="J368" s="12" t="s">
        <v>1018</v>
      </c>
      <c r="K368" s="12" t="s">
        <v>1024</v>
      </c>
      <c r="L368" s="12" t="s">
        <v>247</v>
      </c>
      <c r="M368" s="12" t="s">
        <v>994</v>
      </c>
      <c r="N368" s="13" t="s">
        <v>1250</v>
      </c>
      <c r="O368" s="11" t="s">
        <v>994</v>
      </c>
      <c r="P368" s="11" t="s">
        <v>323</v>
      </c>
      <c r="Q368" s="11" t="s">
        <v>126</v>
      </c>
      <c r="R368" s="11" t="s">
        <v>150</v>
      </c>
      <c r="S368" s="11" t="s">
        <v>994</v>
      </c>
      <c r="T368" s="11" t="s">
        <v>125</v>
      </c>
      <c r="U368" s="11" t="s">
        <v>1016</v>
      </c>
      <c r="V368" s="11" t="s">
        <v>994</v>
      </c>
      <c r="W368" s="11" t="s">
        <v>994</v>
      </c>
      <c r="X368" s="11" t="s">
        <v>994</v>
      </c>
      <c r="Y368" s="11" t="s">
        <v>994</v>
      </c>
      <c r="Z368" s="11" t="s">
        <v>1792</v>
      </c>
      <c r="AA368" s="11" t="s">
        <v>994</v>
      </c>
      <c r="AB368" s="11" t="s">
        <v>30</v>
      </c>
      <c r="AC368" s="11" t="s">
        <v>994</v>
      </c>
      <c r="AD368" s="11" t="s">
        <v>994</v>
      </c>
      <c r="AE368" s="11" t="s">
        <v>995</v>
      </c>
    </row>
    <row r="369">
      <c r="B369" s="26" t="s">
        <v>49</v>
      </c>
      <c r="C369" s="12" t="s">
        <v>1707</v>
      </c>
      <c r="D369" s="11" t="s">
        <v>1248</v>
      </c>
      <c r="E369" s="11" t="s">
        <v>69</v>
      </c>
      <c r="F369" s="12" t="s">
        <v>994</v>
      </c>
      <c r="G369" s="12" t="s">
        <v>246</v>
      </c>
      <c r="H369" s="12" t="s">
        <v>246</v>
      </c>
      <c r="I369" s="12" t="s">
        <v>994</v>
      </c>
      <c r="J369" s="12" t="s">
        <v>994</v>
      </c>
      <c r="K369" s="12" t="s">
        <v>994</v>
      </c>
      <c r="L369" s="12" t="s">
        <v>247</v>
      </c>
      <c r="M369" s="12" t="s">
        <v>994</v>
      </c>
      <c r="N369" s="13" t="s">
        <v>994</v>
      </c>
      <c r="O369" s="11" t="s">
        <v>994</v>
      </c>
      <c r="P369" s="11" t="s">
        <v>994</v>
      </c>
      <c r="Q369" s="11" t="s">
        <v>1309</v>
      </c>
      <c r="R369" s="11" t="s">
        <v>994</v>
      </c>
      <c r="S369" s="11" t="s">
        <v>1309</v>
      </c>
      <c r="T369" s="11" t="s">
        <v>1310</v>
      </c>
      <c r="U369" s="11" t="s">
        <v>1251</v>
      </c>
      <c r="V369" s="11" t="s">
        <v>1765</v>
      </c>
      <c r="W369" s="11" t="s">
        <v>994</v>
      </c>
      <c r="X369" s="11" t="s">
        <v>994</v>
      </c>
      <c r="Y369" s="11" t="s">
        <v>994</v>
      </c>
      <c r="Z369" s="11" t="s">
        <v>994</v>
      </c>
      <c r="AA369" s="11" t="s">
        <v>994</v>
      </c>
      <c r="AB369" s="11" t="s">
        <v>994</v>
      </c>
      <c r="AC369" s="11" t="s">
        <v>994</v>
      </c>
      <c r="AD369" s="11" t="s">
        <v>994</v>
      </c>
      <c r="AE369" s="11" t="s">
        <v>995</v>
      </c>
    </row>
    <row r="370">
      <c r="B370" s="26" t="s">
        <v>278</v>
      </c>
      <c r="C370" s="12" t="s">
        <v>1708</v>
      </c>
      <c r="D370" s="11" t="s">
        <v>1311</v>
      </c>
      <c r="E370" s="11" t="s">
        <v>245</v>
      </c>
      <c r="F370" s="12" t="s">
        <v>278</v>
      </c>
      <c r="G370" s="12" t="s">
        <v>246</v>
      </c>
      <c r="H370" s="12" t="s">
        <v>246</v>
      </c>
      <c r="I370" s="12" t="s">
        <v>82</v>
      </c>
      <c r="J370" s="12" t="s">
        <v>1018</v>
      </c>
      <c r="K370" s="12" t="s">
        <v>1024</v>
      </c>
      <c r="L370" s="12" t="s">
        <v>247</v>
      </c>
      <c r="M370" s="12" t="s">
        <v>994</v>
      </c>
      <c r="N370" s="13" t="s">
        <v>1407</v>
      </c>
      <c r="O370" s="11" t="s">
        <v>994</v>
      </c>
      <c r="P370" s="11" t="s">
        <v>994</v>
      </c>
      <c r="Q370" s="11" t="s">
        <v>126</v>
      </c>
      <c r="R370" s="11" t="s">
        <v>150</v>
      </c>
      <c r="S370" s="11" t="s">
        <v>994</v>
      </c>
      <c r="T370" s="11" t="s">
        <v>125</v>
      </c>
      <c r="U370" s="11" t="s">
        <v>1016</v>
      </c>
      <c r="V370" s="11" t="s">
        <v>1771</v>
      </c>
      <c r="W370" s="11" t="s">
        <v>994</v>
      </c>
      <c r="X370" s="11" t="s">
        <v>994</v>
      </c>
      <c r="Y370" s="11" t="s">
        <v>1787</v>
      </c>
      <c r="Z370" s="11" t="s">
        <v>994</v>
      </c>
      <c r="AA370" s="11" t="s">
        <v>994</v>
      </c>
      <c r="AB370" s="11" t="s">
        <v>30</v>
      </c>
      <c r="AC370" s="11" t="s">
        <v>994</v>
      </c>
      <c r="AD370" s="11" t="s">
        <v>1409</v>
      </c>
      <c r="AE370" s="11" t="s">
        <v>995</v>
      </c>
    </row>
    <row r="371">
      <c r="B371" s="26" t="s">
        <v>49</v>
      </c>
      <c r="C371" s="12" t="s">
        <v>1709</v>
      </c>
      <c r="D371" s="11" t="s">
        <v>1142</v>
      </c>
      <c r="E371" s="11" t="s">
        <v>47</v>
      </c>
      <c r="F371" s="12" t="s">
        <v>49</v>
      </c>
      <c r="G371" s="12" t="s">
        <v>994</v>
      </c>
      <c r="H371" s="12" t="s">
        <v>994</v>
      </c>
      <c r="I371" s="12" t="s">
        <v>37</v>
      </c>
      <c r="J371" s="12" t="s">
        <v>1018</v>
      </c>
      <c r="K371" s="12" t="s">
        <v>1024</v>
      </c>
      <c r="L371" s="12" t="s">
        <v>247</v>
      </c>
      <c r="M371" s="12" t="s">
        <v>994</v>
      </c>
      <c r="N371" s="13" t="s">
        <v>994</v>
      </c>
      <c r="O371" s="11" t="s">
        <v>994</v>
      </c>
      <c r="P371" s="11" t="s">
        <v>994</v>
      </c>
      <c r="Q371" s="11" t="s">
        <v>994</v>
      </c>
      <c r="R371" s="11" t="s">
        <v>994</v>
      </c>
      <c r="S371" s="11" t="s">
        <v>994</v>
      </c>
      <c r="T371" s="11" t="s">
        <v>994</v>
      </c>
      <c r="U371" s="11" t="s">
        <v>1016</v>
      </c>
      <c r="V371" s="11" t="s">
        <v>994</v>
      </c>
      <c r="W371" s="11" t="s">
        <v>994</v>
      </c>
      <c r="X371" s="11" t="s">
        <v>994</v>
      </c>
      <c r="Y371" s="11" t="s">
        <v>994</v>
      </c>
      <c r="Z371" s="11" t="s">
        <v>994</v>
      </c>
      <c r="AA371" s="11" t="s">
        <v>994</v>
      </c>
      <c r="AB371" s="11" t="s">
        <v>30</v>
      </c>
      <c r="AC371" s="11" t="s">
        <v>994</v>
      </c>
      <c r="AD371" s="11" t="s">
        <v>994</v>
      </c>
      <c r="AE371" s="11" t="s">
        <v>995</v>
      </c>
    </row>
    <row r="372">
      <c r="B372" s="26" t="s">
        <v>49</v>
      </c>
      <c r="C372" s="12" t="s">
        <v>1710</v>
      </c>
      <c r="D372" s="11" t="s">
        <v>1312</v>
      </c>
      <c r="E372" s="11" t="s">
        <v>1313</v>
      </c>
      <c r="F372" s="12" t="s">
        <v>49</v>
      </c>
      <c r="G372" s="12" t="s">
        <v>994</v>
      </c>
      <c r="H372" s="12" t="s">
        <v>994</v>
      </c>
      <c r="I372" s="12" t="s">
        <v>37</v>
      </c>
      <c r="J372" s="12" t="s">
        <v>1018</v>
      </c>
      <c r="K372" s="12" t="s">
        <v>1024</v>
      </c>
      <c r="L372" s="12" t="s">
        <v>247</v>
      </c>
      <c r="M372" s="12" t="s">
        <v>994</v>
      </c>
      <c r="N372" s="13" t="s">
        <v>994</v>
      </c>
      <c r="O372" s="11" t="s">
        <v>994</v>
      </c>
      <c r="P372" s="11" t="s">
        <v>994</v>
      </c>
      <c r="Q372" s="11" t="s">
        <v>994</v>
      </c>
      <c r="R372" s="11" t="s">
        <v>994</v>
      </c>
      <c r="S372" s="11" t="s">
        <v>994</v>
      </c>
      <c r="T372" s="11" t="s">
        <v>994</v>
      </c>
      <c r="U372" s="11" t="s">
        <v>1016</v>
      </c>
      <c r="V372" s="11" t="s">
        <v>994</v>
      </c>
      <c r="W372" s="11" t="s">
        <v>994</v>
      </c>
      <c r="X372" s="11" t="s">
        <v>994</v>
      </c>
      <c r="Y372" s="11" t="s">
        <v>994</v>
      </c>
      <c r="Z372" s="11" t="s">
        <v>994</v>
      </c>
      <c r="AA372" s="11" t="s">
        <v>994</v>
      </c>
      <c r="AB372" s="11" t="s">
        <v>30</v>
      </c>
      <c r="AC372" s="11" t="s">
        <v>994</v>
      </c>
      <c r="AD372" s="11" t="s">
        <v>994</v>
      </c>
      <c r="AE372" s="11" t="s">
        <v>995</v>
      </c>
    </row>
    <row r="373">
      <c r="B373" s="26" t="s">
        <v>49</v>
      </c>
      <c r="C373" s="12" t="s">
        <v>1710</v>
      </c>
      <c r="D373" s="11" t="s">
        <v>1404</v>
      </c>
      <c r="E373" s="11" t="s">
        <v>1406</v>
      </c>
      <c r="F373" s="12" t="s">
        <v>49</v>
      </c>
      <c r="G373" s="12" t="s">
        <v>994</v>
      </c>
      <c r="H373" s="12" t="s">
        <v>994</v>
      </c>
      <c r="I373" s="12" t="s">
        <v>82</v>
      </c>
      <c r="J373" s="12" t="s">
        <v>1018</v>
      </c>
      <c r="K373" s="12" t="s">
        <v>1022</v>
      </c>
      <c r="L373" s="12" t="s">
        <v>247</v>
      </c>
      <c r="M373" s="12" t="s">
        <v>994</v>
      </c>
      <c r="N373" s="13" t="s">
        <v>994</v>
      </c>
      <c r="O373" s="11" t="s">
        <v>994</v>
      </c>
      <c r="P373" s="11" t="s">
        <v>994</v>
      </c>
      <c r="Q373" s="11" t="s">
        <v>994</v>
      </c>
      <c r="R373" s="11" t="s">
        <v>994</v>
      </c>
      <c r="S373" s="11" t="s">
        <v>994</v>
      </c>
      <c r="T373" s="11" t="s">
        <v>994</v>
      </c>
      <c r="U373" s="11" t="s">
        <v>1016</v>
      </c>
      <c r="V373" s="11" t="s">
        <v>994</v>
      </c>
      <c r="W373" s="11" t="s">
        <v>994</v>
      </c>
      <c r="X373" s="11" t="s">
        <v>994</v>
      </c>
      <c r="Y373" s="11" t="s">
        <v>994</v>
      </c>
      <c r="Z373" s="11" t="s">
        <v>994</v>
      </c>
      <c r="AA373" s="11" t="s">
        <v>994</v>
      </c>
      <c r="AB373" s="11" t="s">
        <v>30</v>
      </c>
      <c r="AC373" s="11" t="s">
        <v>994</v>
      </c>
      <c r="AD373" s="11" t="s">
        <v>994</v>
      </c>
      <c r="AE373" s="11" t="s">
        <v>995</v>
      </c>
    </row>
    <row r="374">
      <c r="B374" s="26" t="s">
        <v>994</v>
      </c>
      <c r="C374" s="12" t="s">
        <v>1711</v>
      </c>
      <c r="D374" s="11" t="s">
        <v>1405</v>
      </c>
      <c r="E374" s="11" t="s">
        <v>429</v>
      </c>
      <c r="F374" s="12" t="s">
        <v>314</v>
      </c>
      <c r="G374" s="12" t="s">
        <v>994</v>
      </c>
      <c r="H374" s="12" t="s">
        <v>994</v>
      </c>
      <c r="I374" s="12" t="s">
        <v>430</v>
      </c>
      <c r="J374" s="12" t="s">
        <v>20</v>
      </c>
      <c r="K374" s="12" t="s">
        <v>994</v>
      </c>
      <c r="L374" s="12" t="s">
        <v>247</v>
      </c>
      <c r="M374" s="12" t="s">
        <v>994</v>
      </c>
      <c r="N374" s="13" t="s">
        <v>1408</v>
      </c>
      <c r="O374" s="11" t="s">
        <v>994</v>
      </c>
      <c r="P374" s="11" t="s">
        <v>994</v>
      </c>
      <c r="Q374" s="11" t="s">
        <v>126</v>
      </c>
      <c r="R374" s="11" t="s">
        <v>150</v>
      </c>
      <c r="S374" s="11" t="s">
        <v>126</v>
      </c>
      <c r="T374" s="11" t="s">
        <v>125</v>
      </c>
      <c r="U374" s="11" t="s">
        <v>131</v>
      </c>
      <c r="V374" s="11" t="s">
        <v>1772</v>
      </c>
      <c r="W374" s="11" t="s">
        <v>994</v>
      </c>
      <c r="X374" s="11" t="s">
        <v>994</v>
      </c>
      <c r="Y374" s="11" t="s">
        <v>1788</v>
      </c>
      <c r="Z374" s="11" t="s">
        <v>994</v>
      </c>
      <c r="AA374" s="11" t="s">
        <v>994</v>
      </c>
      <c r="AB374" s="11" t="s">
        <v>994</v>
      </c>
      <c r="AC374" s="11" t="s">
        <v>994</v>
      </c>
      <c r="AD374" s="11" t="s">
        <v>1410</v>
      </c>
      <c r="AE374" s="11" t="s">
        <v>995</v>
      </c>
    </row>
  </sheetData>
  <conditionalFormatting sqref="C51 J51:K51">
    <cfRule type="expression" dxfId="411" priority="261">
      <formula>$G51:$G365="Sí"</formula>
    </cfRule>
    <cfRule type="expression" dxfId="410" priority="260">
      <formula>$Q51:$Q365="APOYO"</formula>
    </cfRule>
  </conditionalFormatting>
  <conditionalFormatting sqref="C52:C180 J52:K180 O330">
    <cfRule type="expression" dxfId="409" priority="221">
      <formula>$G52:$G368="Sí"</formula>
    </cfRule>
    <cfRule type="expression" dxfId="408" priority="220">
      <formula>$Q52:$Q368="APOYO"</formula>
    </cfRule>
  </conditionalFormatting>
  <conditionalFormatting sqref="C366:C367">
    <cfRule type="expression" dxfId="407" priority="270">
      <formula>$G366:$G683="Sí"</formula>
    </cfRule>
    <cfRule type="expression" dxfId="406" priority="269">
      <formula>$Q366:$Q683="APOYO"</formula>
    </cfRule>
  </conditionalFormatting>
  <conditionalFormatting sqref="C33:H33 J33:S33 U33:AD33 D355:O364">
    <cfRule type="expression" dxfId="405" priority="197">
      <formula>$Q33:$Q354="APOYO"</formula>
    </cfRule>
    <cfRule type="expression" dxfId="404" priority="198">
      <formula>$G33:$G354="Sí"</formula>
    </cfRule>
  </conditionalFormatting>
  <conditionalFormatting sqref="C34:H34 J34:S34 V34:AD34 P365">
    <cfRule type="expression" dxfId="403" priority="202">
      <formula>$Q34:$Q354="APOYO"</formula>
    </cfRule>
    <cfRule type="expression" dxfId="402" priority="203">
      <formula>$G34:$G354="Sí"</formula>
    </cfRule>
  </conditionalFormatting>
  <conditionalFormatting sqref="C6:S6 W6:AD6 U6:U10 C25:H25 J25:S25 U25:AD25 U26:U31">
    <cfRule type="expression" dxfId="401" priority="266">
      <formula>$Q6:$Q329="APOYO"</formula>
    </cfRule>
    <cfRule type="expression" dxfId="400" priority="267">
      <formula>$G6:$G329="Sí"</formula>
    </cfRule>
  </conditionalFormatting>
  <conditionalFormatting sqref="C45:T46 V45:AD46">
    <cfRule type="expression" dxfId="399" priority="289">
      <formula>$Q45:$Q363="APOYO"</formula>
    </cfRule>
    <cfRule type="expression" dxfId="398" priority="288">
      <formula>$G45:$G363="Sí"</formula>
    </cfRule>
  </conditionalFormatting>
  <conditionalFormatting sqref="C47:T47 V47:AD48 C48:S48 U51:U180">
    <cfRule type="expression" dxfId="397" priority="291">
      <formula>$G47:$G364="Sí"</formula>
    </cfRule>
    <cfRule type="expression" dxfId="396" priority="290">
      <formula>$Q47:$Q364="APOYO"</formula>
    </cfRule>
  </conditionalFormatting>
  <conditionalFormatting sqref="D85:E86 G85:I86 L85:T86 V85:AD86 Z93:AA93 F101">
    <cfRule type="expression" dxfId="395" priority="229">
      <formula>$G85:$G347="Sí"</formula>
    </cfRule>
    <cfRule type="expression" dxfId="394" priority="228">
      <formula>$Q85:$Q347="APOYO"</formula>
    </cfRule>
  </conditionalFormatting>
  <conditionalFormatting sqref="D111:E112">
    <cfRule type="expression" dxfId="393" priority="293">
      <formula>$Q111:$Q364="APOYO"</formula>
    </cfRule>
    <cfRule type="expression" dxfId="392" priority="292">
      <formula>$G111:$G364="Sí"</formula>
    </cfRule>
  </conditionalFormatting>
  <conditionalFormatting sqref="D113:E113 G113:I113 L113:S113 V113:AD113">
    <cfRule type="expression" dxfId="391" priority="251">
      <formula>$G113:$G365="Sí"</formula>
    </cfRule>
    <cfRule type="expression" dxfId="390" priority="250">
      <formula>$Q113:$Q365="APOYO"</formula>
    </cfRule>
  </conditionalFormatting>
  <conditionalFormatting sqref="D171:E171 G171:I171 L171:T171 V171:AD171">
    <cfRule type="expression" dxfId="389" priority="224">
      <formula>$Q171:$Q354="APOYO"</formula>
    </cfRule>
    <cfRule type="expression" dxfId="388" priority="225">
      <formula>$G171:$G354="Sí"</formula>
    </cfRule>
  </conditionalFormatting>
  <conditionalFormatting sqref="D172:E172 G172:I172 V172:AD179 L172:T180 D173:I180 V180:AA180 AC180:AD180">
    <cfRule type="expression" dxfId="387" priority="295">
      <formula>$G172:$G354="Sí"</formula>
    </cfRule>
    <cfRule type="expression" dxfId="386" priority="294">
      <formula>$Q172:$Q354="APOYO"</formula>
    </cfRule>
  </conditionalFormatting>
  <conditionalFormatting sqref="D97:F100 G97:I106 L97:T106 V97:AD106 D101:E101 D102:F106 G111:I112 L111:T112 V111:AD112">
    <cfRule type="expression" dxfId="385" priority="235">
      <formula>$Q97:$Q354="APOYO"</formula>
    </cfRule>
    <cfRule type="expression" dxfId="384" priority="234">
      <formula>$G97:$G354="Sí"</formula>
    </cfRule>
  </conditionalFormatting>
  <conditionalFormatting sqref="D114:F119 G114:I126 L114:T139 V114:AD139 D120:E120 D121:F125 D126:E126 D127:I139">
    <cfRule type="expression" dxfId="383" priority="273">
      <formula>$G114:$G368="Sí"</formula>
    </cfRule>
    <cfRule type="expression" dxfId="382" priority="272">
      <formula>$Q114:$Q368="APOYO"</formula>
    </cfRule>
  </conditionalFormatting>
  <conditionalFormatting sqref="D190:F191 G190:I192 L190:S197 V190:AD211 D192:E192 D193:I211 L198:T207 L208:S209 L210:T211 I265:I273 I301:I303 I308 I310:I311">
    <cfRule type="expression" dxfId="381" priority="111">
      <formula>$Q190:$Q368="APOYO"</formula>
    </cfRule>
    <cfRule type="expression" dxfId="380" priority="112">
      <formula>$G190:$G368="Sí"</formula>
    </cfRule>
  </conditionalFormatting>
  <conditionalFormatting sqref="D366:F367 I366:I367">
    <cfRule type="expression" dxfId="379" priority="95">
      <formula>$Q366:$Q687="APOYO"</formula>
    </cfRule>
    <cfRule type="expression" dxfId="378" priority="96">
      <formula>$G366:$G687="Sí"</formula>
    </cfRule>
  </conditionalFormatting>
  <conditionalFormatting sqref="D368:F370">
    <cfRule type="expression" dxfId="377" priority="73">
      <formula>$Q368:$Q688="APOYO"</formula>
    </cfRule>
    <cfRule type="expression" dxfId="376" priority="74">
      <formula>$G368:$G688="Sí"</formula>
    </cfRule>
  </conditionalFormatting>
  <conditionalFormatting sqref="D26:H26 J26:T26 V26:AD31 C26:C32 D27:T27 D28:H28 J28 L28:T28 D29:T29 D30:H32 J30:S32 U32:AA32 AC32:AD32">
    <cfRule type="expression" dxfId="375" priority="301">
      <formula>$Q26:$Q348="APOYO"</formula>
    </cfRule>
    <cfRule type="expression" dxfId="374" priority="296">
      <formula>$G26:$G348="Sí"</formula>
    </cfRule>
  </conditionalFormatting>
  <conditionalFormatting sqref="D35:H35 C35:C44 V35:AD44 D36:S37 J38 L38:S38 D38:H41 J39:S40 J41:T41 D42:T42 D43:S43 D44:T44 U44:U45 V49:AA49 AC49:AD49 C49:T50 V50:AD50 P366:P367 J35:S35">
    <cfRule type="expression" dxfId="373" priority="216">
      <formula>$G35:$G354="Sí"</formula>
    </cfRule>
  </conditionalFormatting>
  <conditionalFormatting sqref="D35:H35 C35:C44 V35:AD44 D36:S37 J38 L38:S38 D38:H41 J39:S40 J41:T41 D42:T42 D43:S43 D44:T44 U44:U45 V49:AA49 AC49:AD49 C49:T50 V50:AD50 P366:P367">
    <cfRule type="expression" dxfId="372" priority="201">
      <formula>$Q35:$Q354="APOYO"</formula>
    </cfRule>
  </conditionalFormatting>
  <conditionalFormatting sqref="D51:I51 L51:T51 V51:AD51">
    <cfRule type="expression" dxfId="371" priority="178">
      <formula>$G51:$G329="Sí"</formula>
    </cfRule>
    <cfRule type="expression" dxfId="370" priority="177">
      <formula>$Q51:$Q329="APOYO"</formula>
    </cfRule>
  </conditionalFormatting>
  <conditionalFormatting sqref="D59:I59 L59:T59 V59:AD59">
    <cfRule type="expression" dxfId="369" priority="163">
      <formula>$G59:$G329="Sí"</formula>
    </cfRule>
    <cfRule type="expression" dxfId="368" priority="162">
      <formula>$Q59:$Q329="APOYO"</formula>
    </cfRule>
  </conditionalFormatting>
  <conditionalFormatting sqref="D60:I60 L60:T60 V60:AD60">
    <cfRule type="expression" dxfId="367" priority="170">
      <formula>$G60:$G329="Sí"</formula>
    </cfRule>
    <cfRule type="expression" dxfId="366" priority="169">
      <formula>$Q60:$Q329="APOYO"</formula>
    </cfRule>
  </conditionalFormatting>
  <conditionalFormatting sqref="D64:I64 L64:S64 V64:AD64 F84:F86">
    <cfRule type="expression" dxfId="365" priority="164">
      <formula>$Q64:$Q329="APOYO"</formula>
    </cfRule>
    <cfRule type="expression" dxfId="364" priority="165">
      <formula>$G64:$G329="Sí"</formula>
    </cfRule>
  </conditionalFormatting>
  <conditionalFormatting sqref="D65:I65 L65:T65 V65:AD65">
    <cfRule type="expression" dxfId="363" priority="172">
      <formula>$G65:$G329="Sí"</formula>
    </cfRule>
    <cfRule type="expression" dxfId="362" priority="171">
      <formula>$Q65:$Q329="APOYO"</formula>
    </cfRule>
  </conditionalFormatting>
  <conditionalFormatting sqref="D87:I87 L87:T87 V87:AD87">
    <cfRule type="expression" dxfId="361" priority="192">
      <formula>$Q87:$Q348="APOYO"</formula>
    </cfRule>
    <cfRule type="expression" dxfId="360" priority="185">
      <formula>$G87:$G348="Sí"</formula>
    </cfRule>
  </conditionalFormatting>
  <conditionalFormatting sqref="D95:I95 L95:T95 V95:AD95">
    <cfRule type="expression" dxfId="359" priority="211">
      <formula>$Q95:$Q354="APOYO"</formula>
    </cfRule>
    <cfRule type="expression" dxfId="358" priority="210">
      <formula>$G95:$G354="Sí"</formula>
    </cfRule>
  </conditionalFormatting>
  <conditionalFormatting sqref="D96:I96 L96:T96 V96:AD96">
    <cfRule type="expression" dxfId="357" priority="222">
      <formula>$G96:$G354="Sí"</formula>
    </cfRule>
    <cfRule type="expression" dxfId="356" priority="223">
      <formula>$Q96:$Q354="APOYO"</formula>
    </cfRule>
  </conditionalFormatting>
  <conditionalFormatting sqref="D107:I108 L107:T108 V107:AD108">
    <cfRule type="expression" dxfId="355" priority="297">
      <formula>$G107:$G363="Sí"</formula>
    </cfRule>
    <cfRule type="expression" dxfId="354" priority="298">
      <formula>$Q107:$Q363="APOYO"</formula>
    </cfRule>
  </conditionalFormatting>
  <conditionalFormatting sqref="D109:I110 L109:T110 V109:AD110">
    <cfRule type="expression" dxfId="353" priority="240">
      <formula>$G109:$G364="Sí"</formula>
    </cfRule>
    <cfRule type="expression" dxfId="352" priority="241">
      <formula>$Q109:$Q364="APOYO"</formula>
    </cfRule>
  </conditionalFormatting>
  <conditionalFormatting sqref="D140:I140 L140:T140 V140:AD140">
    <cfRule type="expression" dxfId="351" priority="173">
      <formula>$Q140:$Q329="APOYO"</formula>
    </cfRule>
    <cfRule type="expression" dxfId="350" priority="174">
      <formula>$G140:$G329="Sí"</formula>
    </cfRule>
  </conditionalFormatting>
  <conditionalFormatting sqref="D160:I161 L160:S161 W160:AD161">
    <cfRule type="expression" dxfId="349" priority="149">
      <formula>$Q160:$Q347="APOYO"</formula>
    </cfRule>
    <cfRule type="expression" dxfId="348" priority="150">
      <formula>$G160:$G347="Sí"</formula>
    </cfRule>
  </conditionalFormatting>
  <conditionalFormatting sqref="D162:I162">
    <cfRule type="expression" dxfId="347" priority="193">
      <formula>$Q162:$Q348="APOYO"</formula>
    </cfRule>
    <cfRule type="expression" dxfId="346" priority="194">
      <formula>$G162:$G348="Sí"</formula>
    </cfRule>
  </conditionalFormatting>
  <conditionalFormatting sqref="D170:I170 L170:T170 V170:AD170">
    <cfRule type="expression" dxfId="345" priority="213">
      <formula>$G170:$G354="Sí"</formula>
    </cfRule>
    <cfRule type="expression" dxfId="344" priority="212">
      <formula>$Q170:$Q354="APOYO"</formula>
    </cfRule>
  </conditionalFormatting>
  <conditionalFormatting sqref="D181:I182 L181:T182 V181:AD182 D187:I188 L187:T188 V187:AD188">
    <cfRule type="expression" dxfId="343" priority="236">
      <formula>$Q181:$Q362="APOYO"</formula>
    </cfRule>
    <cfRule type="expression" dxfId="342" priority="237">
      <formula>$G181:$G362="Sí"</formula>
    </cfRule>
  </conditionalFormatting>
  <conditionalFormatting sqref="D183:I184 L183:T184 V183:AD184">
    <cfRule type="expression" dxfId="341" priority="243">
      <formula>$G183:$G363="Sí"</formula>
    </cfRule>
    <cfRule type="expression" dxfId="340" priority="242">
      <formula>$Q183:$Q363="APOYO"</formula>
    </cfRule>
  </conditionalFormatting>
  <conditionalFormatting sqref="D185:I186 L185:T186 V185:AD186">
    <cfRule type="expression" dxfId="339" priority="255">
      <formula>$G185:$G364="Sí"</formula>
    </cfRule>
    <cfRule type="expression" dxfId="338" priority="254">
      <formula>$Q185:$Q364="APOYO"</formula>
    </cfRule>
  </conditionalFormatting>
  <conditionalFormatting sqref="D189:I189 V189:AD189">
    <cfRule type="expression" dxfId="337" priority="110">
      <formula>$G189:$G365="Sí"</formula>
    </cfRule>
    <cfRule type="expression" dxfId="336" priority="109">
      <formula>$Q189:$Q365="APOYO"</formula>
    </cfRule>
  </conditionalFormatting>
  <conditionalFormatting sqref="D212:I212 L212:T212 V212:AD212 D219:I230 L219:T230 V219:AD230">
    <cfRule type="expression" dxfId="335" priority="167">
      <formula>$G212:$G329="Sí"</formula>
    </cfRule>
    <cfRule type="expression" dxfId="334" priority="166">
      <formula>$Q212:$Q329="APOYO"</formula>
    </cfRule>
  </conditionalFormatting>
  <conditionalFormatting sqref="D213:I218 L213:T218 V213:AD218 D231:I232 L231:T232 V231:AD232">
    <cfRule type="expression" dxfId="333" priority="184">
      <formula>$G213:$G329="Sí"</formula>
    </cfRule>
    <cfRule type="expression" dxfId="332" priority="183">
      <formula>$Q213:$Q329="APOYO"</formula>
    </cfRule>
  </conditionalFormatting>
  <conditionalFormatting sqref="D233:I233 L233:T233 V233:AD233">
    <cfRule type="expression" dxfId="331" priority="188">
      <formula>$Q233:$Q348="APOYO"</formula>
    </cfRule>
    <cfRule type="expression" dxfId="330" priority="189">
      <formula>$G233:$G348="Sí"</formula>
    </cfRule>
  </conditionalFormatting>
  <conditionalFormatting sqref="D241:I241 L241:T241 V241:AD241">
    <cfRule type="expression" dxfId="329" priority="153">
      <formula>$Q241:$Q354="APOYO"</formula>
    </cfRule>
    <cfRule type="expression" dxfId="328" priority="154">
      <formula>$G241:$G354="Sí"</formula>
    </cfRule>
  </conditionalFormatting>
  <conditionalFormatting sqref="D242:I242 L242:T242 V242:AD242">
    <cfRule type="expression" dxfId="327" priority="215">
      <formula>$G242:$G354="Sí"</formula>
    </cfRule>
    <cfRule type="expression" dxfId="326" priority="214">
      <formula>$Q242:$Q354="APOYO"</formula>
    </cfRule>
  </conditionalFormatting>
  <conditionalFormatting sqref="D243:I252 L243:T252 V243:AD252 L257:S257 D257:I258 V257:AD258 L258:T258">
    <cfRule type="expression" dxfId="325" priority="226">
      <formula>$Q243:$Q354="APOYO"</formula>
    </cfRule>
    <cfRule type="expression" dxfId="324" priority="227">
      <formula>$G243:$G354="Sí"</formula>
    </cfRule>
  </conditionalFormatting>
  <conditionalFormatting sqref="D253:I254 L253:T254 V253:AD254">
    <cfRule type="expression" dxfId="323" priority="245">
      <formula>$G253:$G363="Sí"</formula>
    </cfRule>
    <cfRule type="expression" dxfId="322" priority="244">
      <formula>$Q253:$Q363="APOYO"</formula>
    </cfRule>
  </conditionalFormatting>
  <conditionalFormatting sqref="D255:I256 L255:T256 V255:AD256">
    <cfRule type="expression" dxfId="321" priority="257">
      <formula>$G255:$G364="Sí"</formula>
    </cfRule>
    <cfRule type="expression" dxfId="320" priority="256">
      <formula>$Q255:$Q364="APOYO"</formula>
    </cfRule>
  </conditionalFormatting>
  <conditionalFormatting sqref="D259:I259 L259:T259 V259:AD259">
    <cfRule type="expression" dxfId="319" priority="248">
      <formula>$G259:$G365="Sí"</formula>
    </cfRule>
    <cfRule type="expression" dxfId="318" priority="247">
      <formula>$Q259:$Q365="APOYO"</formula>
    </cfRule>
  </conditionalFormatting>
  <conditionalFormatting sqref="D260:I260 L260:T260 V260:AD260">
    <cfRule type="expression" dxfId="317" priority="275">
      <formula>$G260:$G368="Sí"</formula>
    </cfRule>
    <cfRule type="expression" dxfId="316" priority="274">
      <formula>$Q260:$Q368="APOYO"</formula>
    </cfRule>
  </conditionalFormatting>
  <conditionalFormatting sqref="D371:J373">
    <cfRule type="expression" dxfId="315" priority="49">
      <formula>$Q371:$Q691="APOYO"</formula>
    </cfRule>
    <cfRule type="expression" dxfId="314" priority="50">
      <formula>$G371:$G691="Sí"</formula>
    </cfRule>
  </conditionalFormatting>
  <conditionalFormatting sqref="E374">
    <cfRule type="expression" dxfId="313" priority="45">
      <formula>$Q374:$Q481="APOYO"</formula>
    </cfRule>
    <cfRule type="expression" dxfId="312" priority="46">
      <formula>$G374:$G481="Sí"</formula>
    </cfRule>
  </conditionalFormatting>
  <conditionalFormatting sqref="F111:F113 F120 F126 F171:F172">
    <cfRule type="expression" dxfId="311" priority="300">
      <formula>$G111:$G370="Sí"</formula>
    </cfRule>
    <cfRule type="expression" dxfId="310" priority="299">
      <formula>$Q111:$Q370="APOYO"</formula>
    </cfRule>
  </conditionalFormatting>
  <conditionalFormatting sqref="F192 F287">
    <cfRule type="expression" dxfId="309" priority="259">
      <formula>$G192:$G450="Sí"</formula>
    </cfRule>
    <cfRule type="expression" dxfId="308" priority="258">
      <formula>$Q192:$Q450="APOYO"</formula>
    </cfRule>
  </conditionalFormatting>
  <conditionalFormatting sqref="F374">
    <cfRule type="expression" dxfId="307" priority="47">
      <formula>$Q374:$Q694="APOYO"</formula>
    </cfRule>
    <cfRule type="expression" dxfId="306" priority="48">
      <formula>$G374:$G694="Sí"</formula>
    </cfRule>
  </conditionalFormatting>
  <conditionalFormatting sqref="G366:H369 G370:J370">
    <cfRule type="expression" dxfId="305" priority="75">
      <formula>$Q366:$Q686="APOYO"</formula>
    </cfRule>
    <cfRule type="expression" dxfId="304" priority="76">
      <formula>$G366:$G686="Sí"</formula>
    </cfRule>
  </conditionalFormatting>
  <conditionalFormatting sqref="I25:I26 I28">
    <cfRule type="expression" dxfId="303" priority="108">
      <formula>$G25:$G202="Sí"</formula>
    </cfRule>
    <cfRule type="expression" dxfId="302" priority="107">
      <formula>$Q25:$Q202="APOYO"</formula>
    </cfRule>
  </conditionalFormatting>
  <conditionalFormatting sqref="I41">
    <cfRule type="expression" dxfId="301" priority="281">
      <formula>$Q41:$Q368="APOYO"</formula>
    </cfRule>
    <cfRule type="expression" dxfId="300" priority="282">
      <formula>$G41:$G368="Sí"</formula>
    </cfRule>
  </conditionalFormatting>
  <conditionalFormatting sqref="I374">
    <cfRule type="expression" dxfId="299" priority="38">
      <formula>$G374:$G481="Sí"</formula>
    </cfRule>
    <cfRule type="expression" dxfId="298" priority="37">
      <formula>$Q374:$Q481="APOYO"</formula>
    </cfRule>
  </conditionalFormatting>
  <conditionalFormatting sqref="I368:K368">
    <cfRule type="expression" dxfId="297" priority="145">
      <formula>$Q368:$Q688="APOYO"</formula>
    </cfRule>
    <cfRule type="expression" dxfId="296" priority="146">
      <formula>$G368:$G688="Sí"</formula>
    </cfRule>
  </conditionalFormatting>
  <conditionalFormatting sqref="I369:O369 L370:M370 O370">
    <cfRule type="expression" dxfId="295" priority="62">
      <formula>$G369:$G689="Sí"</formula>
    </cfRule>
    <cfRule type="expression" dxfId="294" priority="61">
      <formula>$Q369:$Q689="APOYO"</formula>
    </cfRule>
  </conditionalFormatting>
  <conditionalFormatting sqref="J13 U22:U23 I23:I24 I30:I35 I38:I40">
    <cfRule type="expression" dxfId="293" priority="157">
      <formula>$Q13:$Q338="APOYO"</formula>
    </cfRule>
    <cfRule type="expression" dxfId="292" priority="158">
      <formula>$G13:$G338="Sí"</formula>
    </cfRule>
  </conditionalFormatting>
  <conditionalFormatting sqref="J374">
    <cfRule type="expression" dxfId="291" priority="35">
      <formula>$Q374:$Q690="APOYO"</formula>
    </cfRule>
    <cfRule type="expression" dxfId="290" priority="36">
      <formula>$G374:$G690="Sí"</formula>
    </cfRule>
  </conditionalFormatting>
  <conditionalFormatting sqref="J181:K218 C181:C219 U368:U373">
    <cfRule type="expression" dxfId="289" priority="147">
      <formula>$Q181:$Q496="APOYO"</formula>
    </cfRule>
    <cfRule type="expression" dxfId="288" priority="148">
      <formula>$G181:$G496="Sí"</formula>
    </cfRule>
  </conditionalFormatting>
  <conditionalFormatting sqref="J261:K329 K330:K340">
    <cfRule type="expression" dxfId="287" priority="284">
      <formula>$Q261:$Q576="APOYO"</formula>
    </cfRule>
    <cfRule type="expression" dxfId="286" priority="283">
      <formula>$G261:$G576="Sí"</formula>
    </cfRule>
  </conditionalFormatting>
  <conditionalFormatting sqref="J35:S35">
    <cfRule type="expression" dxfId="285" priority="199">
      <formula>$Q35:$Q354="APOYO"</formula>
    </cfRule>
  </conditionalFormatting>
  <conditionalFormatting sqref="J23:T23 V11:AA11 AC11:AD11 D11:J12 L12:T20 V12:AD20 D13:I13 C13:C20 D14:J20 C23:H24 V23:AD24 J24:S24 U24">
    <cfRule type="expression" dxfId="284" priority="191">
      <formula>$G11:$G335="Sí"</formula>
    </cfRule>
  </conditionalFormatting>
  <conditionalFormatting sqref="J23:T23">
    <cfRule type="expression" dxfId="283" priority="190">
      <formula>$Q23:$Q347="APOYO"</formula>
    </cfRule>
  </conditionalFormatting>
  <conditionalFormatting sqref="K7:K10 K28">
    <cfRule type="expression" dxfId="282" priority="218">
      <formula>$Q6:$Q329="APOYO"</formula>
    </cfRule>
    <cfRule type="expression" dxfId="281" priority="219">
      <formula>$G6:$G329="Sí"</formula>
    </cfRule>
  </conditionalFormatting>
  <conditionalFormatting sqref="K11">
    <cfRule type="expression" dxfId="280" priority="268">
      <formula>$G11:$G335="Sí"</formula>
    </cfRule>
  </conditionalFormatting>
  <conditionalFormatting sqref="K12:K20">
    <cfRule type="expression" dxfId="279" priority="303">
      <formula>$G11:$G336="Sí"</formula>
    </cfRule>
    <cfRule type="expression" dxfId="278" priority="302">
      <formula>$Q11:$Q336="APOYO"</formula>
    </cfRule>
  </conditionalFormatting>
  <conditionalFormatting sqref="K38">
    <cfRule type="expression" dxfId="277" priority="262">
      <formula>$Q37:$Q357="APOYO"</formula>
    </cfRule>
    <cfRule type="expression" dxfId="276" priority="263">
      <formula>$G37:$G357="Sí"</formula>
    </cfRule>
  </conditionalFormatting>
  <conditionalFormatting sqref="K341:K348">
    <cfRule type="expression" dxfId="275" priority="285">
      <formula>$Q340:$Q657="APOYO"</formula>
    </cfRule>
    <cfRule type="expression" dxfId="274" priority="286">
      <formula>$G340:$G657="Sí"</formula>
    </cfRule>
  </conditionalFormatting>
  <conditionalFormatting sqref="K366:K367 Q355:T356 V355:AD356 Q357:S357 V357:AA357 AC357:AD357 V358:AD358 Q358:T364 W359:AD359 V360:AD362 W363:AD363 V364:AD364 M366:O367 W366:AA367 AC366:AD367">
    <cfRule type="expression" dxfId="273" priority="204">
      <formula>$Q355:$Q676="APOYO"</formula>
    </cfRule>
  </conditionalFormatting>
  <conditionalFormatting sqref="K366:K367">
    <cfRule type="expression" dxfId="272" priority="101">
      <formula>$Q366:$Q687="APOYO"</formula>
    </cfRule>
    <cfRule type="expression" dxfId="271" priority="102">
      <formula>$G366:$G687="Sí"</formula>
    </cfRule>
  </conditionalFormatting>
  <conditionalFormatting sqref="K370:K373">
    <cfRule type="expression" dxfId="270" priority="67">
      <formula>$Q370:$Q690="APOYO"</formula>
    </cfRule>
    <cfRule type="expression" dxfId="269" priority="68">
      <formula>$G370:$G690="Sí"</formula>
    </cfRule>
    <cfRule type="expression" dxfId="268" priority="69">
      <formula>$Q370:$Q690="APOYO"</formula>
    </cfRule>
    <cfRule type="expression" dxfId="267" priority="70">
      <formula>$G370:$G690="Sí"</formula>
    </cfRule>
  </conditionalFormatting>
  <conditionalFormatting sqref="K368:O368">
    <cfRule type="expression" dxfId="266" priority="144">
      <formula>$G368:$G688="Sí"</formula>
    </cfRule>
    <cfRule type="expression" dxfId="265" priority="143">
      <formula>$Q368:$Q688="APOYO"</formula>
    </cfRule>
  </conditionalFormatting>
  <conditionalFormatting sqref="K11:S11">
    <cfRule type="expression" dxfId="264" priority="239">
      <formula>$Q11:$Q335="APOYO"</formula>
    </cfRule>
  </conditionalFormatting>
  <conditionalFormatting sqref="L374">
    <cfRule type="expression" dxfId="263" priority="34">
      <formula>$G374:$G481="Sí"</formula>
    </cfRule>
    <cfRule type="expression" dxfId="262" priority="33">
      <formula>$Q374:$Q481="APOYO"</formula>
    </cfRule>
  </conditionalFormatting>
  <conditionalFormatting sqref="L371:O373">
    <cfRule type="expression" dxfId="261" priority="2">
      <formula>$G371:$G691="Sí"</formula>
    </cfRule>
    <cfRule type="expression" dxfId="260" priority="1">
      <formula>$Q371:$Q691="APOYO"</formula>
    </cfRule>
  </conditionalFormatting>
  <conditionalFormatting sqref="L11:S11">
    <cfRule type="expression" dxfId="259" priority="238">
      <formula>$G11:$G335="Sí"</formula>
    </cfRule>
  </conditionalFormatting>
  <conditionalFormatting sqref="L88:S89 V88:AD92 D88:I94 L90:T94 V93:Y93 AB93:AD93 V94:AD94">
    <cfRule type="expression" dxfId="258" priority="207">
      <formula>$Q88:$Q348="APOYO"</formula>
    </cfRule>
    <cfRule type="expression" dxfId="257" priority="206">
      <formula>$G88:$G348="Sí"</formula>
    </cfRule>
  </conditionalFormatting>
  <conditionalFormatting sqref="L162:S162 W162:AD162">
    <cfRule type="expression" dxfId="256" priority="187">
      <formula>$G162:$G348="Sí"</formula>
    </cfRule>
    <cfRule type="expression" dxfId="255" priority="186">
      <formula>$Q162:$Q348="APOYO"</formula>
    </cfRule>
  </conditionalFormatting>
  <conditionalFormatting sqref="L261:S261 G261:I264 V261:AD268 D261:F286 L262:T264 G265:H273 L265:S273 V269:AA269 AC269:AD269 V270:AD317 G274:I287 L274:T307 D287:E287 D288:I300 D301:H303 D304:I307 D308:H308 L308:S308 D309:I309 L309:T309 D310:H311 L310:S311 L312:T329 D312:I340 V318:AA318 AC318:AD318 V319:AD336 P330:P338 L330:M340 O331:O338 V337:AA337 AC337:AD337 V338:AD339 O339:P340">
    <cfRule type="expression" dxfId="254" priority="176">
      <formula>$G261:$G368="Sí"</formula>
    </cfRule>
  </conditionalFormatting>
  <conditionalFormatting sqref="L52:T53 D52:I58 V52:AD58 L54:S54 L55:T57 L58:S58">
    <cfRule type="expression" dxfId="253" priority="230">
      <formula>$Q52:$Q329="APOYO"</formula>
    </cfRule>
    <cfRule type="expression" dxfId="252" priority="231">
      <formula>$G52:$G329="Sí"</formula>
    </cfRule>
  </conditionalFormatting>
  <conditionalFormatting sqref="L61:T62 D61:I63 V61:AD63 L63:S63">
    <cfRule type="expression" dxfId="251" priority="233">
      <formula>$G61:$G329="Sí"</formula>
    </cfRule>
    <cfRule type="expression" dxfId="250" priority="232">
      <formula>$Q61:$Q329="APOYO"</formula>
    </cfRule>
  </conditionalFormatting>
  <conditionalFormatting sqref="L66:T69 D66:F83 G66:I84 V66:AD84 L70:S70 L71:T80 L81:S81 L82:T84 D84:E84 T88:T89">
    <cfRule type="expression" dxfId="249" priority="179">
      <formula>$Q66:$Q329="APOYO"</formula>
    </cfRule>
    <cfRule type="expression" dxfId="248" priority="180">
      <formula>$G66:$G329="Sí"</formula>
    </cfRule>
  </conditionalFormatting>
  <conditionalFormatting sqref="L141:T148 D141:I159 V141:AD159 L149:S149 L150:T150 L151:S154 L155:T155 L156:S159 V160:V166">
    <cfRule type="expression" dxfId="247" priority="181">
      <formula>$Q141:$Q329="APOYO"</formula>
    </cfRule>
    <cfRule type="expression" dxfId="246" priority="182">
      <formula>$G141:$G329="Sí"</formula>
    </cfRule>
  </conditionalFormatting>
  <conditionalFormatting sqref="L189:T189">
    <cfRule type="expression" dxfId="245" priority="253">
      <formula>$G189:$G365="Sí"</formula>
    </cfRule>
    <cfRule type="expression" dxfId="244" priority="252">
      <formula>$Q189:$Q365="APOYO"</formula>
    </cfRule>
  </conditionalFormatting>
  <conditionalFormatting sqref="O331 O336:O340">
    <cfRule type="expression" dxfId="243" priority="277">
      <formula>$G331:$G585="Sí"</formula>
    </cfRule>
    <cfRule type="expression" dxfId="242" priority="271">
      <formula>$Q331:$Q585="APOYO"</formula>
    </cfRule>
  </conditionalFormatting>
  <conditionalFormatting sqref="P349:P351">
    <cfRule type="expression" dxfId="241" priority="279">
      <formula>$Q349:$Q456="APOYO"</formula>
    </cfRule>
    <cfRule type="expression" dxfId="240" priority="280">
      <formula>$G349:$G456="Sí"</formula>
    </cfRule>
  </conditionalFormatting>
  <conditionalFormatting sqref="Q370:R370">
    <cfRule type="expression" dxfId="239" priority="28">
      <formula>$G370:$G686="Sí"</formula>
    </cfRule>
    <cfRule type="expression" dxfId="238" priority="27">
      <formula>$Q370:$Q686="APOYO"</formula>
    </cfRule>
  </conditionalFormatting>
  <conditionalFormatting sqref="Q374:R374">
    <cfRule type="expression" dxfId="237" priority="25">
      <formula>$Q374:$Q690="APOYO"</formula>
    </cfRule>
    <cfRule type="expression" dxfId="236" priority="26">
      <formula>$G374:$G690="Sí"</formula>
    </cfRule>
  </conditionalFormatting>
  <conditionalFormatting sqref="Q366:S367">
    <cfRule type="expression" dxfId="235" priority="103">
      <formula>$Q366:$Q687="APOYO"</formula>
    </cfRule>
    <cfRule type="expression" dxfId="234" priority="104">
      <formula>$G366:$G687="Sí"</formula>
    </cfRule>
  </conditionalFormatting>
  <conditionalFormatting sqref="Q368:S369 S370">
    <cfRule type="expression" dxfId="233" priority="63">
      <formula>$Q368:$Q688="APOYO"</formula>
    </cfRule>
    <cfRule type="expression" dxfId="232" priority="64">
      <formula>$G368:$G688="Sí"</formula>
    </cfRule>
  </conditionalFormatting>
  <conditionalFormatting sqref="Q371:S373">
    <cfRule type="expression" dxfId="231" priority="56">
      <formula>$G371:$G691="Sí"</formula>
    </cfRule>
    <cfRule type="expression" dxfId="230" priority="55">
      <formula>$Q371:$Q691="APOYO"</formula>
    </cfRule>
  </conditionalFormatting>
  <conditionalFormatting sqref="Q349:T350 V349:AD350 D349:O354 Q351:S351 V351:AA351 AC351:AD351 Q352:T354 V352:AD354 C357:C365 P368:P373">
    <cfRule type="expression" dxfId="229" priority="200">
      <formula>$G349:$G667="Sí"</formula>
    </cfRule>
    <cfRule type="expression" dxfId="228" priority="217">
      <formula>$Q349:$Q667="APOYO"</formula>
    </cfRule>
  </conditionalFormatting>
  <conditionalFormatting sqref="Q355:T356 V355:AD356 Q357:S357 V357:AA357 AC357:AD357 V358:AD358 Q358:T364 W359:AD359 V360:AD362 W363:AD363 V364:AD364 K366:K367 M366:O367 W366:AA367 AC366:AD367">
    <cfRule type="expression" dxfId="227" priority="205">
      <formula>$G355:$G676="Sí"</formula>
    </cfRule>
  </conditionalFormatting>
  <conditionalFormatting sqref="Q365:T365 V365:AD365">
    <cfRule type="expression" dxfId="226" priority="156">
      <formula>$G365:$G687="Sí"</formula>
    </cfRule>
    <cfRule type="expression" dxfId="225" priority="155">
      <formula>$Q365:$Q687="APOYO"</formula>
    </cfRule>
  </conditionalFormatting>
  <conditionalFormatting sqref="T6 C7:J10 L7:T10 V7:AD10 C11:C12 T21:T22 T24:T25 T30:T40">
    <cfRule type="expression" dxfId="224" priority="133">
      <formula>$G6:$G328="Sí"</formula>
    </cfRule>
    <cfRule type="expression" dxfId="223" priority="134">
      <formula>$Q6:$Q328="APOYO"</formula>
    </cfRule>
  </conditionalFormatting>
  <conditionalFormatting sqref="T11">
    <cfRule type="expression" dxfId="222" priority="132">
      <formula>$Q11:$Q333="APOYO"</formula>
    </cfRule>
    <cfRule type="expression" dxfId="221" priority="131">
      <formula>$G11:$G333="Sí"</formula>
    </cfRule>
  </conditionalFormatting>
  <conditionalFormatting sqref="T43">
    <cfRule type="expression" dxfId="220" priority="123">
      <formula>$G43:$G365="Sí"</formula>
    </cfRule>
    <cfRule type="expression" dxfId="219" priority="124">
      <formula>$Q43:$Q365="APOYO"</formula>
    </cfRule>
  </conditionalFormatting>
  <conditionalFormatting sqref="T48 T54 T63:T64">
    <cfRule type="expression" dxfId="218" priority="119">
      <formula>$G48:$G372="Sí"</formula>
    </cfRule>
    <cfRule type="expression" dxfId="217" priority="120">
      <formula>$Q48:$Q372="APOYO"</formula>
    </cfRule>
  </conditionalFormatting>
  <conditionalFormatting sqref="T58">
    <cfRule type="expression" dxfId="216" priority="117">
      <formula>$G58:$G382="Sí"</formula>
    </cfRule>
    <cfRule type="expression" dxfId="215" priority="118">
      <formula>$Q58:$Q382="APOYO"</formula>
    </cfRule>
  </conditionalFormatting>
  <conditionalFormatting sqref="T70">
    <cfRule type="expression" dxfId="214" priority="116">
      <formula>$Q70:$Q394="APOYO"</formula>
    </cfRule>
    <cfRule type="expression" dxfId="213" priority="115">
      <formula>$G70:$G394="Sí"</formula>
    </cfRule>
  </conditionalFormatting>
  <conditionalFormatting sqref="T81">
    <cfRule type="expression" dxfId="212" priority="114">
      <formula>$Q81:$Q405="APOYO"</formula>
    </cfRule>
    <cfRule type="expression" dxfId="211" priority="113">
      <formula>$G81:$G405="Sí"</formula>
    </cfRule>
  </conditionalFormatting>
  <conditionalFormatting sqref="T113">
    <cfRule type="expression" dxfId="210" priority="139">
      <formula>$Q113:$Q378="APOYO"</formula>
    </cfRule>
    <cfRule type="expression" dxfId="209" priority="140">
      <formula>$G113:$G378="Sí"</formula>
    </cfRule>
  </conditionalFormatting>
  <conditionalFormatting sqref="T149">
    <cfRule type="expression" dxfId="208" priority="138">
      <formula>$G149:$G414="Sí"</formula>
    </cfRule>
    <cfRule type="expression" dxfId="207" priority="137">
      <formula>$Q149:$Q414="APOYO"</formula>
    </cfRule>
  </conditionalFormatting>
  <conditionalFormatting sqref="T151">
    <cfRule type="expression" dxfId="206" priority="136">
      <formula>$G151:$G416="Sí"</formula>
    </cfRule>
    <cfRule type="expression" dxfId="205" priority="135">
      <formula>$Q151:$Q416="APOYO"</formula>
    </cfRule>
  </conditionalFormatting>
  <conditionalFormatting sqref="T152:T154 T156:T162 W163:AD166 D163:I169 L163:T169 V167:AD169">
    <cfRule type="expression" dxfId="204" priority="304">
      <formula>$Q152:$Q337="APOYO"</formula>
    </cfRule>
    <cfRule type="expression" dxfId="203" priority="305">
      <formula>$G152:$G337="Sí"</formula>
    </cfRule>
  </conditionalFormatting>
  <conditionalFormatting sqref="T190:T197 T208:T209 T265:T273 T310:T311">
    <cfRule type="expression" dxfId="202" priority="122">
      <formula>$Q190:$Q513="APOYO"</formula>
    </cfRule>
    <cfRule type="expression" dxfId="201" priority="121">
      <formula>$G190:$G513="Sí"</formula>
    </cfRule>
  </conditionalFormatting>
  <conditionalFormatting sqref="T257">
    <cfRule type="expression" dxfId="200" priority="126">
      <formula>$Q257:$Q580="APOYO"</formula>
    </cfRule>
    <cfRule type="expression" dxfId="199" priority="125">
      <formula>$G257:$G580="Sí"</formula>
    </cfRule>
  </conditionalFormatting>
  <conditionalFormatting sqref="T261">
    <cfRule type="expression" dxfId="198" priority="127">
      <formula>$G261:$G584="Sí"</formula>
    </cfRule>
    <cfRule type="expression" dxfId="197" priority="128">
      <formula>$Q261:$Q584="APOYO"</formula>
    </cfRule>
  </conditionalFormatting>
  <conditionalFormatting sqref="T308">
    <cfRule type="expression" dxfId="196" priority="130">
      <formula>$Q308:$Q631="APOYO"</formula>
    </cfRule>
    <cfRule type="expression" dxfId="195" priority="129">
      <formula>$G308:$G631="Sí"</formula>
    </cfRule>
  </conditionalFormatting>
  <conditionalFormatting sqref="T368:T369 T371:T373">
    <cfRule type="expression" dxfId="194" priority="265">
      <formula>$Q368:$Q689="APOYO"</formula>
    </cfRule>
    <cfRule type="expression" dxfId="193" priority="264">
      <formula>$G368:$G689="Sí"</formula>
    </cfRule>
  </conditionalFormatting>
  <conditionalFormatting sqref="T370">
    <cfRule type="expression" dxfId="192" priority="24">
      <formula>$G370:$G686="Sí"</formula>
    </cfRule>
    <cfRule type="expression" dxfId="191" priority="23">
      <formula>$Q370:$Q686="APOYO"</formula>
    </cfRule>
  </conditionalFormatting>
  <conditionalFormatting sqref="U11:U20 C21:S22 V21:AD22">
    <cfRule type="expression" dxfId="190" priority="306">
      <formula>$G11:$G336="Sí"</formula>
    </cfRule>
    <cfRule type="expression" dxfId="189" priority="287">
      <formula>$Q11:$Q336="APOYO"</formula>
    </cfRule>
  </conditionalFormatting>
  <conditionalFormatting sqref="U21">
    <cfRule type="expression" dxfId="188" priority="160">
      <formula>$Q21:$Q347="APOYO"</formula>
    </cfRule>
    <cfRule type="expression" dxfId="187" priority="161">
      <formula>$G21:$G347="Sí"</formula>
    </cfRule>
  </conditionalFormatting>
  <conditionalFormatting sqref="U34:U43 U48:U49">
    <cfRule type="expression" dxfId="186" priority="141">
      <formula>$Q34:$Q354="APOYO"</formula>
    </cfRule>
    <cfRule type="expression" dxfId="185" priority="142">
      <formula>$G34:$G354="Sí"</formula>
    </cfRule>
  </conditionalFormatting>
  <conditionalFormatting sqref="U46:U47 J366:J367">
    <cfRule type="expression" dxfId="184" priority="99">
      <formula>$Q46:$Q364="APOYO"</formula>
    </cfRule>
    <cfRule type="expression" dxfId="183" priority="100">
      <formula>$G46:$G364="Sí"</formula>
    </cfRule>
  </conditionalFormatting>
  <conditionalFormatting sqref="U50">
    <cfRule type="expression" dxfId="182" priority="278">
      <formula>$G50:$G365="Sí"</formula>
    </cfRule>
    <cfRule type="expression" dxfId="181" priority="276">
      <formula>$Q50:$Q365="APOYO"</formula>
    </cfRule>
  </conditionalFormatting>
  <conditionalFormatting sqref="U181:U218 J219:K260 C220:C340 J330:J340 N330:N340 Q330:T340 V341:AD341 C341:J348 L341:T348 V342:AA342 AC342:AD342 V343:AD348 C349:C356 T351 P352:P354 T357 T366:U367 C368:C373">
    <cfRule type="expression" dxfId="180" priority="249">
      <formula>$G181:$G497="Sí"</formula>
    </cfRule>
    <cfRule type="expression" dxfId="179" priority="246">
      <formula>$Q181:$Q497="APOYO"</formula>
    </cfRule>
  </conditionalFormatting>
  <conditionalFormatting sqref="U219:U348">
    <cfRule type="expression" dxfId="178" priority="208">
      <formula>$Q219:$Q536="APOYO"</formula>
    </cfRule>
    <cfRule type="expression" dxfId="177" priority="209">
      <formula>$G219:$G536="Sí"</formula>
    </cfRule>
  </conditionalFormatting>
  <conditionalFormatting sqref="U349:U354 P355:P364">
    <cfRule type="expression" dxfId="176" priority="151">
      <formula>$Q349:$Q668="APOYO"</formula>
    </cfRule>
    <cfRule type="expression" dxfId="175" priority="152">
      <formula>$G349:$G668="Sí"</formula>
    </cfRule>
  </conditionalFormatting>
  <conditionalFormatting sqref="U355:U356 U358:U365 D365:O365 L366:L367">
    <cfRule type="expression" dxfId="174" priority="97">
      <formula>$Q355:$Q677="APOYO"</formula>
    </cfRule>
    <cfRule type="expression" dxfId="173" priority="98">
      <formula>$G355:$G677="Sí"</formula>
    </cfRule>
  </conditionalFormatting>
  <conditionalFormatting sqref="U357">
    <cfRule type="expression" dxfId="172" priority="78">
      <formula>$G357:$G676="Sí"</formula>
    </cfRule>
    <cfRule type="expression" dxfId="171" priority="77">
      <formula>$Q357:$Q676="APOYO"</formula>
    </cfRule>
  </conditionalFormatting>
  <conditionalFormatting sqref="U374">
    <cfRule type="expression" dxfId="170" priority="43">
      <formula>$Q374:$Q691="APOYO"</formula>
    </cfRule>
    <cfRule type="expression" dxfId="169" priority="44">
      <formula>$G374:$G691="Sí"</formula>
    </cfRule>
  </conditionalFormatting>
  <conditionalFormatting sqref="V6 D234:I240 L234:T240 V234:AD240">
    <cfRule type="expression" dxfId="168" priority="195">
      <formula>$Q6:$Q120="APOYO"</formula>
    </cfRule>
    <cfRule type="expression" dxfId="167" priority="196">
      <formula>$G6:$G120="Sí"</formula>
    </cfRule>
  </conditionalFormatting>
  <conditionalFormatting sqref="V359">
    <cfRule type="expression" dxfId="166" priority="79">
      <formula>$Q359:$Q681="APOYO"</formula>
    </cfRule>
    <cfRule type="expression" dxfId="165" priority="80">
      <formula>$G359:$G681="Sí"</formula>
    </cfRule>
  </conditionalFormatting>
  <conditionalFormatting sqref="V363">
    <cfRule type="expression" dxfId="164" priority="105">
      <formula>$Q363:$Q685="APOYO"</formula>
    </cfRule>
    <cfRule type="expression" dxfId="163" priority="106">
      <formula>$G363:$G685="Sí"</formula>
    </cfRule>
  </conditionalFormatting>
  <conditionalFormatting sqref="V366:V373">
    <cfRule type="expression" dxfId="162" priority="72">
      <formula>$G366:$G688="Sí"</formula>
    </cfRule>
    <cfRule type="expression" dxfId="161" priority="71">
      <formula>$Q366:$Q688="APOYO"</formula>
    </cfRule>
  </conditionalFormatting>
  <conditionalFormatting sqref="V374">
    <cfRule type="expression" dxfId="160" priority="42">
      <formula>$G374:$G690="Sí"</formula>
    </cfRule>
    <cfRule type="expression" dxfId="159" priority="41">
      <formula>$Q374:$Q690="APOYO"</formula>
    </cfRule>
  </conditionalFormatting>
  <conditionalFormatting sqref="V11:AA11 AC11:AD11 D11:J12 L12:T20 V12:AD20 D13:I13 C13:C20 D14:J20 C23:H24 V23:AD24 J24:S24 U24">
    <cfRule type="expression" dxfId="158" priority="168">
      <formula>$Q11:$Q335="APOYO"</formula>
    </cfRule>
  </conditionalFormatting>
  <conditionalFormatting sqref="V338:AD340 L261:S261 G261:I264 V261:AD268 D261:F286 L262:T264 G265:H273 L265:S273 V269:AA269 AC269:AD269 V270:AD317 G274:I287 L274:T307 D287:E287 D288:I300 D301:H303 D304:I307 D308:H308 L308:S308 D309:I309 L309:T309 D310:H311 L310:S311 L312:T329 D312:I340 V318:AA318 AC318:AD318 V319:AD336 P330:P338 L330:M340 O331:O338 V337:AA337 AC337:AD337 O339:P340">
    <cfRule type="expression" dxfId="157" priority="175">
      <formula>$Q261:$Q368="APOYO"</formula>
    </cfRule>
  </conditionalFormatting>
  <conditionalFormatting sqref="V340:AD340">
    <cfRule type="expression" dxfId="156" priority="159">
      <formula>$G340:$G447="Sí"</formula>
    </cfRule>
  </conditionalFormatting>
  <conditionalFormatting sqref="W368:AA369 W370:X370 Z370:AA370">
    <cfRule type="expression" dxfId="155" priority="60">
      <formula>$G368:$G688="Sí"</formula>
    </cfRule>
    <cfRule type="expression" dxfId="154" priority="59">
      <formula>$Q368:$Q688="APOYO"</formula>
    </cfRule>
  </conditionalFormatting>
  <conditionalFormatting sqref="Y370">
    <cfRule type="expression" dxfId="153" priority="21">
      <formula>$Q370:$Q480="APOYO"</formula>
    </cfRule>
    <cfRule type="expression" dxfId="152" priority="22">
      <formula>$G370:$G480="Sí"</formula>
    </cfRule>
  </conditionalFormatting>
  <conditionalFormatting sqref="Y374">
    <cfRule type="expression" dxfId="151" priority="39">
      <formula>$Q374:$Q484="APOYO"</formula>
    </cfRule>
    <cfRule type="expression" dxfId="150" priority="40">
      <formula>$G374:$G484="Sí"</formula>
    </cfRule>
  </conditionalFormatting>
  <conditionalFormatting sqref="AB11">
    <cfRule type="expression" dxfId="149" priority="89">
      <formula>$Q11:$Q279="APOYO"</formula>
    </cfRule>
    <cfRule type="expression" dxfId="148" priority="90">
      <formula>$G11:$G279="Sí"</formula>
    </cfRule>
  </conditionalFormatting>
  <conditionalFormatting sqref="AB32">
    <cfRule type="expression" dxfId="147" priority="91">
      <formula>$Q32:$Q300="APOYO"</formula>
    </cfRule>
    <cfRule type="expression" dxfId="146" priority="92">
      <formula>$G32:$G300="Sí"</formula>
    </cfRule>
  </conditionalFormatting>
  <conditionalFormatting sqref="AB49">
    <cfRule type="expression" dxfId="145" priority="93">
      <formula>$Q49:$Q317="APOYO"</formula>
    </cfRule>
    <cfRule type="expression" dxfId="144" priority="94">
      <formula>$G49:$G317="Sí"</formula>
    </cfRule>
  </conditionalFormatting>
  <conditionalFormatting sqref="AB180">
    <cfRule type="expression" dxfId="143" priority="18">
      <formula>$G180:$G503="Sí"</formula>
    </cfRule>
    <cfRule type="expression" dxfId="142" priority="17">
      <formula>$Q180:$Q503="APOYO"</formula>
    </cfRule>
  </conditionalFormatting>
  <conditionalFormatting sqref="AB269">
    <cfRule type="expression" dxfId="141" priority="87">
      <formula>$Q269:$Q536="APOYO"</formula>
    </cfRule>
    <cfRule type="expression" dxfId="140" priority="88">
      <formula>$G269:$G536="Sí"</formula>
    </cfRule>
  </conditionalFormatting>
  <conditionalFormatting sqref="AB318">
    <cfRule type="expression" dxfId="139" priority="85">
      <formula>$Q318:$Q585="APOYO"</formula>
    </cfRule>
    <cfRule type="expression" dxfId="138" priority="86">
      <formula>$G318:$G585="Sí"</formula>
    </cfRule>
  </conditionalFormatting>
  <conditionalFormatting sqref="AB337">
    <cfRule type="expression" dxfId="137" priority="83">
      <formula>$Q337:$Q604="APOYO"</formula>
    </cfRule>
    <cfRule type="expression" dxfId="136" priority="84">
      <formula>$G337:$G604="Sí"</formula>
    </cfRule>
  </conditionalFormatting>
  <conditionalFormatting sqref="AB342">
    <cfRule type="expression" dxfId="135" priority="16">
      <formula>$G342:$G665="Sí"</formula>
    </cfRule>
    <cfRule type="expression" dxfId="134" priority="15">
      <formula>$Q342:$Q665="APOYO"</formula>
    </cfRule>
  </conditionalFormatting>
  <conditionalFormatting sqref="AB351">
    <cfRule type="expression" dxfId="133" priority="14">
      <formula>$G351:$G674="Sí"</formula>
    </cfRule>
    <cfRule type="expression" dxfId="132" priority="13">
      <formula>$Q351:$Q674="APOYO"</formula>
    </cfRule>
  </conditionalFormatting>
  <conditionalFormatting sqref="AB357">
    <cfRule type="expression" dxfId="131" priority="12">
      <formula>$G357:$G680="Sí"</formula>
    </cfRule>
    <cfRule type="expression" dxfId="130" priority="11">
      <formula>$Q357:$Q680="APOYO"</formula>
    </cfRule>
  </conditionalFormatting>
  <conditionalFormatting sqref="AB366:AB369">
    <cfRule type="expression" dxfId="129" priority="81">
      <formula>$Q366:$Q633="APOYO"</formula>
    </cfRule>
    <cfRule type="expression" dxfId="128" priority="82">
      <formula>$G366:$G633="Sí"</formula>
    </cfRule>
  </conditionalFormatting>
  <conditionalFormatting sqref="AB370:AB373">
    <cfRule type="expression" dxfId="127" priority="4">
      <formula>$G370:$G693="Sí"</formula>
    </cfRule>
    <cfRule type="expression" dxfId="126" priority="3">
      <formula>$Q370:$Q693="APOYO"</formula>
    </cfRule>
  </conditionalFormatting>
  <conditionalFormatting sqref="AC368:AD373 W371:AA373">
    <cfRule type="expression" dxfId="125" priority="52">
      <formula>$G368:$G688="Sí"</formula>
    </cfRule>
    <cfRule type="expression" dxfId="124" priority="51">
      <formula>$Q368:$Q688="APOYO"</formula>
    </cfRule>
  </conditionalFormatting>
  <conditionalFormatting sqref="AD374">
    <cfRule type="expression" dxfId="123" priority="20">
      <formula>$G374:$G694="Sí"</formula>
    </cfRule>
    <cfRule type="expression" dxfId="122" priority="19">
      <formula>$Q374:$Q694="APOYO"</formula>
    </cfRule>
  </conditionalFormatting>
  <dataValidations disablePrompts="true" count="1">
    <dataValidation type="date" showInputMessage="true" showErrorMessage="true" sqref="V6:AA354 Y374 Y370">
      <formula1>46023</formula1>
      <formula2>46387</formula2>
    </dataValidation>
  </dataValidations>
  <hyperlinks>
    <hyperlink ref="N14" r:id="rId1"/>
    <hyperlink ref="N13" r:id="rId2"/>
    <hyperlink ref="N45" r:id="rId3"/>
    <hyperlink ref="N46" r:id="rId4"/>
    <hyperlink ref="N38" r:id="rId5"/>
    <hyperlink ref="N65" r:id="rId6"/>
    <hyperlink ref="N41" r:id="rId7"/>
    <hyperlink ref="N58" r:id="rId8"/>
    <hyperlink ref="N59" r:id="rId9"/>
    <hyperlink ref="N60" r:id="rId10"/>
    <hyperlink ref="N36" r:id="rId11"/>
    <hyperlink ref="N63" r:id="rId12"/>
    <hyperlink ref="N132" r:id="rId13"/>
    <hyperlink ref="N173" r:id="rId14"/>
    <hyperlink ref="N214" r:id="rId15"/>
    <hyperlink ref="N221" r:id="rId16"/>
    <hyperlink ref="N328" r:id="rId17"/>
    <hyperlink ref="N327" r:id="rId18" display="https://www.linkedin.com/in/lorena-alvarez-46b9a795/"/>
    <hyperlink ref="N325" r:id="rId19"/>
    <hyperlink ref="N323" r:id="rId20" display="https://www.linkedin.com/in/claudiacisneros/"/>
    <hyperlink ref="N322" r:id="rId21"/>
    <hyperlink ref="N321" r:id="rId22"/>
    <hyperlink ref="N317" r:id="rId23"/>
    <hyperlink ref="N318" r:id="rId24"/>
    <hyperlink ref="N316" r:id="rId25"/>
    <hyperlink ref="N315" r:id="rId26" display="https://www.instagram.com/adrianaleoncantella/?hl=es"/>
    <hyperlink ref="N319" r:id="rId27"/>
    <hyperlink ref="N324" r:id="rId28"/>
    <hyperlink ref="N320" r:id="rId29"/>
    <hyperlink ref="N314" r:id="rId30"/>
    <hyperlink ref="N329" r:id="rId31"/>
    <hyperlink ref="N112" r:id="rId32" display="arebaza@mpfn.gob.pe"/>
    <hyperlink ref="O114" r:id="rId33"/>
    <hyperlink ref="O143:O173" r:id="rId34" display="servicedesk@pj.gob.pe."/>
    <hyperlink ref="O266" r:id="rId35"/>
    <hyperlink ref="N15" r:id="rId36"/>
    <hyperlink ref="O22" r:id="rId37"/>
    <hyperlink ref="N31" r:id="rId38"/>
    <hyperlink ref="O21" r:id="rId39"/>
    <hyperlink ref="N40" r:id="rId40"/>
    <hyperlink ref="N35" r:id="rId41"/>
    <hyperlink ref="AD46" r:id="rId42"/>
    <hyperlink ref="N330" r:id="rId43"/>
    <hyperlink ref="N332" r:id="rId44"/>
    <hyperlink ref="N334" r:id="rId45"/>
    <hyperlink ref="O331" r:id="rId46"/>
    <hyperlink ref="O336" r:id="rId47"/>
    <hyperlink ref="N338" r:id="rId48"/>
    <hyperlink ref="O339" r:id="rId49"/>
    <hyperlink ref="O340" r:id="rId50" display="mesadepartes.fpedv.maynas@gmail.com"/>
    <hyperlink ref="N340" r:id="rId51"/>
    <hyperlink ref="N342" r:id="rId52"/>
    <hyperlink ref="O341" r:id="rId53"/>
    <hyperlink ref="O342" r:id="rId54"/>
    <hyperlink ref="O343" r:id="rId55"/>
    <hyperlink ref="O344" r:id="rId56"/>
    <hyperlink ref="N345" r:id="rId57"/>
    <hyperlink ref="O346" r:id="rId58"/>
    <hyperlink ref="O347" r:id="rId59"/>
    <hyperlink ref="O348" r:id="rId60"/>
    <hyperlink ref="N349" r:id="rId61"/>
    <hyperlink ref="N350" r:id="rId62"/>
    <hyperlink ref="N351" r:id="rId63"/>
    <hyperlink ref="O352" r:id="rId64"/>
    <hyperlink ref="O353" r:id="rId65"/>
    <hyperlink ref="O354" r:id="rId66"/>
    <hyperlink ref="O355" r:id="rId67"/>
    <hyperlink ref="O356" r:id="rId68"/>
    <hyperlink ref="O357" r:id="rId69"/>
    <hyperlink ref="O358" r:id="rId70"/>
    <hyperlink ref="O359" r:id="rId71"/>
    <hyperlink ref="O360" r:id="rId72"/>
    <hyperlink ref="O361" r:id="rId73"/>
    <hyperlink ref="O362" r:id="rId74"/>
    <hyperlink ref="O363" r:id="rId75"/>
    <hyperlink ref="O364" r:id="rId76"/>
    <hyperlink ref="O365" r:id="rId77"/>
    <hyperlink ref="N16" r:id="rId78"/>
    <hyperlink ref="N17" r:id="rId79"/>
    <hyperlink ref="N220" r:id="rId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1B51-E6A7-4565-9D06-610B0D1FBCB9}">
  <dimension ref="B1:AD370"/>
  <sheetViews>
    <sheetView zoomScale="60" zoomScaleNormal="77" workbookViewId="0">
      <selection activeCell="F77" sqref="F77"/>
    </sheetView>
  </sheetViews>
  <sheetFormatPr baseColWidth="10" defaultColWidth="10.81640625" defaultRowHeight="14" x14ac:dyDescent="0.35"/>
  <cols>
    <col min="1" max="1" width="2.54296875" style="11" customWidth="true"/>
    <col min="2" max="2" width="13.26953125" style="12" customWidth="true"/>
    <col min="3" max="3" width="27.26953125" style="11" customWidth="true"/>
    <col min="4" max="4" width="35" style="11" customWidth="true"/>
    <col min="5" max="5" width="42.453125" style="12" customWidth="true"/>
    <col min="6" max="7" width="27.1796875" style="12" customWidth="true"/>
    <col min="8" max="10" width="36.453125" style="12" customWidth="true"/>
    <col min="11" max="11" width="21.81640625" style="12" customWidth="true"/>
    <col min="12" max="12" width="45.453125" style="13" customWidth="true"/>
    <col min="13" max="13" width="28" style="11" customWidth="true"/>
    <col min="14" max="14" width="34.54296875" style="11" customWidth="true"/>
    <col min="15" max="15" width="10.26953125" style="11" customWidth="true"/>
    <col min="16" max="16" width="11.453125" style="11" customWidth="true"/>
    <col min="17" max="17" width="8.1796875" style="11" customWidth="true"/>
    <col min="18" max="19" width="18" style="11" customWidth="true"/>
    <col min="20" max="20" width="26.54296875" style="11" bestFit="true" customWidth="true"/>
    <col min="21" max="21" width="27" style="11" customWidth="true"/>
    <col min="22" max="22" width="24.453125" style="11" customWidth="true"/>
    <col min="23" max="23" width="26.1796875" style="11" customWidth="true"/>
    <col min="24" max="24" width="30" style="11" bestFit="true" customWidth="true"/>
    <col min="25" max="25" width="27.1796875" style="11" bestFit="true" customWidth="true"/>
    <col min="26" max="26" width="27.1796875" style="11" customWidth="true"/>
    <col min="27" max="27" width="15.453125" style="11" customWidth="true"/>
    <col min="28" max="28" width="29.54296875" style="11" customWidth="true"/>
    <col min="29" max="29" width="36" style="11" customWidth="true"/>
    <col min="30" max="16384" width="10.81640625" style="11"/>
  </cols>
  <sheetData>
    <row r="1">
      <c r="B1" s="12" t="s">
        <v>994</v>
      </c>
      <c r="C1" s="11" t="s">
        <v>227</v>
      </c>
      <c r="D1" s="11" t="s">
        <v>994</v>
      </c>
      <c r="E1" s="12" t="s">
        <v>994</v>
      </c>
      <c r="F1" s="12" t="s">
        <v>994</v>
      </c>
      <c r="G1" s="12" t="s">
        <v>994</v>
      </c>
      <c r="H1" s="12" t="s">
        <v>994</v>
      </c>
      <c r="I1" s="12" t="s">
        <v>994</v>
      </c>
      <c r="J1" s="12" t="s">
        <v>994</v>
      </c>
      <c r="K1" s="12" t="s">
        <v>994</v>
      </c>
      <c r="L1" s="13" t="s">
        <v>994</v>
      </c>
      <c r="M1" s="11" t="s">
        <v>994</v>
      </c>
      <c r="N1" s="11" t="s">
        <v>994</v>
      </c>
      <c r="O1" s="11" t="s">
        <v>994</v>
      </c>
      <c r="P1" s="11" t="s">
        <v>994</v>
      </c>
      <c r="Q1" s="11" t="s">
        <v>994</v>
      </c>
      <c r="R1" s="11" t="s">
        <v>994</v>
      </c>
      <c r="S1" s="11" t="s">
        <v>994</v>
      </c>
      <c r="T1" s="11" t="s">
        <v>994</v>
      </c>
      <c r="U1" s="11" t="s">
        <v>994</v>
      </c>
      <c r="V1" s="11" t="s">
        <v>994</v>
      </c>
      <c r="W1" s="11" t="s">
        <v>994</v>
      </c>
      <c r="X1" s="11" t="s">
        <v>994</v>
      </c>
      <c r="Y1" s="11" t="s">
        <v>994</v>
      </c>
      <c r="Z1" s="11" t="s">
        <v>994</v>
      </c>
      <c r="AA1" s="11" t="s">
        <v>994</v>
      </c>
      <c r="AB1" s="11" t="s">
        <v>994</v>
      </c>
      <c r="AC1" s="11" t="s">
        <v>994</v>
      </c>
      <c r="AD1" s="11" t="s">
        <v>994</v>
      </c>
    </row>
    <row r="2">
      <c r="B2" s="12" t="s">
        <v>994</v>
      </c>
      <c r="C2" s="11" t="s">
        <v>228</v>
      </c>
      <c r="D2" s="11" t="s">
        <v>994</v>
      </c>
      <c r="E2" s="12" t="s">
        <v>229</v>
      </c>
      <c r="F2" s="12" t="s">
        <v>994</v>
      </c>
      <c r="G2" s="12" t="s">
        <v>994</v>
      </c>
      <c r="H2" s="12" t="s">
        <v>994</v>
      </c>
      <c r="I2" s="12" t="s">
        <v>994</v>
      </c>
      <c r="J2" s="12" t="s">
        <v>994</v>
      </c>
      <c r="K2" s="12" t="s">
        <v>994</v>
      </c>
      <c r="L2" s="13" t="s">
        <v>994</v>
      </c>
      <c r="M2" s="11" t="s">
        <v>994</v>
      </c>
      <c r="N2" s="11" t="s">
        <v>994</v>
      </c>
      <c r="O2" s="11" t="s">
        <v>994</v>
      </c>
      <c r="P2" s="11" t="s">
        <v>994</v>
      </c>
      <c r="Q2" s="11" t="s">
        <v>994</v>
      </c>
      <c r="R2" s="11" t="s">
        <v>994</v>
      </c>
      <c r="S2" s="11" t="s">
        <v>994</v>
      </c>
      <c r="T2" s="11" t="s">
        <v>994</v>
      </c>
      <c r="U2" s="11" t="s">
        <v>994</v>
      </c>
      <c r="V2" s="11" t="s">
        <v>994</v>
      </c>
      <c r="W2" s="11" t="s">
        <v>994</v>
      </c>
      <c r="X2" s="11" t="s">
        <v>994</v>
      </c>
      <c r="Y2" s="11" t="s">
        <v>994</v>
      </c>
      <c r="Z2" s="11" t="s">
        <v>994</v>
      </c>
      <c r="AA2" s="11" t="s">
        <v>994</v>
      </c>
      <c r="AB2" s="11" t="s">
        <v>994</v>
      </c>
      <c r="AC2" s="11" t="s">
        <v>994</v>
      </c>
      <c r="AD2" s="11" t="s">
        <v>994</v>
      </c>
    </row>
    <row r="3">
      <c r="B3" s="12" t="s">
        <v>994</v>
      </c>
      <c r="C3" s="11" t="s">
        <v>994</v>
      </c>
      <c r="D3" s="11" t="s">
        <v>994</v>
      </c>
      <c r="E3" s="12" t="s">
        <v>230</v>
      </c>
      <c r="F3" s="12" t="s">
        <v>994</v>
      </c>
      <c r="G3" s="12" t="s">
        <v>994</v>
      </c>
      <c r="H3" s="12" t="s">
        <v>994</v>
      </c>
      <c r="I3" s="12" t="s">
        <v>994</v>
      </c>
      <c r="J3" s="12" t="s">
        <v>994</v>
      </c>
      <c r="K3" s="12" t="s">
        <v>994</v>
      </c>
      <c r="L3" s="13" t="s">
        <v>994</v>
      </c>
      <c r="M3" s="11" t="s">
        <v>994</v>
      </c>
      <c r="N3" s="11" t="s">
        <v>994</v>
      </c>
      <c r="O3" s="11" t="s">
        <v>994</v>
      </c>
      <c r="P3" s="11" t="s">
        <v>994</v>
      </c>
      <c r="Q3" s="11" t="s">
        <v>994</v>
      </c>
      <c r="R3" s="11" t="s">
        <v>994</v>
      </c>
      <c r="S3" s="11" t="s">
        <v>994</v>
      </c>
      <c r="T3" s="11" t="s">
        <v>994</v>
      </c>
      <c r="U3" s="11" t="s">
        <v>994</v>
      </c>
      <c r="V3" s="11" t="s">
        <v>994</v>
      </c>
      <c r="W3" s="11" t="s">
        <v>994</v>
      </c>
      <c r="X3" s="11" t="s">
        <v>994</v>
      </c>
      <c r="Y3" s="11" t="s">
        <v>994</v>
      </c>
      <c r="Z3" s="11" t="s">
        <v>994</v>
      </c>
      <c r="AA3" s="11" t="s">
        <v>994</v>
      </c>
      <c r="AB3" s="11" t="s">
        <v>994</v>
      </c>
      <c r="AC3" s="11" t="s">
        <v>994</v>
      </c>
      <c r="AD3" s="11" t="s">
        <v>994</v>
      </c>
    </row>
    <row r="4">
      <c r="B4" s="12" t="s">
        <v>994</v>
      </c>
      <c r="C4" s="11" t="s">
        <v>994</v>
      </c>
      <c r="D4" s="11" t="s">
        <v>994</v>
      </c>
      <c r="E4" s="12" t="s">
        <v>953</v>
      </c>
      <c r="F4" s="12" t="s">
        <v>994</v>
      </c>
      <c r="G4" s="12" t="s">
        <v>994</v>
      </c>
      <c r="H4" s="12" t="s">
        <v>994</v>
      </c>
      <c r="I4" s="12" t="s">
        <v>994</v>
      </c>
      <c r="J4" s="12" t="s">
        <v>994</v>
      </c>
      <c r="K4" s="12" t="s">
        <v>994</v>
      </c>
      <c r="L4" s="13" t="s">
        <v>994</v>
      </c>
      <c r="M4" s="11" t="s">
        <v>994</v>
      </c>
      <c r="N4" s="11" t="s">
        <v>994</v>
      </c>
      <c r="O4" s="11" t="s">
        <v>994</v>
      </c>
      <c r="P4" s="11" t="s">
        <v>994</v>
      </c>
      <c r="Q4" s="11" t="s">
        <v>994</v>
      </c>
      <c r="R4" s="11" t="s">
        <v>994</v>
      </c>
      <c r="S4" s="11" t="s">
        <v>994</v>
      </c>
      <c r="T4" s="11" t="s">
        <v>994</v>
      </c>
      <c r="U4" s="11" t="s">
        <v>994</v>
      </c>
      <c r="V4" s="11" t="s">
        <v>994</v>
      </c>
      <c r="W4" s="11" t="s">
        <v>994</v>
      </c>
      <c r="X4" s="11" t="s">
        <v>994</v>
      </c>
      <c r="Y4" s="11" t="s">
        <v>994</v>
      </c>
      <c r="Z4" s="11" t="s">
        <v>994</v>
      </c>
      <c r="AA4" s="11" t="s">
        <v>994</v>
      </c>
      <c r="AB4" s="11" t="s">
        <v>994</v>
      </c>
      <c r="AC4" s="11" t="s">
        <v>994</v>
      </c>
      <c r="AD4" s="11" t="s">
        <v>994</v>
      </c>
    </row>
    <row r="5">
      <c r="B5" s="12" t="s">
        <v>994</v>
      </c>
      <c r="C5" s="11" t="s">
        <v>994</v>
      </c>
      <c r="D5" s="11" t="s">
        <v>994</v>
      </c>
      <c r="E5" s="12" t="s">
        <v>1120</v>
      </c>
      <c r="F5" s="12" t="s">
        <v>994</v>
      </c>
      <c r="G5" s="12" t="s">
        <v>994</v>
      </c>
      <c r="H5" s="12" t="s">
        <v>994</v>
      </c>
      <c r="I5" s="12" t="s">
        <v>994</v>
      </c>
      <c r="J5" s="12" t="s">
        <v>994</v>
      </c>
      <c r="K5" s="12" t="s">
        <v>994</v>
      </c>
      <c r="L5" s="13" t="s">
        <v>994</v>
      </c>
      <c r="M5" s="11" t="s">
        <v>994</v>
      </c>
      <c r="N5" s="11" t="s">
        <v>994</v>
      </c>
      <c r="O5" s="11" t="s">
        <v>994</v>
      </c>
      <c r="P5" s="11" t="s">
        <v>994</v>
      </c>
      <c r="Q5" s="11" t="s">
        <v>994</v>
      </c>
      <c r="R5" s="11" t="s">
        <v>994</v>
      </c>
      <c r="S5" s="11" t="s">
        <v>994</v>
      </c>
      <c r="T5" s="11" t="s">
        <v>994</v>
      </c>
      <c r="U5" s="11" t="s">
        <v>994</v>
      </c>
      <c r="V5" s="11" t="s">
        <v>994</v>
      </c>
      <c r="W5" s="11" t="s">
        <v>994</v>
      </c>
      <c r="X5" s="11" t="s">
        <v>994</v>
      </c>
      <c r="Y5" s="11" t="s">
        <v>994</v>
      </c>
      <c r="Z5" s="11" t="s">
        <v>994</v>
      </c>
      <c r="AA5" s="11" t="s">
        <v>994</v>
      </c>
      <c r="AB5" s="11" t="s">
        <v>994</v>
      </c>
      <c r="AC5" s="11" t="s">
        <v>994</v>
      </c>
      <c r="AD5" s="11" t="s">
        <v>994</v>
      </c>
    </row>
    <row r="6">
      <c r="B6" s="12" t="s">
        <v>994</v>
      </c>
      <c r="C6" s="11" t="s">
        <v>231</v>
      </c>
      <c r="D6" s="11" t="s">
        <v>1</v>
      </c>
      <c r="E6" s="12" t="s">
        <v>2</v>
      </c>
      <c r="F6" s="12" t="s">
        <v>232</v>
      </c>
      <c r="G6" s="12" t="s">
        <v>233</v>
      </c>
      <c r="H6" s="12" t="s">
        <v>234</v>
      </c>
      <c r="I6" s="12" t="s">
        <v>7</v>
      </c>
      <c r="J6" s="12" t="s">
        <v>235</v>
      </c>
      <c r="K6" s="12" t="s">
        <v>997</v>
      </c>
      <c r="L6" s="13" t="s">
        <v>234</v>
      </c>
      <c r="M6" s="11" t="s">
        <v>236</v>
      </c>
      <c r="N6" s="11" t="s">
        <v>237</v>
      </c>
      <c r="O6" s="11" t="s">
        <v>238</v>
      </c>
      <c r="P6" s="11" t="s">
        <v>954</v>
      </c>
      <c r="Q6" s="11" t="s">
        <v>239</v>
      </c>
      <c r="R6" s="11" t="s">
        <v>955</v>
      </c>
      <c r="S6" s="11" t="s">
        <v>240</v>
      </c>
      <c r="T6" s="11" t="s">
        <v>241</v>
      </c>
      <c r="U6" s="11" t="s">
        <v>10</v>
      </c>
      <c r="V6" s="11" t="s">
        <v>11</v>
      </c>
      <c r="W6" s="11" t="s">
        <v>12</v>
      </c>
      <c r="X6" s="11" t="s">
        <v>952</v>
      </c>
      <c r="Y6" s="11" t="s">
        <v>242</v>
      </c>
      <c r="Z6" s="11" t="s">
        <v>243</v>
      </c>
      <c r="AA6" s="11" t="s">
        <v>18</v>
      </c>
      <c r="AB6" s="11" t="s">
        <v>16</v>
      </c>
      <c r="AC6" s="11" t="s">
        <v>17</v>
      </c>
      <c r="AD6" s="11" t="s">
        <v>956</v>
      </c>
    </row>
    <row r="7">
      <c r="B7" s="12" t="s">
        <v>994</v>
      </c>
      <c r="C7" s="11" t="s">
        <v>995</v>
      </c>
      <c r="D7" s="11" t="s">
        <v>265</v>
      </c>
      <c r="E7" s="12" t="s">
        <v>266</v>
      </c>
      <c r="F7" s="12" t="s">
        <v>49</v>
      </c>
      <c r="G7" s="12" t="s">
        <v>246</v>
      </c>
      <c r="H7" s="12" t="s">
        <v>246</v>
      </c>
      <c r="I7" s="12" t="s">
        <v>82</v>
      </c>
      <c r="J7" s="12" t="s">
        <v>267</v>
      </c>
      <c r="K7" s="12" t="s">
        <v>998</v>
      </c>
      <c r="L7" s="13" t="s">
        <v>994</v>
      </c>
      <c r="M7" s="11" t="s">
        <v>268</v>
      </c>
      <c r="N7" s="11" t="s">
        <v>118</v>
      </c>
      <c r="O7" s="11" t="s">
        <v>264</v>
      </c>
      <c r="P7" s="11" t="s">
        <v>125</v>
      </c>
      <c r="Q7" s="11" t="s">
        <v>150</v>
      </c>
      <c r="R7" s="11" t="s">
        <v>125</v>
      </c>
      <c r="S7" s="11" t="s">
        <v>125</v>
      </c>
      <c r="T7" s="11" t="s">
        <v>38</v>
      </c>
      <c r="U7" s="11" t="s">
        <v>1388</v>
      </c>
      <c r="V7" s="11" t="s">
        <v>1393</v>
      </c>
      <c r="W7" s="11" t="s">
        <v>994</v>
      </c>
      <c r="X7" s="11" t="s">
        <v>994</v>
      </c>
      <c r="Y7" s="11" t="s">
        <v>994</v>
      </c>
      <c r="Z7" s="11" t="s">
        <v>994</v>
      </c>
      <c r="AA7" s="11" t="s">
        <v>994</v>
      </c>
      <c r="AB7" s="11" t="s">
        <v>994</v>
      </c>
      <c r="AC7" s="11" t="s">
        <v>994</v>
      </c>
      <c r="AD7" s="11" t="s">
        <v>1121</v>
      </c>
    </row>
    <row r="8">
      <c r="B8" s="12" t="s">
        <v>994</v>
      </c>
      <c r="C8" s="11" t="s">
        <v>996</v>
      </c>
      <c r="D8" s="11" t="s">
        <v>175</v>
      </c>
      <c r="E8" s="12" t="s">
        <v>176</v>
      </c>
      <c r="F8" s="12" t="s">
        <v>49</v>
      </c>
      <c r="G8" s="12" t="s">
        <v>275</v>
      </c>
      <c r="H8" s="12" t="s">
        <v>126</v>
      </c>
      <c r="I8" s="12" t="s">
        <v>82</v>
      </c>
      <c r="J8" s="12" t="s">
        <v>267</v>
      </c>
      <c r="K8" s="12" t="s">
        <v>999</v>
      </c>
      <c r="L8" s="13" t="s">
        <v>994</v>
      </c>
      <c r="M8" s="11" t="s">
        <v>1215</v>
      </c>
      <c r="N8" s="11" t="s">
        <v>118</v>
      </c>
      <c r="O8" s="11" t="s">
        <v>264</v>
      </c>
      <c r="P8" s="11" t="s">
        <v>125</v>
      </c>
      <c r="Q8" s="11" t="s">
        <v>150</v>
      </c>
      <c r="R8" s="11" t="s">
        <v>125</v>
      </c>
      <c r="S8" s="11" t="s">
        <v>125</v>
      </c>
      <c r="T8" s="11" t="s">
        <v>38</v>
      </c>
      <c r="U8" s="11" t="s">
        <v>1388</v>
      </c>
      <c r="V8" s="11" t="s">
        <v>1393</v>
      </c>
      <c r="W8" s="11" t="s">
        <v>1396</v>
      </c>
      <c r="X8" s="11" t="s">
        <v>994</v>
      </c>
      <c r="Y8" s="11" t="s">
        <v>994</v>
      </c>
      <c r="Z8" s="11" t="s">
        <v>994</v>
      </c>
      <c r="AA8" s="11" t="s">
        <v>994</v>
      </c>
      <c r="AB8" s="11" t="s">
        <v>994</v>
      </c>
      <c r="AC8" s="11" t="s">
        <v>994</v>
      </c>
      <c r="AD8" s="11" t="s">
        <v>1122</v>
      </c>
    </row>
    <row r="9">
      <c r="B9" s="12" t="s">
        <v>994</v>
      </c>
      <c r="C9" s="11" t="s">
        <v>1040</v>
      </c>
      <c r="D9" s="11" t="s">
        <v>276</v>
      </c>
      <c r="E9" s="12" t="s">
        <v>277</v>
      </c>
      <c r="F9" s="12" t="s">
        <v>278</v>
      </c>
      <c r="G9" s="12" t="s">
        <v>275</v>
      </c>
      <c r="H9" s="12" t="s">
        <v>126</v>
      </c>
      <c r="I9" s="12" t="s">
        <v>82</v>
      </c>
      <c r="J9" s="12" t="s">
        <v>267</v>
      </c>
      <c r="K9" s="12" t="s">
        <v>999</v>
      </c>
      <c r="L9" s="13" t="s">
        <v>125</v>
      </c>
      <c r="M9" s="11" t="s">
        <v>279</v>
      </c>
      <c r="N9" s="11" t="s">
        <v>118</v>
      </c>
      <c r="O9" s="11" t="s">
        <v>280</v>
      </c>
      <c r="P9" s="11" t="s">
        <v>126</v>
      </c>
      <c r="Q9" s="11" t="s">
        <v>143</v>
      </c>
      <c r="R9" s="11" t="s">
        <v>125</v>
      </c>
      <c r="S9" s="11" t="s">
        <v>125</v>
      </c>
      <c r="T9" s="11" t="s">
        <v>131</v>
      </c>
      <c r="U9" s="11" t="s">
        <v>1389</v>
      </c>
      <c r="V9" s="11" t="s">
        <v>1379</v>
      </c>
      <c r="W9" s="11" t="s">
        <v>1398</v>
      </c>
      <c r="X9" s="11" t="s">
        <v>1400</v>
      </c>
      <c r="Y9" s="11" t="s">
        <v>994</v>
      </c>
      <c r="Z9" s="11" t="s">
        <v>994</v>
      </c>
      <c r="AA9" s="11" t="s">
        <v>994</v>
      </c>
      <c r="AB9" s="11" t="s">
        <v>121</v>
      </c>
      <c r="AC9" s="11" t="s">
        <v>994</v>
      </c>
      <c r="AD9" s="11" t="s">
        <v>1237</v>
      </c>
    </row>
    <row r="10">
      <c r="B10" s="12" t="s">
        <v>994</v>
      </c>
      <c r="C10" s="11" t="s">
        <v>1041</v>
      </c>
      <c r="D10" s="11" t="s">
        <v>288</v>
      </c>
      <c r="E10" s="12" t="s">
        <v>289</v>
      </c>
      <c r="F10" s="12" t="s">
        <v>49</v>
      </c>
      <c r="G10" s="12" t="s">
        <v>129</v>
      </c>
      <c r="H10" s="12" t="s">
        <v>126</v>
      </c>
      <c r="I10" s="12" t="s">
        <v>82</v>
      </c>
      <c r="J10" s="12" t="s">
        <v>267</v>
      </c>
      <c r="K10" s="12" t="s">
        <v>999</v>
      </c>
      <c r="L10" s="13" t="s">
        <v>994</v>
      </c>
      <c r="M10" s="11" t="s">
        <v>290</v>
      </c>
      <c r="N10" s="11" t="s">
        <v>118</v>
      </c>
      <c r="O10" s="11" t="s">
        <v>280</v>
      </c>
      <c r="P10" s="11" t="s">
        <v>126</v>
      </c>
      <c r="Q10" s="11" t="s">
        <v>143</v>
      </c>
      <c r="R10" s="11" t="s">
        <v>994</v>
      </c>
      <c r="S10" s="11" t="s">
        <v>125</v>
      </c>
      <c r="T10" s="11" t="s">
        <v>38</v>
      </c>
      <c r="U10" s="11" t="s">
        <v>1390</v>
      </c>
      <c r="V10" s="11" t="s">
        <v>1393</v>
      </c>
      <c r="W10" s="11" t="s">
        <v>994</v>
      </c>
      <c r="X10" s="11" t="s">
        <v>994</v>
      </c>
      <c r="Y10" s="11" t="s">
        <v>994</v>
      </c>
      <c r="Z10" s="11" t="s">
        <v>994</v>
      </c>
      <c r="AA10" s="11" t="s">
        <v>994</v>
      </c>
      <c r="AB10" s="11" t="s">
        <v>994</v>
      </c>
      <c r="AC10" s="11" t="s">
        <v>994</v>
      </c>
      <c r="AD10" s="11" t="s">
        <v>1123</v>
      </c>
    </row>
    <row r="11">
      <c r="B11" s="12" t="s">
        <v>994</v>
      </c>
      <c r="C11" s="11" t="s">
        <v>1314</v>
      </c>
      <c r="D11" s="11" t="s">
        <v>86</v>
      </c>
      <c r="E11" s="12" t="s">
        <v>87</v>
      </c>
      <c r="F11" s="12" t="s">
        <v>49</v>
      </c>
      <c r="G11" s="12" t="s">
        <v>129</v>
      </c>
      <c r="H11" s="12" t="s">
        <v>126</v>
      </c>
      <c r="I11" s="12" t="s">
        <v>82</v>
      </c>
      <c r="J11" s="12" t="s">
        <v>267</v>
      </c>
      <c r="K11" s="12" t="s">
        <v>998</v>
      </c>
      <c r="L11" s="13" t="s">
        <v>126</v>
      </c>
      <c r="M11" s="11" t="s">
        <v>296</v>
      </c>
      <c r="N11" s="11" t="s">
        <v>118</v>
      </c>
      <c r="O11" s="11" t="s">
        <v>249</v>
      </c>
      <c r="P11" s="11" t="s">
        <v>125</v>
      </c>
      <c r="Q11" s="11" t="s">
        <v>150</v>
      </c>
      <c r="R11" s="11" t="s">
        <v>125</v>
      </c>
      <c r="S11" s="11" t="s">
        <v>125</v>
      </c>
      <c r="T11" s="11" t="s">
        <v>131</v>
      </c>
      <c r="U11" s="11" t="s">
        <v>1388</v>
      </c>
      <c r="V11" s="11" t="s">
        <v>1380</v>
      </c>
      <c r="W11" s="11" t="s">
        <v>1398</v>
      </c>
      <c r="X11" s="11" t="s">
        <v>1391</v>
      </c>
      <c r="Y11" s="11" t="s">
        <v>994</v>
      </c>
      <c r="Z11" s="11" t="s">
        <v>994</v>
      </c>
      <c r="AA11" s="11" t="s">
        <v>994</v>
      </c>
      <c r="AB11" s="11" t="s">
        <v>994</v>
      </c>
      <c r="AC11" s="11" t="s">
        <v>994</v>
      </c>
      <c r="AD11" s="11" t="s">
        <v>1270</v>
      </c>
    </row>
    <row r="12">
      <c r="B12" s="12" t="s">
        <v>994</v>
      </c>
      <c r="C12" s="11" t="s">
        <v>1315</v>
      </c>
      <c r="D12" s="11" t="s">
        <v>1264</v>
      </c>
      <c r="E12" s="12" t="s">
        <v>87</v>
      </c>
      <c r="F12" s="12" t="s">
        <v>994</v>
      </c>
      <c r="G12" s="12" t="s">
        <v>994</v>
      </c>
      <c r="H12" s="12" t="s">
        <v>994</v>
      </c>
      <c r="I12" s="12" t="s">
        <v>994</v>
      </c>
      <c r="J12" s="12" t="s">
        <v>994</v>
      </c>
      <c r="K12" s="12" t="s">
        <v>994</v>
      </c>
      <c r="L12" s="13" t="s">
        <v>125</v>
      </c>
      <c r="M12" s="11" t="s">
        <v>1267</v>
      </c>
      <c r="N12" s="11" t="s">
        <v>994</v>
      </c>
      <c r="O12" s="11" t="s">
        <v>994</v>
      </c>
      <c r="P12" s="11" t="s">
        <v>994</v>
      </c>
      <c r="Q12" s="11" t="s">
        <v>994</v>
      </c>
      <c r="R12" s="11" t="s">
        <v>994</v>
      </c>
      <c r="S12" s="11" t="s">
        <v>994</v>
      </c>
      <c r="T12" s="11" t="s">
        <v>131</v>
      </c>
      <c r="U12" s="11" t="s">
        <v>994</v>
      </c>
      <c r="V12" s="11" t="s">
        <v>994</v>
      </c>
      <c r="W12" s="11" t="s">
        <v>994</v>
      </c>
      <c r="X12" s="11" t="s">
        <v>1400</v>
      </c>
      <c r="Y12" s="11" t="s">
        <v>994</v>
      </c>
      <c r="Z12" s="11" t="s">
        <v>994</v>
      </c>
      <c r="AA12" s="11" t="s">
        <v>994</v>
      </c>
      <c r="AB12" s="11" t="s">
        <v>121</v>
      </c>
      <c r="AC12" s="11" t="s">
        <v>994</v>
      </c>
      <c r="AD12" s="11" t="s">
        <v>1271</v>
      </c>
    </row>
    <row r="13">
      <c r="B13" s="12" t="s">
        <v>994</v>
      </c>
      <c r="C13" s="11" t="s">
        <v>1316</v>
      </c>
      <c r="D13" s="11" t="s">
        <v>302</v>
      </c>
      <c r="E13" s="12" t="s">
        <v>303</v>
      </c>
      <c r="F13" s="12" t="s">
        <v>283</v>
      </c>
      <c r="G13" s="12" t="s">
        <v>246</v>
      </c>
      <c r="H13" s="12" t="s">
        <v>246</v>
      </c>
      <c r="I13" s="12" t="s">
        <v>82</v>
      </c>
      <c r="J13" s="12" t="s">
        <v>267</v>
      </c>
      <c r="K13" s="12" t="s">
        <v>999</v>
      </c>
      <c r="L13" s="13" t="s">
        <v>994</v>
      </c>
      <c r="M13" s="11" t="s">
        <v>304</v>
      </c>
      <c r="N13" s="11" t="s">
        <v>118</v>
      </c>
      <c r="O13" s="11" t="s">
        <v>249</v>
      </c>
      <c r="P13" s="11" t="s">
        <v>125</v>
      </c>
      <c r="Q13" s="11" t="s">
        <v>150</v>
      </c>
      <c r="R13" s="11" t="s">
        <v>125</v>
      </c>
      <c r="S13" s="11" t="s">
        <v>125</v>
      </c>
      <c r="T13" s="11" t="s">
        <v>38</v>
      </c>
      <c r="U13" s="11" t="s">
        <v>1388</v>
      </c>
      <c r="V13" s="11" t="s">
        <v>1393</v>
      </c>
      <c r="W13" s="11" t="s">
        <v>1396</v>
      </c>
      <c r="X13" s="11" t="s">
        <v>994</v>
      </c>
      <c r="Y13" s="11" t="s">
        <v>994</v>
      </c>
      <c r="Z13" s="11" t="s">
        <v>994</v>
      </c>
      <c r="AA13" s="11" t="s">
        <v>994</v>
      </c>
      <c r="AB13" s="11" t="s">
        <v>994</v>
      </c>
      <c r="AC13" s="11" t="s">
        <v>994</v>
      </c>
      <c r="AD13" s="11" t="s">
        <v>1125</v>
      </c>
    </row>
    <row r="14">
      <c r="B14" s="12" t="s">
        <v>994</v>
      </c>
      <c r="C14" s="11" t="s">
        <v>1317</v>
      </c>
      <c r="D14" s="11" t="s">
        <v>181</v>
      </c>
      <c r="E14" s="12" t="s">
        <v>182</v>
      </c>
      <c r="F14" s="12" t="s">
        <v>305</v>
      </c>
      <c r="G14" s="12" t="s">
        <v>275</v>
      </c>
      <c r="H14" s="12" t="s">
        <v>126</v>
      </c>
      <c r="I14" s="12" t="s">
        <v>82</v>
      </c>
      <c r="J14" s="12" t="s">
        <v>267</v>
      </c>
      <c r="K14" s="12" t="s">
        <v>998</v>
      </c>
      <c r="L14" s="13" t="s">
        <v>994</v>
      </c>
      <c r="M14" s="11" t="s">
        <v>1381</v>
      </c>
      <c r="N14" s="11" t="s">
        <v>118</v>
      </c>
      <c r="O14" s="11" t="s">
        <v>280</v>
      </c>
      <c r="P14" s="11" t="s">
        <v>126</v>
      </c>
      <c r="Q14" s="11" t="s">
        <v>143</v>
      </c>
      <c r="R14" s="11" t="s">
        <v>125</v>
      </c>
      <c r="S14" s="11" t="s">
        <v>125</v>
      </c>
      <c r="T14" s="11" t="s">
        <v>38</v>
      </c>
      <c r="U14" s="11" t="s">
        <v>1389</v>
      </c>
      <c r="V14" s="11" t="s">
        <v>1393</v>
      </c>
      <c r="W14" s="11" t="s">
        <v>1398</v>
      </c>
      <c r="X14" s="11" t="s">
        <v>994</v>
      </c>
      <c r="Y14" s="11" t="s">
        <v>994</v>
      </c>
      <c r="Z14" s="11" t="s">
        <v>994</v>
      </c>
      <c r="AA14" s="11" t="s">
        <v>994</v>
      </c>
      <c r="AB14" s="11" t="s">
        <v>994</v>
      </c>
      <c r="AC14" s="11" t="s">
        <v>994</v>
      </c>
      <c r="AD14" s="11" t="s">
        <v>1126</v>
      </c>
    </row>
    <row r="15">
      <c r="B15" s="12" t="s">
        <v>994</v>
      </c>
      <c r="C15" s="11" t="s">
        <v>1318</v>
      </c>
      <c r="D15" s="11" t="s">
        <v>190</v>
      </c>
      <c r="E15" s="12" t="s">
        <v>307</v>
      </c>
      <c r="F15" s="12" t="s">
        <v>49</v>
      </c>
      <c r="G15" s="12" t="s">
        <v>275</v>
      </c>
      <c r="H15" s="12" t="s">
        <v>126</v>
      </c>
      <c r="I15" s="12" t="s">
        <v>37</v>
      </c>
      <c r="J15" s="12" t="s">
        <v>267</v>
      </c>
      <c r="K15" s="12" t="s">
        <v>999</v>
      </c>
      <c r="L15" s="13" t="s">
        <v>125</v>
      </c>
      <c r="M15" s="11" t="s">
        <v>312</v>
      </c>
      <c r="N15" s="11" t="s">
        <v>309</v>
      </c>
      <c r="O15" s="11" t="s">
        <v>310</v>
      </c>
      <c r="P15" s="11" t="s">
        <v>125</v>
      </c>
      <c r="Q15" s="11" t="s">
        <v>150</v>
      </c>
      <c r="R15" s="11" t="s">
        <v>125</v>
      </c>
      <c r="S15" s="11" t="s">
        <v>125</v>
      </c>
      <c r="T15" s="11" t="s">
        <v>131</v>
      </c>
      <c r="U15" s="11" t="s">
        <v>1388</v>
      </c>
      <c r="V15" s="11" t="s">
        <v>994</v>
      </c>
      <c r="W15" s="11" t="s">
        <v>994</v>
      </c>
      <c r="X15" s="11" t="s">
        <v>1400</v>
      </c>
      <c r="Y15" s="11" t="s">
        <v>994</v>
      </c>
      <c r="Z15" s="11" t="s">
        <v>994</v>
      </c>
      <c r="AA15" s="11" t="s">
        <v>994</v>
      </c>
      <c r="AB15" s="11" t="s">
        <v>121</v>
      </c>
      <c r="AC15" s="11" t="s">
        <v>994</v>
      </c>
      <c r="AD15" s="11" t="s">
        <v>1238</v>
      </c>
    </row>
    <row r="16">
      <c r="B16" s="12" t="s">
        <v>994</v>
      </c>
      <c r="C16" s="11" t="s">
        <v>1319</v>
      </c>
      <c r="D16" s="11" t="s">
        <v>326</v>
      </c>
      <c r="E16" s="12" t="s">
        <v>327</v>
      </c>
      <c r="F16" s="12" t="s">
        <v>49</v>
      </c>
      <c r="G16" s="12" t="s">
        <v>246</v>
      </c>
      <c r="H16" s="12" t="s">
        <v>246</v>
      </c>
      <c r="I16" s="12" t="s">
        <v>37</v>
      </c>
      <c r="J16" s="12" t="s">
        <v>267</v>
      </c>
      <c r="K16" s="12" t="s">
        <v>998</v>
      </c>
      <c r="L16" s="13" t="s">
        <v>994</v>
      </c>
      <c r="M16" s="11" t="s">
        <v>1107</v>
      </c>
      <c r="N16" s="11" t="s">
        <v>118</v>
      </c>
      <c r="O16" s="11" t="s">
        <v>323</v>
      </c>
      <c r="P16" s="11" t="s">
        <v>126</v>
      </c>
      <c r="Q16" s="11" t="s">
        <v>143</v>
      </c>
      <c r="R16" s="11" t="s">
        <v>125</v>
      </c>
      <c r="S16" s="11" t="s">
        <v>125</v>
      </c>
      <c r="T16" s="11" t="s">
        <v>38</v>
      </c>
      <c r="U16" s="11" t="s">
        <v>1389</v>
      </c>
      <c r="V16" s="11" t="s">
        <v>1393</v>
      </c>
      <c r="W16" s="11" t="s">
        <v>994</v>
      </c>
      <c r="X16" s="11" t="s">
        <v>994</v>
      </c>
      <c r="Y16" s="11" t="s">
        <v>994</v>
      </c>
      <c r="Z16" s="11" t="s">
        <v>994</v>
      </c>
      <c r="AA16" s="11" t="s">
        <v>994</v>
      </c>
      <c r="AB16" s="11" t="s">
        <v>994</v>
      </c>
      <c r="AC16" s="11" t="s">
        <v>994</v>
      </c>
      <c r="AD16" s="11" t="s">
        <v>1127</v>
      </c>
    </row>
    <row r="17">
      <c r="B17" s="12" t="s">
        <v>994</v>
      </c>
      <c r="C17" s="11" t="s">
        <v>1320</v>
      </c>
      <c r="D17" s="11" t="s">
        <v>331</v>
      </c>
      <c r="E17" s="12" t="s">
        <v>35</v>
      </c>
      <c r="F17" s="12" t="s">
        <v>295</v>
      </c>
      <c r="G17" s="12" t="s">
        <v>129</v>
      </c>
      <c r="H17" s="12" t="s">
        <v>126</v>
      </c>
      <c r="I17" s="12" t="s">
        <v>37</v>
      </c>
      <c r="J17" s="12" t="s">
        <v>267</v>
      </c>
      <c r="K17" s="12" t="s">
        <v>999</v>
      </c>
      <c r="L17" s="13" t="s">
        <v>994</v>
      </c>
      <c r="M17" s="11" t="s">
        <v>1108</v>
      </c>
      <c r="N17" s="11" t="s">
        <v>1128</v>
      </c>
      <c r="O17" s="11" t="s">
        <v>280</v>
      </c>
      <c r="P17" s="11" t="s">
        <v>126</v>
      </c>
      <c r="Q17" s="11" t="s">
        <v>143</v>
      </c>
      <c r="R17" s="11" t="s">
        <v>125</v>
      </c>
      <c r="S17" s="11" t="s">
        <v>125</v>
      </c>
      <c r="T17" s="11" t="s">
        <v>38</v>
      </c>
      <c r="U17" s="11" t="s">
        <v>1389</v>
      </c>
      <c r="V17" s="11" t="s">
        <v>1393</v>
      </c>
      <c r="W17" s="11" t="s">
        <v>1379</v>
      </c>
      <c r="X17" s="11" t="s">
        <v>994</v>
      </c>
      <c r="Y17" s="11" t="s">
        <v>994</v>
      </c>
      <c r="Z17" s="11" t="s">
        <v>994</v>
      </c>
      <c r="AA17" s="11" t="s">
        <v>994</v>
      </c>
      <c r="AB17" s="11" t="s">
        <v>994</v>
      </c>
      <c r="AC17" s="11" t="s">
        <v>994</v>
      </c>
      <c r="AD17" s="11" t="s">
        <v>45</v>
      </c>
    </row>
    <row r="18">
      <c r="B18" s="12" t="s">
        <v>994</v>
      </c>
      <c r="C18" s="11" t="s">
        <v>1321</v>
      </c>
      <c r="D18" s="11" t="s">
        <v>334</v>
      </c>
      <c r="E18" s="12" t="s">
        <v>35</v>
      </c>
      <c r="F18" s="12" t="s">
        <v>278</v>
      </c>
      <c r="G18" s="12" t="s">
        <v>246</v>
      </c>
      <c r="H18" s="12" t="s">
        <v>246</v>
      </c>
      <c r="I18" s="12" t="s">
        <v>37</v>
      </c>
      <c r="J18" s="12" t="s">
        <v>267</v>
      </c>
      <c r="K18" s="12" t="s">
        <v>998</v>
      </c>
      <c r="L18" s="13" t="s">
        <v>994</v>
      </c>
      <c r="M18" s="11" t="s">
        <v>335</v>
      </c>
      <c r="N18" s="11" t="s">
        <v>1129</v>
      </c>
      <c r="O18" s="11" t="s">
        <v>323</v>
      </c>
      <c r="P18" s="11" t="s">
        <v>126</v>
      </c>
      <c r="Q18" s="11" t="s">
        <v>143</v>
      </c>
      <c r="R18" s="11" t="s">
        <v>125</v>
      </c>
      <c r="S18" s="11" t="s">
        <v>125</v>
      </c>
      <c r="T18" s="11" t="s">
        <v>38</v>
      </c>
      <c r="U18" s="11" t="s">
        <v>1389</v>
      </c>
      <c r="V18" s="11" t="s">
        <v>1393</v>
      </c>
      <c r="W18" s="11" t="s">
        <v>1379</v>
      </c>
      <c r="X18" s="11" t="s">
        <v>994</v>
      </c>
      <c r="Y18" s="11" t="s">
        <v>994</v>
      </c>
      <c r="Z18" s="11" t="s">
        <v>994</v>
      </c>
      <c r="AA18" s="11" t="s">
        <v>994</v>
      </c>
      <c r="AB18" s="11" t="s">
        <v>994</v>
      </c>
      <c r="AC18" s="11" t="s">
        <v>994</v>
      </c>
      <c r="AD18" s="11" t="s">
        <v>45</v>
      </c>
    </row>
    <row r="19">
      <c r="B19" s="12" t="s">
        <v>994</v>
      </c>
      <c r="C19" s="11" t="s">
        <v>1322</v>
      </c>
      <c r="D19" s="11" t="s">
        <v>337</v>
      </c>
      <c r="E19" s="12" t="s">
        <v>35</v>
      </c>
      <c r="F19" s="12" t="s">
        <v>286</v>
      </c>
      <c r="G19" s="12" t="s">
        <v>246</v>
      </c>
      <c r="H19" s="12" t="s">
        <v>246</v>
      </c>
      <c r="I19" s="12" t="s">
        <v>37</v>
      </c>
      <c r="J19" s="12" t="s">
        <v>267</v>
      </c>
      <c r="K19" s="12" t="s">
        <v>999</v>
      </c>
      <c r="L19" s="13" t="s">
        <v>994</v>
      </c>
      <c r="M19" s="11" t="s">
        <v>338</v>
      </c>
      <c r="N19" s="11" t="s">
        <v>1130</v>
      </c>
      <c r="O19" s="11" t="s">
        <v>280</v>
      </c>
      <c r="P19" s="11" t="s">
        <v>126</v>
      </c>
      <c r="Q19" s="11" t="s">
        <v>143</v>
      </c>
      <c r="R19" s="11" t="s">
        <v>994</v>
      </c>
      <c r="S19" s="11" t="s">
        <v>126</v>
      </c>
      <c r="T19" s="11" t="s">
        <v>38</v>
      </c>
      <c r="U19" s="11" t="s">
        <v>1379</v>
      </c>
      <c r="V19" s="11" t="s">
        <v>1380</v>
      </c>
      <c r="W19" s="11" t="s">
        <v>1396</v>
      </c>
      <c r="X19" s="11" t="s">
        <v>994</v>
      </c>
      <c r="Y19" s="11" t="s">
        <v>994</v>
      </c>
      <c r="Z19" s="11" t="s">
        <v>994</v>
      </c>
      <c r="AA19" s="11" t="s">
        <v>994</v>
      </c>
      <c r="AB19" s="11" t="s">
        <v>994</v>
      </c>
      <c r="AC19" s="11" t="s">
        <v>994</v>
      </c>
      <c r="AD19" s="11" t="s">
        <v>45</v>
      </c>
    </row>
    <row r="20">
      <c r="B20" s="12" t="s">
        <v>994</v>
      </c>
      <c r="C20" s="11" t="s">
        <v>1323</v>
      </c>
      <c r="D20" s="11" t="s">
        <v>194</v>
      </c>
      <c r="E20" s="12" t="s">
        <v>35</v>
      </c>
      <c r="F20" s="12" t="s">
        <v>305</v>
      </c>
      <c r="G20" s="12" t="s">
        <v>275</v>
      </c>
      <c r="H20" s="12" t="s">
        <v>126</v>
      </c>
      <c r="I20" s="12" t="s">
        <v>37</v>
      </c>
      <c r="J20" s="12" t="s">
        <v>267</v>
      </c>
      <c r="K20" s="12" t="s">
        <v>999</v>
      </c>
      <c r="L20" s="13" t="s">
        <v>994</v>
      </c>
      <c r="M20" s="11" t="s">
        <v>195</v>
      </c>
      <c r="N20" s="11" t="s">
        <v>1192</v>
      </c>
      <c r="O20" s="11" t="s">
        <v>323</v>
      </c>
      <c r="P20" s="11" t="s">
        <v>126</v>
      </c>
      <c r="Q20" s="11" t="s">
        <v>143</v>
      </c>
      <c r="R20" s="11" t="s">
        <v>125</v>
      </c>
      <c r="S20" s="11" t="s">
        <v>125</v>
      </c>
      <c r="T20" s="11" t="s">
        <v>131</v>
      </c>
      <c r="U20" s="11" t="s">
        <v>1389</v>
      </c>
      <c r="V20" s="11" t="s">
        <v>1393</v>
      </c>
      <c r="W20" s="11" t="s">
        <v>1379</v>
      </c>
      <c r="X20" s="11" t="s">
        <v>1400</v>
      </c>
      <c r="Y20" s="11" t="s">
        <v>994</v>
      </c>
      <c r="Z20" s="11" t="s">
        <v>994</v>
      </c>
      <c r="AA20" s="11" t="s">
        <v>994</v>
      </c>
      <c r="AB20" s="11" t="s">
        <v>994</v>
      </c>
      <c r="AC20" s="11" t="s">
        <v>994</v>
      </c>
      <c r="AD20" s="11" t="s">
        <v>1239</v>
      </c>
    </row>
    <row r="21">
      <c r="B21" s="12" t="s">
        <v>994</v>
      </c>
      <c r="C21" s="11" t="s">
        <v>1324</v>
      </c>
      <c r="D21" s="11" t="s">
        <v>1217</v>
      </c>
      <c r="E21" s="12" t="s">
        <v>35</v>
      </c>
      <c r="F21" s="12" t="s">
        <v>305</v>
      </c>
      <c r="G21" s="12" t="s">
        <v>275</v>
      </c>
      <c r="H21" s="12" t="s">
        <v>126</v>
      </c>
      <c r="I21" s="12" t="s">
        <v>37</v>
      </c>
      <c r="J21" s="12" t="s">
        <v>267</v>
      </c>
      <c r="K21" s="12" t="s">
        <v>999</v>
      </c>
      <c r="L21" s="13" t="s">
        <v>994</v>
      </c>
      <c r="M21" s="11" t="s">
        <v>195</v>
      </c>
      <c r="N21" s="11" t="s">
        <v>1218</v>
      </c>
      <c r="O21" s="11" t="s">
        <v>323</v>
      </c>
      <c r="P21" s="11" t="s">
        <v>126</v>
      </c>
      <c r="Q21" s="11" t="s">
        <v>143</v>
      </c>
      <c r="R21" s="11" t="s">
        <v>125</v>
      </c>
      <c r="S21" s="11" t="s">
        <v>125</v>
      </c>
      <c r="T21" s="11" t="s">
        <v>131</v>
      </c>
      <c r="U21" s="11" t="s">
        <v>1391</v>
      </c>
      <c r="V21" s="11" t="s">
        <v>994</v>
      </c>
      <c r="W21" s="11" t="s">
        <v>994</v>
      </c>
      <c r="X21" s="11" t="s">
        <v>1400</v>
      </c>
      <c r="Y21" s="11" t="s">
        <v>994</v>
      </c>
      <c r="Z21" s="11" t="s">
        <v>994</v>
      </c>
      <c r="AA21" s="11" t="s">
        <v>994</v>
      </c>
      <c r="AB21" s="11" t="s">
        <v>994</v>
      </c>
      <c r="AC21" s="11" t="s">
        <v>994</v>
      </c>
      <c r="AD21" s="11" t="s">
        <v>1240</v>
      </c>
    </row>
    <row r="22">
      <c r="B22" s="12" t="s">
        <v>994</v>
      </c>
      <c r="C22" s="11" t="s">
        <v>1325</v>
      </c>
      <c r="D22" s="11" t="s">
        <v>185</v>
      </c>
      <c r="E22" s="12" t="s">
        <v>186</v>
      </c>
      <c r="F22" s="12" t="s">
        <v>286</v>
      </c>
      <c r="G22" s="12" t="s">
        <v>275</v>
      </c>
      <c r="H22" s="12" t="s">
        <v>126</v>
      </c>
      <c r="I22" s="12" t="s">
        <v>37</v>
      </c>
      <c r="J22" s="12" t="s">
        <v>267</v>
      </c>
      <c r="K22" s="12" t="s">
        <v>999</v>
      </c>
      <c r="L22" s="13" t="s">
        <v>994</v>
      </c>
      <c r="M22" s="11" t="s">
        <v>187</v>
      </c>
      <c r="N22" s="11" t="s">
        <v>118</v>
      </c>
      <c r="O22" s="11" t="s">
        <v>323</v>
      </c>
      <c r="P22" s="11" t="s">
        <v>126</v>
      </c>
      <c r="Q22" s="11" t="s">
        <v>143</v>
      </c>
      <c r="R22" s="11" t="s">
        <v>125</v>
      </c>
      <c r="S22" s="11" t="s">
        <v>125</v>
      </c>
      <c r="T22" s="11" t="s">
        <v>38</v>
      </c>
      <c r="U22" s="11" t="s">
        <v>1389</v>
      </c>
      <c r="V22" s="11" t="s">
        <v>1393</v>
      </c>
      <c r="W22" s="11" t="s">
        <v>994</v>
      </c>
      <c r="X22" s="11" t="s">
        <v>994</v>
      </c>
      <c r="Y22" s="11" t="s">
        <v>994</v>
      </c>
      <c r="Z22" s="11" t="s">
        <v>994</v>
      </c>
      <c r="AA22" s="11" t="s">
        <v>994</v>
      </c>
      <c r="AB22" s="11" t="s">
        <v>994</v>
      </c>
      <c r="AC22" s="11" t="s">
        <v>994</v>
      </c>
      <c r="AD22" s="11" t="s">
        <v>1127</v>
      </c>
    </row>
    <row r="23">
      <c r="B23" s="12" t="s">
        <v>994</v>
      </c>
      <c r="C23" s="11" t="s">
        <v>1326</v>
      </c>
      <c r="D23" s="11" t="s">
        <v>345</v>
      </c>
      <c r="E23" s="12" t="s">
        <v>51</v>
      </c>
      <c r="F23" s="12" t="s">
        <v>308</v>
      </c>
      <c r="G23" s="12" t="s">
        <v>247</v>
      </c>
      <c r="H23" s="12" t="s">
        <v>126</v>
      </c>
      <c r="I23" s="12" t="s">
        <v>37</v>
      </c>
      <c r="J23" s="12" t="s">
        <v>267</v>
      </c>
      <c r="K23" s="12" t="s">
        <v>998</v>
      </c>
      <c r="L23" s="13" t="s">
        <v>994</v>
      </c>
      <c r="M23" s="11" t="s">
        <v>346</v>
      </c>
      <c r="N23" s="11" t="s">
        <v>1110</v>
      </c>
      <c r="O23" s="11" t="s">
        <v>323</v>
      </c>
      <c r="P23" s="11" t="s">
        <v>126</v>
      </c>
      <c r="Q23" s="11" t="s">
        <v>143</v>
      </c>
      <c r="R23" s="11" t="s">
        <v>125</v>
      </c>
      <c r="S23" s="11" t="s">
        <v>125</v>
      </c>
      <c r="T23" s="11" t="s">
        <v>38</v>
      </c>
      <c r="U23" s="11" t="s">
        <v>1389</v>
      </c>
      <c r="V23" s="11" t="s">
        <v>1393</v>
      </c>
      <c r="W23" s="11" t="s">
        <v>1379</v>
      </c>
      <c r="X23" s="11" t="s">
        <v>994</v>
      </c>
      <c r="Y23" s="11" t="s">
        <v>994</v>
      </c>
      <c r="Z23" s="11" t="s">
        <v>994</v>
      </c>
      <c r="AA23" s="11" t="s">
        <v>994</v>
      </c>
      <c r="AB23" s="11" t="s">
        <v>994</v>
      </c>
      <c r="AC23" s="11" t="s">
        <v>994</v>
      </c>
      <c r="AD23" s="11" t="s">
        <v>1131</v>
      </c>
    </row>
    <row r="24">
      <c r="B24" s="12" t="s">
        <v>994</v>
      </c>
      <c r="C24" s="11" t="s">
        <v>1327</v>
      </c>
      <c r="D24" s="11" t="s">
        <v>189</v>
      </c>
      <c r="E24" s="12" t="s">
        <v>51</v>
      </c>
      <c r="F24" s="12" t="s">
        <v>49</v>
      </c>
      <c r="G24" s="12" t="s">
        <v>275</v>
      </c>
      <c r="H24" s="12" t="s">
        <v>126</v>
      </c>
      <c r="I24" s="12" t="s">
        <v>37</v>
      </c>
      <c r="J24" s="12" t="s">
        <v>267</v>
      </c>
      <c r="K24" s="12" t="s">
        <v>999</v>
      </c>
      <c r="L24" s="13" t="s">
        <v>994</v>
      </c>
      <c r="M24" s="11" t="s">
        <v>1109</v>
      </c>
      <c r="N24" s="11" t="s">
        <v>994</v>
      </c>
      <c r="O24" s="11" t="s">
        <v>323</v>
      </c>
      <c r="P24" s="11" t="s">
        <v>126</v>
      </c>
      <c r="Q24" s="11" t="s">
        <v>143</v>
      </c>
      <c r="R24" s="11" t="s">
        <v>125</v>
      </c>
      <c r="S24" s="11" t="s">
        <v>125</v>
      </c>
      <c r="T24" s="11" t="s">
        <v>38</v>
      </c>
      <c r="U24" s="11" t="s">
        <v>1389</v>
      </c>
      <c r="V24" s="11" t="s">
        <v>1393</v>
      </c>
      <c r="W24" s="11" t="s">
        <v>1379</v>
      </c>
      <c r="X24" s="11" t="s">
        <v>994</v>
      </c>
      <c r="Y24" s="11" t="s">
        <v>994</v>
      </c>
      <c r="Z24" s="11" t="s">
        <v>994</v>
      </c>
      <c r="AA24" s="11" t="s">
        <v>994</v>
      </c>
      <c r="AB24" s="11" t="s">
        <v>994</v>
      </c>
      <c r="AC24" s="11" t="s">
        <v>994</v>
      </c>
      <c r="AD24" s="11" t="s">
        <v>1131</v>
      </c>
    </row>
    <row r="25">
      <c r="B25" s="12" t="s">
        <v>994</v>
      </c>
      <c r="C25" s="11" t="s">
        <v>1328</v>
      </c>
      <c r="D25" s="11" t="s">
        <v>347</v>
      </c>
      <c r="E25" s="12" t="s">
        <v>348</v>
      </c>
      <c r="F25" s="12" t="s">
        <v>311</v>
      </c>
      <c r="G25" s="12" t="s">
        <v>129</v>
      </c>
      <c r="H25" s="12" t="s">
        <v>126</v>
      </c>
      <c r="I25" s="12" t="s">
        <v>37</v>
      </c>
      <c r="J25" s="12" t="s">
        <v>267</v>
      </c>
      <c r="K25" s="12" t="s">
        <v>999</v>
      </c>
      <c r="L25" s="13" t="s">
        <v>125</v>
      </c>
      <c r="M25" s="11" t="s">
        <v>1241</v>
      </c>
      <c r="N25" s="11" t="s">
        <v>118</v>
      </c>
      <c r="O25" s="11" t="s">
        <v>349</v>
      </c>
      <c r="P25" s="11" t="s">
        <v>126</v>
      </c>
      <c r="Q25" s="11" t="s">
        <v>143</v>
      </c>
      <c r="R25" s="11" t="s">
        <v>125</v>
      </c>
      <c r="S25" s="11" t="s">
        <v>125</v>
      </c>
      <c r="T25" s="11" t="s">
        <v>131</v>
      </c>
      <c r="U25" s="11" t="s">
        <v>1389</v>
      </c>
      <c r="V25" s="11" t="s">
        <v>1393</v>
      </c>
      <c r="W25" s="11" t="s">
        <v>994</v>
      </c>
      <c r="X25" s="11" t="s">
        <v>1400</v>
      </c>
      <c r="Y25" s="11" t="s">
        <v>994</v>
      </c>
      <c r="Z25" s="11" t="s">
        <v>994</v>
      </c>
      <c r="AA25" s="11" t="s">
        <v>994</v>
      </c>
      <c r="AB25" s="11" t="s">
        <v>121</v>
      </c>
      <c r="AC25" s="11" t="s">
        <v>994</v>
      </c>
      <c r="AD25" s="11" t="s">
        <v>1238</v>
      </c>
    </row>
    <row r="26">
      <c r="B26" s="12" t="s">
        <v>994</v>
      </c>
      <c r="C26" s="11" t="s">
        <v>1329</v>
      </c>
      <c r="D26" s="11" t="s">
        <v>204</v>
      </c>
      <c r="E26" s="12" t="s">
        <v>205</v>
      </c>
      <c r="F26" s="12" t="s">
        <v>295</v>
      </c>
      <c r="G26" s="12" t="s">
        <v>275</v>
      </c>
      <c r="H26" s="12" t="s">
        <v>126</v>
      </c>
      <c r="I26" s="12" t="s">
        <v>37</v>
      </c>
      <c r="J26" s="12" t="s">
        <v>267</v>
      </c>
      <c r="K26" s="12" t="s">
        <v>999</v>
      </c>
      <c r="L26" s="13" t="s">
        <v>994</v>
      </c>
      <c r="M26" s="11" t="s">
        <v>206</v>
      </c>
      <c r="N26" s="11" t="s">
        <v>118</v>
      </c>
      <c r="O26" s="11" t="s">
        <v>323</v>
      </c>
      <c r="P26" s="11" t="s">
        <v>126</v>
      </c>
      <c r="Q26" s="11" t="s">
        <v>143</v>
      </c>
      <c r="R26" s="11" t="s">
        <v>125</v>
      </c>
      <c r="S26" s="11" t="s">
        <v>125</v>
      </c>
      <c r="T26" s="11" t="s">
        <v>38</v>
      </c>
      <c r="U26" s="11" t="s">
        <v>1389</v>
      </c>
      <c r="V26" s="11" t="s">
        <v>1393</v>
      </c>
      <c r="W26" s="11" t="s">
        <v>994</v>
      </c>
      <c r="X26" s="11" t="s">
        <v>994</v>
      </c>
      <c r="Y26" s="11" t="s">
        <v>994</v>
      </c>
      <c r="Z26" s="11" t="s">
        <v>994</v>
      </c>
      <c r="AA26" s="11" t="s">
        <v>994</v>
      </c>
      <c r="AB26" s="11" t="s">
        <v>994</v>
      </c>
      <c r="AC26" s="11" t="s">
        <v>994</v>
      </c>
      <c r="AD26" s="11" t="s">
        <v>1127</v>
      </c>
    </row>
    <row r="27">
      <c r="B27" s="12" t="s">
        <v>994</v>
      </c>
      <c r="C27" s="11" t="s">
        <v>1330</v>
      </c>
      <c r="D27" s="11" t="s">
        <v>392</v>
      </c>
      <c r="E27" s="12" t="s">
        <v>393</v>
      </c>
      <c r="F27" s="12" t="s">
        <v>49</v>
      </c>
      <c r="G27" s="12" t="s">
        <v>246</v>
      </c>
      <c r="H27" s="12" t="s">
        <v>246</v>
      </c>
      <c r="I27" s="12" t="s">
        <v>37</v>
      </c>
      <c r="J27" s="12" t="s">
        <v>267</v>
      </c>
      <c r="K27" s="12" t="s">
        <v>998</v>
      </c>
      <c r="L27" s="13" t="s">
        <v>994</v>
      </c>
      <c r="M27" s="11" t="s">
        <v>394</v>
      </c>
      <c r="N27" s="11" t="s">
        <v>1132</v>
      </c>
      <c r="O27" s="11" t="s">
        <v>323</v>
      </c>
      <c r="P27" s="11" t="s">
        <v>126</v>
      </c>
      <c r="Q27" s="11" t="s">
        <v>143</v>
      </c>
      <c r="R27" s="11" t="s">
        <v>125</v>
      </c>
      <c r="S27" s="11" t="s">
        <v>125</v>
      </c>
      <c r="T27" s="11" t="s">
        <v>38</v>
      </c>
      <c r="U27" s="11" t="s">
        <v>1389</v>
      </c>
      <c r="V27" s="11" t="s">
        <v>1393</v>
      </c>
      <c r="W27" s="11" t="s">
        <v>994</v>
      </c>
      <c r="X27" s="11" t="s">
        <v>994</v>
      </c>
      <c r="Y27" s="11" t="s">
        <v>994</v>
      </c>
      <c r="Z27" s="11" t="s">
        <v>994</v>
      </c>
      <c r="AA27" s="11" t="s">
        <v>994</v>
      </c>
      <c r="AB27" s="11" t="s">
        <v>994</v>
      </c>
      <c r="AC27" s="11" t="s">
        <v>994</v>
      </c>
      <c r="AD27" s="11" t="s">
        <v>1127</v>
      </c>
    </row>
    <row r="28">
      <c r="B28" s="12" t="s">
        <v>994</v>
      </c>
      <c r="C28" s="11" t="s">
        <v>1331</v>
      </c>
      <c r="D28" s="11" t="s">
        <v>399</v>
      </c>
      <c r="E28" s="12" t="s">
        <v>400</v>
      </c>
      <c r="F28" s="12" t="s">
        <v>49</v>
      </c>
      <c r="G28" s="12" t="s">
        <v>246</v>
      </c>
      <c r="H28" s="12" t="s">
        <v>246</v>
      </c>
      <c r="I28" s="12" t="s">
        <v>37</v>
      </c>
      <c r="J28" s="12" t="s">
        <v>267</v>
      </c>
      <c r="K28" s="12" t="s">
        <v>999</v>
      </c>
      <c r="L28" s="13" t="s">
        <v>994</v>
      </c>
      <c r="M28" s="11" t="s">
        <v>401</v>
      </c>
      <c r="N28" s="11" t="s">
        <v>118</v>
      </c>
      <c r="O28" s="11" t="s">
        <v>323</v>
      </c>
      <c r="P28" s="11" t="s">
        <v>126</v>
      </c>
      <c r="Q28" s="11" t="s">
        <v>143</v>
      </c>
      <c r="R28" s="11" t="s">
        <v>125</v>
      </c>
      <c r="S28" s="11" t="s">
        <v>125</v>
      </c>
      <c r="T28" s="11" t="s">
        <v>38</v>
      </c>
      <c r="U28" s="11" t="s">
        <v>1389</v>
      </c>
      <c r="V28" s="11" t="s">
        <v>1393</v>
      </c>
      <c r="W28" s="11" t="s">
        <v>994</v>
      </c>
      <c r="X28" s="11" t="s">
        <v>994</v>
      </c>
      <c r="Y28" s="11" t="s">
        <v>994</v>
      </c>
      <c r="Z28" s="11" t="s">
        <v>994</v>
      </c>
      <c r="AA28" s="11" t="s">
        <v>994</v>
      </c>
      <c r="AB28" s="11" t="s">
        <v>994</v>
      </c>
      <c r="AC28" s="11" t="s">
        <v>994</v>
      </c>
      <c r="AD28" s="11" t="s">
        <v>1127</v>
      </c>
    </row>
    <row r="29">
      <c r="B29" s="12" t="s">
        <v>994</v>
      </c>
      <c r="C29" s="11" t="s">
        <v>1332</v>
      </c>
      <c r="D29" s="11" t="s">
        <v>212</v>
      </c>
      <c r="E29" s="12" t="s">
        <v>213</v>
      </c>
      <c r="F29" s="12" t="s">
        <v>332</v>
      </c>
      <c r="G29" s="12" t="s">
        <v>275</v>
      </c>
      <c r="H29" s="12" t="s">
        <v>126</v>
      </c>
      <c r="I29" s="12" t="s">
        <v>37</v>
      </c>
      <c r="J29" s="12" t="s">
        <v>267</v>
      </c>
      <c r="K29" s="12" t="s">
        <v>998</v>
      </c>
      <c r="L29" s="13" t="s">
        <v>994</v>
      </c>
      <c r="M29" s="11" t="s">
        <v>214</v>
      </c>
      <c r="N29" s="11" t="s">
        <v>118</v>
      </c>
      <c r="O29" s="11" t="s">
        <v>323</v>
      </c>
      <c r="P29" s="11" t="s">
        <v>126</v>
      </c>
      <c r="Q29" s="11" t="s">
        <v>143</v>
      </c>
      <c r="R29" s="11" t="s">
        <v>125</v>
      </c>
      <c r="S29" s="11" t="s">
        <v>125</v>
      </c>
      <c r="T29" s="11" t="s">
        <v>38</v>
      </c>
      <c r="U29" s="11" t="s">
        <v>1389</v>
      </c>
      <c r="V29" s="11" t="s">
        <v>1393</v>
      </c>
      <c r="W29" s="11" t="s">
        <v>994</v>
      </c>
      <c r="X29" s="11" t="s">
        <v>994</v>
      </c>
      <c r="Y29" s="11" t="s">
        <v>994</v>
      </c>
      <c r="Z29" s="11" t="s">
        <v>994</v>
      </c>
      <c r="AA29" s="11" t="s">
        <v>994</v>
      </c>
      <c r="AB29" s="11" t="s">
        <v>994</v>
      </c>
      <c r="AC29" s="11" t="s">
        <v>994</v>
      </c>
      <c r="AD29" s="11" t="s">
        <v>1127</v>
      </c>
    </row>
    <row r="30">
      <c r="B30" s="12" t="s">
        <v>994</v>
      </c>
      <c r="C30" s="11" t="s">
        <v>1333</v>
      </c>
      <c r="D30" s="11" t="s">
        <v>412</v>
      </c>
      <c r="E30" s="12" t="s">
        <v>216</v>
      </c>
      <c r="F30" s="12" t="s">
        <v>377</v>
      </c>
      <c r="G30" s="12" t="s">
        <v>246</v>
      </c>
      <c r="H30" s="12" t="s">
        <v>246</v>
      </c>
      <c r="I30" s="12" t="s">
        <v>37</v>
      </c>
      <c r="J30" s="12" t="s">
        <v>267</v>
      </c>
      <c r="K30" s="12" t="s">
        <v>999</v>
      </c>
      <c r="L30" s="13" t="s">
        <v>125</v>
      </c>
      <c r="M30" s="11" t="s">
        <v>217</v>
      </c>
      <c r="N30" s="11" t="s">
        <v>118</v>
      </c>
      <c r="O30" s="11" t="s">
        <v>323</v>
      </c>
      <c r="P30" s="11" t="s">
        <v>126</v>
      </c>
      <c r="Q30" s="11" t="s">
        <v>143</v>
      </c>
      <c r="R30" s="11" t="s">
        <v>125</v>
      </c>
      <c r="S30" s="11" t="s">
        <v>125</v>
      </c>
      <c r="T30" s="11" t="s">
        <v>131</v>
      </c>
      <c r="U30" s="11" t="s">
        <v>1389</v>
      </c>
      <c r="V30" s="11" t="s">
        <v>994</v>
      </c>
      <c r="W30" s="11" t="s">
        <v>994</v>
      </c>
      <c r="X30" s="11" t="s">
        <v>1400</v>
      </c>
      <c r="Y30" s="11" t="s">
        <v>994</v>
      </c>
      <c r="Z30" s="11" t="s">
        <v>994</v>
      </c>
      <c r="AA30" s="11" t="s">
        <v>994</v>
      </c>
      <c r="AB30" s="11" t="s">
        <v>121</v>
      </c>
      <c r="AC30" s="11" t="s">
        <v>994</v>
      </c>
      <c r="AD30" s="11" t="s">
        <v>1111</v>
      </c>
    </row>
    <row r="31">
      <c r="B31" s="12" t="s">
        <v>994</v>
      </c>
      <c r="C31" s="11" t="s">
        <v>1334</v>
      </c>
      <c r="D31" s="11" t="s">
        <v>72</v>
      </c>
      <c r="E31" s="12" t="s">
        <v>429</v>
      </c>
      <c r="F31" s="12" t="s">
        <v>308</v>
      </c>
      <c r="G31" s="12" t="s">
        <v>129</v>
      </c>
      <c r="H31" s="12" t="s">
        <v>126</v>
      </c>
      <c r="I31" s="12" t="s">
        <v>430</v>
      </c>
      <c r="J31" s="12" t="s">
        <v>267</v>
      </c>
      <c r="K31" s="12" t="s">
        <v>998</v>
      </c>
      <c r="L31" s="13" t="s">
        <v>125</v>
      </c>
      <c r="M31" s="11" t="s">
        <v>528</v>
      </c>
      <c r="N31" s="11" t="s">
        <v>432</v>
      </c>
      <c r="O31" s="11" t="s">
        <v>433</v>
      </c>
      <c r="P31" s="11" t="s">
        <v>125</v>
      </c>
      <c r="Q31" s="11" t="s">
        <v>150</v>
      </c>
      <c r="R31" s="11" t="s">
        <v>125</v>
      </c>
      <c r="S31" s="11" t="s">
        <v>125</v>
      </c>
      <c r="T31" s="11" t="s">
        <v>131</v>
      </c>
      <c r="U31" s="11" t="s">
        <v>1388</v>
      </c>
      <c r="V31" s="11" t="s">
        <v>1393</v>
      </c>
      <c r="W31" s="11" t="s">
        <v>994</v>
      </c>
      <c r="X31" s="11" t="s">
        <v>1391</v>
      </c>
      <c r="Y31" s="11" t="s">
        <v>994</v>
      </c>
      <c r="Z31" s="11" t="s">
        <v>994</v>
      </c>
      <c r="AA31" s="11" t="s">
        <v>994</v>
      </c>
      <c r="AB31" s="11" t="s">
        <v>121</v>
      </c>
      <c r="AC31" s="11" t="s">
        <v>994</v>
      </c>
      <c r="AD31" s="11" t="s">
        <v>1124</v>
      </c>
    </row>
    <row r="32">
      <c r="B32" s="12" t="s">
        <v>994</v>
      </c>
      <c r="C32" s="11" t="s">
        <v>1335</v>
      </c>
      <c r="D32" s="11" t="s">
        <v>1133</v>
      </c>
      <c r="E32" s="12" t="s">
        <v>429</v>
      </c>
      <c r="F32" s="12" t="s">
        <v>308</v>
      </c>
      <c r="G32" s="12" t="s">
        <v>246</v>
      </c>
      <c r="H32" s="12" t="s">
        <v>246</v>
      </c>
      <c r="I32" s="12" t="s">
        <v>430</v>
      </c>
      <c r="J32" s="12" t="s">
        <v>267</v>
      </c>
      <c r="K32" s="12" t="s">
        <v>999</v>
      </c>
      <c r="L32" s="13" t="s">
        <v>994</v>
      </c>
      <c r="M32" s="11" t="s">
        <v>1134</v>
      </c>
      <c r="N32" s="11" t="s">
        <v>994</v>
      </c>
      <c r="O32" s="11" t="s">
        <v>994</v>
      </c>
      <c r="P32" s="11" t="s">
        <v>994</v>
      </c>
      <c r="Q32" s="11" t="s">
        <v>994</v>
      </c>
      <c r="R32" s="11" t="s">
        <v>994</v>
      </c>
      <c r="S32" s="11" t="s">
        <v>125</v>
      </c>
      <c r="T32" s="11" t="s">
        <v>131</v>
      </c>
      <c r="U32" s="11" t="s">
        <v>1392</v>
      </c>
      <c r="V32" s="11" t="s">
        <v>1379</v>
      </c>
      <c r="W32" s="11" t="s">
        <v>994</v>
      </c>
      <c r="X32" s="11" t="s">
        <v>1400</v>
      </c>
      <c r="Y32" s="11" t="s">
        <v>994</v>
      </c>
      <c r="Z32" s="11" t="s">
        <v>994</v>
      </c>
      <c r="AA32" s="11" t="s">
        <v>994</v>
      </c>
      <c r="AB32" s="11" t="s">
        <v>994</v>
      </c>
      <c r="AC32" s="11" t="s">
        <v>994</v>
      </c>
      <c r="AD32" s="11" t="s">
        <v>1272</v>
      </c>
    </row>
    <row r="33">
      <c r="B33" s="12" t="s">
        <v>994</v>
      </c>
      <c r="C33" s="11" t="s">
        <v>1336</v>
      </c>
      <c r="D33" s="11" t="s">
        <v>94</v>
      </c>
      <c r="E33" s="12" t="s">
        <v>95</v>
      </c>
      <c r="F33" s="12" t="s">
        <v>291</v>
      </c>
      <c r="G33" s="12" t="s">
        <v>129</v>
      </c>
      <c r="H33" s="12" t="s">
        <v>126</v>
      </c>
      <c r="I33" s="12" t="s">
        <v>430</v>
      </c>
      <c r="J33" s="12" t="s">
        <v>267</v>
      </c>
      <c r="K33" s="12" t="s">
        <v>999</v>
      </c>
      <c r="L33" s="13" t="s">
        <v>994</v>
      </c>
      <c r="M33" s="11" t="s">
        <v>1382</v>
      </c>
      <c r="N33" s="11" t="s">
        <v>529</v>
      </c>
      <c r="O33" s="11" t="s">
        <v>433</v>
      </c>
      <c r="P33" s="11" t="s">
        <v>125</v>
      </c>
      <c r="Q33" s="11" t="s">
        <v>150</v>
      </c>
      <c r="R33" s="11" t="s">
        <v>125</v>
      </c>
      <c r="S33" s="11" t="s">
        <v>125</v>
      </c>
      <c r="T33" s="11" t="s">
        <v>132</v>
      </c>
      <c r="U33" s="11" t="s">
        <v>1388</v>
      </c>
      <c r="V33" s="11" t="s">
        <v>994</v>
      </c>
      <c r="W33" s="11" t="s">
        <v>994</v>
      </c>
      <c r="X33" s="11" t="s">
        <v>994</v>
      </c>
      <c r="Y33" s="11" t="s">
        <v>994</v>
      </c>
      <c r="Z33" s="11" t="s">
        <v>994</v>
      </c>
      <c r="AA33" s="11" t="s">
        <v>994</v>
      </c>
      <c r="AB33" s="11" t="s">
        <v>994</v>
      </c>
      <c r="AC33" s="11" t="s">
        <v>994</v>
      </c>
      <c r="AD33" s="11" t="s">
        <v>1273</v>
      </c>
    </row>
    <row r="34">
      <c r="B34" s="12" t="s">
        <v>994</v>
      </c>
      <c r="C34" s="11" t="s">
        <v>1337</v>
      </c>
      <c r="D34" s="11" t="s">
        <v>197</v>
      </c>
      <c r="E34" s="12" t="s">
        <v>661</v>
      </c>
      <c r="F34" s="12" t="s">
        <v>283</v>
      </c>
      <c r="G34" s="12" t="s">
        <v>275</v>
      </c>
      <c r="H34" s="12" t="s">
        <v>126</v>
      </c>
      <c r="I34" s="12" t="s">
        <v>60</v>
      </c>
      <c r="J34" s="12" t="s">
        <v>267</v>
      </c>
      <c r="K34" s="12" t="s">
        <v>998</v>
      </c>
      <c r="L34" s="13" t="s">
        <v>994</v>
      </c>
      <c r="M34" s="11" t="s">
        <v>666</v>
      </c>
      <c r="N34" s="11" t="s">
        <v>118</v>
      </c>
      <c r="O34" s="11" t="s">
        <v>249</v>
      </c>
      <c r="P34" s="11" t="s">
        <v>125</v>
      </c>
      <c r="Q34" s="11" t="s">
        <v>150</v>
      </c>
      <c r="R34" s="11" t="s">
        <v>125</v>
      </c>
      <c r="S34" s="11" t="s">
        <v>125</v>
      </c>
      <c r="T34" s="11" t="s">
        <v>38</v>
      </c>
      <c r="U34" s="11" t="s">
        <v>1388</v>
      </c>
      <c r="V34" s="11" t="s">
        <v>1393</v>
      </c>
      <c r="W34" s="11" t="s">
        <v>994</v>
      </c>
      <c r="X34" s="11" t="s">
        <v>994</v>
      </c>
      <c r="Y34" s="11" t="s">
        <v>994</v>
      </c>
      <c r="Z34" s="11" t="s">
        <v>994</v>
      </c>
      <c r="AA34" s="11" t="s">
        <v>994</v>
      </c>
      <c r="AB34" s="11" t="s">
        <v>994</v>
      </c>
      <c r="AC34" s="11" t="s">
        <v>994</v>
      </c>
      <c r="AD34" s="11" t="s">
        <v>1125</v>
      </c>
    </row>
    <row r="35">
      <c r="B35" s="12" t="s">
        <v>994</v>
      </c>
      <c r="C35" s="11" t="s">
        <v>1338</v>
      </c>
      <c r="D35" s="11" t="s">
        <v>671</v>
      </c>
      <c r="E35" s="12" t="s">
        <v>661</v>
      </c>
      <c r="F35" s="12" t="s">
        <v>278</v>
      </c>
      <c r="G35" s="12" t="s">
        <v>246</v>
      </c>
      <c r="H35" s="12" t="s">
        <v>246</v>
      </c>
      <c r="I35" s="12" t="s">
        <v>60</v>
      </c>
      <c r="J35" s="12" t="s">
        <v>267</v>
      </c>
      <c r="K35" s="12" t="s">
        <v>999</v>
      </c>
      <c r="L35" s="13" t="s">
        <v>994</v>
      </c>
      <c r="M35" s="11" t="s">
        <v>672</v>
      </c>
      <c r="N35" s="11" t="s">
        <v>118</v>
      </c>
      <c r="O35" s="11" t="s">
        <v>249</v>
      </c>
      <c r="P35" s="11" t="s">
        <v>125</v>
      </c>
      <c r="Q35" s="11" t="s">
        <v>150</v>
      </c>
      <c r="R35" s="11" t="s">
        <v>994</v>
      </c>
      <c r="S35" s="11" t="s">
        <v>126</v>
      </c>
      <c r="T35" s="11" t="s">
        <v>38</v>
      </c>
      <c r="U35" s="11" t="s">
        <v>1393</v>
      </c>
      <c r="V35" s="11" t="s">
        <v>1379</v>
      </c>
      <c r="W35" s="11" t="s">
        <v>994</v>
      </c>
      <c r="X35" s="11" t="s">
        <v>994</v>
      </c>
      <c r="Y35" s="11" t="s">
        <v>994</v>
      </c>
      <c r="Z35" s="11" t="s">
        <v>994</v>
      </c>
      <c r="AA35" s="11" t="s">
        <v>994</v>
      </c>
      <c r="AB35" s="11" t="s">
        <v>994</v>
      </c>
      <c r="AC35" s="11" t="s">
        <v>994</v>
      </c>
      <c r="AD35" s="11" t="s">
        <v>1135</v>
      </c>
    </row>
    <row r="36">
      <c r="B36" s="12" t="s">
        <v>994</v>
      </c>
      <c r="C36" s="11" t="s">
        <v>1339</v>
      </c>
      <c r="D36" s="11" t="s">
        <v>678</v>
      </c>
      <c r="E36" s="12" t="s">
        <v>661</v>
      </c>
      <c r="F36" s="12" t="s">
        <v>311</v>
      </c>
      <c r="G36" s="12" t="s">
        <v>246</v>
      </c>
      <c r="H36" s="12" t="s">
        <v>246</v>
      </c>
      <c r="I36" s="12" t="s">
        <v>60</v>
      </c>
      <c r="J36" s="12" t="s">
        <v>267</v>
      </c>
      <c r="K36" s="12" t="s">
        <v>998</v>
      </c>
      <c r="L36" s="13" t="s">
        <v>994</v>
      </c>
      <c r="M36" s="11" t="s">
        <v>679</v>
      </c>
      <c r="N36" s="11" t="s">
        <v>118</v>
      </c>
      <c r="O36" s="11" t="s">
        <v>249</v>
      </c>
      <c r="P36" s="11" t="s">
        <v>125</v>
      </c>
      <c r="Q36" s="11" t="s">
        <v>150</v>
      </c>
      <c r="R36" s="11" t="s">
        <v>994</v>
      </c>
      <c r="S36" s="11" t="s">
        <v>126</v>
      </c>
      <c r="T36" s="11" t="s">
        <v>38</v>
      </c>
      <c r="U36" s="11" t="s">
        <v>1393</v>
      </c>
      <c r="V36" s="11" t="s">
        <v>1379</v>
      </c>
      <c r="W36" s="11" t="s">
        <v>994</v>
      </c>
      <c r="X36" s="11" t="s">
        <v>994</v>
      </c>
      <c r="Y36" s="11" t="s">
        <v>994</v>
      </c>
      <c r="Z36" s="11" t="s">
        <v>994</v>
      </c>
      <c r="AA36" s="11" t="s">
        <v>994</v>
      </c>
      <c r="AB36" s="11" t="s">
        <v>994</v>
      </c>
      <c r="AC36" s="11" t="s">
        <v>994</v>
      </c>
      <c r="AD36" s="11" t="s">
        <v>1135</v>
      </c>
    </row>
    <row r="37">
      <c r="B37" s="12" t="s">
        <v>994</v>
      </c>
      <c r="C37" s="11" t="s">
        <v>1340</v>
      </c>
      <c r="D37" s="11" t="s">
        <v>680</v>
      </c>
      <c r="E37" s="12" t="s">
        <v>661</v>
      </c>
      <c r="F37" s="12" t="s">
        <v>311</v>
      </c>
      <c r="G37" s="12" t="s">
        <v>246</v>
      </c>
      <c r="H37" s="12" t="s">
        <v>246</v>
      </c>
      <c r="I37" s="12" t="s">
        <v>60</v>
      </c>
      <c r="J37" s="12" t="s">
        <v>267</v>
      </c>
      <c r="K37" s="12" t="s">
        <v>999</v>
      </c>
      <c r="L37" s="13" t="s">
        <v>994</v>
      </c>
      <c r="M37" s="11" t="s">
        <v>681</v>
      </c>
      <c r="N37" s="11" t="s">
        <v>118</v>
      </c>
      <c r="O37" s="11" t="s">
        <v>249</v>
      </c>
      <c r="P37" s="11" t="s">
        <v>125</v>
      </c>
      <c r="Q37" s="11" t="s">
        <v>150</v>
      </c>
      <c r="R37" s="11" t="s">
        <v>994</v>
      </c>
      <c r="S37" s="11" t="s">
        <v>125</v>
      </c>
      <c r="T37" s="11" t="s">
        <v>38</v>
      </c>
      <c r="U37" s="11" t="s">
        <v>1393</v>
      </c>
      <c r="V37" s="11" t="s">
        <v>994</v>
      </c>
      <c r="W37" s="11" t="s">
        <v>994</v>
      </c>
      <c r="X37" s="11" t="s">
        <v>994</v>
      </c>
      <c r="Y37" s="11" t="s">
        <v>994</v>
      </c>
      <c r="Z37" s="11" t="s">
        <v>994</v>
      </c>
      <c r="AA37" s="11" t="s">
        <v>994</v>
      </c>
      <c r="AB37" s="11" t="s">
        <v>994</v>
      </c>
      <c r="AC37" s="11" t="s">
        <v>994</v>
      </c>
      <c r="AD37" s="11" t="s">
        <v>1136</v>
      </c>
    </row>
    <row r="38">
      <c r="B38" s="12" t="s">
        <v>994</v>
      </c>
      <c r="C38" s="11" t="s">
        <v>1341</v>
      </c>
      <c r="D38" s="11" t="s">
        <v>1137</v>
      </c>
      <c r="E38" s="12" t="s">
        <v>661</v>
      </c>
      <c r="F38" s="12" t="s">
        <v>283</v>
      </c>
      <c r="G38" s="12" t="s">
        <v>246</v>
      </c>
      <c r="H38" s="12" t="s">
        <v>246</v>
      </c>
      <c r="I38" s="12" t="s">
        <v>60</v>
      </c>
      <c r="J38" s="12" t="s">
        <v>267</v>
      </c>
      <c r="K38" s="12" t="s">
        <v>994</v>
      </c>
      <c r="L38" s="13" t="s">
        <v>994</v>
      </c>
      <c r="M38" s="11" t="s">
        <v>994</v>
      </c>
      <c r="N38" s="11" t="s">
        <v>1138</v>
      </c>
      <c r="O38" s="11" t="s">
        <v>994</v>
      </c>
      <c r="P38" s="11" t="s">
        <v>994</v>
      </c>
      <c r="Q38" s="11" t="s">
        <v>994</v>
      </c>
      <c r="R38" s="11" t="s">
        <v>994</v>
      </c>
      <c r="S38" s="11" t="s">
        <v>125</v>
      </c>
      <c r="T38" s="11" t="s">
        <v>29</v>
      </c>
      <c r="U38" s="11" t="s">
        <v>1393</v>
      </c>
      <c r="V38" s="11" t="s">
        <v>1379</v>
      </c>
      <c r="W38" s="11" t="s">
        <v>994</v>
      </c>
      <c r="X38" s="11" t="s">
        <v>994</v>
      </c>
      <c r="Y38" s="11" t="s">
        <v>994</v>
      </c>
      <c r="Z38" s="11" t="s">
        <v>994</v>
      </c>
      <c r="AA38" s="11" t="s">
        <v>994</v>
      </c>
      <c r="AB38" s="11" t="s">
        <v>994</v>
      </c>
      <c r="AC38" s="11" t="s">
        <v>994</v>
      </c>
      <c r="AD38" s="11" t="s">
        <v>1139</v>
      </c>
    </row>
    <row r="39">
      <c r="B39" s="12" t="s">
        <v>994</v>
      </c>
      <c r="C39" s="11" t="s">
        <v>1342</v>
      </c>
      <c r="D39" s="11" t="s">
        <v>704</v>
      </c>
      <c r="E39" s="12" t="s">
        <v>661</v>
      </c>
      <c r="F39" s="12" t="s">
        <v>286</v>
      </c>
      <c r="G39" s="12" t="s">
        <v>246</v>
      </c>
      <c r="H39" s="12" t="s">
        <v>246</v>
      </c>
      <c r="I39" s="12" t="s">
        <v>60</v>
      </c>
      <c r="J39" s="12" t="s">
        <v>267</v>
      </c>
      <c r="K39" s="12" t="s">
        <v>998</v>
      </c>
      <c r="L39" s="13" t="s">
        <v>994</v>
      </c>
      <c r="M39" s="11" t="s">
        <v>705</v>
      </c>
      <c r="N39" s="11" t="s">
        <v>118</v>
      </c>
      <c r="O39" s="11" t="s">
        <v>249</v>
      </c>
      <c r="P39" s="11" t="s">
        <v>125</v>
      </c>
      <c r="Q39" s="11" t="s">
        <v>150</v>
      </c>
      <c r="R39" s="11" t="s">
        <v>125</v>
      </c>
      <c r="S39" s="11" t="s">
        <v>125</v>
      </c>
      <c r="T39" s="11" t="s">
        <v>38</v>
      </c>
      <c r="U39" s="11" t="s">
        <v>1388</v>
      </c>
      <c r="V39" s="11" t="s">
        <v>1393</v>
      </c>
      <c r="W39" s="11" t="s">
        <v>994</v>
      </c>
      <c r="X39" s="11" t="s">
        <v>994</v>
      </c>
      <c r="Y39" s="11" t="s">
        <v>994</v>
      </c>
      <c r="Z39" s="11" t="s">
        <v>994</v>
      </c>
      <c r="AA39" s="11" t="s">
        <v>994</v>
      </c>
      <c r="AB39" s="11" t="s">
        <v>994</v>
      </c>
      <c r="AC39" s="11" t="s">
        <v>994</v>
      </c>
      <c r="AD39" s="11" t="s">
        <v>1125</v>
      </c>
    </row>
    <row r="40">
      <c r="B40" s="12" t="s">
        <v>994</v>
      </c>
      <c r="C40" s="11" t="s">
        <v>1343</v>
      </c>
      <c r="D40" s="11" t="s">
        <v>224</v>
      </c>
      <c r="E40" s="12" t="s">
        <v>221</v>
      </c>
      <c r="F40" s="12" t="s">
        <v>286</v>
      </c>
      <c r="G40" s="12" t="s">
        <v>275</v>
      </c>
      <c r="H40" s="12" t="s">
        <v>126</v>
      </c>
      <c r="I40" s="12" t="s">
        <v>60</v>
      </c>
      <c r="J40" s="12" t="s">
        <v>267</v>
      </c>
      <c r="K40" s="12" t="s">
        <v>999</v>
      </c>
      <c r="L40" s="13" t="s">
        <v>125</v>
      </c>
      <c r="M40" s="11" t="s">
        <v>1242</v>
      </c>
      <c r="N40" s="11" t="s">
        <v>118</v>
      </c>
      <c r="O40" s="11" t="s">
        <v>310</v>
      </c>
      <c r="P40" s="11" t="s">
        <v>125</v>
      </c>
      <c r="Q40" s="11" t="s">
        <v>150</v>
      </c>
      <c r="R40" s="11" t="s">
        <v>125</v>
      </c>
      <c r="S40" s="11" t="s">
        <v>125</v>
      </c>
      <c r="T40" s="11" t="s">
        <v>131</v>
      </c>
      <c r="U40" s="11" t="s">
        <v>1388</v>
      </c>
      <c r="V40" s="11" t="s">
        <v>1393</v>
      </c>
      <c r="W40" s="11" t="s">
        <v>994</v>
      </c>
      <c r="X40" s="11" t="s">
        <v>1400</v>
      </c>
      <c r="Y40" s="11" t="s">
        <v>994</v>
      </c>
      <c r="Z40" s="11" t="s">
        <v>994</v>
      </c>
      <c r="AA40" s="11" t="s">
        <v>994</v>
      </c>
      <c r="AB40" s="11" t="s">
        <v>121</v>
      </c>
      <c r="AC40" s="11" t="s">
        <v>994</v>
      </c>
      <c r="AD40" s="11" t="s">
        <v>1274</v>
      </c>
    </row>
    <row r="41">
      <c r="B41" s="12" t="s">
        <v>994</v>
      </c>
      <c r="C41" s="11" t="s">
        <v>1344</v>
      </c>
      <c r="D41" s="11" t="s">
        <v>1265</v>
      </c>
      <c r="E41" s="12" t="s">
        <v>221</v>
      </c>
      <c r="F41" s="12" t="s">
        <v>314</v>
      </c>
      <c r="G41" s="12" t="s">
        <v>994</v>
      </c>
      <c r="H41" s="12" t="s">
        <v>994</v>
      </c>
      <c r="I41" s="12" t="s">
        <v>60</v>
      </c>
      <c r="J41" s="12" t="s">
        <v>994</v>
      </c>
      <c r="K41" s="12" t="s">
        <v>999</v>
      </c>
      <c r="L41" s="13" t="s">
        <v>125</v>
      </c>
      <c r="M41" s="11" t="s">
        <v>1268</v>
      </c>
      <c r="N41" s="11" t="s">
        <v>994</v>
      </c>
      <c r="O41" s="11" t="s">
        <v>994</v>
      </c>
      <c r="P41" s="11" t="s">
        <v>994</v>
      </c>
      <c r="Q41" s="11" t="s">
        <v>994</v>
      </c>
      <c r="R41" s="11" t="s">
        <v>994</v>
      </c>
      <c r="S41" s="11" t="s">
        <v>125</v>
      </c>
      <c r="T41" s="11" t="s">
        <v>131</v>
      </c>
      <c r="U41" s="11" t="s">
        <v>994</v>
      </c>
      <c r="V41" s="11" t="s">
        <v>994</v>
      </c>
      <c r="W41" s="11" t="s">
        <v>994</v>
      </c>
      <c r="X41" s="11" t="s">
        <v>1400</v>
      </c>
      <c r="Y41" s="11" t="s">
        <v>994</v>
      </c>
      <c r="Z41" s="11" t="s">
        <v>994</v>
      </c>
      <c r="AA41" s="11" t="s">
        <v>994</v>
      </c>
      <c r="AB41" s="11" t="s">
        <v>121</v>
      </c>
      <c r="AC41" s="11" t="s">
        <v>994</v>
      </c>
      <c r="AD41" s="11" t="s">
        <v>1275</v>
      </c>
    </row>
    <row r="42">
      <c r="B42" s="12" t="s">
        <v>994</v>
      </c>
      <c r="C42" s="11" t="s">
        <v>1345</v>
      </c>
      <c r="D42" s="11" t="s">
        <v>745</v>
      </c>
      <c r="E42" s="12" t="s">
        <v>737</v>
      </c>
      <c r="F42" s="12" t="s">
        <v>435</v>
      </c>
      <c r="G42" s="12" t="s">
        <v>246</v>
      </c>
      <c r="H42" s="12" t="s">
        <v>246</v>
      </c>
      <c r="I42" s="12" t="s">
        <v>60</v>
      </c>
      <c r="J42" s="12" t="s">
        <v>267</v>
      </c>
      <c r="K42" s="12" t="s">
        <v>998</v>
      </c>
      <c r="L42" s="13" t="s">
        <v>994</v>
      </c>
      <c r="M42" s="11" t="s">
        <v>746</v>
      </c>
      <c r="N42" s="11" t="s">
        <v>118</v>
      </c>
      <c r="O42" s="11" t="s">
        <v>323</v>
      </c>
      <c r="P42" s="11" t="s">
        <v>126</v>
      </c>
      <c r="Q42" s="11" t="s">
        <v>143</v>
      </c>
      <c r="R42" s="11" t="s">
        <v>125</v>
      </c>
      <c r="S42" s="11" t="s">
        <v>125</v>
      </c>
      <c r="T42" s="11" t="s">
        <v>29</v>
      </c>
      <c r="U42" s="11" t="s">
        <v>1389</v>
      </c>
      <c r="V42" s="11" t="s">
        <v>1393</v>
      </c>
      <c r="W42" s="11" t="s">
        <v>1379</v>
      </c>
      <c r="X42" s="11" t="s">
        <v>1391</v>
      </c>
      <c r="Y42" s="11" t="s">
        <v>994</v>
      </c>
      <c r="Z42" s="11" t="s">
        <v>994</v>
      </c>
      <c r="AA42" s="11" t="s">
        <v>994</v>
      </c>
      <c r="AB42" s="11" t="s">
        <v>994</v>
      </c>
      <c r="AC42" s="11" t="s">
        <v>994</v>
      </c>
      <c r="AD42" s="11" t="s">
        <v>1216</v>
      </c>
    </row>
    <row r="43">
      <c r="B43" s="12" t="s">
        <v>994</v>
      </c>
      <c r="C43" s="11" t="s">
        <v>1346</v>
      </c>
      <c r="D43" s="11" t="s">
        <v>760</v>
      </c>
      <c r="E43" s="12" t="s">
        <v>761</v>
      </c>
      <c r="F43" s="12" t="s">
        <v>278</v>
      </c>
      <c r="G43" s="12" t="s">
        <v>246</v>
      </c>
      <c r="H43" s="12" t="s">
        <v>246</v>
      </c>
      <c r="I43" s="12" t="s">
        <v>60</v>
      </c>
      <c r="J43" s="12" t="s">
        <v>267</v>
      </c>
      <c r="K43" s="12" t="s">
        <v>999</v>
      </c>
      <c r="L43" s="13" t="s">
        <v>125</v>
      </c>
      <c r="M43" s="11" t="s">
        <v>1219</v>
      </c>
      <c r="N43" s="11" t="s">
        <v>1220</v>
      </c>
      <c r="O43" s="11" t="s">
        <v>323</v>
      </c>
      <c r="P43" s="11" t="s">
        <v>126</v>
      </c>
      <c r="Q43" s="11" t="s">
        <v>143</v>
      </c>
      <c r="R43" s="11" t="s">
        <v>125</v>
      </c>
      <c r="S43" s="11" t="s">
        <v>125</v>
      </c>
      <c r="T43" s="11" t="s">
        <v>131</v>
      </c>
      <c r="U43" s="11" t="s">
        <v>1389</v>
      </c>
      <c r="V43" s="11" t="s">
        <v>1393</v>
      </c>
      <c r="W43" s="11" t="s">
        <v>994</v>
      </c>
      <c r="X43" s="11" t="s">
        <v>1400</v>
      </c>
      <c r="Y43" s="11" t="s">
        <v>994</v>
      </c>
      <c r="Z43" s="11" t="s">
        <v>994</v>
      </c>
      <c r="AA43" s="11" t="s">
        <v>994</v>
      </c>
      <c r="AB43" s="11" t="s">
        <v>121</v>
      </c>
      <c r="AC43" s="11" t="s">
        <v>994</v>
      </c>
      <c r="AD43" s="11" t="s">
        <v>1238</v>
      </c>
    </row>
    <row r="44">
      <c r="B44" s="12" t="s">
        <v>994</v>
      </c>
      <c r="C44" s="11" t="s">
        <v>1347</v>
      </c>
      <c r="D44" s="11" t="s">
        <v>778</v>
      </c>
      <c r="E44" s="12" t="s">
        <v>775</v>
      </c>
      <c r="F44" s="12" t="s">
        <v>308</v>
      </c>
      <c r="G44" s="12" t="s">
        <v>246</v>
      </c>
      <c r="H44" s="12" t="s">
        <v>246</v>
      </c>
      <c r="I44" s="12" t="s">
        <v>60</v>
      </c>
      <c r="J44" s="12" t="s">
        <v>267</v>
      </c>
      <c r="K44" s="12" t="s">
        <v>998</v>
      </c>
      <c r="L44" s="13" t="s">
        <v>125</v>
      </c>
      <c r="M44" s="11" t="s">
        <v>1383</v>
      </c>
      <c r="N44" s="11" t="s">
        <v>118</v>
      </c>
      <c r="O44" s="11" t="s">
        <v>777</v>
      </c>
      <c r="P44" s="11" t="s">
        <v>126</v>
      </c>
      <c r="Q44" s="11" t="s">
        <v>143</v>
      </c>
      <c r="R44" s="11" t="s">
        <v>125</v>
      </c>
      <c r="S44" s="11" t="s">
        <v>125</v>
      </c>
      <c r="T44" s="11" t="s">
        <v>131</v>
      </c>
      <c r="U44" s="11" t="s">
        <v>1389</v>
      </c>
      <c r="V44" s="11" t="s">
        <v>994</v>
      </c>
      <c r="W44" s="11" t="s">
        <v>994</v>
      </c>
      <c r="X44" s="11" t="s">
        <v>1391</v>
      </c>
      <c r="Y44" s="11" t="s">
        <v>994</v>
      </c>
      <c r="Z44" s="11" t="s">
        <v>994</v>
      </c>
      <c r="AA44" s="11" t="s">
        <v>994</v>
      </c>
      <c r="AB44" s="11" t="s">
        <v>121</v>
      </c>
      <c r="AC44" s="11" t="s">
        <v>994</v>
      </c>
      <c r="AD44" s="11" t="s">
        <v>1124</v>
      </c>
    </row>
    <row r="45">
      <c r="B45" s="12" t="s">
        <v>994</v>
      </c>
      <c r="C45" s="11" t="s">
        <v>1348</v>
      </c>
      <c r="D45" s="11" t="s">
        <v>210</v>
      </c>
      <c r="E45" s="12" t="s">
        <v>775</v>
      </c>
      <c r="F45" s="12" t="s">
        <v>286</v>
      </c>
      <c r="G45" s="12" t="s">
        <v>275</v>
      </c>
      <c r="H45" s="12" t="s">
        <v>126</v>
      </c>
      <c r="I45" s="12" t="s">
        <v>60</v>
      </c>
      <c r="J45" s="12" t="s">
        <v>267</v>
      </c>
      <c r="K45" s="12" t="s">
        <v>999</v>
      </c>
      <c r="L45" s="13" t="s">
        <v>994</v>
      </c>
      <c r="M45" s="11" t="s">
        <v>1384</v>
      </c>
      <c r="N45" s="11" t="s">
        <v>118</v>
      </c>
      <c r="O45" s="11" t="s">
        <v>777</v>
      </c>
      <c r="P45" s="11" t="s">
        <v>126</v>
      </c>
      <c r="Q45" s="11" t="s">
        <v>143</v>
      </c>
      <c r="R45" s="11" t="s">
        <v>125</v>
      </c>
      <c r="S45" s="11" t="s">
        <v>125</v>
      </c>
      <c r="T45" s="11" t="s">
        <v>38</v>
      </c>
      <c r="U45" s="11" t="s">
        <v>1389</v>
      </c>
      <c r="V45" s="11" t="s">
        <v>1393</v>
      </c>
      <c r="W45" s="11" t="s">
        <v>1379</v>
      </c>
      <c r="X45" s="11" t="s">
        <v>994</v>
      </c>
      <c r="Y45" s="11" t="s">
        <v>994</v>
      </c>
      <c r="Z45" s="11" t="s">
        <v>994</v>
      </c>
      <c r="AA45" s="11" t="s">
        <v>994</v>
      </c>
      <c r="AB45" s="11" t="s">
        <v>994</v>
      </c>
      <c r="AC45" s="11" t="s">
        <v>994</v>
      </c>
      <c r="AD45" s="11" t="s">
        <v>1140</v>
      </c>
    </row>
    <row r="46">
      <c r="B46" s="12" t="s">
        <v>994</v>
      </c>
      <c r="C46" s="11" t="s">
        <v>1349</v>
      </c>
      <c r="D46" s="11" t="s">
        <v>207</v>
      </c>
      <c r="E46" s="12" t="s">
        <v>775</v>
      </c>
      <c r="F46" s="12" t="s">
        <v>295</v>
      </c>
      <c r="G46" s="12" t="s">
        <v>275</v>
      </c>
      <c r="H46" s="12" t="s">
        <v>126</v>
      </c>
      <c r="I46" s="12" t="s">
        <v>60</v>
      </c>
      <c r="J46" s="12" t="s">
        <v>267</v>
      </c>
      <c r="K46" s="12" t="s">
        <v>998</v>
      </c>
      <c r="L46" s="13" t="s">
        <v>125</v>
      </c>
      <c r="M46" s="11" t="s">
        <v>1141</v>
      </c>
      <c r="N46" s="11" t="s">
        <v>118</v>
      </c>
      <c r="O46" s="11" t="s">
        <v>777</v>
      </c>
      <c r="P46" s="11" t="s">
        <v>126</v>
      </c>
      <c r="Q46" s="11" t="s">
        <v>143</v>
      </c>
      <c r="R46" s="11" t="s">
        <v>125</v>
      </c>
      <c r="S46" s="11" t="s">
        <v>125</v>
      </c>
      <c r="T46" s="11" t="s">
        <v>131</v>
      </c>
      <c r="U46" s="11" t="s">
        <v>1393</v>
      </c>
      <c r="V46" s="11" t="s">
        <v>994</v>
      </c>
      <c r="W46" s="11" t="s">
        <v>994</v>
      </c>
      <c r="X46" s="11" t="s">
        <v>1391</v>
      </c>
      <c r="Y46" s="11" t="s">
        <v>994</v>
      </c>
      <c r="Z46" s="11" t="s">
        <v>994</v>
      </c>
      <c r="AA46" s="11" t="s">
        <v>994</v>
      </c>
      <c r="AB46" s="11" t="s">
        <v>121</v>
      </c>
      <c r="AC46" s="11" t="s">
        <v>994</v>
      </c>
      <c r="AD46" s="11" t="s">
        <v>1124</v>
      </c>
    </row>
    <row r="47">
      <c r="B47" s="12" t="s">
        <v>994</v>
      </c>
      <c r="C47" s="11" t="s">
        <v>1350</v>
      </c>
      <c r="D47" s="11" t="s">
        <v>1221</v>
      </c>
      <c r="E47" s="12" t="s">
        <v>69</v>
      </c>
      <c r="F47" s="12" t="s">
        <v>49</v>
      </c>
      <c r="G47" s="12" t="s">
        <v>129</v>
      </c>
      <c r="H47" s="12" t="s">
        <v>126</v>
      </c>
      <c r="I47" s="12" t="s">
        <v>60</v>
      </c>
      <c r="J47" s="12" t="s">
        <v>267</v>
      </c>
      <c r="K47" s="12" t="s">
        <v>999</v>
      </c>
      <c r="L47" s="13" t="s">
        <v>125</v>
      </c>
      <c r="M47" s="11" t="s">
        <v>1222</v>
      </c>
      <c r="N47" s="11" t="s">
        <v>818</v>
      </c>
      <c r="O47" s="11" t="s">
        <v>600</v>
      </c>
      <c r="P47" s="11" t="s">
        <v>125</v>
      </c>
      <c r="Q47" s="11" t="s">
        <v>150</v>
      </c>
      <c r="R47" s="11" t="s">
        <v>125</v>
      </c>
      <c r="S47" s="11" t="s">
        <v>125</v>
      </c>
      <c r="T47" s="11" t="s">
        <v>131</v>
      </c>
      <c r="U47" s="11" t="s">
        <v>1388</v>
      </c>
      <c r="V47" s="11" t="s">
        <v>1397</v>
      </c>
      <c r="W47" s="11" t="s">
        <v>994</v>
      </c>
      <c r="X47" s="11" t="s">
        <v>1400</v>
      </c>
      <c r="Y47" s="11" t="s">
        <v>994</v>
      </c>
      <c r="Z47" s="11" t="s">
        <v>994</v>
      </c>
      <c r="AA47" s="11" t="s">
        <v>994</v>
      </c>
      <c r="AB47" s="11" t="s">
        <v>121</v>
      </c>
      <c r="AC47" s="11" t="s">
        <v>994</v>
      </c>
      <c r="AD47" s="11" t="s">
        <v>1238</v>
      </c>
    </row>
    <row r="48">
      <c r="B48" s="12" t="s">
        <v>994</v>
      </c>
      <c r="C48" s="11" t="s">
        <v>1351</v>
      </c>
      <c r="D48" s="11" t="s">
        <v>169</v>
      </c>
      <c r="E48" s="12" t="s">
        <v>77</v>
      </c>
      <c r="F48" s="12" t="s">
        <v>49</v>
      </c>
      <c r="G48" s="12" t="s">
        <v>129</v>
      </c>
      <c r="H48" s="12" t="s">
        <v>126</v>
      </c>
      <c r="I48" s="12" t="s">
        <v>60</v>
      </c>
      <c r="J48" s="12" t="s">
        <v>267</v>
      </c>
      <c r="K48" s="12" t="s">
        <v>998</v>
      </c>
      <c r="L48" s="13" t="s">
        <v>994</v>
      </c>
      <c r="M48" s="11" t="s">
        <v>1243</v>
      </c>
      <c r="N48" s="11" t="s">
        <v>895</v>
      </c>
      <c r="O48" s="11" t="s">
        <v>600</v>
      </c>
      <c r="P48" s="11" t="s">
        <v>125</v>
      </c>
      <c r="Q48" s="11" t="s">
        <v>150</v>
      </c>
      <c r="R48" s="11" t="s">
        <v>125</v>
      </c>
      <c r="S48" s="11" t="s">
        <v>125</v>
      </c>
      <c r="T48" s="11" t="s">
        <v>29</v>
      </c>
      <c r="U48" s="11" t="s">
        <v>1394</v>
      </c>
      <c r="V48" s="11" t="s">
        <v>1393</v>
      </c>
      <c r="W48" s="11" t="s">
        <v>1398</v>
      </c>
      <c r="X48" s="11" t="s">
        <v>1391</v>
      </c>
      <c r="Y48" s="11" t="s">
        <v>994</v>
      </c>
      <c r="Z48" s="11" t="s">
        <v>994</v>
      </c>
      <c r="AA48" s="11" t="s">
        <v>994</v>
      </c>
      <c r="AB48" s="11" t="s">
        <v>994</v>
      </c>
      <c r="AC48" s="11" t="s">
        <v>994</v>
      </c>
      <c r="AD48" s="11" t="s">
        <v>1216</v>
      </c>
    </row>
    <row r="49">
      <c r="B49" s="12" t="s">
        <v>994</v>
      </c>
      <c r="C49" s="11" t="s">
        <v>1352</v>
      </c>
      <c r="D49" s="11" t="s">
        <v>1142</v>
      </c>
      <c r="E49" s="12" t="s">
        <v>47</v>
      </c>
      <c r="F49" s="12" t="s">
        <v>49</v>
      </c>
      <c r="G49" s="12" t="s">
        <v>246</v>
      </c>
      <c r="H49" s="12" t="s">
        <v>126</v>
      </c>
      <c r="I49" s="12" t="s">
        <v>37</v>
      </c>
      <c r="J49" s="12" t="s">
        <v>267</v>
      </c>
      <c r="K49" s="12" t="s">
        <v>998</v>
      </c>
      <c r="L49" s="13" t="s">
        <v>994</v>
      </c>
      <c r="M49" s="11" t="s">
        <v>1143</v>
      </c>
      <c r="N49" s="11" t="s">
        <v>994</v>
      </c>
      <c r="O49" s="11" t="s">
        <v>323</v>
      </c>
      <c r="P49" s="11" t="s">
        <v>126</v>
      </c>
      <c r="Q49" s="11" t="s">
        <v>150</v>
      </c>
      <c r="R49" s="11" t="s">
        <v>994</v>
      </c>
      <c r="S49" s="11" t="s">
        <v>125</v>
      </c>
      <c r="T49" s="11" t="s">
        <v>29</v>
      </c>
      <c r="U49" s="11" t="s">
        <v>1378</v>
      </c>
      <c r="V49" s="11" t="s">
        <v>1398</v>
      </c>
      <c r="W49" s="11" t="s">
        <v>994</v>
      </c>
      <c r="X49" s="11" t="s">
        <v>1391</v>
      </c>
      <c r="Y49" s="11" t="s">
        <v>994</v>
      </c>
      <c r="Z49" s="11" t="s">
        <v>994</v>
      </c>
      <c r="AA49" s="11" t="s">
        <v>994</v>
      </c>
      <c r="AB49" s="11" t="s">
        <v>994</v>
      </c>
      <c r="AC49" s="11" t="s">
        <v>994</v>
      </c>
      <c r="AD49" s="11" t="s">
        <v>1216</v>
      </c>
    </row>
    <row r="50">
      <c r="B50" s="12" t="s">
        <v>994</v>
      </c>
      <c r="C50" s="11" t="s">
        <v>1353</v>
      </c>
      <c r="D50" s="11" t="s">
        <v>1145</v>
      </c>
      <c r="E50" s="12" t="s">
        <v>1146</v>
      </c>
      <c r="F50" s="12" t="s">
        <v>291</v>
      </c>
      <c r="G50" s="12" t="s">
        <v>246</v>
      </c>
      <c r="H50" s="12" t="s">
        <v>126</v>
      </c>
      <c r="I50" s="12" t="s">
        <v>60</v>
      </c>
      <c r="J50" s="12" t="s">
        <v>267</v>
      </c>
      <c r="K50" s="12" t="s">
        <v>998</v>
      </c>
      <c r="L50" s="13" t="s">
        <v>125</v>
      </c>
      <c r="M50" s="11" t="s">
        <v>45</v>
      </c>
      <c r="N50" s="11" t="s">
        <v>1147</v>
      </c>
      <c r="O50" s="11" t="s">
        <v>323</v>
      </c>
      <c r="P50" s="11" t="s">
        <v>126</v>
      </c>
      <c r="Q50" s="11" t="s">
        <v>150</v>
      </c>
      <c r="R50" s="11" t="s">
        <v>125</v>
      </c>
      <c r="S50" s="11" t="s">
        <v>125</v>
      </c>
      <c r="T50" s="11" t="s">
        <v>131</v>
      </c>
      <c r="U50" s="11" t="s">
        <v>1395</v>
      </c>
      <c r="V50" s="11" t="s">
        <v>994</v>
      </c>
      <c r="W50" s="11" t="s">
        <v>994</v>
      </c>
      <c r="X50" s="11" t="s">
        <v>1391</v>
      </c>
      <c r="Y50" s="11" t="s">
        <v>994</v>
      </c>
      <c r="Z50" s="11" t="s">
        <v>994</v>
      </c>
      <c r="AA50" s="11" t="s">
        <v>994</v>
      </c>
      <c r="AB50" s="11" t="s">
        <v>121</v>
      </c>
      <c r="AC50" s="11" t="s">
        <v>994</v>
      </c>
      <c r="AD50" s="11" t="s">
        <v>1144</v>
      </c>
    </row>
    <row r="51">
      <c r="B51" s="12" t="s">
        <v>994</v>
      </c>
      <c r="C51" s="11" t="s">
        <v>1354</v>
      </c>
      <c r="D51" s="11" t="s">
        <v>1148</v>
      </c>
      <c r="E51" s="12" t="s">
        <v>1149</v>
      </c>
      <c r="F51" s="12" t="s">
        <v>49</v>
      </c>
      <c r="G51" s="12" t="s">
        <v>246</v>
      </c>
      <c r="H51" s="12" t="s">
        <v>126</v>
      </c>
      <c r="I51" s="12" t="s">
        <v>37</v>
      </c>
      <c r="J51" s="12" t="s">
        <v>267</v>
      </c>
      <c r="K51" s="12" t="s">
        <v>999</v>
      </c>
      <c r="L51" s="13" t="s">
        <v>125</v>
      </c>
      <c r="M51" s="11" t="s">
        <v>1385</v>
      </c>
      <c r="N51" s="11" t="s">
        <v>994</v>
      </c>
      <c r="O51" s="11" t="s">
        <v>323</v>
      </c>
      <c r="P51" s="11" t="s">
        <v>126</v>
      </c>
      <c r="Q51" s="11" t="s">
        <v>150</v>
      </c>
      <c r="R51" s="11" t="s">
        <v>994</v>
      </c>
      <c r="S51" s="11" t="s">
        <v>125</v>
      </c>
      <c r="T51" s="11" t="s">
        <v>131</v>
      </c>
      <c r="U51" s="11" t="s">
        <v>994</v>
      </c>
      <c r="V51" s="11" t="s">
        <v>994</v>
      </c>
      <c r="W51" s="11" t="s">
        <v>994</v>
      </c>
      <c r="X51" s="11" t="s">
        <v>1400</v>
      </c>
      <c r="Y51" s="11" t="s">
        <v>994</v>
      </c>
      <c r="Z51" s="11" t="s">
        <v>994</v>
      </c>
      <c r="AA51" s="11" t="s">
        <v>994</v>
      </c>
      <c r="AB51" s="11" t="s">
        <v>121</v>
      </c>
      <c r="AC51" s="11" t="s">
        <v>994</v>
      </c>
      <c r="AD51" s="11" t="s">
        <v>1237</v>
      </c>
    </row>
    <row r="52">
      <c r="B52" s="12" t="s">
        <v>994</v>
      </c>
      <c r="C52" s="11" t="s">
        <v>1355</v>
      </c>
      <c r="D52" s="11" t="s">
        <v>1151</v>
      </c>
      <c r="E52" s="12" t="s">
        <v>1152</v>
      </c>
      <c r="F52" s="12" t="s">
        <v>49</v>
      </c>
      <c r="G52" s="12" t="s">
        <v>246</v>
      </c>
      <c r="H52" s="12" t="s">
        <v>126</v>
      </c>
      <c r="I52" s="12" t="s">
        <v>37</v>
      </c>
      <c r="J52" s="12" t="s">
        <v>267</v>
      </c>
      <c r="K52" s="12" t="s">
        <v>999</v>
      </c>
      <c r="L52" s="13" t="s">
        <v>125</v>
      </c>
      <c r="M52" s="11" t="s">
        <v>1153</v>
      </c>
      <c r="N52" s="11" t="s">
        <v>994</v>
      </c>
      <c r="O52" s="11" t="s">
        <v>323</v>
      </c>
      <c r="P52" s="11" t="s">
        <v>126</v>
      </c>
      <c r="Q52" s="11" t="s">
        <v>150</v>
      </c>
      <c r="R52" s="11" t="s">
        <v>994</v>
      </c>
      <c r="S52" s="11" t="s">
        <v>125</v>
      </c>
      <c r="T52" s="11" t="s">
        <v>131</v>
      </c>
      <c r="U52" s="11" t="s">
        <v>1379</v>
      </c>
      <c r="V52" s="11" t="s">
        <v>1398</v>
      </c>
      <c r="W52" s="11" t="s">
        <v>994</v>
      </c>
      <c r="X52" s="11" t="s">
        <v>1400</v>
      </c>
      <c r="Y52" s="11" t="s">
        <v>994</v>
      </c>
      <c r="Z52" s="11" t="s">
        <v>994</v>
      </c>
      <c r="AA52" s="11" t="s">
        <v>994</v>
      </c>
      <c r="AB52" s="11" t="s">
        <v>121</v>
      </c>
      <c r="AC52" s="11" t="s">
        <v>994</v>
      </c>
      <c r="AD52" s="11" t="s">
        <v>1276</v>
      </c>
    </row>
    <row r="53">
      <c r="B53" s="12" t="s">
        <v>994</v>
      </c>
      <c r="C53" s="11" t="s">
        <v>1356</v>
      </c>
      <c r="D53" s="11" t="s">
        <v>750</v>
      </c>
      <c r="E53" s="12" t="s">
        <v>751</v>
      </c>
      <c r="F53" s="12" t="s">
        <v>295</v>
      </c>
      <c r="G53" s="12" t="s">
        <v>246</v>
      </c>
      <c r="H53" s="12" t="s">
        <v>126</v>
      </c>
      <c r="I53" s="12" t="s">
        <v>60</v>
      </c>
      <c r="J53" s="12" t="s">
        <v>267</v>
      </c>
      <c r="K53" s="12" t="s">
        <v>999</v>
      </c>
      <c r="L53" s="13" t="s">
        <v>994</v>
      </c>
      <c r="M53" s="11" t="s">
        <v>1193</v>
      </c>
      <c r="N53" s="11" t="s">
        <v>1194</v>
      </c>
      <c r="O53" s="11" t="s">
        <v>323</v>
      </c>
      <c r="P53" s="11" t="s">
        <v>126</v>
      </c>
      <c r="Q53" s="11" t="s">
        <v>150</v>
      </c>
      <c r="R53" s="11" t="s">
        <v>125</v>
      </c>
      <c r="S53" s="11" t="s">
        <v>125</v>
      </c>
      <c r="T53" s="11" t="s">
        <v>994</v>
      </c>
      <c r="U53" s="11" t="s">
        <v>1396</v>
      </c>
      <c r="V53" s="11" t="s">
        <v>994</v>
      </c>
      <c r="W53" s="11" t="s">
        <v>994</v>
      </c>
      <c r="X53" s="11" t="s">
        <v>994</v>
      </c>
      <c r="Y53" s="11" t="s">
        <v>994</v>
      </c>
      <c r="Z53" s="11" t="s">
        <v>994</v>
      </c>
      <c r="AA53" s="11" t="s">
        <v>994</v>
      </c>
      <c r="AB53" s="11" t="s">
        <v>994</v>
      </c>
      <c r="AC53" s="11" t="s">
        <v>994</v>
      </c>
      <c r="AD53" s="11" t="s">
        <v>994</v>
      </c>
    </row>
    <row r="54">
      <c r="B54" s="12" t="s">
        <v>994</v>
      </c>
      <c r="C54" s="11" t="s">
        <v>1357</v>
      </c>
      <c r="D54" s="11" t="s">
        <v>300</v>
      </c>
      <c r="E54" s="12" t="s">
        <v>301</v>
      </c>
      <c r="F54" s="12" t="s">
        <v>278</v>
      </c>
      <c r="G54" s="12" t="s">
        <v>246</v>
      </c>
      <c r="H54" s="12" t="s">
        <v>126</v>
      </c>
      <c r="I54" s="12" t="s">
        <v>82</v>
      </c>
      <c r="J54" s="12" t="s">
        <v>267</v>
      </c>
      <c r="K54" s="12" t="s">
        <v>999</v>
      </c>
      <c r="L54" s="13" t="s">
        <v>994</v>
      </c>
      <c r="M54" s="11" t="s">
        <v>1195</v>
      </c>
      <c r="N54" s="11" t="s">
        <v>994</v>
      </c>
      <c r="O54" s="11" t="s">
        <v>323</v>
      </c>
      <c r="P54" s="11" t="s">
        <v>126</v>
      </c>
      <c r="Q54" s="11" t="s">
        <v>150</v>
      </c>
      <c r="R54" s="11" t="s">
        <v>125</v>
      </c>
      <c r="S54" s="11" t="s">
        <v>125</v>
      </c>
      <c r="T54" s="11" t="s">
        <v>994</v>
      </c>
      <c r="U54" s="11" t="s">
        <v>1396</v>
      </c>
      <c r="V54" s="11" t="s">
        <v>994</v>
      </c>
      <c r="W54" s="11" t="s">
        <v>994</v>
      </c>
      <c r="X54" s="11" t="s">
        <v>994</v>
      </c>
      <c r="Y54" s="11" t="s">
        <v>994</v>
      </c>
      <c r="Z54" s="11" t="s">
        <v>994</v>
      </c>
      <c r="AA54" s="11" t="s">
        <v>994</v>
      </c>
      <c r="AB54" s="11" t="s">
        <v>994</v>
      </c>
      <c r="AC54" s="11" t="s">
        <v>994</v>
      </c>
      <c r="AD54" s="11" t="s">
        <v>994</v>
      </c>
    </row>
    <row r="55">
      <c r="B55" s="12" t="s">
        <v>994</v>
      </c>
      <c r="C55" s="11" t="s">
        <v>1358</v>
      </c>
      <c r="D55" s="11" t="s">
        <v>1154</v>
      </c>
      <c r="E55" s="12" t="s">
        <v>258</v>
      </c>
      <c r="F55" s="12" t="s">
        <v>49</v>
      </c>
      <c r="G55" s="12" t="s">
        <v>246</v>
      </c>
      <c r="H55" s="12" t="s">
        <v>126</v>
      </c>
      <c r="I55" s="12" t="s">
        <v>82</v>
      </c>
      <c r="J55" s="12" t="s">
        <v>267</v>
      </c>
      <c r="K55" s="12" t="s">
        <v>999</v>
      </c>
      <c r="L55" s="13" t="s">
        <v>994</v>
      </c>
      <c r="M55" s="11" t="s">
        <v>1196</v>
      </c>
      <c r="N55" s="11" t="s">
        <v>1197</v>
      </c>
      <c r="O55" s="11" t="s">
        <v>323</v>
      </c>
      <c r="P55" s="11" t="s">
        <v>126</v>
      </c>
      <c r="Q55" s="11" t="s">
        <v>150</v>
      </c>
      <c r="R55" s="11" t="s">
        <v>125</v>
      </c>
      <c r="S55" s="11" t="s">
        <v>125</v>
      </c>
      <c r="T55" s="11" t="s">
        <v>994</v>
      </c>
      <c r="U55" s="11" t="s">
        <v>1396</v>
      </c>
      <c r="V55" s="11" t="s">
        <v>994</v>
      </c>
      <c r="W55" s="11" t="s">
        <v>994</v>
      </c>
      <c r="X55" s="11" t="s">
        <v>994</v>
      </c>
      <c r="Y55" s="11" t="s">
        <v>994</v>
      </c>
      <c r="Z55" s="11" t="s">
        <v>994</v>
      </c>
      <c r="AA55" s="11" t="s">
        <v>994</v>
      </c>
      <c r="AB55" s="11" t="s">
        <v>994</v>
      </c>
      <c r="AC55" s="11" t="s">
        <v>994</v>
      </c>
      <c r="AD55" s="11" t="s">
        <v>994</v>
      </c>
    </row>
    <row r="56">
      <c r="B56" s="12" t="s">
        <v>994</v>
      </c>
      <c r="C56" s="11" t="s">
        <v>1359</v>
      </c>
      <c r="D56" s="11" t="s">
        <v>1223</v>
      </c>
      <c r="E56" s="12" t="s">
        <v>258</v>
      </c>
      <c r="F56" s="12" t="s">
        <v>49</v>
      </c>
      <c r="G56" s="12" t="s">
        <v>246</v>
      </c>
      <c r="H56" s="12" t="s">
        <v>126</v>
      </c>
      <c r="I56" s="12" t="s">
        <v>82</v>
      </c>
      <c r="J56" s="12" t="s">
        <v>267</v>
      </c>
      <c r="K56" s="12" t="s">
        <v>999</v>
      </c>
      <c r="L56" s="13" t="s">
        <v>994</v>
      </c>
      <c r="M56" s="11" t="s">
        <v>1224</v>
      </c>
      <c r="N56" s="11" t="s">
        <v>994</v>
      </c>
      <c r="O56" s="11" t="s">
        <v>994</v>
      </c>
      <c r="P56" s="11" t="s">
        <v>994</v>
      </c>
      <c r="Q56" s="11" t="s">
        <v>994</v>
      </c>
      <c r="R56" s="11" t="s">
        <v>994</v>
      </c>
      <c r="S56" s="11" t="s">
        <v>125</v>
      </c>
      <c r="T56" s="11" t="s">
        <v>131</v>
      </c>
      <c r="U56" s="11" t="s">
        <v>1396</v>
      </c>
      <c r="V56" s="11" t="s">
        <v>1399</v>
      </c>
      <c r="W56" s="11" t="s">
        <v>994</v>
      </c>
      <c r="X56" s="11" t="s">
        <v>1400</v>
      </c>
      <c r="Y56" s="11" t="s">
        <v>994</v>
      </c>
      <c r="Z56" s="11" t="s">
        <v>994</v>
      </c>
      <c r="AA56" s="11" t="s">
        <v>994</v>
      </c>
      <c r="AB56" s="11" t="s">
        <v>994</v>
      </c>
      <c r="AC56" s="11" t="s">
        <v>994</v>
      </c>
      <c r="AD56" s="11" t="s">
        <v>1244</v>
      </c>
    </row>
    <row r="57">
      <c r="B57" s="12" t="s">
        <v>994</v>
      </c>
      <c r="C57" s="11" t="s">
        <v>1360</v>
      </c>
      <c r="D57" s="11" t="s">
        <v>1198</v>
      </c>
      <c r="E57" s="12" t="s">
        <v>1199</v>
      </c>
      <c r="F57" s="12" t="s">
        <v>49</v>
      </c>
      <c r="G57" s="12" t="s">
        <v>246</v>
      </c>
      <c r="H57" s="12" t="s">
        <v>126</v>
      </c>
      <c r="I57" s="12" t="s">
        <v>60</v>
      </c>
      <c r="J57" s="12" t="s">
        <v>267</v>
      </c>
      <c r="K57" s="12" t="s">
        <v>999</v>
      </c>
      <c r="L57" s="13" t="s">
        <v>994</v>
      </c>
      <c r="M57" s="11" t="s">
        <v>994</v>
      </c>
      <c r="N57" s="11" t="s">
        <v>1200</v>
      </c>
      <c r="O57" s="11" t="s">
        <v>323</v>
      </c>
      <c r="P57" s="11" t="s">
        <v>126</v>
      </c>
      <c r="Q57" s="11" t="s">
        <v>150</v>
      </c>
      <c r="R57" s="11" t="s">
        <v>125</v>
      </c>
      <c r="S57" s="11" t="s">
        <v>125</v>
      </c>
      <c r="T57" s="11" t="s">
        <v>131</v>
      </c>
      <c r="U57" s="11" t="s">
        <v>1396</v>
      </c>
      <c r="V57" s="11" t="s">
        <v>994</v>
      </c>
      <c r="W57" s="11" t="s">
        <v>994</v>
      </c>
      <c r="X57" s="11" t="s">
        <v>1400</v>
      </c>
      <c r="Y57" s="11" t="s">
        <v>994</v>
      </c>
      <c r="Z57" s="11" t="s">
        <v>994</v>
      </c>
      <c r="AA57" s="11" t="s">
        <v>994</v>
      </c>
      <c r="AB57" s="11" t="s">
        <v>994</v>
      </c>
      <c r="AC57" s="11" t="s">
        <v>994</v>
      </c>
      <c r="AD57" s="11" t="s">
        <v>1238</v>
      </c>
    </row>
    <row r="58">
      <c r="B58" s="12" t="s">
        <v>994</v>
      </c>
      <c r="C58" s="11" t="s">
        <v>1361</v>
      </c>
      <c r="D58" s="11" t="s">
        <v>1161</v>
      </c>
      <c r="E58" s="12" t="s">
        <v>1150</v>
      </c>
      <c r="F58" s="12" t="s">
        <v>49</v>
      </c>
      <c r="G58" s="12" t="s">
        <v>246</v>
      </c>
      <c r="H58" s="12" t="s">
        <v>126</v>
      </c>
      <c r="I58" s="12" t="s">
        <v>37</v>
      </c>
      <c r="J58" s="12" t="s">
        <v>267</v>
      </c>
      <c r="K58" s="12" t="s">
        <v>999</v>
      </c>
      <c r="L58" s="13" t="s">
        <v>994</v>
      </c>
      <c r="M58" s="11" t="s">
        <v>1162</v>
      </c>
      <c r="N58" s="11" t="s">
        <v>994</v>
      </c>
      <c r="O58" s="11" t="s">
        <v>323</v>
      </c>
      <c r="P58" s="11" t="s">
        <v>126</v>
      </c>
      <c r="Q58" s="11" t="s">
        <v>150</v>
      </c>
      <c r="R58" s="11" t="s">
        <v>994</v>
      </c>
      <c r="S58" s="11" t="s">
        <v>994</v>
      </c>
      <c r="T58" s="11" t="s">
        <v>994</v>
      </c>
      <c r="U58" s="11" t="s">
        <v>1396</v>
      </c>
      <c r="V58" s="11" t="s">
        <v>994</v>
      </c>
      <c r="W58" s="11" t="s">
        <v>994</v>
      </c>
      <c r="X58" s="11" t="s">
        <v>994</v>
      </c>
      <c r="Y58" s="11" t="s">
        <v>994</v>
      </c>
      <c r="Z58" s="11" t="s">
        <v>994</v>
      </c>
      <c r="AA58" s="11" t="s">
        <v>994</v>
      </c>
      <c r="AB58" s="11" t="s">
        <v>994</v>
      </c>
      <c r="AC58" s="11" t="s">
        <v>994</v>
      </c>
      <c r="AD58" s="11" t="s">
        <v>994</v>
      </c>
    </row>
    <row r="59">
      <c r="B59" s="12" t="s">
        <v>994</v>
      </c>
      <c r="C59" s="11" t="s">
        <v>1362</v>
      </c>
      <c r="D59" s="11" t="s">
        <v>1163</v>
      </c>
      <c r="E59" s="12" t="s">
        <v>1164</v>
      </c>
      <c r="F59" s="12" t="s">
        <v>305</v>
      </c>
      <c r="G59" s="12" t="s">
        <v>246</v>
      </c>
      <c r="H59" s="12" t="s">
        <v>126</v>
      </c>
      <c r="I59" s="12" t="s">
        <v>60</v>
      </c>
      <c r="J59" s="12" t="s">
        <v>267</v>
      </c>
      <c r="K59" s="12" t="s">
        <v>999</v>
      </c>
      <c r="L59" s="13" t="s">
        <v>994</v>
      </c>
      <c r="M59" s="11" t="s">
        <v>1165</v>
      </c>
      <c r="N59" s="11" t="s">
        <v>994</v>
      </c>
      <c r="O59" s="11" t="s">
        <v>323</v>
      </c>
      <c r="P59" s="11" t="s">
        <v>126</v>
      </c>
      <c r="Q59" s="11" t="s">
        <v>150</v>
      </c>
      <c r="R59" s="11" t="s">
        <v>125</v>
      </c>
      <c r="S59" s="11" t="s">
        <v>125</v>
      </c>
      <c r="T59" s="11" t="s">
        <v>994</v>
      </c>
      <c r="U59" s="11" t="s">
        <v>1396</v>
      </c>
      <c r="V59" s="11" t="s">
        <v>994</v>
      </c>
      <c r="W59" s="11" t="s">
        <v>994</v>
      </c>
      <c r="X59" s="11" t="s">
        <v>994</v>
      </c>
      <c r="Y59" s="11" t="s">
        <v>994</v>
      </c>
      <c r="Z59" s="11" t="s">
        <v>994</v>
      </c>
      <c r="AA59" s="11" t="s">
        <v>994</v>
      </c>
      <c r="AB59" s="11" t="s">
        <v>994</v>
      </c>
      <c r="AC59" s="11" t="s">
        <v>994</v>
      </c>
      <c r="AD59" s="11" t="s">
        <v>994</v>
      </c>
    </row>
    <row r="60">
      <c r="B60" s="12" t="s">
        <v>994</v>
      </c>
      <c r="C60" s="11" t="s">
        <v>1363</v>
      </c>
      <c r="D60" s="11" t="s">
        <v>259</v>
      </c>
      <c r="E60" s="12" t="s">
        <v>80</v>
      </c>
      <c r="F60" s="12" t="s">
        <v>49</v>
      </c>
      <c r="G60" s="12" t="s">
        <v>246</v>
      </c>
      <c r="H60" s="12" t="s">
        <v>246</v>
      </c>
      <c r="I60" s="12" t="s">
        <v>82</v>
      </c>
      <c r="J60" s="12" t="s">
        <v>267</v>
      </c>
      <c r="K60" s="12" t="s">
        <v>999</v>
      </c>
      <c r="L60" s="13" t="s">
        <v>994</v>
      </c>
      <c r="M60" s="11" t="s">
        <v>1201</v>
      </c>
      <c r="N60" s="11" t="s">
        <v>1202</v>
      </c>
      <c r="O60" s="11" t="s">
        <v>323</v>
      </c>
      <c r="P60" s="11" t="s">
        <v>126</v>
      </c>
      <c r="Q60" s="11" t="s">
        <v>150</v>
      </c>
      <c r="R60" s="11" t="s">
        <v>125</v>
      </c>
      <c r="S60" s="11" t="s">
        <v>125</v>
      </c>
      <c r="T60" s="11" t="s">
        <v>994</v>
      </c>
      <c r="U60" s="11" t="s">
        <v>1396</v>
      </c>
      <c r="V60" s="11" t="s">
        <v>994</v>
      </c>
      <c r="W60" s="11" t="s">
        <v>994</v>
      </c>
      <c r="X60" s="11" t="s">
        <v>994</v>
      </c>
      <c r="Y60" s="11" t="s">
        <v>994</v>
      </c>
      <c r="Z60" s="11" t="s">
        <v>994</v>
      </c>
      <c r="AA60" s="11" t="s">
        <v>994</v>
      </c>
      <c r="AB60" s="11" t="s">
        <v>994</v>
      </c>
      <c r="AC60" s="11" t="s">
        <v>994</v>
      </c>
      <c r="AD60" s="11" t="s">
        <v>994</v>
      </c>
    </row>
    <row r="61">
      <c r="B61" s="12" t="s">
        <v>994</v>
      </c>
      <c r="C61" s="11" t="s">
        <v>1364</v>
      </c>
      <c r="D61" s="11" t="s">
        <v>1203</v>
      </c>
      <c r="E61" s="12" t="s">
        <v>58</v>
      </c>
      <c r="F61" s="12" t="s">
        <v>585</v>
      </c>
      <c r="G61" s="12" t="s">
        <v>246</v>
      </c>
      <c r="H61" s="12" t="s">
        <v>246</v>
      </c>
      <c r="I61" s="12" t="s">
        <v>60</v>
      </c>
      <c r="J61" s="12" t="s">
        <v>267</v>
      </c>
      <c r="K61" s="12" t="s">
        <v>998</v>
      </c>
      <c r="L61" s="13" t="s">
        <v>125</v>
      </c>
      <c r="M61" s="11" t="s">
        <v>1386</v>
      </c>
      <c r="N61" s="11" t="s">
        <v>994</v>
      </c>
      <c r="O61" s="11" t="s">
        <v>994</v>
      </c>
      <c r="P61" s="11" t="s">
        <v>126</v>
      </c>
      <c r="Q61" s="11" t="s">
        <v>143</v>
      </c>
      <c r="R61" s="11" t="s">
        <v>125</v>
      </c>
      <c r="S61" s="11" t="s">
        <v>125</v>
      </c>
      <c r="T61" s="11" t="s">
        <v>131</v>
      </c>
      <c r="U61" s="11" t="s">
        <v>1391</v>
      </c>
      <c r="V61" s="11" t="s">
        <v>994</v>
      </c>
      <c r="W61" s="11" t="s">
        <v>994</v>
      </c>
      <c r="X61" s="11" t="s">
        <v>1391</v>
      </c>
      <c r="Y61" s="11" t="s">
        <v>994</v>
      </c>
      <c r="Z61" s="11" t="s">
        <v>994</v>
      </c>
      <c r="AA61" s="11" t="s">
        <v>994</v>
      </c>
      <c r="AB61" s="11" t="s">
        <v>121</v>
      </c>
      <c r="AC61" s="11" t="s">
        <v>994</v>
      </c>
      <c r="AD61" s="11" t="s">
        <v>994</v>
      </c>
    </row>
    <row r="62">
      <c r="B62" s="12" t="s">
        <v>994</v>
      </c>
      <c r="C62" s="11" t="s">
        <v>1365</v>
      </c>
      <c r="D62" s="11" t="s">
        <v>1204</v>
      </c>
      <c r="E62" s="12" t="s">
        <v>1199</v>
      </c>
      <c r="F62" s="12" t="s">
        <v>49</v>
      </c>
      <c r="G62" s="12" t="s">
        <v>246</v>
      </c>
      <c r="H62" s="12" t="s">
        <v>126</v>
      </c>
      <c r="I62" s="12" t="s">
        <v>60</v>
      </c>
      <c r="J62" s="12" t="s">
        <v>267</v>
      </c>
      <c r="K62" s="12" t="s">
        <v>998</v>
      </c>
      <c r="L62" s="13" t="s">
        <v>125</v>
      </c>
      <c r="M62" s="11" t="s">
        <v>1387</v>
      </c>
      <c r="N62" s="11" t="s">
        <v>994</v>
      </c>
      <c r="O62" s="11" t="s">
        <v>994</v>
      </c>
      <c r="P62" s="11" t="s">
        <v>126</v>
      </c>
      <c r="Q62" s="11" t="s">
        <v>143</v>
      </c>
      <c r="R62" s="11" t="s">
        <v>125</v>
      </c>
      <c r="S62" s="11" t="s">
        <v>125</v>
      </c>
      <c r="T62" s="11" t="s">
        <v>131</v>
      </c>
      <c r="U62" s="11" t="s">
        <v>1391</v>
      </c>
      <c r="V62" s="11" t="s">
        <v>994</v>
      </c>
      <c r="W62" s="11" t="s">
        <v>994</v>
      </c>
      <c r="X62" s="11" t="s">
        <v>1391</v>
      </c>
      <c r="Y62" s="11" t="s">
        <v>994</v>
      </c>
      <c r="Z62" s="11" t="s">
        <v>994</v>
      </c>
      <c r="AA62" s="11" t="s">
        <v>994</v>
      </c>
      <c r="AB62" s="11" t="s">
        <v>121</v>
      </c>
      <c r="AC62" s="11" t="s">
        <v>994</v>
      </c>
      <c r="AD62" s="11" t="s">
        <v>994</v>
      </c>
    </row>
    <row r="63">
      <c r="B63" s="12" t="s">
        <v>994</v>
      </c>
      <c r="C63" s="11" t="s">
        <v>1366</v>
      </c>
      <c r="D63" s="11" t="s">
        <v>1225</v>
      </c>
      <c r="E63" s="12" t="s">
        <v>1226</v>
      </c>
      <c r="F63" s="12" t="s">
        <v>49</v>
      </c>
      <c r="G63" s="12" t="s">
        <v>246</v>
      </c>
      <c r="H63" s="12" t="s">
        <v>246</v>
      </c>
      <c r="I63" s="12" t="s">
        <v>82</v>
      </c>
      <c r="J63" s="12" t="s">
        <v>267</v>
      </c>
      <c r="K63" s="12" t="s">
        <v>994</v>
      </c>
      <c r="L63" s="13" t="s">
        <v>994</v>
      </c>
      <c r="M63" s="11" t="s">
        <v>1227</v>
      </c>
      <c r="N63" s="11" t="s">
        <v>994</v>
      </c>
      <c r="O63" s="11" t="s">
        <v>994</v>
      </c>
      <c r="P63" s="11" t="s">
        <v>126</v>
      </c>
      <c r="Q63" s="11" t="s">
        <v>143</v>
      </c>
      <c r="R63" s="11" t="s">
        <v>125</v>
      </c>
      <c r="S63" s="11" t="s">
        <v>125</v>
      </c>
      <c r="T63" s="11" t="s">
        <v>994</v>
      </c>
      <c r="U63" s="11" t="s">
        <v>1396</v>
      </c>
      <c r="V63" s="11" t="s">
        <v>994</v>
      </c>
      <c r="W63" s="11" t="s">
        <v>994</v>
      </c>
      <c r="X63" s="11" t="s">
        <v>994</v>
      </c>
      <c r="Y63" s="11" t="s">
        <v>994</v>
      </c>
      <c r="Z63" s="11" t="s">
        <v>994</v>
      </c>
      <c r="AA63" s="11" t="s">
        <v>994</v>
      </c>
      <c r="AB63" s="11" t="s">
        <v>994</v>
      </c>
      <c r="AC63" s="11" t="s">
        <v>994</v>
      </c>
      <c r="AD63" s="11" t="s">
        <v>994</v>
      </c>
    </row>
    <row r="64">
      <c r="B64" s="12" t="s">
        <v>994</v>
      </c>
      <c r="C64" s="11" t="s">
        <v>1367</v>
      </c>
      <c r="D64" s="11" t="s">
        <v>1228</v>
      </c>
      <c r="E64" s="12" t="s">
        <v>1229</v>
      </c>
      <c r="F64" s="12" t="s">
        <v>49</v>
      </c>
      <c r="G64" s="12" t="s">
        <v>246</v>
      </c>
      <c r="H64" s="12" t="s">
        <v>246</v>
      </c>
      <c r="I64" s="12" t="s">
        <v>82</v>
      </c>
      <c r="J64" s="12" t="s">
        <v>267</v>
      </c>
      <c r="K64" s="12" t="s">
        <v>994</v>
      </c>
      <c r="L64" s="13" t="s">
        <v>994</v>
      </c>
      <c r="M64" s="11" t="s">
        <v>1230</v>
      </c>
      <c r="N64" s="11" t="s">
        <v>994</v>
      </c>
      <c r="O64" s="11" t="s">
        <v>994</v>
      </c>
      <c r="P64" s="11" t="s">
        <v>126</v>
      </c>
      <c r="Q64" s="11" t="s">
        <v>143</v>
      </c>
      <c r="R64" s="11" t="s">
        <v>125</v>
      </c>
      <c r="S64" s="11" t="s">
        <v>125</v>
      </c>
      <c r="T64" s="11" t="s">
        <v>994</v>
      </c>
      <c r="U64" s="11" t="s">
        <v>1396</v>
      </c>
      <c r="V64" s="11" t="s">
        <v>994</v>
      </c>
      <c r="W64" s="11" t="s">
        <v>994</v>
      </c>
      <c r="X64" s="11" t="s">
        <v>994</v>
      </c>
      <c r="Y64" s="11" t="s">
        <v>994</v>
      </c>
      <c r="Z64" s="11" t="s">
        <v>994</v>
      </c>
      <c r="AA64" s="11" t="s">
        <v>994</v>
      </c>
      <c r="AB64" s="11" t="s">
        <v>994</v>
      </c>
      <c r="AC64" s="11" t="s">
        <v>994</v>
      </c>
      <c r="AD64" s="11" t="s">
        <v>994</v>
      </c>
    </row>
    <row r="65">
      <c r="B65" s="12" t="s">
        <v>994</v>
      </c>
      <c r="C65" s="11" t="s">
        <v>1368</v>
      </c>
      <c r="D65" s="11" t="s">
        <v>1231</v>
      </c>
      <c r="E65" s="12" t="s">
        <v>1232</v>
      </c>
      <c r="F65" s="12" t="s">
        <v>286</v>
      </c>
      <c r="G65" s="12" t="s">
        <v>246</v>
      </c>
      <c r="H65" s="12" t="s">
        <v>246</v>
      </c>
      <c r="I65" s="12" t="s">
        <v>37</v>
      </c>
      <c r="J65" s="12" t="s">
        <v>267</v>
      </c>
      <c r="K65" s="12" t="s">
        <v>994</v>
      </c>
      <c r="L65" s="13" t="s">
        <v>994</v>
      </c>
      <c r="M65" s="11" t="s">
        <v>1168</v>
      </c>
      <c r="N65" s="11" t="s">
        <v>994</v>
      </c>
      <c r="O65" s="11" t="s">
        <v>994</v>
      </c>
      <c r="P65" s="11" t="s">
        <v>126</v>
      </c>
      <c r="Q65" s="11" t="s">
        <v>143</v>
      </c>
      <c r="R65" s="11" t="s">
        <v>125</v>
      </c>
      <c r="S65" s="11" t="s">
        <v>125</v>
      </c>
      <c r="T65" s="11" t="s">
        <v>994</v>
      </c>
      <c r="U65" s="11" t="s">
        <v>1396</v>
      </c>
      <c r="V65" s="11" t="s">
        <v>994</v>
      </c>
      <c r="W65" s="11" t="s">
        <v>994</v>
      </c>
      <c r="X65" s="11" t="s">
        <v>994</v>
      </c>
      <c r="Y65" s="11" t="s">
        <v>994</v>
      </c>
      <c r="Z65" s="11" t="s">
        <v>994</v>
      </c>
      <c r="AA65" s="11" t="s">
        <v>994</v>
      </c>
      <c r="AB65" s="11" t="s">
        <v>994</v>
      </c>
      <c r="AC65" s="11" t="s">
        <v>994</v>
      </c>
      <c r="AD65" s="11" t="s">
        <v>994</v>
      </c>
    </row>
    <row r="66">
      <c r="B66" s="12" t="s">
        <v>994</v>
      </c>
      <c r="C66" s="11" t="s">
        <v>1369</v>
      </c>
      <c r="D66" s="11" t="s">
        <v>1169</v>
      </c>
      <c r="E66" s="12" t="s">
        <v>1233</v>
      </c>
      <c r="F66" s="12" t="s">
        <v>332</v>
      </c>
      <c r="G66" s="12" t="s">
        <v>246</v>
      </c>
      <c r="H66" s="12" t="s">
        <v>246</v>
      </c>
      <c r="I66" s="12" t="s">
        <v>37</v>
      </c>
      <c r="J66" s="12" t="s">
        <v>267</v>
      </c>
      <c r="K66" s="12" t="s">
        <v>994</v>
      </c>
      <c r="L66" s="13" t="s">
        <v>994</v>
      </c>
      <c r="M66" s="11" t="s">
        <v>1171</v>
      </c>
      <c r="N66" s="11" t="s">
        <v>994</v>
      </c>
      <c r="O66" s="11" t="s">
        <v>994</v>
      </c>
      <c r="P66" s="11" t="s">
        <v>126</v>
      </c>
      <c r="Q66" s="11" t="s">
        <v>143</v>
      </c>
      <c r="R66" s="11" t="s">
        <v>125</v>
      </c>
      <c r="S66" s="11" t="s">
        <v>125</v>
      </c>
      <c r="T66" s="11" t="s">
        <v>994</v>
      </c>
      <c r="U66" s="11" t="s">
        <v>1396</v>
      </c>
      <c r="V66" s="11" t="s">
        <v>994</v>
      </c>
      <c r="W66" s="11" t="s">
        <v>994</v>
      </c>
      <c r="X66" s="11" t="s">
        <v>994</v>
      </c>
      <c r="Y66" s="11" t="s">
        <v>994</v>
      </c>
      <c r="Z66" s="11" t="s">
        <v>994</v>
      </c>
      <c r="AA66" s="11" t="s">
        <v>994</v>
      </c>
      <c r="AB66" s="11" t="s">
        <v>994</v>
      </c>
      <c r="AC66" s="11" t="s">
        <v>994</v>
      </c>
      <c r="AD66" s="11" t="s">
        <v>994</v>
      </c>
    </row>
    <row r="67">
      <c r="B67" s="12" t="s">
        <v>994</v>
      </c>
      <c r="C67" s="11" t="s">
        <v>1370</v>
      </c>
      <c r="D67" s="11" t="s">
        <v>1172</v>
      </c>
      <c r="E67" s="12" t="s">
        <v>1234</v>
      </c>
      <c r="F67" s="12" t="s">
        <v>286</v>
      </c>
      <c r="G67" s="12" t="s">
        <v>246</v>
      </c>
      <c r="H67" s="12" t="s">
        <v>246</v>
      </c>
      <c r="I67" s="12" t="s">
        <v>37</v>
      </c>
      <c r="J67" s="12" t="s">
        <v>267</v>
      </c>
      <c r="K67" s="12" t="s">
        <v>994</v>
      </c>
      <c r="L67" s="13" t="s">
        <v>994</v>
      </c>
      <c r="M67" s="11" t="s">
        <v>1174</v>
      </c>
      <c r="N67" s="11" t="s">
        <v>994</v>
      </c>
      <c r="O67" s="11" t="s">
        <v>994</v>
      </c>
      <c r="P67" s="11" t="s">
        <v>126</v>
      </c>
      <c r="Q67" s="11" t="s">
        <v>143</v>
      </c>
      <c r="R67" s="11" t="s">
        <v>125</v>
      </c>
      <c r="S67" s="11" t="s">
        <v>125</v>
      </c>
      <c r="T67" s="11" t="s">
        <v>994</v>
      </c>
      <c r="U67" s="11" t="s">
        <v>1396</v>
      </c>
      <c r="V67" s="11" t="s">
        <v>994</v>
      </c>
      <c r="W67" s="11" t="s">
        <v>994</v>
      </c>
      <c r="X67" s="11" t="s">
        <v>994</v>
      </c>
      <c r="Y67" s="11" t="s">
        <v>994</v>
      </c>
      <c r="Z67" s="11" t="s">
        <v>994</v>
      </c>
      <c r="AA67" s="11" t="s">
        <v>994</v>
      </c>
      <c r="AB67" s="11" t="s">
        <v>994</v>
      </c>
      <c r="AC67" s="11" t="s">
        <v>994</v>
      </c>
      <c r="AD67" s="11" t="s">
        <v>994</v>
      </c>
    </row>
    <row r="68">
      <c r="B68" s="12" t="s">
        <v>994</v>
      </c>
      <c r="C68" s="11" t="s">
        <v>1371</v>
      </c>
      <c r="D68" s="11" t="s">
        <v>1175</v>
      </c>
      <c r="E68" s="12" t="s">
        <v>1176</v>
      </c>
      <c r="F68" s="12" t="s">
        <v>286</v>
      </c>
      <c r="G68" s="12" t="s">
        <v>246</v>
      </c>
      <c r="H68" s="12" t="s">
        <v>246</v>
      </c>
      <c r="I68" s="12" t="s">
        <v>37</v>
      </c>
      <c r="J68" s="12" t="s">
        <v>267</v>
      </c>
      <c r="K68" s="12" t="s">
        <v>994</v>
      </c>
      <c r="L68" s="13" t="s">
        <v>994</v>
      </c>
      <c r="M68" s="11" t="s">
        <v>1177</v>
      </c>
      <c r="N68" s="11" t="s">
        <v>994</v>
      </c>
      <c r="O68" s="11" t="s">
        <v>994</v>
      </c>
      <c r="P68" s="11" t="s">
        <v>126</v>
      </c>
      <c r="Q68" s="11" t="s">
        <v>143</v>
      </c>
      <c r="R68" s="11" t="s">
        <v>125</v>
      </c>
      <c r="S68" s="11" t="s">
        <v>125</v>
      </c>
      <c r="T68" s="11" t="s">
        <v>994</v>
      </c>
      <c r="U68" s="11" t="s">
        <v>1396</v>
      </c>
      <c r="V68" s="11" t="s">
        <v>994</v>
      </c>
      <c r="W68" s="11" t="s">
        <v>994</v>
      </c>
      <c r="X68" s="11" t="s">
        <v>994</v>
      </c>
      <c r="Y68" s="11" t="s">
        <v>994</v>
      </c>
      <c r="Z68" s="11" t="s">
        <v>994</v>
      </c>
      <c r="AA68" s="11" t="s">
        <v>994</v>
      </c>
      <c r="AB68" s="11" t="s">
        <v>994</v>
      </c>
      <c r="AC68" s="11" t="s">
        <v>994</v>
      </c>
      <c r="AD68" s="11" t="s">
        <v>994</v>
      </c>
    </row>
    <row r="69">
      <c r="B69" s="12" t="s">
        <v>994</v>
      </c>
      <c r="C69" s="11" t="s">
        <v>1372</v>
      </c>
      <c r="D69" s="11" t="s">
        <v>1178</v>
      </c>
      <c r="E69" s="12" t="s">
        <v>1179</v>
      </c>
      <c r="F69" s="12" t="s">
        <v>286</v>
      </c>
      <c r="G69" s="12" t="s">
        <v>246</v>
      </c>
      <c r="H69" s="12" t="s">
        <v>246</v>
      </c>
      <c r="I69" s="12" t="s">
        <v>60</v>
      </c>
      <c r="J69" s="12" t="s">
        <v>267</v>
      </c>
      <c r="K69" s="12" t="s">
        <v>994</v>
      </c>
      <c r="L69" s="13" t="s">
        <v>994</v>
      </c>
      <c r="M69" s="11" t="s">
        <v>1180</v>
      </c>
      <c r="N69" s="11" t="s">
        <v>994</v>
      </c>
      <c r="O69" s="11" t="s">
        <v>994</v>
      </c>
      <c r="P69" s="11" t="s">
        <v>126</v>
      </c>
      <c r="Q69" s="11" t="s">
        <v>143</v>
      </c>
      <c r="R69" s="11" t="s">
        <v>125</v>
      </c>
      <c r="S69" s="11" t="s">
        <v>125</v>
      </c>
      <c r="T69" s="11" t="s">
        <v>994</v>
      </c>
      <c r="U69" s="11" t="s">
        <v>1396</v>
      </c>
      <c r="V69" s="11" t="s">
        <v>994</v>
      </c>
      <c r="W69" s="11" t="s">
        <v>994</v>
      </c>
      <c r="X69" s="11" t="s">
        <v>994</v>
      </c>
      <c r="Y69" s="11" t="s">
        <v>994</v>
      </c>
      <c r="Z69" s="11" t="s">
        <v>994</v>
      </c>
      <c r="AA69" s="11" t="s">
        <v>994</v>
      </c>
      <c r="AB69" s="11" t="s">
        <v>994</v>
      </c>
      <c r="AC69" s="11" t="s">
        <v>994</v>
      </c>
      <c r="AD69" s="11" t="s">
        <v>994</v>
      </c>
    </row>
    <row r="70">
      <c r="B70" s="12" t="s">
        <v>994</v>
      </c>
      <c r="C70" s="11" t="s">
        <v>1373</v>
      </c>
      <c r="D70" s="11" t="s">
        <v>1181</v>
      </c>
      <c r="E70" s="12" t="s">
        <v>1182</v>
      </c>
      <c r="F70" s="12" t="s">
        <v>49</v>
      </c>
      <c r="G70" s="12" t="s">
        <v>246</v>
      </c>
      <c r="H70" s="12" t="s">
        <v>246</v>
      </c>
      <c r="I70" s="12" t="s">
        <v>37</v>
      </c>
      <c r="J70" s="12" t="s">
        <v>267</v>
      </c>
      <c r="K70" s="12" t="s">
        <v>994</v>
      </c>
      <c r="L70" s="13" t="s">
        <v>994</v>
      </c>
      <c r="M70" s="11" t="s">
        <v>1183</v>
      </c>
      <c r="N70" s="11" t="s">
        <v>994</v>
      </c>
      <c r="O70" s="11" t="s">
        <v>994</v>
      </c>
      <c r="P70" s="11" t="s">
        <v>126</v>
      </c>
      <c r="Q70" s="11" t="s">
        <v>143</v>
      </c>
      <c r="R70" s="11" t="s">
        <v>125</v>
      </c>
      <c r="S70" s="11" t="s">
        <v>125</v>
      </c>
      <c r="T70" s="11" t="s">
        <v>994</v>
      </c>
      <c r="U70" s="11" t="s">
        <v>1396</v>
      </c>
      <c r="V70" s="11" t="s">
        <v>994</v>
      </c>
      <c r="W70" s="11" t="s">
        <v>994</v>
      </c>
      <c r="X70" s="11" t="s">
        <v>994</v>
      </c>
      <c r="Y70" s="11" t="s">
        <v>994</v>
      </c>
      <c r="Z70" s="11" t="s">
        <v>994</v>
      </c>
      <c r="AA70" s="11" t="s">
        <v>994</v>
      </c>
      <c r="AB70" s="11" t="s">
        <v>994</v>
      </c>
      <c r="AC70" s="11" t="s">
        <v>994</v>
      </c>
      <c r="AD70" s="11" t="s">
        <v>994</v>
      </c>
    </row>
    <row r="71">
      <c r="B71" s="12" t="s">
        <v>994</v>
      </c>
      <c r="C71" s="11" t="s">
        <v>1374</v>
      </c>
      <c r="D71" s="11" t="s">
        <v>1266</v>
      </c>
      <c r="E71" s="12" t="s">
        <v>1182</v>
      </c>
      <c r="F71" s="12" t="s">
        <v>286</v>
      </c>
      <c r="G71" s="12" t="s">
        <v>994</v>
      </c>
      <c r="H71" s="12" t="s">
        <v>994</v>
      </c>
      <c r="I71" s="12" t="s">
        <v>994</v>
      </c>
      <c r="J71" s="12" t="s">
        <v>994</v>
      </c>
      <c r="K71" s="12" t="s">
        <v>999</v>
      </c>
      <c r="L71" s="13" t="s">
        <v>125</v>
      </c>
      <c r="M71" s="11" t="s">
        <v>1269</v>
      </c>
      <c r="N71" s="11" t="s">
        <v>994</v>
      </c>
      <c r="O71" s="11" t="s">
        <v>994</v>
      </c>
      <c r="P71" s="11" t="s">
        <v>994</v>
      </c>
      <c r="Q71" s="11" t="s">
        <v>994</v>
      </c>
      <c r="R71" s="11" t="s">
        <v>994</v>
      </c>
      <c r="S71" s="11" t="s">
        <v>125</v>
      </c>
      <c r="T71" s="11" t="s">
        <v>131</v>
      </c>
      <c r="U71" s="11" t="s">
        <v>994</v>
      </c>
      <c r="V71" s="11" t="s">
        <v>994</v>
      </c>
      <c r="W71" s="11" t="s">
        <v>994</v>
      </c>
      <c r="X71" s="11" t="s">
        <v>1400</v>
      </c>
      <c r="Y71" s="11" t="s">
        <v>994</v>
      </c>
      <c r="Z71" s="11" t="s">
        <v>994</v>
      </c>
      <c r="AA71" s="11" t="s">
        <v>994</v>
      </c>
      <c r="AB71" s="11" t="s">
        <v>121</v>
      </c>
      <c r="AC71" s="11" t="s">
        <v>994</v>
      </c>
      <c r="AD71" s="11" t="s">
        <v>1277</v>
      </c>
    </row>
    <row r="72">
      <c r="B72" s="12" t="s">
        <v>994</v>
      </c>
      <c r="C72" s="11" t="s">
        <v>1375</v>
      </c>
      <c r="D72" s="11" t="s">
        <v>1184</v>
      </c>
      <c r="E72" s="12" t="s">
        <v>1185</v>
      </c>
      <c r="F72" s="12" t="s">
        <v>49</v>
      </c>
      <c r="G72" s="12" t="s">
        <v>246</v>
      </c>
      <c r="H72" s="12" t="s">
        <v>246</v>
      </c>
      <c r="I72" s="12" t="s">
        <v>60</v>
      </c>
      <c r="J72" s="12" t="s">
        <v>267</v>
      </c>
      <c r="K72" s="12" t="s">
        <v>994</v>
      </c>
      <c r="L72" s="13" t="s">
        <v>994</v>
      </c>
      <c r="M72" s="11" t="s">
        <v>1235</v>
      </c>
      <c r="N72" s="11" t="s">
        <v>994</v>
      </c>
      <c r="O72" s="11" t="s">
        <v>994</v>
      </c>
      <c r="P72" s="11" t="s">
        <v>126</v>
      </c>
      <c r="Q72" s="11" t="s">
        <v>143</v>
      </c>
      <c r="R72" s="11" t="s">
        <v>125</v>
      </c>
      <c r="S72" s="11" t="s">
        <v>125</v>
      </c>
      <c r="T72" s="11" t="s">
        <v>994</v>
      </c>
      <c r="U72" s="11" t="s">
        <v>1396</v>
      </c>
      <c r="V72" s="11" t="s">
        <v>994</v>
      </c>
      <c r="W72" s="11" t="s">
        <v>994</v>
      </c>
      <c r="X72" s="11" t="s">
        <v>994</v>
      </c>
      <c r="Y72" s="11" t="s">
        <v>994</v>
      </c>
      <c r="Z72" s="11" t="s">
        <v>994</v>
      </c>
      <c r="AA72" s="11" t="s">
        <v>994</v>
      </c>
      <c r="AB72" s="11" t="s">
        <v>994</v>
      </c>
      <c r="AC72" s="11" t="s">
        <v>994</v>
      </c>
      <c r="AD72" s="11" t="s">
        <v>994</v>
      </c>
    </row>
    <row r="73">
      <c r="B73" s="12" t="s">
        <v>994</v>
      </c>
      <c r="C73" s="11" t="s">
        <v>1376</v>
      </c>
      <c r="D73" s="11" t="s">
        <v>1187</v>
      </c>
      <c r="E73" s="12" t="s">
        <v>1188</v>
      </c>
      <c r="F73" s="12" t="s">
        <v>49</v>
      </c>
      <c r="G73" s="12" t="s">
        <v>246</v>
      </c>
      <c r="H73" s="12" t="s">
        <v>246</v>
      </c>
      <c r="I73" s="12" t="s">
        <v>37</v>
      </c>
      <c r="J73" s="12" t="s">
        <v>267</v>
      </c>
      <c r="K73" s="12" t="s">
        <v>994</v>
      </c>
      <c r="L73" s="13" t="s">
        <v>994</v>
      </c>
      <c r="M73" s="11" t="s">
        <v>1189</v>
      </c>
      <c r="N73" s="11" t="s">
        <v>994</v>
      </c>
      <c r="O73" s="11" t="s">
        <v>994</v>
      </c>
      <c r="P73" s="11" t="s">
        <v>126</v>
      </c>
      <c r="Q73" s="11" t="s">
        <v>143</v>
      </c>
      <c r="R73" s="11" t="s">
        <v>125</v>
      </c>
      <c r="S73" s="11" t="s">
        <v>125</v>
      </c>
      <c r="T73" s="11" t="s">
        <v>994</v>
      </c>
      <c r="U73" s="11" t="s">
        <v>1396</v>
      </c>
      <c r="V73" s="11" t="s">
        <v>994</v>
      </c>
      <c r="W73" s="11" t="s">
        <v>994</v>
      </c>
      <c r="X73" s="11" t="s">
        <v>994</v>
      </c>
      <c r="Y73" s="11" t="s">
        <v>994</v>
      </c>
      <c r="Z73" s="11" t="s">
        <v>994</v>
      </c>
      <c r="AA73" s="11" t="s">
        <v>994</v>
      </c>
      <c r="AB73" s="11" t="s">
        <v>994</v>
      </c>
      <c r="AC73" s="11" t="s">
        <v>994</v>
      </c>
      <c r="AD73" s="11" t="s">
        <v>994</v>
      </c>
    </row>
    <row r="74">
      <c r="B74" s="12" t="s">
        <v>994</v>
      </c>
      <c r="C74" s="11" t="s">
        <v>1377</v>
      </c>
      <c r="D74" s="11" t="s">
        <v>1190</v>
      </c>
      <c r="E74" s="12" t="s">
        <v>47</v>
      </c>
      <c r="F74" s="12" t="s">
        <v>49</v>
      </c>
      <c r="G74" s="12" t="s">
        <v>246</v>
      </c>
      <c r="H74" s="12" t="s">
        <v>246</v>
      </c>
      <c r="I74" s="12" t="s">
        <v>37</v>
      </c>
      <c r="J74" s="12" t="s">
        <v>267</v>
      </c>
      <c r="K74" s="12" t="s">
        <v>994</v>
      </c>
      <c r="L74" s="13" t="s">
        <v>994</v>
      </c>
      <c r="M74" s="11" t="s">
        <v>1236</v>
      </c>
      <c r="N74" s="11" t="s">
        <v>994</v>
      </c>
      <c r="O74" s="11" t="s">
        <v>994</v>
      </c>
      <c r="P74" s="11" t="s">
        <v>126</v>
      </c>
      <c r="Q74" s="11" t="s">
        <v>143</v>
      </c>
      <c r="R74" s="11" t="s">
        <v>125</v>
      </c>
      <c r="S74" s="11" t="s">
        <v>125</v>
      </c>
      <c r="T74" s="11" t="s">
        <v>994</v>
      </c>
      <c r="U74" s="11" t="s">
        <v>1396</v>
      </c>
      <c r="V74" s="11" t="s">
        <v>994</v>
      </c>
      <c r="W74" s="11" t="s">
        <v>994</v>
      </c>
      <c r="X74" s="11" t="s">
        <v>994</v>
      </c>
      <c r="Y74" s="11" t="s">
        <v>994</v>
      </c>
      <c r="Z74" s="11" t="s">
        <v>994</v>
      </c>
      <c r="AA74" s="11" t="s">
        <v>994</v>
      </c>
      <c r="AB74" s="11" t="s">
        <v>994</v>
      </c>
      <c r="AC74" s="11" t="s">
        <v>994</v>
      </c>
      <c r="AD74" s="11" t="s">
        <v>994</v>
      </c>
    </row>
    <row r="75">
      <c r="B75" s="12" t="s">
        <v>994</v>
      </c>
      <c r="C75" s="11" t="s">
        <v>994</v>
      </c>
      <c r="D75" s="11" t="s">
        <v>994</v>
      </c>
      <c r="E75" s="12" t="s">
        <v>994</v>
      </c>
      <c r="F75" s="12" t="s">
        <v>994</v>
      </c>
      <c r="G75" s="12" t="s">
        <v>994</v>
      </c>
      <c r="H75" s="12" t="s">
        <v>994</v>
      </c>
      <c r="I75" s="12" t="s">
        <v>994</v>
      </c>
      <c r="J75" s="12" t="s">
        <v>994</v>
      </c>
      <c r="K75" s="12" t="s">
        <v>994</v>
      </c>
      <c r="L75" s="13" t="s">
        <v>994</v>
      </c>
      <c r="M75" s="11" t="s">
        <v>994</v>
      </c>
      <c r="N75" s="11" t="s">
        <v>994</v>
      </c>
      <c r="O75" s="11" t="s">
        <v>994</v>
      </c>
      <c r="P75" s="11" t="s">
        <v>994</v>
      </c>
      <c r="Q75" s="11" t="s">
        <v>994</v>
      </c>
      <c r="R75" s="11" t="s">
        <v>994</v>
      </c>
      <c r="S75" s="11" t="s">
        <v>994</v>
      </c>
      <c r="T75" s="11" t="s">
        <v>994</v>
      </c>
      <c r="U75" s="11" t="s">
        <v>994</v>
      </c>
      <c r="V75" s="11" t="s">
        <v>994</v>
      </c>
      <c r="W75" s="11" t="s">
        <v>994</v>
      </c>
      <c r="X75" s="11" t="s">
        <v>994</v>
      </c>
      <c r="Y75" s="11" t="s">
        <v>994</v>
      </c>
      <c r="Z75" s="11" t="s">
        <v>994</v>
      </c>
      <c r="AA75" s="11" t="s">
        <v>994</v>
      </c>
      <c r="AB75" s="11" t="s">
        <v>994</v>
      </c>
      <c r="AC75" s="11" t="s">
        <v>994</v>
      </c>
      <c r="AD75" s="11" t="s">
        <v>994</v>
      </c>
    </row>
    <row r="76">
      <c r="B76" s="12" t="s">
        <v>994</v>
      </c>
      <c r="C76" s="11" t="s">
        <v>994</v>
      </c>
      <c r="D76" s="11" t="s">
        <v>994</v>
      </c>
      <c r="E76" s="12" t="s">
        <v>994</v>
      </c>
      <c r="F76" s="12" t="s">
        <v>994</v>
      </c>
      <c r="G76" s="12" t="s">
        <v>994</v>
      </c>
      <c r="H76" s="12" t="s">
        <v>994</v>
      </c>
      <c r="I76" s="12" t="s">
        <v>994</v>
      </c>
      <c r="J76" s="12" t="s">
        <v>994</v>
      </c>
      <c r="K76" s="12" t="s">
        <v>994</v>
      </c>
      <c r="L76" s="13" t="s">
        <v>994</v>
      </c>
      <c r="M76" s="11" t="s">
        <v>994</v>
      </c>
      <c r="N76" s="11" t="s">
        <v>994</v>
      </c>
      <c r="O76" s="11" t="s">
        <v>994</v>
      </c>
      <c r="P76" s="11" t="s">
        <v>994</v>
      </c>
      <c r="Q76" s="11" t="s">
        <v>994</v>
      </c>
      <c r="R76" s="11" t="s">
        <v>994</v>
      </c>
      <c r="S76" s="11" t="s">
        <v>994</v>
      </c>
      <c r="T76" s="11" t="s">
        <v>994</v>
      </c>
      <c r="U76" s="11" t="s">
        <v>994</v>
      </c>
      <c r="V76" s="11" t="s">
        <v>994</v>
      </c>
      <c r="W76" s="11" t="s">
        <v>994</v>
      </c>
      <c r="X76" s="11" t="s">
        <v>994</v>
      </c>
      <c r="Y76" s="11" t="s">
        <v>994</v>
      </c>
      <c r="Z76" s="11" t="s">
        <v>994</v>
      </c>
      <c r="AA76" s="11" t="s">
        <v>994</v>
      </c>
      <c r="AB76" s="11" t="s">
        <v>994</v>
      </c>
      <c r="AC76" s="11" t="s">
        <v>994</v>
      </c>
      <c r="AD76" s="11" t="s">
        <v>994</v>
      </c>
    </row>
    <row r="77">
      <c r="B77" s="12" t="s">
        <v>994</v>
      </c>
      <c r="C77" s="11" t="s">
        <v>994</v>
      </c>
      <c r="D77" s="11" t="s">
        <v>994</v>
      </c>
      <c r="E77" s="12" t="s">
        <v>994</v>
      </c>
      <c r="F77" s="12" t="s">
        <v>994</v>
      </c>
      <c r="G77" s="12" t="s">
        <v>994</v>
      </c>
      <c r="H77" s="12" t="s">
        <v>994</v>
      </c>
      <c r="I77" s="12" t="s">
        <v>994</v>
      </c>
      <c r="J77" s="12" t="s">
        <v>994</v>
      </c>
      <c r="K77" s="12" t="s">
        <v>994</v>
      </c>
      <c r="L77" s="13" t="s">
        <v>994</v>
      </c>
      <c r="M77" s="11" t="s">
        <v>994</v>
      </c>
      <c r="N77" s="11" t="s">
        <v>994</v>
      </c>
      <c r="O77" s="11" t="s">
        <v>994</v>
      </c>
      <c r="P77" s="11" t="s">
        <v>994</v>
      </c>
      <c r="Q77" s="11" t="s">
        <v>994</v>
      </c>
      <c r="R77" s="11" t="s">
        <v>994</v>
      </c>
      <c r="S77" s="11" t="s">
        <v>994</v>
      </c>
      <c r="T77" s="11" t="s">
        <v>994</v>
      </c>
      <c r="U77" s="11" t="s">
        <v>994</v>
      </c>
      <c r="V77" s="11" t="s">
        <v>994</v>
      </c>
      <c r="W77" s="11" t="s">
        <v>994</v>
      </c>
      <c r="X77" s="11" t="s">
        <v>994</v>
      </c>
      <c r="Y77" s="11" t="s">
        <v>994</v>
      </c>
      <c r="Z77" s="11" t="s">
        <v>994</v>
      </c>
      <c r="AA77" s="11" t="s">
        <v>994</v>
      </c>
      <c r="AB77" s="11" t="s">
        <v>994</v>
      </c>
      <c r="AC77" s="11" t="s">
        <v>994</v>
      </c>
      <c r="AD77" s="11" t="s">
        <v>994</v>
      </c>
    </row>
    <row r="78">
      <c r="B78" s="12" t="s">
        <v>994</v>
      </c>
      <c r="C78" s="11" t="s">
        <v>994</v>
      </c>
      <c r="D78" s="11" t="s">
        <v>994</v>
      </c>
      <c r="E78" s="12" t="s">
        <v>994</v>
      </c>
      <c r="F78" s="12" t="s">
        <v>994</v>
      </c>
      <c r="G78" s="12" t="s">
        <v>994</v>
      </c>
      <c r="H78" s="12" t="s">
        <v>994</v>
      </c>
      <c r="I78" s="12" t="s">
        <v>994</v>
      </c>
      <c r="J78" s="12" t="s">
        <v>994</v>
      </c>
      <c r="K78" s="12" t="s">
        <v>994</v>
      </c>
      <c r="L78" s="13" t="s">
        <v>994</v>
      </c>
      <c r="M78" s="11" t="s">
        <v>994</v>
      </c>
      <c r="N78" s="11" t="s">
        <v>994</v>
      </c>
      <c r="O78" s="11" t="s">
        <v>994</v>
      </c>
      <c r="P78" s="11" t="s">
        <v>994</v>
      </c>
      <c r="Q78" s="11" t="s">
        <v>994</v>
      </c>
      <c r="R78" s="11" t="s">
        <v>994</v>
      </c>
      <c r="S78" s="11" t="s">
        <v>994</v>
      </c>
      <c r="T78" s="11" t="s">
        <v>994</v>
      </c>
      <c r="U78" s="11" t="s">
        <v>994</v>
      </c>
      <c r="V78" s="11" t="s">
        <v>994</v>
      </c>
      <c r="W78" s="11" t="s">
        <v>994</v>
      </c>
      <c r="X78" s="11" t="s">
        <v>994</v>
      </c>
      <c r="Y78" s="11" t="s">
        <v>994</v>
      </c>
      <c r="Z78" s="11" t="s">
        <v>994</v>
      </c>
      <c r="AA78" s="11" t="s">
        <v>994</v>
      </c>
      <c r="AB78" s="11" t="s">
        <v>994</v>
      </c>
      <c r="AC78" s="11" t="s">
        <v>994</v>
      </c>
      <c r="AD78" s="11" t="s">
        <v>994</v>
      </c>
    </row>
    <row r="79">
      <c r="B79" s="12" t="s">
        <v>994</v>
      </c>
      <c r="C79" s="11" t="s">
        <v>994</v>
      </c>
      <c r="D79" s="11" t="s">
        <v>994</v>
      </c>
      <c r="E79" s="12" t="s">
        <v>994</v>
      </c>
      <c r="F79" s="12" t="s">
        <v>994</v>
      </c>
      <c r="G79" s="12" t="s">
        <v>994</v>
      </c>
      <c r="H79" s="12" t="s">
        <v>994</v>
      </c>
      <c r="I79" s="12" t="s">
        <v>994</v>
      </c>
      <c r="J79" s="12" t="s">
        <v>994</v>
      </c>
      <c r="K79" s="12" t="s">
        <v>994</v>
      </c>
      <c r="L79" s="13" t="s">
        <v>994</v>
      </c>
      <c r="M79" s="11" t="s">
        <v>994</v>
      </c>
      <c r="N79" s="11" t="s">
        <v>994</v>
      </c>
      <c r="O79" s="11" t="s">
        <v>994</v>
      </c>
      <c r="P79" s="11" t="s">
        <v>994</v>
      </c>
      <c r="Q79" s="11" t="s">
        <v>994</v>
      </c>
      <c r="R79" s="11" t="s">
        <v>994</v>
      </c>
      <c r="S79" s="11" t="s">
        <v>994</v>
      </c>
      <c r="T79" s="11" t="s">
        <v>994</v>
      </c>
      <c r="U79" s="11" t="s">
        <v>994</v>
      </c>
      <c r="V79" s="11" t="s">
        <v>994</v>
      </c>
      <c r="W79" s="11" t="s">
        <v>994</v>
      </c>
      <c r="X79" s="11" t="s">
        <v>994</v>
      </c>
      <c r="Y79" s="11" t="s">
        <v>994</v>
      </c>
      <c r="Z79" s="11" t="s">
        <v>994</v>
      </c>
      <c r="AA79" s="11" t="s">
        <v>994</v>
      </c>
      <c r="AB79" s="11" t="s">
        <v>994</v>
      </c>
      <c r="AC79" s="11" t="s">
        <v>994</v>
      </c>
      <c r="AD79" s="11" t="s">
        <v>994</v>
      </c>
    </row>
    <row r="80">
      <c r="B80" s="12" t="s">
        <v>994</v>
      </c>
      <c r="C80" s="11" t="s">
        <v>994</v>
      </c>
      <c r="D80" s="11" t="s">
        <v>994</v>
      </c>
      <c r="E80" s="12" t="s">
        <v>994</v>
      </c>
      <c r="F80" s="12" t="s">
        <v>994</v>
      </c>
      <c r="G80" s="12" t="s">
        <v>994</v>
      </c>
      <c r="H80" s="12" t="s">
        <v>994</v>
      </c>
      <c r="I80" s="12" t="s">
        <v>994</v>
      </c>
      <c r="J80" s="12" t="s">
        <v>994</v>
      </c>
      <c r="K80" s="12" t="s">
        <v>994</v>
      </c>
      <c r="L80" s="13" t="s">
        <v>994</v>
      </c>
      <c r="M80" s="11" t="s">
        <v>994</v>
      </c>
      <c r="N80" s="11" t="s">
        <v>994</v>
      </c>
      <c r="O80" s="11" t="s">
        <v>994</v>
      </c>
      <c r="P80" s="11" t="s">
        <v>994</v>
      </c>
      <c r="Q80" s="11" t="s">
        <v>994</v>
      </c>
      <c r="R80" s="11" t="s">
        <v>994</v>
      </c>
      <c r="S80" s="11" t="s">
        <v>994</v>
      </c>
      <c r="T80" s="11" t="s">
        <v>994</v>
      </c>
      <c r="U80" s="11" t="s">
        <v>994</v>
      </c>
      <c r="V80" s="11" t="s">
        <v>994</v>
      </c>
      <c r="W80" s="11" t="s">
        <v>994</v>
      </c>
      <c r="X80" s="11" t="s">
        <v>994</v>
      </c>
      <c r="Y80" s="11" t="s">
        <v>994</v>
      </c>
      <c r="Z80" s="11" t="s">
        <v>994</v>
      </c>
      <c r="AA80" s="11" t="s">
        <v>994</v>
      </c>
      <c r="AB80" s="11" t="s">
        <v>994</v>
      </c>
      <c r="AC80" s="11" t="s">
        <v>994</v>
      </c>
      <c r="AD80" s="11" t="s">
        <v>994</v>
      </c>
    </row>
    <row r="81">
      <c r="B81" s="12" t="s">
        <v>994</v>
      </c>
      <c r="C81" s="11" t="s">
        <v>994</v>
      </c>
      <c r="D81" s="11" t="s">
        <v>994</v>
      </c>
      <c r="E81" s="12" t="s">
        <v>994</v>
      </c>
      <c r="F81" s="12" t="s">
        <v>994</v>
      </c>
      <c r="G81" s="12" t="s">
        <v>994</v>
      </c>
      <c r="H81" s="12" t="s">
        <v>994</v>
      </c>
      <c r="I81" s="12" t="s">
        <v>994</v>
      </c>
      <c r="J81" s="12" t="s">
        <v>994</v>
      </c>
      <c r="K81" s="12" t="s">
        <v>994</v>
      </c>
      <c r="L81" s="13" t="s">
        <v>994</v>
      </c>
      <c r="M81" s="11" t="s">
        <v>994</v>
      </c>
      <c r="N81" s="11" t="s">
        <v>994</v>
      </c>
      <c r="O81" s="11" t="s">
        <v>994</v>
      </c>
      <c r="P81" s="11" t="s">
        <v>994</v>
      </c>
      <c r="Q81" s="11" t="s">
        <v>994</v>
      </c>
      <c r="R81" s="11" t="s">
        <v>994</v>
      </c>
      <c r="S81" s="11" t="s">
        <v>994</v>
      </c>
      <c r="T81" s="11" t="s">
        <v>994</v>
      </c>
      <c r="U81" s="11" t="s">
        <v>994</v>
      </c>
      <c r="V81" s="11" t="s">
        <v>994</v>
      </c>
      <c r="W81" s="11" t="s">
        <v>994</v>
      </c>
      <c r="X81" s="11" t="s">
        <v>994</v>
      </c>
      <c r="Y81" s="11" t="s">
        <v>994</v>
      </c>
      <c r="Z81" s="11" t="s">
        <v>994</v>
      </c>
      <c r="AA81" s="11" t="s">
        <v>994</v>
      </c>
      <c r="AB81" s="11" t="s">
        <v>994</v>
      </c>
      <c r="AC81" s="11" t="s">
        <v>994</v>
      </c>
      <c r="AD81" s="11" t="s">
        <v>994</v>
      </c>
    </row>
    <row r="82">
      <c r="B82" s="12" t="s">
        <v>994</v>
      </c>
      <c r="C82" s="11" t="s">
        <v>994</v>
      </c>
      <c r="D82" s="11" t="s">
        <v>994</v>
      </c>
      <c r="E82" s="12" t="s">
        <v>994</v>
      </c>
      <c r="F82" s="12" t="s">
        <v>994</v>
      </c>
      <c r="G82" s="12" t="s">
        <v>994</v>
      </c>
      <c r="H82" s="12" t="s">
        <v>994</v>
      </c>
      <c r="I82" s="12" t="s">
        <v>994</v>
      </c>
      <c r="J82" s="12" t="s">
        <v>994</v>
      </c>
      <c r="K82" s="12" t="s">
        <v>994</v>
      </c>
      <c r="L82" s="13" t="s">
        <v>994</v>
      </c>
      <c r="M82" s="11" t="s">
        <v>994</v>
      </c>
      <c r="N82" s="11" t="s">
        <v>994</v>
      </c>
      <c r="O82" s="11" t="s">
        <v>994</v>
      </c>
      <c r="P82" s="11" t="s">
        <v>994</v>
      </c>
      <c r="Q82" s="11" t="s">
        <v>994</v>
      </c>
      <c r="R82" s="11" t="s">
        <v>994</v>
      </c>
      <c r="S82" s="11" t="s">
        <v>994</v>
      </c>
      <c r="T82" s="11" t="s">
        <v>994</v>
      </c>
      <c r="U82" s="11" t="s">
        <v>994</v>
      </c>
      <c r="V82" s="11" t="s">
        <v>994</v>
      </c>
      <c r="W82" s="11" t="s">
        <v>994</v>
      </c>
      <c r="X82" s="11" t="s">
        <v>994</v>
      </c>
      <c r="Y82" s="11" t="s">
        <v>994</v>
      </c>
      <c r="Z82" s="11" t="s">
        <v>994</v>
      </c>
      <c r="AA82" s="11" t="s">
        <v>994</v>
      </c>
      <c r="AB82" s="11" t="s">
        <v>994</v>
      </c>
      <c r="AC82" s="11" t="s">
        <v>994</v>
      </c>
      <c r="AD82" s="11" t="s">
        <v>994</v>
      </c>
    </row>
    <row r="83">
      <c r="B83" s="12" t="s">
        <v>994</v>
      </c>
      <c r="C83" s="11" t="s">
        <v>994</v>
      </c>
      <c r="D83" s="11" t="s">
        <v>994</v>
      </c>
      <c r="E83" s="12" t="s">
        <v>994</v>
      </c>
      <c r="F83" s="12" t="s">
        <v>994</v>
      </c>
      <c r="G83" s="12" t="s">
        <v>994</v>
      </c>
      <c r="H83" s="12" t="s">
        <v>994</v>
      </c>
      <c r="I83" s="12" t="s">
        <v>994</v>
      </c>
      <c r="J83" s="12" t="s">
        <v>994</v>
      </c>
      <c r="K83" s="12" t="s">
        <v>994</v>
      </c>
      <c r="L83" s="13" t="s">
        <v>994</v>
      </c>
      <c r="M83" s="11" t="s">
        <v>994</v>
      </c>
      <c r="N83" s="11" t="s">
        <v>994</v>
      </c>
      <c r="O83" s="11" t="s">
        <v>994</v>
      </c>
      <c r="P83" s="11" t="s">
        <v>994</v>
      </c>
      <c r="Q83" s="11" t="s">
        <v>994</v>
      </c>
      <c r="R83" s="11" t="s">
        <v>994</v>
      </c>
      <c r="S83" s="11" t="s">
        <v>994</v>
      </c>
      <c r="T83" s="11" t="s">
        <v>994</v>
      </c>
      <c r="U83" s="11" t="s">
        <v>994</v>
      </c>
      <c r="V83" s="11" t="s">
        <v>994</v>
      </c>
      <c r="W83" s="11" t="s">
        <v>994</v>
      </c>
      <c r="X83" s="11" t="s">
        <v>994</v>
      </c>
      <c r="Y83" s="11" t="s">
        <v>994</v>
      </c>
      <c r="Z83" s="11" t="s">
        <v>994</v>
      </c>
      <c r="AA83" s="11" t="s">
        <v>994</v>
      </c>
      <c r="AB83" s="11" t="s">
        <v>994</v>
      </c>
      <c r="AC83" s="11" t="s">
        <v>994</v>
      </c>
      <c r="AD83" s="11" t="s">
        <v>994</v>
      </c>
    </row>
    <row r="84">
      <c r="B84" s="12" t="s">
        <v>994</v>
      </c>
      <c r="C84" s="11" t="s">
        <v>994</v>
      </c>
      <c r="D84" s="11" t="s">
        <v>994</v>
      </c>
      <c r="E84" s="12" t="s">
        <v>994</v>
      </c>
      <c r="F84" s="12" t="s">
        <v>994</v>
      </c>
      <c r="G84" s="12" t="s">
        <v>994</v>
      </c>
      <c r="H84" s="12" t="s">
        <v>994</v>
      </c>
      <c r="I84" s="12" t="s">
        <v>994</v>
      </c>
      <c r="J84" s="12" t="s">
        <v>994</v>
      </c>
      <c r="K84" s="12" t="s">
        <v>994</v>
      </c>
      <c r="L84" s="13" t="s">
        <v>994</v>
      </c>
      <c r="M84" s="11" t="s">
        <v>994</v>
      </c>
      <c r="N84" s="11" t="s">
        <v>994</v>
      </c>
      <c r="O84" s="11" t="s">
        <v>994</v>
      </c>
      <c r="P84" s="11" t="s">
        <v>994</v>
      </c>
      <c r="Q84" s="11" t="s">
        <v>994</v>
      </c>
      <c r="R84" s="11" t="s">
        <v>994</v>
      </c>
      <c r="S84" s="11" t="s">
        <v>994</v>
      </c>
      <c r="T84" s="11" t="s">
        <v>994</v>
      </c>
      <c r="U84" s="11" t="s">
        <v>994</v>
      </c>
      <c r="V84" s="11" t="s">
        <v>994</v>
      </c>
      <c r="W84" s="11" t="s">
        <v>994</v>
      </c>
      <c r="X84" s="11" t="s">
        <v>994</v>
      </c>
      <c r="Y84" s="11" t="s">
        <v>994</v>
      </c>
      <c r="Z84" s="11" t="s">
        <v>994</v>
      </c>
      <c r="AA84" s="11" t="s">
        <v>994</v>
      </c>
      <c r="AB84" s="11" t="s">
        <v>994</v>
      </c>
      <c r="AC84" s="11" t="s">
        <v>994</v>
      </c>
      <c r="AD84" s="11" t="s">
        <v>994</v>
      </c>
    </row>
    <row r="85">
      <c r="B85" s="12" t="s">
        <v>994</v>
      </c>
      <c r="C85" s="11" t="s">
        <v>994</v>
      </c>
      <c r="D85" s="11" t="s">
        <v>994</v>
      </c>
      <c r="E85" s="12" t="s">
        <v>994</v>
      </c>
      <c r="F85" s="12" t="s">
        <v>994</v>
      </c>
      <c r="G85" s="12" t="s">
        <v>994</v>
      </c>
      <c r="H85" s="12" t="s">
        <v>994</v>
      </c>
      <c r="I85" s="12" t="s">
        <v>994</v>
      </c>
      <c r="J85" s="12" t="s">
        <v>994</v>
      </c>
      <c r="K85" s="12" t="s">
        <v>994</v>
      </c>
      <c r="L85" s="13" t="s">
        <v>994</v>
      </c>
      <c r="M85" s="11" t="s">
        <v>994</v>
      </c>
      <c r="N85" s="11" t="s">
        <v>994</v>
      </c>
      <c r="O85" s="11" t="s">
        <v>994</v>
      </c>
      <c r="P85" s="11" t="s">
        <v>994</v>
      </c>
      <c r="Q85" s="11" t="s">
        <v>994</v>
      </c>
      <c r="R85" s="11" t="s">
        <v>994</v>
      </c>
      <c r="S85" s="11" t="s">
        <v>994</v>
      </c>
      <c r="T85" s="11" t="s">
        <v>994</v>
      </c>
      <c r="U85" s="11" t="s">
        <v>994</v>
      </c>
      <c r="V85" s="11" t="s">
        <v>994</v>
      </c>
      <c r="W85" s="11" t="s">
        <v>994</v>
      </c>
      <c r="X85" s="11" t="s">
        <v>994</v>
      </c>
      <c r="Y85" s="11" t="s">
        <v>994</v>
      </c>
      <c r="Z85" s="11" t="s">
        <v>994</v>
      </c>
      <c r="AA85" s="11" t="s">
        <v>994</v>
      </c>
      <c r="AB85" s="11" t="s">
        <v>994</v>
      </c>
      <c r="AC85" s="11" t="s">
        <v>994</v>
      </c>
      <c r="AD85" s="11" t="s">
        <v>994</v>
      </c>
    </row>
    <row r="86">
      <c r="B86" s="12" t="s">
        <v>994</v>
      </c>
      <c r="C86" s="11" t="s">
        <v>994</v>
      </c>
      <c r="D86" s="11" t="s">
        <v>994</v>
      </c>
      <c r="E86" s="12" t="s">
        <v>994</v>
      </c>
      <c r="F86" s="12" t="s">
        <v>994</v>
      </c>
      <c r="G86" s="12" t="s">
        <v>994</v>
      </c>
      <c r="H86" s="12" t="s">
        <v>994</v>
      </c>
      <c r="I86" s="12" t="s">
        <v>994</v>
      </c>
      <c r="J86" s="12" t="s">
        <v>994</v>
      </c>
      <c r="K86" s="12" t="s">
        <v>994</v>
      </c>
      <c r="L86" s="13" t="s">
        <v>994</v>
      </c>
      <c r="M86" s="11" t="s">
        <v>994</v>
      </c>
      <c r="N86" s="11" t="s">
        <v>994</v>
      </c>
      <c r="O86" s="11" t="s">
        <v>994</v>
      </c>
      <c r="P86" s="11" t="s">
        <v>994</v>
      </c>
      <c r="Q86" s="11" t="s">
        <v>994</v>
      </c>
      <c r="R86" s="11" t="s">
        <v>994</v>
      </c>
      <c r="S86" s="11" t="s">
        <v>994</v>
      </c>
      <c r="T86" s="11" t="s">
        <v>994</v>
      </c>
      <c r="U86" s="11" t="s">
        <v>994</v>
      </c>
      <c r="V86" s="11" t="s">
        <v>994</v>
      </c>
      <c r="W86" s="11" t="s">
        <v>994</v>
      </c>
      <c r="X86" s="11" t="s">
        <v>994</v>
      </c>
      <c r="Y86" s="11" t="s">
        <v>994</v>
      </c>
      <c r="Z86" s="11" t="s">
        <v>994</v>
      </c>
      <c r="AA86" s="11" t="s">
        <v>994</v>
      </c>
      <c r="AB86" s="11" t="s">
        <v>994</v>
      </c>
      <c r="AC86" s="11" t="s">
        <v>994</v>
      </c>
      <c r="AD86" s="11" t="s">
        <v>994</v>
      </c>
    </row>
    <row r="87">
      <c r="B87" s="12" t="s">
        <v>994</v>
      </c>
      <c r="C87" s="11" t="s">
        <v>994</v>
      </c>
      <c r="D87" s="11" t="s">
        <v>994</v>
      </c>
      <c r="E87" s="12" t="s">
        <v>994</v>
      </c>
      <c r="F87" s="12" t="s">
        <v>994</v>
      </c>
      <c r="G87" s="12" t="s">
        <v>994</v>
      </c>
      <c r="H87" s="12" t="s">
        <v>994</v>
      </c>
      <c r="I87" s="12" t="s">
        <v>994</v>
      </c>
      <c r="J87" s="12" t="s">
        <v>994</v>
      </c>
      <c r="K87" s="12" t="s">
        <v>994</v>
      </c>
      <c r="L87" s="13" t="s">
        <v>994</v>
      </c>
      <c r="M87" s="11" t="s">
        <v>994</v>
      </c>
      <c r="N87" s="11" t="s">
        <v>994</v>
      </c>
      <c r="O87" s="11" t="s">
        <v>994</v>
      </c>
      <c r="P87" s="11" t="s">
        <v>994</v>
      </c>
      <c r="Q87" s="11" t="s">
        <v>994</v>
      </c>
      <c r="R87" s="11" t="s">
        <v>994</v>
      </c>
      <c r="S87" s="11" t="s">
        <v>994</v>
      </c>
      <c r="T87" s="11" t="s">
        <v>994</v>
      </c>
      <c r="U87" s="11" t="s">
        <v>994</v>
      </c>
      <c r="V87" s="11" t="s">
        <v>994</v>
      </c>
      <c r="W87" s="11" t="s">
        <v>994</v>
      </c>
      <c r="X87" s="11" t="s">
        <v>994</v>
      </c>
      <c r="Y87" s="11" t="s">
        <v>994</v>
      </c>
      <c r="Z87" s="11" t="s">
        <v>994</v>
      </c>
      <c r="AA87" s="11" t="s">
        <v>994</v>
      </c>
      <c r="AB87" s="11" t="s">
        <v>994</v>
      </c>
      <c r="AC87" s="11" t="s">
        <v>994</v>
      </c>
      <c r="AD87" s="11" t="s">
        <v>994</v>
      </c>
    </row>
    <row r="88">
      <c r="B88" s="12" t="s">
        <v>994</v>
      </c>
      <c r="C88" s="11" t="s">
        <v>994</v>
      </c>
      <c r="D88" s="11" t="s">
        <v>994</v>
      </c>
      <c r="E88" s="12" t="s">
        <v>994</v>
      </c>
      <c r="F88" s="12" t="s">
        <v>994</v>
      </c>
      <c r="G88" s="12" t="s">
        <v>994</v>
      </c>
      <c r="H88" s="12" t="s">
        <v>994</v>
      </c>
      <c r="I88" s="12" t="s">
        <v>994</v>
      </c>
      <c r="J88" s="12" t="s">
        <v>994</v>
      </c>
      <c r="K88" s="12" t="s">
        <v>994</v>
      </c>
      <c r="L88" s="13" t="s">
        <v>994</v>
      </c>
      <c r="M88" s="11" t="s">
        <v>994</v>
      </c>
      <c r="N88" s="11" t="s">
        <v>994</v>
      </c>
      <c r="O88" s="11" t="s">
        <v>994</v>
      </c>
      <c r="P88" s="11" t="s">
        <v>994</v>
      </c>
      <c r="Q88" s="11" t="s">
        <v>994</v>
      </c>
      <c r="R88" s="11" t="s">
        <v>994</v>
      </c>
      <c r="S88" s="11" t="s">
        <v>994</v>
      </c>
      <c r="T88" s="11" t="s">
        <v>994</v>
      </c>
      <c r="U88" s="11" t="s">
        <v>994</v>
      </c>
      <c r="V88" s="11" t="s">
        <v>994</v>
      </c>
      <c r="W88" s="11" t="s">
        <v>994</v>
      </c>
      <c r="X88" s="11" t="s">
        <v>994</v>
      </c>
      <c r="Y88" s="11" t="s">
        <v>994</v>
      </c>
      <c r="Z88" s="11" t="s">
        <v>994</v>
      </c>
      <c r="AA88" s="11" t="s">
        <v>994</v>
      </c>
      <c r="AB88" s="11" t="s">
        <v>994</v>
      </c>
      <c r="AC88" s="11" t="s">
        <v>994</v>
      </c>
      <c r="AD88" s="11" t="s">
        <v>994</v>
      </c>
    </row>
    <row r="89">
      <c r="B89" s="12" t="s">
        <v>994</v>
      </c>
      <c r="C89" s="11" t="s">
        <v>994</v>
      </c>
      <c r="D89" s="11" t="s">
        <v>994</v>
      </c>
      <c r="E89" s="12" t="s">
        <v>994</v>
      </c>
      <c r="F89" s="12" t="s">
        <v>994</v>
      </c>
      <c r="G89" s="12" t="s">
        <v>994</v>
      </c>
      <c r="H89" s="12" t="s">
        <v>994</v>
      </c>
      <c r="I89" s="12" t="s">
        <v>994</v>
      </c>
      <c r="J89" s="12" t="s">
        <v>994</v>
      </c>
      <c r="K89" s="12" t="s">
        <v>994</v>
      </c>
      <c r="L89" s="13" t="s">
        <v>994</v>
      </c>
      <c r="M89" s="11" t="s">
        <v>994</v>
      </c>
      <c r="N89" s="11" t="s">
        <v>994</v>
      </c>
      <c r="O89" s="11" t="s">
        <v>994</v>
      </c>
      <c r="P89" s="11" t="s">
        <v>994</v>
      </c>
      <c r="Q89" s="11" t="s">
        <v>994</v>
      </c>
      <c r="R89" s="11" t="s">
        <v>994</v>
      </c>
      <c r="S89" s="11" t="s">
        <v>994</v>
      </c>
      <c r="T89" s="11" t="s">
        <v>994</v>
      </c>
      <c r="U89" s="11" t="s">
        <v>994</v>
      </c>
      <c r="V89" s="11" t="s">
        <v>994</v>
      </c>
      <c r="W89" s="11" t="s">
        <v>994</v>
      </c>
      <c r="X89" s="11" t="s">
        <v>994</v>
      </c>
      <c r="Y89" s="11" t="s">
        <v>994</v>
      </c>
      <c r="Z89" s="11" t="s">
        <v>994</v>
      </c>
      <c r="AA89" s="11" t="s">
        <v>994</v>
      </c>
      <c r="AB89" s="11" t="s">
        <v>994</v>
      </c>
      <c r="AC89" s="11" t="s">
        <v>994</v>
      </c>
      <c r="AD89" s="11" t="s">
        <v>994</v>
      </c>
    </row>
    <row r="90">
      <c r="B90" s="12" t="s">
        <v>994</v>
      </c>
      <c r="C90" s="11" t="s">
        <v>994</v>
      </c>
      <c r="D90" s="11" t="s">
        <v>994</v>
      </c>
      <c r="E90" s="12" t="s">
        <v>994</v>
      </c>
      <c r="F90" s="12" t="s">
        <v>994</v>
      </c>
      <c r="G90" s="12" t="s">
        <v>994</v>
      </c>
      <c r="H90" s="12" t="s">
        <v>994</v>
      </c>
      <c r="I90" s="12" t="s">
        <v>994</v>
      </c>
      <c r="J90" s="12" t="s">
        <v>994</v>
      </c>
      <c r="K90" s="12" t="s">
        <v>994</v>
      </c>
      <c r="L90" s="13" t="s">
        <v>994</v>
      </c>
      <c r="M90" s="11" t="s">
        <v>994</v>
      </c>
      <c r="N90" s="11" t="s">
        <v>994</v>
      </c>
      <c r="O90" s="11" t="s">
        <v>994</v>
      </c>
      <c r="P90" s="11" t="s">
        <v>994</v>
      </c>
      <c r="Q90" s="11" t="s">
        <v>994</v>
      </c>
      <c r="R90" s="11" t="s">
        <v>994</v>
      </c>
      <c r="S90" s="11" t="s">
        <v>994</v>
      </c>
      <c r="T90" s="11" t="s">
        <v>994</v>
      </c>
      <c r="U90" s="11" t="s">
        <v>994</v>
      </c>
      <c r="V90" s="11" t="s">
        <v>994</v>
      </c>
      <c r="W90" s="11" t="s">
        <v>994</v>
      </c>
      <c r="X90" s="11" t="s">
        <v>994</v>
      </c>
      <c r="Y90" s="11" t="s">
        <v>994</v>
      </c>
      <c r="Z90" s="11" t="s">
        <v>994</v>
      </c>
      <c r="AA90" s="11" t="s">
        <v>994</v>
      </c>
      <c r="AB90" s="11" t="s">
        <v>994</v>
      </c>
      <c r="AC90" s="11" t="s">
        <v>994</v>
      </c>
      <c r="AD90" s="11" t="s">
        <v>994</v>
      </c>
    </row>
    <row r="91">
      <c r="B91" s="12" t="s">
        <v>994</v>
      </c>
      <c r="C91" s="11" t="s">
        <v>994</v>
      </c>
      <c r="D91" s="11" t="s">
        <v>994</v>
      </c>
      <c r="E91" s="12" t="s">
        <v>994</v>
      </c>
      <c r="F91" s="12" t="s">
        <v>994</v>
      </c>
      <c r="G91" s="12" t="s">
        <v>994</v>
      </c>
      <c r="H91" s="12" t="s">
        <v>994</v>
      </c>
      <c r="I91" s="12" t="s">
        <v>994</v>
      </c>
      <c r="J91" s="12" t="s">
        <v>994</v>
      </c>
      <c r="K91" s="12" t="s">
        <v>994</v>
      </c>
      <c r="L91" s="13" t="s">
        <v>994</v>
      </c>
      <c r="M91" s="11" t="s">
        <v>994</v>
      </c>
      <c r="N91" s="11" t="s">
        <v>994</v>
      </c>
      <c r="O91" s="11" t="s">
        <v>994</v>
      </c>
      <c r="P91" s="11" t="s">
        <v>994</v>
      </c>
      <c r="Q91" s="11" t="s">
        <v>994</v>
      </c>
      <c r="R91" s="11" t="s">
        <v>994</v>
      </c>
      <c r="S91" s="11" t="s">
        <v>994</v>
      </c>
      <c r="T91" s="11" t="s">
        <v>994</v>
      </c>
      <c r="U91" s="11" t="s">
        <v>994</v>
      </c>
      <c r="V91" s="11" t="s">
        <v>994</v>
      </c>
      <c r="W91" s="11" t="s">
        <v>994</v>
      </c>
      <c r="X91" s="11" t="s">
        <v>994</v>
      </c>
      <c r="Y91" s="11" t="s">
        <v>994</v>
      </c>
      <c r="Z91" s="11" t="s">
        <v>994</v>
      </c>
      <c r="AA91" s="11" t="s">
        <v>994</v>
      </c>
      <c r="AB91" s="11" t="s">
        <v>994</v>
      </c>
      <c r="AC91" s="11" t="s">
        <v>994</v>
      </c>
      <c r="AD91" s="11" t="s">
        <v>994</v>
      </c>
    </row>
    <row r="92">
      <c r="B92" s="12" t="s">
        <v>994</v>
      </c>
      <c r="C92" s="11" t="s">
        <v>994</v>
      </c>
      <c r="D92" s="11" t="s">
        <v>994</v>
      </c>
      <c r="E92" s="12" t="s">
        <v>994</v>
      </c>
      <c r="F92" s="12" t="s">
        <v>994</v>
      </c>
      <c r="G92" s="12" t="s">
        <v>994</v>
      </c>
      <c r="H92" s="12" t="s">
        <v>994</v>
      </c>
      <c r="I92" s="12" t="s">
        <v>994</v>
      </c>
      <c r="J92" s="12" t="s">
        <v>994</v>
      </c>
      <c r="K92" s="12" t="s">
        <v>994</v>
      </c>
      <c r="L92" s="13" t="s">
        <v>994</v>
      </c>
      <c r="M92" s="11" t="s">
        <v>994</v>
      </c>
      <c r="N92" s="11" t="s">
        <v>994</v>
      </c>
      <c r="O92" s="11" t="s">
        <v>994</v>
      </c>
      <c r="P92" s="11" t="s">
        <v>994</v>
      </c>
      <c r="Q92" s="11" t="s">
        <v>994</v>
      </c>
      <c r="R92" s="11" t="s">
        <v>994</v>
      </c>
      <c r="S92" s="11" t="s">
        <v>994</v>
      </c>
      <c r="T92" s="11" t="s">
        <v>994</v>
      </c>
      <c r="U92" s="11" t="s">
        <v>994</v>
      </c>
      <c r="V92" s="11" t="s">
        <v>994</v>
      </c>
      <c r="W92" s="11" t="s">
        <v>994</v>
      </c>
      <c r="X92" s="11" t="s">
        <v>994</v>
      </c>
      <c r="Y92" s="11" t="s">
        <v>994</v>
      </c>
      <c r="Z92" s="11" t="s">
        <v>994</v>
      </c>
      <c r="AA92" s="11" t="s">
        <v>994</v>
      </c>
      <c r="AB92" s="11" t="s">
        <v>994</v>
      </c>
      <c r="AC92" s="11" t="s">
        <v>994</v>
      </c>
      <c r="AD92" s="11" t="s">
        <v>994</v>
      </c>
    </row>
    <row r="93">
      <c r="B93" s="12" t="s">
        <v>994</v>
      </c>
      <c r="C93" s="11" t="s">
        <v>994</v>
      </c>
      <c r="D93" s="11" t="s">
        <v>994</v>
      </c>
      <c r="E93" s="12" t="s">
        <v>994</v>
      </c>
      <c r="F93" s="12" t="s">
        <v>994</v>
      </c>
      <c r="G93" s="12" t="s">
        <v>994</v>
      </c>
      <c r="H93" s="12" t="s">
        <v>994</v>
      </c>
      <c r="I93" s="12" t="s">
        <v>994</v>
      </c>
      <c r="J93" s="12" t="s">
        <v>994</v>
      </c>
      <c r="K93" s="12" t="s">
        <v>994</v>
      </c>
      <c r="L93" s="13" t="s">
        <v>994</v>
      </c>
      <c r="M93" s="11" t="s">
        <v>994</v>
      </c>
      <c r="N93" s="11" t="s">
        <v>994</v>
      </c>
      <c r="O93" s="11" t="s">
        <v>994</v>
      </c>
      <c r="P93" s="11" t="s">
        <v>994</v>
      </c>
      <c r="Q93" s="11" t="s">
        <v>994</v>
      </c>
      <c r="R93" s="11" t="s">
        <v>994</v>
      </c>
      <c r="S93" s="11" t="s">
        <v>994</v>
      </c>
      <c r="T93" s="11" t="s">
        <v>994</v>
      </c>
      <c r="U93" s="11" t="s">
        <v>994</v>
      </c>
      <c r="V93" s="11" t="s">
        <v>994</v>
      </c>
      <c r="W93" s="11" t="s">
        <v>994</v>
      </c>
      <c r="X93" s="11" t="s">
        <v>994</v>
      </c>
      <c r="Y93" s="11" t="s">
        <v>994</v>
      </c>
      <c r="Z93" s="11" t="s">
        <v>994</v>
      </c>
      <c r="AA93" s="11" t="s">
        <v>994</v>
      </c>
      <c r="AB93" s="11" t="s">
        <v>994</v>
      </c>
      <c r="AC93" s="11" t="s">
        <v>994</v>
      </c>
      <c r="AD93" s="11" t="s">
        <v>994</v>
      </c>
    </row>
    <row r="94">
      <c r="B94" s="12" t="s">
        <v>994</v>
      </c>
      <c r="C94" s="11" t="s">
        <v>994</v>
      </c>
      <c r="D94" s="11" t="s">
        <v>994</v>
      </c>
      <c r="E94" s="12" t="s">
        <v>994</v>
      </c>
      <c r="F94" s="12" t="s">
        <v>994</v>
      </c>
      <c r="G94" s="12" t="s">
        <v>994</v>
      </c>
      <c r="H94" s="12" t="s">
        <v>994</v>
      </c>
      <c r="I94" s="12" t="s">
        <v>994</v>
      </c>
      <c r="J94" s="12" t="s">
        <v>994</v>
      </c>
      <c r="K94" s="12" t="s">
        <v>994</v>
      </c>
      <c r="L94" s="13" t="s">
        <v>994</v>
      </c>
      <c r="M94" s="11" t="s">
        <v>994</v>
      </c>
      <c r="N94" s="11" t="s">
        <v>994</v>
      </c>
      <c r="O94" s="11" t="s">
        <v>994</v>
      </c>
      <c r="P94" s="11" t="s">
        <v>994</v>
      </c>
      <c r="Q94" s="11" t="s">
        <v>994</v>
      </c>
      <c r="R94" s="11" t="s">
        <v>994</v>
      </c>
      <c r="S94" s="11" t="s">
        <v>994</v>
      </c>
      <c r="T94" s="11" t="s">
        <v>994</v>
      </c>
      <c r="U94" s="11" t="s">
        <v>994</v>
      </c>
      <c r="V94" s="11" t="s">
        <v>994</v>
      </c>
      <c r="W94" s="11" t="s">
        <v>994</v>
      </c>
      <c r="X94" s="11" t="s">
        <v>994</v>
      </c>
      <c r="Y94" s="11" t="s">
        <v>994</v>
      </c>
      <c r="Z94" s="11" t="s">
        <v>994</v>
      </c>
      <c r="AA94" s="11" t="s">
        <v>994</v>
      </c>
      <c r="AB94" s="11" t="s">
        <v>994</v>
      </c>
      <c r="AC94" s="11" t="s">
        <v>994</v>
      </c>
      <c r="AD94" s="11" t="s">
        <v>994</v>
      </c>
    </row>
    <row r="95">
      <c r="B95" s="12" t="s">
        <v>994</v>
      </c>
      <c r="C95" s="11" t="s">
        <v>994</v>
      </c>
      <c r="D95" s="11" t="s">
        <v>994</v>
      </c>
      <c r="E95" s="12" t="s">
        <v>994</v>
      </c>
      <c r="F95" s="12" t="s">
        <v>994</v>
      </c>
      <c r="G95" s="12" t="s">
        <v>994</v>
      </c>
      <c r="H95" s="12" t="s">
        <v>994</v>
      </c>
      <c r="I95" s="12" t="s">
        <v>994</v>
      </c>
      <c r="J95" s="12" t="s">
        <v>994</v>
      </c>
      <c r="K95" s="12" t="s">
        <v>994</v>
      </c>
      <c r="L95" s="13" t="s">
        <v>994</v>
      </c>
      <c r="M95" s="11" t="s">
        <v>994</v>
      </c>
      <c r="N95" s="11" t="s">
        <v>994</v>
      </c>
      <c r="O95" s="11" t="s">
        <v>994</v>
      </c>
      <c r="P95" s="11" t="s">
        <v>994</v>
      </c>
      <c r="Q95" s="11" t="s">
        <v>994</v>
      </c>
      <c r="R95" s="11" t="s">
        <v>994</v>
      </c>
      <c r="S95" s="11" t="s">
        <v>994</v>
      </c>
      <c r="T95" s="11" t="s">
        <v>994</v>
      </c>
      <c r="U95" s="11" t="s">
        <v>994</v>
      </c>
      <c r="V95" s="11" t="s">
        <v>994</v>
      </c>
      <c r="W95" s="11" t="s">
        <v>994</v>
      </c>
      <c r="X95" s="11" t="s">
        <v>994</v>
      </c>
      <c r="Y95" s="11" t="s">
        <v>994</v>
      </c>
      <c r="Z95" s="11" t="s">
        <v>994</v>
      </c>
      <c r="AA95" s="11" t="s">
        <v>994</v>
      </c>
      <c r="AB95" s="11" t="s">
        <v>994</v>
      </c>
      <c r="AC95" s="11" t="s">
        <v>994</v>
      </c>
      <c r="AD95" s="11" t="s">
        <v>994</v>
      </c>
    </row>
    <row r="96">
      <c r="B96" s="12" t="s">
        <v>994</v>
      </c>
      <c r="C96" s="11" t="s">
        <v>994</v>
      </c>
      <c r="D96" s="11" t="s">
        <v>994</v>
      </c>
      <c r="E96" s="12" t="s">
        <v>994</v>
      </c>
      <c r="F96" s="12" t="s">
        <v>994</v>
      </c>
      <c r="G96" s="12" t="s">
        <v>994</v>
      </c>
      <c r="H96" s="12" t="s">
        <v>994</v>
      </c>
      <c r="I96" s="12" t="s">
        <v>994</v>
      </c>
      <c r="J96" s="12" t="s">
        <v>994</v>
      </c>
      <c r="K96" s="12" t="s">
        <v>994</v>
      </c>
      <c r="L96" s="13" t="s">
        <v>994</v>
      </c>
      <c r="M96" s="11" t="s">
        <v>994</v>
      </c>
      <c r="N96" s="11" t="s">
        <v>994</v>
      </c>
      <c r="O96" s="11" t="s">
        <v>994</v>
      </c>
      <c r="P96" s="11" t="s">
        <v>994</v>
      </c>
      <c r="Q96" s="11" t="s">
        <v>994</v>
      </c>
      <c r="R96" s="11" t="s">
        <v>994</v>
      </c>
      <c r="S96" s="11" t="s">
        <v>994</v>
      </c>
      <c r="T96" s="11" t="s">
        <v>994</v>
      </c>
      <c r="U96" s="11" t="s">
        <v>994</v>
      </c>
      <c r="V96" s="11" t="s">
        <v>994</v>
      </c>
      <c r="W96" s="11" t="s">
        <v>994</v>
      </c>
      <c r="X96" s="11" t="s">
        <v>994</v>
      </c>
      <c r="Y96" s="11" t="s">
        <v>994</v>
      </c>
      <c r="Z96" s="11" t="s">
        <v>994</v>
      </c>
      <c r="AA96" s="11" t="s">
        <v>994</v>
      </c>
      <c r="AB96" s="11" t="s">
        <v>994</v>
      </c>
      <c r="AC96" s="11" t="s">
        <v>994</v>
      </c>
      <c r="AD96" s="11" t="s">
        <v>994</v>
      </c>
    </row>
    <row r="97">
      <c r="B97" s="12" t="s">
        <v>994</v>
      </c>
      <c r="C97" s="11" t="s">
        <v>994</v>
      </c>
      <c r="D97" s="11" t="s">
        <v>994</v>
      </c>
      <c r="E97" s="12" t="s">
        <v>994</v>
      </c>
      <c r="F97" s="12" t="s">
        <v>994</v>
      </c>
      <c r="G97" s="12" t="s">
        <v>994</v>
      </c>
      <c r="H97" s="12" t="s">
        <v>994</v>
      </c>
      <c r="I97" s="12" t="s">
        <v>994</v>
      </c>
      <c r="J97" s="12" t="s">
        <v>994</v>
      </c>
      <c r="K97" s="12" t="s">
        <v>994</v>
      </c>
      <c r="L97" s="13" t="s">
        <v>994</v>
      </c>
      <c r="M97" s="11" t="s">
        <v>994</v>
      </c>
      <c r="N97" s="11" t="s">
        <v>994</v>
      </c>
      <c r="O97" s="11" t="s">
        <v>994</v>
      </c>
      <c r="P97" s="11" t="s">
        <v>994</v>
      </c>
      <c r="Q97" s="11" t="s">
        <v>994</v>
      </c>
      <c r="R97" s="11" t="s">
        <v>994</v>
      </c>
      <c r="S97" s="11" t="s">
        <v>994</v>
      </c>
      <c r="T97" s="11" t="s">
        <v>994</v>
      </c>
      <c r="U97" s="11" t="s">
        <v>994</v>
      </c>
      <c r="V97" s="11" t="s">
        <v>994</v>
      </c>
      <c r="W97" s="11" t="s">
        <v>994</v>
      </c>
      <c r="X97" s="11" t="s">
        <v>994</v>
      </c>
      <c r="Y97" s="11" t="s">
        <v>994</v>
      </c>
      <c r="Z97" s="11" t="s">
        <v>994</v>
      </c>
      <c r="AA97" s="11" t="s">
        <v>994</v>
      </c>
      <c r="AB97" s="11" t="s">
        <v>994</v>
      </c>
      <c r="AC97" s="11" t="s">
        <v>994</v>
      </c>
      <c r="AD97" s="11" t="s">
        <v>994</v>
      </c>
    </row>
    <row r="98">
      <c r="B98" s="12" t="s">
        <v>994</v>
      </c>
      <c r="C98" s="11" t="s">
        <v>994</v>
      </c>
      <c r="D98" s="11" t="s">
        <v>994</v>
      </c>
      <c r="E98" s="12" t="s">
        <v>994</v>
      </c>
      <c r="F98" s="12" t="s">
        <v>994</v>
      </c>
      <c r="G98" s="12" t="s">
        <v>994</v>
      </c>
      <c r="H98" s="12" t="s">
        <v>994</v>
      </c>
      <c r="I98" s="12" t="s">
        <v>994</v>
      </c>
      <c r="J98" s="12" t="s">
        <v>994</v>
      </c>
      <c r="K98" s="12" t="s">
        <v>994</v>
      </c>
      <c r="L98" s="13" t="s">
        <v>994</v>
      </c>
      <c r="M98" s="11" t="s">
        <v>994</v>
      </c>
      <c r="N98" s="11" t="s">
        <v>994</v>
      </c>
      <c r="O98" s="11" t="s">
        <v>994</v>
      </c>
      <c r="P98" s="11" t="s">
        <v>994</v>
      </c>
      <c r="Q98" s="11" t="s">
        <v>994</v>
      </c>
      <c r="R98" s="11" t="s">
        <v>994</v>
      </c>
      <c r="S98" s="11" t="s">
        <v>994</v>
      </c>
      <c r="T98" s="11" t="s">
        <v>994</v>
      </c>
      <c r="U98" s="11" t="s">
        <v>994</v>
      </c>
      <c r="V98" s="11" t="s">
        <v>994</v>
      </c>
      <c r="W98" s="11" t="s">
        <v>994</v>
      </c>
      <c r="X98" s="11" t="s">
        <v>994</v>
      </c>
      <c r="Y98" s="11" t="s">
        <v>994</v>
      </c>
      <c r="Z98" s="11" t="s">
        <v>994</v>
      </c>
      <c r="AA98" s="11" t="s">
        <v>994</v>
      </c>
      <c r="AB98" s="11" t="s">
        <v>994</v>
      </c>
      <c r="AC98" s="11" t="s">
        <v>994</v>
      </c>
      <c r="AD98" s="11" t="s">
        <v>994</v>
      </c>
    </row>
    <row r="99">
      <c r="B99" s="12" t="s">
        <v>994</v>
      </c>
      <c r="C99" s="11" t="s">
        <v>994</v>
      </c>
      <c r="D99" s="11" t="s">
        <v>994</v>
      </c>
      <c r="E99" s="12" t="s">
        <v>994</v>
      </c>
      <c r="F99" s="12" t="s">
        <v>994</v>
      </c>
      <c r="G99" s="12" t="s">
        <v>994</v>
      </c>
      <c r="H99" s="12" t="s">
        <v>994</v>
      </c>
      <c r="I99" s="12" t="s">
        <v>994</v>
      </c>
      <c r="J99" s="12" t="s">
        <v>994</v>
      </c>
      <c r="K99" s="12" t="s">
        <v>994</v>
      </c>
      <c r="L99" s="13" t="s">
        <v>994</v>
      </c>
      <c r="M99" s="11" t="s">
        <v>994</v>
      </c>
      <c r="N99" s="11" t="s">
        <v>994</v>
      </c>
      <c r="O99" s="11" t="s">
        <v>994</v>
      </c>
      <c r="P99" s="11" t="s">
        <v>994</v>
      </c>
      <c r="Q99" s="11" t="s">
        <v>994</v>
      </c>
      <c r="R99" s="11" t="s">
        <v>994</v>
      </c>
      <c r="S99" s="11" t="s">
        <v>994</v>
      </c>
      <c r="T99" s="11" t="s">
        <v>994</v>
      </c>
      <c r="U99" s="11" t="s">
        <v>994</v>
      </c>
      <c r="V99" s="11" t="s">
        <v>994</v>
      </c>
      <c r="W99" s="11" t="s">
        <v>994</v>
      </c>
      <c r="X99" s="11" t="s">
        <v>994</v>
      </c>
      <c r="Y99" s="11" t="s">
        <v>994</v>
      </c>
      <c r="Z99" s="11" t="s">
        <v>994</v>
      </c>
      <c r="AA99" s="11" t="s">
        <v>994</v>
      </c>
      <c r="AB99" s="11" t="s">
        <v>994</v>
      </c>
      <c r="AC99" s="11" t="s">
        <v>994</v>
      </c>
      <c r="AD99" s="11" t="s">
        <v>994</v>
      </c>
    </row>
    <row r="100">
      <c r="B100" s="12" t="s">
        <v>994</v>
      </c>
      <c r="C100" s="11" t="s">
        <v>994</v>
      </c>
      <c r="D100" s="11" t="s">
        <v>994</v>
      </c>
      <c r="E100" s="12" t="s">
        <v>994</v>
      </c>
      <c r="F100" s="12" t="s">
        <v>994</v>
      </c>
      <c r="G100" s="12" t="s">
        <v>994</v>
      </c>
      <c r="H100" s="12" t="s">
        <v>994</v>
      </c>
      <c r="I100" s="12" t="s">
        <v>994</v>
      </c>
      <c r="J100" s="12" t="s">
        <v>994</v>
      </c>
      <c r="K100" s="12" t="s">
        <v>994</v>
      </c>
      <c r="L100" s="13" t="s">
        <v>994</v>
      </c>
      <c r="M100" s="11" t="s">
        <v>994</v>
      </c>
      <c r="N100" s="11" t="s">
        <v>994</v>
      </c>
      <c r="O100" s="11" t="s">
        <v>994</v>
      </c>
      <c r="P100" s="11" t="s">
        <v>994</v>
      </c>
      <c r="Q100" s="11" t="s">
        <v>994</v>
      </c>
      <c r="R100" s="11" t="s">
        <v>994</v>
      </c>
      <c r="S100" s="11" t="s">
        <v>994</v>
      </c>
      <c r="T100" s="11" t="s">
        <v>994</v>
      </c>
      <c r="U100" s="11" t="s">
        <v>994</v>
      </c>
      <c r="V100" s="11" t="s">
        <v>994</v>
      </c>
      <c r="W100" s="11" t="s">
        <v>994</v>
      </c>
      <c r="X100" s="11" t="s">
        <v>994</v>
      </c>
      <c r="Y100" s="11" t="s">
        <v>994</v>
      </c>
      <c r="Z100" s="11" t="s">
        <v>994</v>
      </c>
      <c r="AA100" s="11" t="s">
        <v>994</v>
      </c>
      <c r="AB100" s="11" t="s">
        <v>994</v>
      </c>
      <c r="AC100" s="11" t="s">
        <v>994</v>
      </c>
      <c r="AD100" s="11" t="s">
        <v>994</v>
      </c>
    </row>
    <row r="101">
      <c r="B101" s="12" t="s">
        <v>994</v>
      </c>
      <c r="C101" s="11" t="s">
        <v>994</v>
      </c>
      <c r="D101" s="11" t="s">
        <v>994</v>
      </c>
      <c r="E101" s="12" t="s">
        <v>994</v>
      </c>
      <c r="F101" s="12" t="s">
        <v>994</v>
      </c>
      <c r="G101" s="12" t="s">
        <v>994</v>
      </c>
      <c r="H101" s="12" t="s">
        <v>994</v>
      </c>
      <c r="I101" s="12" t="s">
        <v>994</v>
      </c>
      <c r="J101" s="12" t="s">
        <v>994</v>
      </c>
      <c r="K101" s="12" t="s">
        <v>994</v>
      </c>
      <c r="L101" s="13" t="s">
        <v>994</v>
      </c>
      <c r="M101" s="11" t="s">
        <v>994</v>
      </c>
      <c r="N101" s="11" t="s">
        <v>994</v>
      </c>
      <c r="O101" s="11" t="s">
        <v>994</v>
      </c>
      <c r="P101" s="11" t="s">
        <v>994</v>
      </c>
      <c r="Q101" s="11" t="s">
        <v>994</v>
      </c>
      <c r="R101" s="11" t="s">
        <v>994</v>
      </c>
      <c r="S101" s="11" t="s">
        <v>994</v>
      </c>
      <c r="T101" s="11" t="s">
        <v>994</v>
      </c>
      <c r="U101" s="11" t="s">
        <v>994</v>
      </c>
      <c r="V101" s="11" t="s">
        <v>994</v>
      </c>
      <c r="W101" s="11" t="s">
        <v>994</v>
      </c>
      <c r="X101" s="11" t="s">
        <v>994</v>
      </c>
      <c r="Y101" s="11" t="s">
        <v>994</v>
      </c>
      <c r="Z101" s="11" t="s">
        <v>994</v>
      </c>
      <c r="AA101" s="11" t="s">
        <v>994</v>
      </c>
      <c r="AB101" s="11" t="s">
        <v>994</v>
      </c>
      <c r="AC101" s="11" t="s">
        <v>994</v>
      </c>
      <c r="AD101" s="11" t="s">
        <v>994</v>
      </c>
    </row>
    <row r="102">
      <c r="B102" s="12" t="s">
        <v>994</v>
      </c>
      <c r="C102" s="11" t="s">
        <v>994</v>
      </c>
      <c r="D102" s="11" t="s">
        <v>994</v>
      </c>
      <c r="E102" s="12" t="s">
        <v>994</v>
      </c>
      <c r="F102" s="12" t="s">
        <v>994</v>
      </c>
      <c r="G102" s="12" t="s">
        <v>994</v>
      </c>
      <c r="H102" s="12" t="s">
        <v>994</v>
      </c>
      <c r="I102" s="12" t="s">
        <v>994</v>
      </c>
      <c r="J102" s="12" t="s">
        <v>994</v>
      </c>
      <c r="K102" s="12" t="s">
        <v>994</v>
      </c>
      <c r="L102" s="13" t="s">
        <v>994</v>
      </c>
      <c r="M102" s="11" t="s">
        <v>994</v>
      </c>
      <c r="N102" s="11" t="s">
        <v>994</v>
      </c>
      <c r="O102" s="11" t="s">
        <v>994</v>
      </c>
      <c r="P102" s="11" t="s">
        <v>994</v>
      </c>
      <c r="Q102" s="11" t="s">
        <v>994</v>
      </c>
      <c r="R102" s="11" t="s">
        <v>994</v>
      </c>
      <c r="S102" s="11" t="s">
        <v>994</v>
      </c>
      <c r="T102" s="11" t="s">
        <v>994</v>
      </c>
      <c r="U102" s="11" t="s">
        <v>994</v>
      </c>
      <c r="V102" s="11" t="s">
        <v>994</v>
      </c>
      <c r="W102" s="11" t="s">
        <v>994</v>
      </c>
      <c r="X102" s="11" t="s">
        <v>994</v>
      </c>
      <c r="Y102" s="11" t="s">
        <v>994</v>
      </c>
      <c r="Z102" s="11" t="s">
        <v>994</v>
      </c>
      <c r="AA102" s="11" t="s">
        <v>994</v>
      </c>
      <c r="AB102" s="11" t="s">
        <v>994</v>
      </c>
      <c r="AC102" s="11" t="s">
        <v>994</v>
      </c>
      <c r="AD102" s="11" t="s">
        <v>994</v>
      </c>
    </row>
    <row r="103">
      <c r="B103" s="12" t="s">
        <v>994</v>
      </c>
      <c r="C103" s="11" t="s">
        <v>994</v>
      </c>
      <c r="D103" s="11" t="s">
        <v>994</v>
      </c>
      <c r="E103" s="12" t="s">
        <v>994</v>
      </c>
      <c r="F103" s="12" t="s">
        <v>994</v>
      </c>
      <c r="G103" s="12" t="s">
        <v>994</v>
      </c>
      <c r="H103" s="12" t="s">
        <v>994</v>
      </c>
      <c r="I103" s="12" t="s">
        <v>994</v>
      </c>
      <c r="J103" s="12" t="s">
        <v>994</v>
      </c>
      <c r="K103" s="12" t="s">
        <v>994</v>
      </c>
      <c r="L103" s="13" t="s">
        <v>994</v>
      </c>
      <c r="M103" s="11" t="s">
        <v>994</v>
      </c>
      <c r="N103" s="11" t="s">
        <v>994</v>
      </c>
      <c r="O103" s="11" t="s">
        <v>994</v>
      </c>
      <c r="P103" s="11" t="s">
        <v>994</v>
      </c>
      <c r="Q103" s="11" t="s">
        <v>994</v>
      </c>
      <c r="R103" s="11" t="s">
        <v>994</v>
      </c>
      <c r="S103" s="11" t="s">
        <v>994</v>
      </c>
      <c r="T103" s="11" t="s">
        <v>994</v>
      </c>
      <c r="U103" s="11" t="s">
        <v>994</v>
      </c>
      <c r="V103" s="11" t="s">
        <v>994</v>
      </c>
      <c r="W103" s="11" t="s">
        <v>994</v>
      </c>
      <c r="X103" s="11" t="s">
        <v>994</v>
      </c>
      <c r="Y103" s="11" t="s">
        <v>994</v>
      </c>
      <c r="Z103" s="11" t="s">
        <v>994</v>
      </c>
      <c r="AA103" s="11" t="s">
        <v>994</v>
      </c>
      <c r="AB103" s="11" t="s">
        <v>994</v>
      </c>
      <c r="AC103" s="11" t="s">
        <v>994</v>
      </c>
      <c r="AD103" s="11" t="s">
        <v>994</v>
      </c>
    </row>
    <row r="104">
      <c r="B104" s="12" t="s">
        <v>994</v>
      </c>
      <c r="C104" s="11" t="s">
        <v>994</v>
      </c>
      <c r="D104" s="11" t="s">
        <v>994</v>
      </c>
      <c r="E104" s="12" t="s">
        <v>994</v>
      </c>
      <c r="F104" s="12" t="s">
        <v>994</v>
      </c>
      <c r="G104" s="12" t="s">
        <v>994</v>
      </c>
      <c r="H104" s="12" t="s">
        <v>994</v>
      </c>
      <c r="I104" s="12" t="s">
        <v>994</v>
      </c>
      <c r="J104" s="12" t="s">
        <v>994</v>
      </c>
      <c r="K104" s="12" t="s">
        <v>994</v>
      </c>
      <c r="L104" s="13" t="s">
        <v>994</v>
      </c>
      <c r="M104" s="11" t="s">
        <v>994</v>
      </c>
      <c r="N104" s="11" t="s">
        <v>994</v>
      </c>
      <c r="O104" s="11" t="s">
        <v>994</v>
      </c>
      <c r="P104" s="11" t="s">
        <v>994</v>
      </c>
      <c r="Q104" s="11" t="s">
        <v>994</v>
      </c>
      <c r="R104" s="11" t="s">
        <v>994</v>
      </c>
      <c r="S104" s="11" t="s">
        <v>994</v>
      </c>
      <c r="T104" s="11" t="s">
        <v>994</v>
      </c>
      <c r="U104" s="11" t="s">
        <v>994</v>
      </c>
      <c r="V104" s="11" t="s">
        <v>994</v>
      </c>
      <c r="W104" s="11" t="s">
        <v>994</v>
      </c>
      <c r="X104" s="11" t="s">
        <v>994</v>
      </c>
      <c r="Y104" s="11" t="s">
        <v>994</v>
      </c>
      <c r="Z104" s="11" t="s">
        <v>994</v>
      </c>
      <c r="AA104" s="11" t="s">
        <v>994</v>
      </c>
      <c r="AB104" s="11" t="s">
        <v>994</v>
      </c>
      <c r="AC104" s="11" t="s">
        <v>994</v>
      </c>
      <c r="AD104" s="11" t="s">
        <v>994</v>
      </c>
    </row>
    <row r="105">
      <c r="B105" s="12" t="s">
        <v>994</v>
      </c>
      <c r="C105" s="11" t="s">
        <v>994</v>
      </c>
      <c r="D105" s="11" t="s">
        <v>994</v>
      </c>
      <c r="E105" s="12" t="s">
        <v>994</v>
      </c>
      <c r="F105" s="12" t="s">
        <v>994</v>
      </c>
      <c r="G105" s="12" t="s">
        <v>994</v>
      </c>
      <c r="H105" s="12" t="s">
        <v>994</v>
      </c>
      <c r="I105" s="12" t="s">
        <v>994</v>
      </c>
      <c r="J105" s="12" t="s">
        <v>994</v>
      </c>
      <c r="K105" s="12" t="s">
        <v>994</v>
      </c>
      <c r="L105" s="13" t="s">
        <v>994</v>
      </c>
      <c r="M105" s="11" t="s">
        <v>994</v>
      </c>
      <c r="N105" s="11" t="s">
        <v>994</v>
      </c>
      <c r="O105" s="11" t="s">
        <v>994</v>
      </c>
      <c r="P105" s="11" t="s">
        <v>994</v>
      </c>
      <c r="Q105" s="11" t="s">
        <v>994</v>
      </c>
      <c r="R105" s="11" t="s">
        <v>994</v>
      </c>
      <c r="S105" s="11" t="s">
        <v>994</v>
      </c>
      <c r="T105" s="11" t="s">
        <v>994</v>
      </c>
      <c r="U105" s="11" t="s">
        <v>994</v>
      </c>
      <c r="V105" s="11" t="s">
        <v>994</v>
      </c>
      <c r="W105" s="11" t="s">
        <v>994</v>
      </c>
      <c r="X105" s="11" t="s">
        <v>994</v>
      </c>
      <c r="Y105" s="11" t="s">
        <v>994</v>
      </c>
      <c r="Z105" s="11" t="s">
        <v>994</v>
      </c>
      <c r="AA105" s="11" t="s">
        <v>994</v>
      </c>
      <c r="AB105" s="11" t="s">
        <v>994</v>
      </c>
      <c r="AC105" s="11" t="s">
        <v>994</v>
      </c>
      <c r="AD105" s="11" t="s">
        <v>994</v>
      </c>
    </row>
    <row r="106">
      <c r="B106" s="12" t="s">
        <v>994</v>
      </c>
      <c r="C106" s="11" t="s">
        <v>994</v>
      </c>
      <c r="D106" s="11" t="s">
        <v>994</v>
      </c>
      <c r="E106" s="12" t="s">
        <v>994</v>
      </c>
      <c r="F106" s="12" t="s">
        <v>994</v>
      </c>
      <c r="G106" s="12" t="s">
        <v>994</v>
      </c>
      <c r="H106" s="12" t="s">
        <v>994</v>
      </c>
      <c r="I106" s="12" t="s">
        <v>994</v>
      </c>
      <c r="J106" s="12" t="s">
        <v>994</v>
      </c>
      <c r="K106" s="12" t="s">
        <v>994</v>
      </c>
      <c r="L106" s="13" t="s">
        <v>994</v>
      </c>
      <c r="M106" s="11" t="s">
        <v>994</v>
      </c>
      <c r="N106" s="11" t="s">
        <v>994</v>
      </c>
      <c r="O106" s="11" t="s">
        <v>994</v>
      </c>
      <c r="P106" s="11" t="s">
        <v>994</v>
      </c>
      <c r="Q106" s="11" t="s">
        <v>994</v>
      </c>
      <c r="R106" s="11" t="s">
        <v>994</v>
      </c>
      <c r="S106" s="11" t="s">
        <v>994</v>
      </c>
      <c r="T106" s="11" t="s">
        <v>994</v>
      </c>
      <c r="U106" s="11" t="s">
        <v>994</v>
      </c>
      <c r="V106" s="11" t="s">
        <v>994</v>
      </c>
      <c r="W106" s="11" t="s">
        <v>994</v>
      </c>
      <c r="X106" s="11" t="s">
        <v>994</v>
      </c>
      <c r="Y106" s="11" t="s">
        <v>994</v>
      </c>
      <c r="Z106" s="11" t="s">
        <v>994</v>
      </c>
      <c r="AA106" s="11" t="s">
        <v>994</v>
      </c>
      <c r="AB106" s="11" t="s">
        <v>994</v>
      </c>
      <c r="AC106" s="11" t="s">
        <v>994</v>
      </c>
      <c r="AD106" s="11" t="s">
        <v>994</v>
      </c>
    </row>
    <row r="107">
      <c r="B107" s="12" t="s">
        <v>994</v>
      </c>
      <c r="C107" s="11" t="s">
        <v>994</v>
      </c>
      <c r="D107" s="11" t="s">
        <v>994</v>
      </c>
      <c r="E107" s="12" t="s">
        <v>994</v>
      </c>
      <c r="F107" s="12" t="s">
        <v>994</v>
      </c>
      <c r="G107" s="12" t="s">
        <v>994</v>
      </c>
      <c r="H107" s="12" t="s">
        <v>994</v>
      </c>
      <c r="I107" s="12" t="s">
        <v>994</v>
      </c>
      <c r="J107" s="12" t="s">
        <v>994</v>
      </c>
      <c r="K107" s="12" t="s">
        <v>994</v>
      </c>
      <c r="L107" s="13" t="s">
        <v>994</v>
      </c>
      <c r="M107" s="11" t="s">
        <v>994</v>
      </c>
      <c r="N107" s="11" t="s">
        <v>994</v>
      </c>
      <c r="O107" s="11" t="s">
        <v>994</v>
      </c>
      <c r="P107" s="11" t="s">
        <v>994</v>
      </c>
      <c r="Q107" s="11" t="s">
        <v>994</v>
      </c>
      <c r="R107" s="11" t="s">
        <v>994</v>
      </c>
      <c r="S107" s="11" t="s">
        <v>994</v>
      </c>
      <c r="T107" s="11" t="s">
        <v>994</v>
      </c>
      <c r="U107" s="11" t="s">
        <v>994</v>
      </c>
      <c r="V107" s="11" t="s">
        <v>994</v>
      </c>
      <c r="W107" s="11" t="s">
        <v>994</v>
      </c>
      <c r="X107" s="11" t="s">
        <v>994</v>
      </c>
      <c r="Y107" s="11" t="s">
        <v>994</v>
      </c>
      <c r="Z107" s="11" t="s">
        <v>994</v>
      </c>
      <c r="AA107" s="11" t="s">
        <v>994</v>
      </c>
      <c r="AB107" s="11" t="s">
        <v>994</v>
      </c>
      <c r="AC107" s="11" t="s">
        <v>994</v>
      </c>
      <c r="AD107" s="11" t="s">
        <v>994</v>
      </c>
    </row>
    <row r="108">
      <c r="B108" s="12" t="s">
        <v>994</v>
      </c>
      <c r="C108" s="11" t="s">
        <v>994</v>
      </c>
      <c r="D108" s="11" t="s">
        <v>994</v>
      </c>
      <c r="E108" s="12" t="s">
        <v>994</v>
      </c>
      <c r="F108" s="12" t="s">
        <v>994</v>
      </c>
      <c r="G108" s="12" t="s">
        <v>994</v>
      </c>
      <c r="H108" s="12" t="s">
        <v>994</v>
      </c>
      <c r="I108" s="12" t="s">
        <v>994</v>
      </c>
      <c r="J108" s="12" t="s">
        <v>994</v>
      </c>
      <c r="K108" s="12" t="s">
        <v>994</v>
      </c>
      <c r="L108" s="13" t="s">
        <v>994</v>
      </c>
      <c r="M108" s="11" t="s">
        <v>994</v>
      </c>
      <c r="N108" s="11" t="s">
        <v>994</v>
      </c>
      <c r="O108" s="11" t="s">
        <v>994</v>
      </c>
      <c r="P108" s="11" t="s">
        <v>994</v>
      </c>
      <c r="Q108" s="11" t="s">
        <v>994</v>
      </c>
      <c r="R108" s="11" t="s">
        <v>994</v>
      </c>
      <c r="S108" s="11" t="s">
        <v>994</v>
      </c>
      <c r="T108" s="11" t="s">
        <v>994</v>
      </c>
      <c r="U108" s="11" t="s">
        <v>994</v>
      </c>
      <c r="V108" s="11" t="s">
        <v>994</v>
      </c>
      <c r="W108" s="11" t="s">
        <v>994</v>
      </c>
      <c r="X108" s="11" t="s">
        <v>994</v>
      </c>
      <c r="Y108" s="11" t="s">
        <v>994</v>
      </c>
      <c r="Z108" s="11" t="s">
        <v>994</v>
      </c>
      <c r="AA108" s="11" t="s">
        <v>994</v>
      </c>
      <c r="AB108" s="11" t="s">
        <v>994</v>
      </c>
      <c r="AC108" s="11" t="s">
        <v>994</v>
      </c>
      <c r="AD108" s="11" t="s">
        <v>994</v>
      </c>
    </row>
    <row r="109">
      <c r="B109" s="12" t="s">
        <v>994</v>
      </c>
      <c r="C109" s="11" t="s">
        <v>994</v>
      </c>
      <c r="D109" s="11" t="s">
        <v>994</v>
      </c>
      <c r="E109" s="12" t="s">
        <v>994</v>
      </c>
      <c r="F109" s="12" t="s">
        <v>994</v>
      </c>
      <c r="G109" s="12" t="s">
        <v>994</v>
      </c>
      <c r="H109" s="12" t="s">
        <v>994</v>
      </c>
      <c r="I109" s="12" t="s">
        <v>994</v>
      </c>
      <c r="J109" s="12" t="s">
        <v>994</v>
      </c>
      <c r="K109" s="12" t="s">
        <v>994</v>
      </c>
      <c r="L109" s="13" t="s">
        <v>994</v>
      </c>
      <c r="M109" s="11" t="s">
        <v>994</v>
      </c>
      <c r="N109" s="11" t="s">
        <v>994</v>
      </c>
      <c r="O109" s="11" t="s">
        <v>994</v>
      </c>
      <c r="P109" s="11" t="s">
        <v>994</v>
      </c>
      <c r="Q109" s="11" t="s">
        <v>994</v>
      </c>
      <c r="R109" s="11" t="s">
        <v>994</v>
      </c>
      <c r="S109" s="11" t="s">
        <v>994</v>
      </c>
      <c r="T109" s="11" t="s">
        <v>994</v>
      </c>
      <c r="U109" s="11" t="s">
        <v>994</v>
      </c>
      <c r="V109" s="11" t="s">
        <v>994</v>
      </c>
      <c r="W109" s="11" t="s">
        <v>994</v>
      </c>
      <c r="X109" s="11" t="s">
        <v>994</v>
      </c>
      <c r="Y109" s="11" t="s">
        <v>994</v>
      </c>
      <c r="Z109" s="11" t="s">
        <v>994</v>
      </c>
      <c r="AA109" s="11" t="s">
        <v>994</v>
      </c>
      <c r="AB109" s="11" t="s">
        <v>994</v>
      </c>
      <c r="AC109" s="11" t="s">
        <v>994</v>
      </c>
      <c r="AD109" s="11" t="s">
        <v>994</v>
      </c>
    </row>
    <row r="110">
      <c r="B110" s="12" t="s">
        <v>994</v>
      </c>
      <c r="C110" s="11" t="s">
        <v>994</v>
      </c>
      <c r="D110" s="11" t="s">
        <v>994</v>
      </c>
      <c r="E110" s="12" t="s">
        <v>994</v>
      </c>
      <c r="F110" s="12" t="s">
        <v>994</v>
      </c>
      <c r="G110" s="12" t="s">
        <v>994</v>
      </c>
      <c r="H110" s="12" t="s">
        <v>994</v>
      </c>
      <c r="I110" s="12" t="s">
        <v>994</v>
      </c>
      <c r="J110" s="12" t="s">
        <v>994</v>
      </c>
      <c r="K110" s="12" t="s">
        <v>994</v>
      </c>
      <c r="L110" s="13" t="s">
        <v>994</v>
      </c>
      <c r="M110" s="11" t="s">
        <v>994</v>
      </c>
      <c r="N110" s="11" t="s">
        <v>994</v>
      </c>
      <c r="O110" s="11" t="s">
        <v>994</v>
      </c>
      <c r="P110" s="11" t="s">
        <v>994</v>
      </c>
      <c r="Q110" s="11" t="s">
        <v>994</v>
      </c>
      <c r="R110" s="11" t="s">
        <v>994</v>
      </c>
      <c r="S110" s="11" t="s">
        <v>994</v>
      </c>
      <c r="T110" s="11" t="s">
        <v>994</v>
      </c>
      <c r="U110" s="11" t="s">
        <v>994</v>
      </c>
      <c r="V110" s="11" t="s">
        <v>994</v>
      </c>
      <c r="W110" s="11" t="s">
        <v>994</v>
      </c>
      <c r="X110" s="11" t="s">
        <v>994</v>
      </c>
      <c r="Y110" s="11" t="s">
        <v>994</v>
      </c>
      <c r="Z110" s="11" t="s">
        <v>994</v>
      </c>
      <c r="AA110" s="11" t="s">
        <v>994</v>
      </c>
      <c r="AB110" s="11" t="s">
        <v>994</v>
      </c>
      <c r="AC110" s="11" t="s">
        <v>994</v>
      </c>
      <c r="AD110" s="11" t="s">
        <v>994</v>
      </c>
    </row>
    <row r="111">
      <c r="B111" s="12" t="s">
        <v>994</v>
      </c>
      <c r="C111" s="11" t="s">
        <v>994</v>
      </c>
      <c r="D111" s="11" t="s">
        <v>994</v>
      </c>
      <c r="E111" s="12" t="s">
        <v>994</v>
      </c>
      <c r="F111" s="12" t="s">
        <v>994</v>
      </c>
      <c r="G111" s="12" t="s">
        <v>994</v>
      </c>
      <c r="H111" s="12" t="s">
        <v>994</v>
      </c>
      <c r="I111" s="12" t="s">
        <v>994</v>
      </c>
      <c r="J111" s="12" t="s">
        <v>994</v>
      </c>
      <c r="K111" s="12" t="s">
        <v>994</v>
      </c>
      <c r="L111" s="13" t="s">
        <v>994</v>
      </c>
      <c r="M111" s="11" t="s">
        <v>994</v>
      </c>
      <c r="N111" s="11" t="s">
        <v>994</v>
      </c>
      <c r="O111" s="11" t="s">
        <v>994</v>
      </c>
      <c r="P111" s="11" t="s">
        <v>994</v>
      </c>
      <c r="Q111" s="11" t="s">
        <v>994</v>
      </c>
      <c r="R111" s="11" t="s">
        <v>994</v>
      </c>
      <c r="S111" s="11" t="s">
        <v>994</v>
      </c>
      <c r="T111" s="11" t="s">
        <v>994</v>
      </c>
      <c r="U111" s="11" t="s">
        <v>994</v>
      </c>
      <c r="V111" s="11" t="s">
        <v>994</v>
      </c>
      <c r="W111" s="11" t="s">
        <v>994</v>
      </c>
      <c r="X111" s="11" t="s">
        <v>994</v>
      </c>
      <c r="Y111" s="11" t="s">
        <v>994</v>
      </c>
      <c r="Z111" s="11" t="s">
        <v>994</v>
      </c>
      <c r="AA111" s="11" t="s">
        <v>994</v>
      </c>
      <c r="AB111" s="11" t="s">
        <v>994</v>
      </c>
      <c r="AC111" s="11" t="s">
        <v>994</v>
      </c>
      <c r="AD111" s="11" t="s">
        <v>994</v>
      </c>
    </row>
    <row r="112">
      <c r="B112" s="12" t="s">
        <v>994</v>
      </c>
      <c r="C112" s="11" t="s">
        <v>994</v>
      </c>
      <c r="D112" s="11" t="s">
        <v>994</v>
      </c>
      <c r="E112" s="12" t="s">
        <v>994</v>
      </c>
      <c r="F112" s="12" t="s">
        <v>994</v>
      </c>
      <c r="G112" s="12" t="s">
        <v>994</v>
      </c>
      <c r="H112" s="12" t="s">
        <v>994</v>
      </c>
      <c r="I112" s="12" t="s">
        <v>994</v>
      </c>
      <c r="J112" s="12" t="s">
        <v>994</v>
      </c>
      <c r="K112" s="12" t="s">
        <v>994</v>
      </c>
      <c r="L112" s="13" t="s">
        <v>994</v>
      </c>
      <c r="M112" s="11" t="s">
        <v>994</v>
      </c>
      <c r="N112" s="11" t="s">
        <v>994</v>
      </c>
      <c r="O112" s="11" t="s">
        <v>994</v>
      </c>
      <c r="P112" s="11" t="s">
        <v>994</v>
      </c>
      <c r="Q112" s="11" t="s">
        <v>994</v>
      </c>
      <c r="R112" s="11" t="s">
        <v>994</v>
      </c>
      <c r="S112" s="11" t="s">
        <v>994</v>
      </c>
      <c r="T112" s="11" t="s">
        <v>994</v>
      </c>
      <c r="U112" s="11" t="s">
        <v>994</v>
      </c>
      <c r="V112" s="11" t="s">
        <v>994</v>
      </c>
      <c r="W112" s="11" t="s">
        <v>994</v>
      </c>
      <c r="X112" s="11" t="s">
        <v>994</v>
      </c>
      <c r="Y112" s="11" t="s">
        <v>994</v>
      </c>
      <c r="Z112" s="11" t="s">
        <v>994</v>
      </c>
      <c r="AA112" s="11" t="s">
        <v>994</v>
      </c>
      <c r="AB112" s="11" t="s">
        <v>994</v>
      </c>
      <c r="AC112" s="11" t="s">
        <v>994</v>
      </c>
      <c r="AD112" s="11" t="s">
        <v>994</v>
      </c>
    </row>
    <row r="113">
      <c r="B113" s="12" t="s">
        <v>994</v>
      </c>
      <c r="C113" s="11" t="s">
        <v>994</v>
      </c>
      <c r="D113" s="11" t="s">
        <v>994</v>
      </c>
      <c r="E113" s="12" t="s">
        <v>994</v>
      </c>
      <c r="F113" s="12" t="s">
        <v>994</v>
      </c>
      <c r="G113" s="12" t="s">
        <v>994</v>
      </c>
      <c r="H113" s="12" t="s">
        <v>994</v>
      </c>
      <c r="I113" s="12" t="s">
        <v>994</v>
      </c>
      <c r="J113" s="12" t="s">
        <v>994</v>
      </c>
      <c r="K113" s="12" t="s">
        <v>994</v>
      </c>
      <c r="L113" s="13" t="s">
        <v>994</v>
      </c>
      <c r="M113" s="11" t="s">
        <v>994</v>
      </c>
      <c r="N113" s="11" t="s">
        <v>994</v>
      </c>
      <c r="O113" s="11" t="s">
        <v>994</v>
      </c>
      <c r="P113" s="11" t="s">
        <v>994</v>
      </c>
      <c r="Q113" s="11" t="s">
        <v>994</v>
      </c>
      <c r="R113" s="11" t="s">
        <v>994</v>
      </c>
      <c r="S113" s="11" t="s">
        <v>994</v>
      </c>
      <c r="T113" s="11" t="s">
        <v>994</v>
      </c>
      <c r="U113" s="11" t="s">
        <v>994</v>
      </c>
      <c r="V113" s="11" t="s">
        <v>994</v>
      </c>
      <c r="W113" s="11" t="s">
        <v>994</v>
      </c>
      <c r="X113" s="11" t="s">
        <v>994</v>
      </c>
      <c r="Y113" s="11" t="s">
        <v>994</v>
      </c>
      <c r="Z113" s="11" t="s">
        <v>994</v>
      </c>
      <c r="AA113" s="11" t="s">
        <v>994</v>
      </c>
      <c r="AB113" s="11" t="s">
        <v>994</v>
      </c>
      <c r="AC113" s="11" t="s">
        <v>994</v>
      </c>
      <c r="AD113" s="11" t="s">
        <v>994</v>
      </c>
    </row>
    <row r="114">
      <c r="B114" s="12" t="s">
        <v>994</v>
      </c>
      <c r="C114" s="11" t="s">
        <v>994</v>
      </c>
      <c r="D114" s="11" t="s">
        <v>994</v>
      </c>
      <c r="E114" s="12" t="s">
        <v>994</v>
      </c>
      <c r="F114" s="12" t="s">
        <v>994</v>
      </c>
      <c r="G114" s="12" t="s">
        <v>994</v>
      </c>
      <c r="H114" s="12" t="s">
        <v>994</v>
      </c>
      <c r="I114" s="12" t="s">
        <v>994</v>
      </c>
      <c r="J114" s="12" t="s">
        <v>994</v>
      </c>
      <c r="K114" s="12" t="s">
        <v>994</v>
      </c>
      <c r="L114" s="13" t="s">
        <v>994</v>
      </c>
      <c r="M114" s="11" t="s">
        <v>994</v>
      </c>
      <c r="N114" s="11" t="s">
        <v>994</v>
      </c>
      <c r="O114" s="11" t="s">
        <v>994</v>
      </c>
      <c r="P114" s="11" t="s">
        <v>994</v>
      </c>
      <c r="Q114" s="11" t="s">
        <v>994</v>
      </c>
      <c r="R114" s="11" t="s">
        <v>994</v>
      </c>
      <c r="S114" s="11" t="s">
        <v>994</v>
      </c>
      <c r="T114" s="11" t="s">
        <v>994</v>
      </c>
      <c r="U114" s="11" t="s">
        <v>994</v>
      </c>
      <c r="V114" s="11" t="s">
        <v>994</v>
      </c>
      <c r="W114" s="11" t="s">
        <v>994</v>
      </c>
      <c r="X114" s="11" t="s">
        <v>994</v>
      </c>
      <c r="Y114" s="11" t="s">
        <v>994</v>
      </c>
      <c r="Z114" s="11" t="s">
        <v>994</v>
      </c>
      <c r="AA114" s="11" t="s">
        <v>994</v>
      </c>
      <c r="AB114" s="11" t="s">
        <v>994</v>
      </c>
      <c r="AC114" s="11" t="s">
        <v>994</v>
      </c>
      <c r="AD114" s="11" t="s">
        <v>994</v>
      </c>
    </row>
    <row r="115">
      <c r="B115" s="12" t="s">
        <v>994</v>
      </c>
      <c r="C115" s="11" t="s">
        <v>994</v>
      </c>
      <c r="D115" s="11" t="s">
        <v>994</v>
      </c>
      <c r="E115" s="12" t="s">
        <v>994</v>
      </c>
      <c r="F115" s="12" t="s">
        <v>994</v>
      </c>
      <c r="G115" s="12" t="s">
        <v>994</v>
      </c>
      <c r="H115" s="12" t="s">
        <v>994</v>
      </c>
      <c r="I115" s="12" t="s">
        <v>994</v>
      </c>
      <c r="J115" s="12" t="s">
        <v>994</v>
      </c>
      <c r="K115" s="12" t="s">
        <v>994</v>
      </c>
      <c r="L115" s="13" t="s">
        <v>994</v>
      </c>
      <c r="M115" s="11" t="s">
        <v>994</v>
      </c>
      <c r="N115" s="11" t="s">
        <v>994</v>
      </c>
      <c r="O115" s="11" t="s">
        <v>994</v>
      </c>
      <c r="P115" s="11" t="s">
        <v>994</v>
      </c>
      <c r="Q115" s="11" t="s">
        <v>994</v>
      </c>
      <c r="R115" s="11" t="s">
        <v>994</v>
      </c>
      <c r="S115" s="11" t="s">
        <v>994</v>
      </c>
      <c r="T115" s="11" t="s">
        <v>994</v>
      </c>
      <c r="U115" s="11" t="s">
        <v>994</v>
      </c>
      <c r="V115" s="11" t="s">
        <v>994</v>
      </c>
      <c r="W115" s="11" t="s">
        <v>994</v>
      </c>
      <c r="X115" s="11" t="s">
        <v>994</v>
      </c>
      <c r="Y115" s="11" t="s">
        <v>994</v>
      </c>
      <c r="Z115" s="11" t="s">
        <v>994</v>
      </c>
      <c r="AA115" s="11" t="s">
        <v>994</v>
      </c>
      <c r="AB115" s="11" t="s">
        <v>994</v>
      </c>
      <c r="AC115" s="11" t="s">
        <v>994</v>
      </c>
      <c r="AD115" s="11" t="s">
        <v>994</v>
      </c>
    </row>
    <row r="116">
      <c r="B116" s="12" t="s">
        <v>994</v>
      </c>
      <c r="C116" s="11" t="s">
        <v>994</v>
      </c>
      <c r="D116" s="11" t="s">
        <v>994</v>
      </c>
      <c r="E116" s="12" t="s">
        <v>994</v>
      </c>
      <c r="F116" s="12" t="s">
        <v>994</v>
      </c>
      <c r="G116" s="12" t="s">
        <v>994</v>
      </c>
      <c r="H116" s="12" t="s">
        <v>994</v>
      </c>
      <c r="I116" s="12" t="s">
        <v>994</v>
      </c>
      <c r="J116" s="12" t="s">
        <v>994</v>
      </c>
      <c r="K116" s="12" t="s">
        <v>994</v>
      </c>
      <c r="L116" s="13" t="s">
        <v>994</v>
      </c>
      <c r="M116" s="11" t="s">
        <v>994</v>
      </c>
      <c r="N116" s="11" t="s">
        <v>994</v>
      </c>
      <c r="O116" s="11" t="s">
        <v>994</v>
      </c>
      <c r="P116" s="11" t="s">
        <v>994</v>
      </c>
      <c r="Q116" s="11" t="s">
        <v>994</v>
      </c>
      <c r="R116" s="11" t="s">
        <v>994</v>
      </c>
      <c r="S116" s="11" t="s">
        <v>994</v>
      </c>
      <c r="T116" s="11" t="s">
        <v>994</v>
      </c>
      <c r="U116" s="11" t="s">
        <v>994</v>
      </c>
      <c r="V116" s="11" t="s">
        <v>994</v>
      </c>
      <c r="W116" s="11" t="s">
        <v>994</v>
      </c>
      <c r="X116" s="11" t="s">
        <v>994</v>
      </c>
      <c r="Y116" s="11" t="s">
        <v>994</v>
      </c>
      <c r="Z116" s="11" t="s">
        <v>994</v>
      </c>
      <c r="AA116" s="11" t="s">
        <v>994</v>
      </c>
      <c r="AB116" s="11" t="s">
        <v>994</v>
      </c>
      <c r="AC116" s="11" t="s">
        <v>994</v>
      </c>
      <c r="AD116" s="11" t="s">
        <v>994</v>
      </c>
    </row>
    <row r="117">
      <c r="B117" s="12" t="s">
        <v>994</v>
      </c>
      <c r="C117" s="11" t="s">
        <v>994</v>
      </c>
      <c r="D117" s="11" t="s">
        <v>994</v>
      </c>
      <c r="E117" s="12" t="s">
        <v>994</v>
      </c>
      <c r="F117" s="12" t="s">
        <v>994</v>
      </c>
      <c r="G117" s="12" t="s">
        <v>994</v>
      </c>
      <c r="H117" s="12" t="s">
        <v>994</v>
      </c>
      <c r="I117" s="12" t="s">
        <v>994</v>
      </c>
      <c r="J117" s="12" t="s">
        <v>994</v>
      </c>
      <c r="K117" s="12" t="s">
        <v>994</v>
      </c>
      <c r="L117" s="13" t="s">
        <v>994</v>
      </c>
      <c r="M117" s="11" t="s">
        <v>994</v>
      </c>
      <c r="N117" s="11" t="s">
        <v>994</v>
      </c>
      <c r="O117" s="11" t="s">
        <v>994</v>
      </c>
      <c r="P117" s="11" t="s">
        <v>994</v>
      </c>
      <c r="Q117" s="11" t="s">
        <v>994</v>
      </c>
      <c r="R117" s="11" t="s">
        <v>994</v>
      </c>
      <c r="S117" s="11" t="s">
        <v>994</v>
      </c>
      <c r="T117" s="11" t="s">
        <v>994</v>
      </c>
      <c r="U117" s="11" t="s">
        <v>994</v>
      </c>
      <c r="V117" s="11" t="s">
        <v>994</v>
      </c>
      <c r="W117" s="11" t="s">
        <v>994</v>
      </c>
      <c r="X117" s="11" t="s">
        <v>994</v>
      </c>
      <c r="Y117" s="11" t="s">
        <v>994</v>
      </c>
      <c r="Z117" s="11" t="s">
        <v>994</v>
      </c>
      <c r="AA117" s="11" t="s">
        <v>994</v>
      </c>
      <c r="AB117" s="11" t="s">
        <v>994</v>
      </c>
      <c r="AC117" s="11" t="s">
        <v>994</v>
      </c>
      <c r="AD117" s="11" t="s">
        <v>994</v>
      </c>
    </row>
    <row r="118">
      <c r="B118" s="12" t="s">
        <v>994</v>
      </c>
      <c r="C118" s="11" t="s">
        <v>994</v>
      </c>
      <c r="D118" s="11" t="s">
        <v>994</v>
      </c>
      <c r="E118" s="12" t="s">
        <v>994</v>
      </c>
      <c r="F118" s="12" t="s">
        <v>994</v>
      </c>
      <c r="G118" s="12" t="s">
        <v>994</v>
      </c>
      <c r="H118" s="12" t="s">
        <v>994</v>
      </c>
      <c r="I118" s="12" t="s">
        <v>994</v>
      </c>
      <c r="J118" s="12" t="s">
        <v>994</v>
      </c>
      <c r="K118" s="12" t="s">
        <v>994</v>
      </c>
      <c r="L118" s="13" t="s">
        <v>994</v>
      </c>
      <c r="M118" s="11" t="s">
        <v>994</v>
      </c>
      <c r="N118" s="11" t="s">
        <v>994</v>
      </c>
      <c r="O118" s="11" t="s">
        <v>994</v>
      </c>
      <c r="P118" s="11" t="s">
        <v>994</v>
      </c>
      <c r="Q118" s="11" t="s">
        <v>994</v>
      </c>
      <c r="R118" s="11" t="s">
        <v>994</v>
      </c>
      <c r="S118" s="11" t="s">
        <v>994</v>
      </c>
      <c r="T118" s="11" t="s">
        <v>994</v>
      </c>
      <c r="U118" s="11" t="s">
        <v>994</v>
      </c>
      <c r="V118" s="11" t="s">
        <v>994</v>
      </c>
      <c r="W118" s="11" t="s">
        <v>994</v>
      </c>
      <c r="X118" s="11" t="s">
        <v>994</v>
      </c>
      <c r="Y118" s="11" t="s">
        <v>994</v>
      </c>
      <c r="Z118" s="11" t="s">
        <v>994</v>
      </c>
      <c r="AA118" s="11" t="s">
        <v>994</v>
      </c>
      <c r="AB118" s="11" t="s">
        <v>994</v>
      </c>
      <c r="AC118" s="11" t="s">
        <v>994</v>
      </c>
      <c r="AD118" s="11" t="s">
        <v>994</v>
      </c>
    </row>
    <row r="119">
      <c r="B119" s="12" t="s">
        <v>994</v>
      </c>
      <c r="C119" s="11" t="s">
        <v>994</v>
      </c>
      <c r="D119" s="11" t="s">
        <v>994</v>
      </c>
      <c r="E119" s="12" t="s">
        <v>994</v>
      </c>
      <c r="F119" s="12" t="s">
        <v>994</v>
      </c>
      <c r="G119" s="12" t="s">
        <v>994</v>
      </c>
      <c r="H119" s="12" t="s">
        <v>994</v>
      </c>
      <c r="I119" s="12" t="s">
        <v>994</v>
      </c>
      <c r="J119" s="12" t="s">
        <v>994</v>
      </c>
      <c r="K119" s="12" t="s">
        <v>994</v>
      </c>
      <c r="L119" s="13" t="s">
        <v>994</v>
      </c>
      <c r="M119" s="11" t="s">
        <v>994</v>
      </c>
      <c r="N119" s="11" t="s">
        <v>994</v>
      </c>
      <c r="O119" s="11" t="s">
        <v>994</v>
      </c>
      <c r="P119" s="11" t="s">
        <v>994</v>
      </c>
      <c r="Q119" s="11" t="s">
        <v>994</v>
      </c>
      <c r="R119" s="11" t="s">
        <v>994</v>
      </c>
      <c r="S119" s="11" t="s">
        <v>994</v>
      </c>
      <c r="T119" s="11" t="s">
        <v>994</v>
      </c>
      <c r="U119" s="11" t="s">
        <v>994</v>
      </c>
      <c r="V119" s="11" t="s">
        <v>994</v>
      </c>
      <c r="W119" s="11" t="s">
        <v>994</v>
      </c>
      <c r="X119" s="11" t="s">
        <v>994</v>
      </c>
      <c r="Y119" s="11" t="s">
        <v>994</v>
      </c>
      <c r="Z119" s="11" t="s">
        <v>994</v>
      </c>
      <c r="AA119" s="11" t="s">
        <v>994</v>
      </c>
      <c r="AB119" s="11" t="s">
        <v>994</v>
      </c>
      <c r="AC119" s="11" t="s">
        <v>994</v>
      </c>
      <c r="AD119" s="11" t="s">
        <v>994</v>
      </c>
    </row>
    <row r="120">
      <c r="B120" s="12" t="s">
        <v>994</v>
      </c>
      <c r="C120" s="11" t="s">
        <v>994</v>
      </c>
      <c r="D120" s="11" t="s">
        <v>994</v>
      </c>
      <c r="E120" s="12" t="s">
        <v>994</v>
      </c>
      <c r="F120" s="12" t="s">
        <v>994</v>
      </c>
      <c r="G120" s="12" t="s">
        <v>994</v>
      </c>
      <c r="H120" s="12" t="s">
        <v>994</v>
      </c>
      <c r="I120" s="12" t="s">
        <v>994</v>
      </c>
      <c r="J120" s="12" t="s">
        <v>994</v>
      </c>
      <c r="K120" s="12" t="s">
        <v>994</v>
      </c>
      <c r="L120" s="13" t="s">
        <v>994</v>
      </c>
      <c r="M120" s="11" t="s">
        <v>994</v>
      </c>
      <c r="N120" s="11" t="s">
        <v>994</v>
      </c>
      <c r="O120" s="11" t="s">
        <v>994</v>
      </c>
      <c r="P120" s="11" t="s">
        <v>994</v>
      </c>
      <c r="Q120" s="11" t="s">
        <v>994</v>
      </c>
      <c r="R120" s="11" t="s">
        <v>994</v>
      </c>
      <c r="S120" s="11" t="s">
        <v>994</v>
      </c>
      <c r="T120" s="11" t="s">
        <v>994</v>
      </c>
      <c r="U120" s="11" t="s">
        <v>994</v>
      </c>
      <c r="V120" s="11" t="s">
        <v>994</v>
      </c>
      <c r="W120" s="11" t="s">
        <v>994</v>
      </c>
      <c r="X120" s="11" t="s">
        <v>994</v>
      </c>
      <c r="Y120" s="11" t="s">
        <v>994</v>
      </c>
      <c r="Z120" s="11" t="s">
        <v>994</v>
      </c>
      <c r="AA120" s="11" t="s">
        <v>994</v>
      </c>
      <c r="AB120" s="11" t="s">
        <v>994</v>
      </c>
      <c r="AC120" s="11" t="s">
        <v>994</v>
      </c>
      <c r="AD120" s="11" t="s">
        <v>994</v>
      </c>
    </row>
    <row r="121">
      <c r="B121" s="12" t="s">
        <v>994</v>
      </c>
      <c r="C121" s="11" t="s">
        <v>994</v>
      </c>
      <c r="D121" s="11" t="s">
        <v>994</v>
      </c>
      <c r="E121" s="12" t="s">
        <v>994</v>
      </c>
      <c r="F121" s="12" t="s">
        <v>994</v>
      </c>
      <c r="G121" s="12" t="s">
        <v>994</v>
      </c>
      <c r="H121" s="12" t="s">
        <v>994</v>
      </c>
      <c r="I121" s="12" t="s">
        <v>994</v>
      </c>
      <c r="J121" s="12" t="s">
        <v>994</v>
      </c>
      <c r="K121" s="12" t="s">
        <v>994</v>
      </c>
      <c r="L121" s="13" t="s">
        <v>994</v>
      </c>
      <c r="M121" s="11" t="s">
        <v>994</v>
      </c>
      <c r="N121" s="11" t="s">
        <v>994</v>
      </c>
      <c r="O121" s="11" t="s">
        <v>994</v>
      </c>
      <c r="P121" s="11" t="s">
        <v>994</v>
      </c>
      <c r="Q121" s="11" t="s">
        <v>994</v>
      </c>
      <c r="R121" s="11" t="s">
        <v>994</v>
      </c>
      <c r="S121" s="11" t="s">
        <v>994</v>
      </c>
      <c r="T121" s="11" t="s">
        <v>994</v>
      </c>
      <c r="U121" s="11" t="s">
        <v>994</v>
      </c>
      <c r="V121" s="11" t="s">
        <v>994</v>
      </c>
      <c r="W121" s="11" t="s">
        <v>994</v>
      </c>
      <c r="X121" s="11" t="s">
        <v>994</v>
      </c>
      <c r="Y121" s="11" t="s">
        <v>994</v>
      </c>
      <c r="Z121" s="11" t="s">
        <v>994</v>
      </c>
      <c r="AA121" s="11" t="s">
        <v>994</v>
      </c>
      <c r="AB121" s="11" t="s">
        <v>994</v>
      </c>
      <c r="AC121" s="11" t="s">
        <v>994</v>
      </c>
      <c r="AD121" s="11" t="s">
        <v>994</v>
      </c>
    </row>
    <row r="122">
      <c r="B122" s="12" t="s">
        <v>994</v>
      </c>
      <c r="C122" s="11" t="s">
        <v>994</v>
      </c>
      <c r="D122" s="11" t="s">
        <v>994</v>
      </c>
      <c r="E122" s="12" t="s">
        <v>994</v>
      </c>
      <c r="F122" s="12" t="s">
        <v>994</v>
      </c>
      <c r="G122" s="12" t="s">
        <v>994</v>
      </c>
      <c r="H122" s="12" t="s">
        <v>994</v>
      </c>
      <c r="I122" s="12" t="s">
        <v>994</v>
      </c>
      <c r="J122" s="12" t="s">
        <v>994</v>
      </c>
      <c r="K122" s="12" t="s">
        <v>994</v>
      </c>
      <c r="L122" s="13" t="s">
        <v>994</v>
      </c>
      <c r="M122" s="11" t="s">
        <v>994</v>
      </c>
      <c r="N122" s="11" t="s">
        <v>994</v>
      </c>
      <c r="O122" s="11" t="s">
        <v>994</v>
      </c>
      <c r="P122" s="11" t="s">
        <v>994</v>
      </c>
      <c r="Q122" s="11" t="s">
        <v>994</v>
      </c>
      <c r="R122" s="11" t="s">
        <v>994</v>
      </c>
      <c r="S122" s="11" t="s">
        <v>994</v>
      </c>
      <c r="T122" s="11" t="s">
        <v>994</v>
      </c>
      <c r="U122" s="11" t="s">
        <v>994</v>
      </c>
      <c r="V122" s="11" t="s">
        <v>994</v>
      </c>
      <c r="W122" s="11" t="s">
        <v>994</v>
      </c>
      <c r="X122" s="11" t="s">
        <v>994</v>
      </c>
      <c r="Y122" s="11" t="s">
        <v>994</v>
      </c>
      <c r="Z122" s="11" t="s">
        <v>994</v>
      </c>
      <c r="AA122" s="11" t="s">
        <v>994</v>
      </c>
      <c r="AB122" s="11" t="s">
        <v>994</v>
      </c>
      <c r="AC122" s="11" t="s">
        <v>994</v>
      </c>
      <c r="AD122" s="11" t="s">
        <v>994</v>
      </c>
    </row>
    <row r="123">
      <c r="B123" s="12" t="s">
        <v>994</v>
      </c>
      <c r="C123" s="11" t="s">
        <v>994</v>
      </c>
      <c r="D123" s="11" t="s">
        <v>994</v>
      </c>
      <c r="E123" s="12" t="s">
        <v>994</v>
      </c>
      <c r="F123" s="12" t="s">
        <v>994</v>
      </c>
      <c r="G123" s="12" t="s">
        <v>994</v>
      </c>
      <c r="H123" s="12" t="s">
        <v>994</v>
      </c>
      <c r="I123" s="12" t="s">
        <v>994</v>
      </c>
      <c r="J123" s="12" t="s">
        <v>994</v>
      </c>
      <c r="K123" s="12" t="s">
        <v>994</v>
      </c>
      <c r="L123" s="13" t="s">
        <v>994</v>
      </c>
      <c r="M123" s="11" t="s">
        <v>994</v>
      </c>
      <c r="N123" s="11" t="s">
        <v>994</v>
      </c>
      <c r="O123" s="11" t="s">
        <v>994</v>
      </c>
      <c r="P123" s="11" t="s">
        <v>994</v>
      </c>
      <c r="Q123" s="11" t="s">
        <v>994</v>
      </c>
      <c r="R123" s="11" t="s">
        <v>994</v>
      </c>
      <c r="S123" s="11" t="s">
        <v>994</v>
      </c>
      <c r="T123" s="11" t="s">
        <v>994</v>
      </c>
      <c r="U123" s="11" t="s">
        <v>994</v>
      </c>
      <c r="V123" s="11" t="s">
        <v>994</v>
      </c>
      <c r="W123" s="11" t="s">
        <v>994</v>
      </c>
      <c r="X123" s="11" t="s">
        <v>994</v>
      </c>
      <c r="Y123" s="11" t="s">
        <v>994</v>
      </c>
      <c r="Z123" s="11" t="s">
        <v>994</v>
      </c>
      <c r="AA123" s="11" t="s">
        <v>994</v>
      </c>
      <c r="AB123" s="11" t="s">
        <v>994</v>
      </c>
      <c r="AC123" s="11" t="s">
        <v>994</v>
      </c>
      <c r="AD123" s="11" t="s">
        <v>994</v>
      </c>
    </row>
    <row r="124">
      <c r="B124" s="12" t="s">
        <v>994</v>
      </c>
      <c r="C124" s="11" t="s">
        <v>994</v>
      </c>
      <c r="D124" s="11" t="s">
        <v>994</v>
      </c>
      <c r="E124" s="12" t="s">
        <v>994</v>
      </c>
      <c r="F124" s="12" t="s">
        <v>994</v>
      </c>
      <c r="G124" s="12" t="s">
        <v>994</v>
      </c>
      <c r="H124" s="12" t="s">
        <v>994</v>
      </c>
      <c r="I124" s="12" t="s">
        <v>994</v>
      </c>
      <c r="J124" s="12" t="s">
        <v>994</v>
      </c>
      <c r="K124" s="12" t="s">
        <v>994</v>
      </c>
      <c r="L124" s="13" t="s">
        <v>994</v>
      </c>
      <c r="M124" s="11" t="s">
        <v>994</v>
      </c>
      <c r="N124" s="11" t="s">
        <v>994</v>
      </c>
      <c r="O124" s="11" t="s">
        <v>994</v>
      </c>
      <c r="P124" s="11" t="s">
        <v>994</v>
      </c>
      <c r="Q124" s="11" t="s">
        <v>994</v>
      </c>
      <c r="R124" s="11" t="s">
        <v>994</v>
      </c>
      <c r="S124" s="11" t="s">
        <v>994</v>
      </c>
      <c r="T124" s="11" t="s">
        <v>994</v>
      </c>
      <c r="U124" s="11" t="s">
        <v>994</v>
      </c>
      <c r="V124" s="11" t="s">
        <v>994</v>
      </c>
      <c r="W124" s="11" t="s">
        <v>994</v>
      </c>
      <c r="X124" s="11" t="s">
        <v>994</v>
      </c>
      <c r="Y124" s="11" t="s">
        <v>994</v>
      </c>
      <c r="Z124" s="11" t="s">
        <v>994</v>
      </c>
      <c r="AA124" s="11" t="s">
        <v>994</v>
      </c>
      <c r="AB124" s="11" t="s">
        <v>994</v>
      </c>
      <c r="AC124" s="11" t="s">
        <v>994</v>
      </c>
      <c r="AD124" s="11" t="s">
        <v>994</v>
      </c>
    </row>
    <row r="125">
      <c r="B125" s="12" t="s">
        <v>994</v>
      </c>
      <c r="C125" s="11" t="s">
        <v>994</v>
      </c>
      <c r="D125" s="11" t="s">
        <v>994</v>
      </c>
      <c r="E125" s="12" t="s">
        <v>994</v>
      </c>
      <c r="F125" s="12" t="s">
        <v>994</v>
      </c>
      <c r="G125" s="12" t="s">
        <v>994</v>
      </c>
      <c r="H125" s="12" t="s">
        <v>994</v>
      </c>
      <c r="I125" s="12" t="s">
        <v>994</v>
      </c>
      <c r="J125" s="12" t="s">
        <v>994</v>
      </c>
      <c r="K125" s="12" t="s">
        <v>994</v>
      </c>
      <c r="L125" s="13" t="s">
        <v>994</v>
      </c>
      <c r="M125" s="11" t="s">
        <v>994</v>
      </c>
      <c r="N125" s="11" t="s">
        <v>994</v>
      </c>
      <c r="O125" s="11" t="s">
        <v>994</v>
      </c>
      <c r="P125" s="11" t="s">
        <v>994</v>
      </c>
      <c r="Q125" s="11" t="s">
        <v>994</v>
      </c>
      <c r="R125" s="11" t="s">
        <v>994</v>
      </c>
      <c r="S125" s="11" t="s">
        <v>994</v>
      </c>
      <c r="T125" s="11" t="s">
        <v>994</v>
      </c>
      <c r="U125" s="11" t="s">
        <v>994</v>
      </c>
      <c r="V125" s="11" t="s">
        <v>994</v>
      </c>
      <c r="W125" s="11" t="s">
        <v>994</v>
      </c>
      <c r="X125" s="11" t="s">
        <v>994</v>
      </c>
      <c r="Y125" s="11" t="s">
        <v>994</v>
      </c>
      <c r="Z125" s="11" t="s">
        <v>994</v>
      </c>
      <c r="AA125" s="11" t="s">
        <v>994</v>
      </c>
      <c r="AB125" s="11" t="s">
        <v>994</v>
      </c>
      <c r="AC125" s="11" t="s">
        <v>994</v>
      </c>
      <c r="AD125" s="11" t="s">
        <v>994</v>
      </c>
    </row>
    <row r="126">
      <c r="B126" s="12" t="s">
        <v>994</v>
      </c>
      <c r="C126" s="11" t="s">
        <v>994</v>
      </c>
      <c r="D126" s="11" t="s">
        <v>994</v>
      </c>
      <c r="E126" s="12" t="s">
        <v>994</v>
      </c>
      <c r="F126" s="12" t="s">
        <v>994</v>
      </c>
      <c r="G126" s="12" t="s">
        <v>994</v>
      </c>
      <c r="H126" s="12" t="s">
        <v>994</v>
      </c>
      <c r="I126" s="12" t="s">
        <v>994</v>
      </c>
      <c r="J126" s="12" t="s">
        <v>994</v>
      </c>
      <c r="K126" s="12" t="s">
        <v>994</v>
      </c>
      <c r="L126" s="13" t="s">
        <v>994</v>
      </c>
      <c r="M126" s="11" t="s">
        <v>994</v>
      </c>
      <c r="N126" s="11" t="s">
        <v>994</v>
      </c>
      <c r="O126" s="11" t="s">
        <v>994</v>
      </c>
      <c r="P126" s="11" t="s">
        <v>994</v>
      </c>
      <c r="Q126" s="11" t="s">
        <v>994</v>
      </c>
      <c r="R126" s="11" t="s">
        <v>994</v>
      </c>
      <c r="S126" s="11" t="s">
        <v>994</v>
      </c>
      <c r="T126" s="11" t="s">
        <v>994</v>
      </c>
      <c r="U126" s="11" t="s">
        <v>994</v>
      </c>
      <c r="V126" s="11" t="s">
        <v>994</v>
      </c>
      <c r="W126" s="11" t="s">
        <v>994</v>
      </c>
      <c r="X126" s="11" t="s">
        <v>994</v>
      </c>
      <c r="Y126" s="11" t="s">
        <v>994</v>
      </c>
      <c r="Z126" s="11" t="s">
        <v>994</v>
      </c>
      <c r="AA126" s="11" t="s">
        <v>994</v>
      </c>
      <c r="AB126" s="11" t="s">
        <v>994</v>
      </c>
      <c r="AC126" s="11" t="s">
        <v>994</v>
      </c>
      <c r="AD126" s="11" t="s">
        <v>994</v>
      </c>
    </row>
    <row r="127">
      <c r="B127" s="12" t="s">
        <v>994</v>
      </c>
      <c r="C127" s="11" t="s">
        <v>994</v>
      </c>
      <c r="D127" s="11" t="s">
        <v>994</v>
      </c>
      <c r="E127" s="12" t="s">
        <v>994</v>
      </c>
      <c r="F127" s="12" t="s">
        <v>994</v>
      </c>
      <c r="G127" s="12" t="s">
        <v>994</v>
      </c>
      <c r="H127" s="12" t="s">
        <v>994</v>
      </c>
      <c r="I127" s="12" t="s">
        <v>994</v>
      </c>
      <c r="J127" s="12" t="s">
        <v>994</v>
      </c>
      <c r="K127" s="12" t="s">
        <v>994</v>
      </c>
      <c r="L127" s="13" t="s">
        <v>994</v>
      </c>
      <c r="M127" s="11" t="s">
        <v>994</v>
      </c>
      <c r="N127" s="11" t="s">
        <v>994</v>
      </c>
      <c r="O127" s="11" t="s">
        <v>994</v>
      </c>
      <c r="P127" s="11" t="s">
        <v>994</v>
      </c>
      <c r="Q127" s="11" t="s">
        <v>994</v>
      </c>
      <c r="R127" s="11" t="s">
        <v>994</v>
      </c>
      <c r="S127" s="11" t="s">
        <v>994</v>
      </c>
      <c r="T127" s="11" t="s">
        <v>994</v>
      </c>
      <c r="U127" s="11" t="s">
        <v>994</v>
      </c>
      <c r="V127" s="11" t="s">
        <v>994</v>
      </c>
      <c r="W127" s="11" t="s">
        <v>994</v>
      </c>
      <c r="X127" s="11" t="s">
        <v>994</v>
      </c>
      <c r="Y127" s="11" t="s">
        <v>994</v>
      </c>
      <c r="Z127" s="11" t="s">
        <v>994</v>
      </c>
      <c r="AA127" s="11" t="s">
        <v>994</v>
      </c>
      <c r="AB127" s="11" t="s">
        <v>994</v>
      </c>
      <c r="AC127" s="11" t="s">
        <v>994</v>
      </c>
      <c r="AD127" s="11" t="s">
        <v>994</v>
      </c>
    </row>
    <row r="128">
      <c r="B128" s="12" t="s">
        <v>994</v>
      </c>
      <c r="C128" s="11" t="s">
        <v>994</v>
      </c>
      <c r="D128" s="11" t="s">
        <v>994</v>
      </c>
      <c r="E128" s="12" t="s">
        <v>994</v>
      </c>
      <c r="F128" s="12" t="s">
        <v>994</v>
      </c>
      <c r="G128" s="12" t="s">
        <v>994</v>
      </c>
      <c r="H128" s="12" t="s">
        <v>994</v>
      </c>
      <c r="I128" s="12" t="s">
        <v>994</v>
      </c>
      <c r="J128" s="12" t="s">
        <v>994</v>
      </c>
      <c r="K128" s="12" t="s">
        <v>994</v>
      </c>
      <c r="L128" s="13" t="s">
        <v>994</v>
      </c>
      <c r="M128" s="11" t="s">
        <v>994</v>
      </c>
      <c r="N128" s="11" t="s">
        <v>994</v>
      </c>
      <c r="O128" s="11" t="s">
        <v>994</v>
      </c>
      <c r="P128" s="11" t="s">
        <v>994</v>
      </c>
      <c r="Q128" s="11" t="s">
        <v>994</v>
      </c>
      <c r="R128" s="11" t="s">
        <v>994</v>
      </c>
      <c r="S128" s="11" t="s">
        <v>994</v>
      </c>
      <c r="T128" s="11" t="s">
        <v>994</v>
      </c>
      <c r="U128" s="11" t="s">
        <v>994</v>
      </c>
      <c r="V128" s="11" t="s">
        <v>994</v>
      </c>
      <c r="W128" s="11" t="s">
        <v>994</v>
      </c>
      <c r="X128" s="11" t="s">
        <v>994</v>
      </c>
      <c r="Y128" s="11" t="s">
        <v>994</v>
      </c>
      <c r="Z128" s="11" t="s">
        <v>994</v>
      </c>
      <c r="AA128" s="11" t="s">
        <v>994</v>
      </c>
      <c r="AB128" s="11" t="s">
        <v>994</v>
      </c>
      <c r="AC128" s="11" t="s">
        <v>994</v>
      </c>
      <c r="AD128" s="11" t="s">
        <v>994</v>
      </c>
    </row>
    <row r="129">
      <c r="B129" s="12" t="s">
        <v>994</v>
      </c>
      <c r="C129" s="11" t="s">
        <v>994</v>
      </c>
      <c r="D129" s="11" t="s">
        <v>994</v>
      </c>
      <c r="E129" s="12" t="s">
        <v>994</v>
      </c>
      <c r="F129" s="12" t="s">
        <v>994</v>
      </c>
      <c r="G129" s="12" t="s">
        <v>994</v>
      </c>
      <c r="H129" s="12" t="s">
        <v>994</v>
      </c>
      <c r="I129" s="12" t="s">
        <v>994</v>
      </c>
      <c r="J129" s="12" t="s">
        <v>994</v>
      </c>
      <c r="K129" s="12" t="s">
        <v>994</v>
      </c>
      <c r="L129" s="13" t="s">
        <v>994</v>
      </c>
      <c r="M129" s="11" t="s">
        <v>994</v>
      </c>
      <c r="N129" s="11" t="s">
        <v>994</v>
      </c>
      <c r="O129" s="11" t="s">
        <v>994</v>
      </c>
      <c r="P129" s="11" t="s">
        <v>994</v>
      </c>
      <c r="Q129" s="11" t="s">
        <v>994</v>
      </c>
      <c r="R129" s="11" t="s">
        <v>994</v>
      </c>
      <c r="S129" s="11" t="s">
        <v>994</v>
      </c>
      <c r="T129" s="11" t="s">
        <v>994</v>
      </c>
      <c r="U129" s="11" t="s">
        <v>994</v>
      </c>
      <c r="V129" s="11" t="s">
        <v>994</v>
      </c>
      <c r="W129" s="11" t="s">
        <v>994</v>
      </c>
      <c r="X129" s="11" t="s">
        <v>994</v>
      </c>
      <c r="Y129" s="11" t="s">
        <v>994</v>
      </c>
      <c r="Z129" s="11" t="s">
        <v>994</v>
      </c>
      <c r="AA129" s="11" t="s">
        <v>994</v>
      </c>
      <c r="AB129" s="11" t="s">
        <v>994</v>
      </c>
      <c r="AC129" s="11" t="s">
        <v>994</v>
      </c>
      <c r="AD129" s="11" t="s">
        <v>994</v>
      </c>
    </row>
    <row r="130">
      <c r="B130" s="12" t="s">
        <v>994</v>
      </c>
      <c r="C130" s="11" t="s">
        <v>994</v>
      </c>
      <c r="D130" s="11" t="s">
        <v>994</v>
      </c>
      <c r="E130" s="12" t="s">
        <v>994</v>
      </c>
      <c r="F130" s="12" t="s">
        <v>994</v>
      </c>
      <c r="G130" s="12" t="s">
        <v>994</v>
      </c>
      <c r="H130" s="12" t="s">
        <v>994</v>
      </c>
      <c r="I130" s="12" t="s">
        <v>994</v>
      </c>
      <c r="J130" s="12" t="s">
        <v>994</v>
      </c>
      <c r="K130" s="12" t="s">
        <v>994</v>
      </c>
      <c r="L130" s="13" t="s">
        <v>994</v>
      </c>
      <c r="M130" s="11" t="s">
        <v>994</v>
      </c>
      <c r="N130" s="11" t="s">
        <v>994</v>
      </c>
      <c r="O130" s="11" t="s">
        <v>994</v>
      </c>
      <c r="P130" s="11" t="s">
        <v>994</v>
      </c>
      <c r="Q130" s="11" t="s">
        <v>994</v>
      </c>
      <c r="R130" s="11" t="s">
        <v>994</v>
      </c>
      <c r="S130" s="11" t="s">
        <v>994</v>
      </c>
      <c r="T130" s="11" t="s">
        <v>994</v>
      </c>
      <c r="U130" s="11" t="s">
        <v>994</v>
      </c>
      <c r="V130" s="11" t="s">
        <v>994</v>
      </c>
      <c r="W130" s="11" t="s">
        <v>994</v>
      </c>
      <c r="X130" s="11" t="s">
        <v>994</v>
      </c>
      <c r="Y130" s="11" t="s">
        <v>994</v>
      </c>
      <c r="Z130" s="11" t="s">
        <v>994</v>
      </c>
      <c r="AA130" s="11" t="s">
        <v>994</v>
      </c>
      <c r="AB130" s="11" t="s">
        <v>994</v>
      </c>
      <c r="AC130" s="11" t="s">
        <v>994</v>
      </c>
      <c r="AD130" s="11" t="s">
        <v>994</v>
      </c>
    </row>
    <row r="131">
      <c r="B131" s="12" t="s">
        <v>994</v>
      </c>
      <c r="C131" s="11" t="s">
        <v>994</v>
      </c>
      <c r="D131" s="11" t="s">
        <v>994</v>
      </c>
      <c r="E131" s="12" t="s">
        <v>994</v>
      </c>
      <c r="F131" s="12" t="s">
        <v>994</v>
      </c>
      <c r="G131" s="12" t="s">
        <v>994</v>
      </c>
      <c r="H131" s="12" t="s">
        <v>994</v>
      </c>
      <c r="I131" s="12" t="s">
        <v>994</v>
      </c>
      <c r="J131" s="12" t="s">
        <v>994</v>
      </c>
      <c r="K131" s="12" t="s">
        <v>994</v>
      </c>
      <c r="L131" s="13" t="s">
        <v>994</v>
      </c>
      <c r="M131" s="11" t="s">
        <v>994</v>
      </c>
      <c r="N131" s="11" t="s">
        <v>994</v>
      </c>
      <c r="O131" s="11" t="s">
        <v>994</v>
      </c>
      <c r="P131" s="11" t="s">
        <v>994</v>
      </c>
      <c r="Q131" s="11" t="s">
        <v>994</v>
      </c>
      <c r="R131" s="11" t="s">
        <v>994</v>
      </c>
      <c r="S131" s="11" t="s">
        <v>994</v>
      </c>
      <c r="T131" s="11" t="s">
        <v>994</v>
      </c>
      <c r="U131" s="11" t="s">
        <v>994</v>
      </c>
      <c r="V131" s="11" t="s">
        <v>994</v>
      </c>
      <c r="W131" s="11" t="s">
        <v>994</v>
      </c>
      <c r="X131" s="11" t="s">
        <v>994</v>
      </c>
      <c r="Y131" s="11" t="s">
        <v>994</v>
      </c>
      <c r="Z131" s="11" t="s">
        <v>994</v>
      </c>
      <c r="AA131" s="11" t="s">
        <v>994</v>
      </c>
      <c r="AB131" s="11" t="s">
        <v>994</v>
      </c>
      <c r="AC131" s="11" t="s">
        <v>994</v>
      </c>
      <c r="AD131" s="11" t="s">
        <v>994</v>
      </c>
    </row>
    <row r="132">
      <c r="B132" s="12" t="s">
        <v>994</v>
      </c>
      <c r="C132" s="11" t="s">
        <v>994</v>
      </c>
      <c r="D132" s="11" t="s">
        <v>994</v>
      </c>
      <c r="E132" s="12" t="s">
        <v>994</v>
      </c>
      <c r="F132" s="12" t="s">
        <v>994</v>
      </c>
      <c r="G132" s="12" t="s">
        <v>994</v>
      </c>
      <c r="H132" s="12" t="s">
        <v>994</v>
      </c>
      <c r="I132" s="12" t="s">
        <v>994</v>
      </c>
      <c r="J132" s="12" t="s">
        <v>994</v>
      </c>
      <c r="K132" s="12" t="s">
        <v>994</v>
      </c>
      <c r="L132" s="13" t="s">
        <v>994</v>
      </c>
      <c r="M132" s="11" t="s">
        <v>994</v>
      </c>
      <c r="N132" s="11" t="s">
        <v>994</v>
      </c>
      <c r="O132" s="11" t="s">
        <v>994</v>
      </c>
      <c r="P132" s="11" t="s">
        <v>994</v>
      </c>
      <c r="Q132" s="11" t="s">
        <v>994</v>
      </c>
      <c r="R132" s="11" t="s">
        <v>994</v>
      </c>
      <c r="S132" s="11" t="s">
        <v>994</v>
      </c>
      <c r="T132" s="11" t="s">
        <v>994</v>
      </c>
      <c r="U132" s="11" t="s">
        <v>994</v>
      </c>
      <c r="V132" s="11" t="s">
        <v>994</v>
      </c>
      <c r="W132" s="11" t="s">
        <v>994</v>
      </c>
      <c r="X132" s="11" t="s">
        <v>994</v>
      </c>
      <c r="Y132" s="11" t="s">
        <v>994</v>
      </c>
      <c r="Z132" s="11" t="s">
        <v>994</v>
      </c>
      <c r="AA132" s="11" t="s">
        <v>994</v>
      </c>
      <c r="AB132" s="11" t="s">
        <v>994</v>
      </c>
      <c r="AC132" s="11" t="s">
        <v>994</v>
      </c>
      <c r="AD132" s="11" t="s">
        <v>994</v>
      </c>
    </row>
    <row r="133">
      <c r="B133" s="12" t="s">
        <v>994</v>
      </c>
      <c r="C133" s="11" t="s">
        <v>994</v>
      </c>
      <c r="D133" s="11" t="s">
        <v>994</v>
      </c>
      <c r="E133" s="12" t="s">
        <v>994</v>
      </c>
      <c r="F133" s="12" t="s">
        <v>994</v>
      </c>
      <c r="G133" s="12" t="s">
        <v>994</v>
      </c>
      <c r="H133" s="12" t="s">
        <v>994</v>
      </c>
      <c r="I133" s="12" t="s">
        <v>994</v>
      </c>
      <c r="J133" s="12" t="s">
        <v>994</v>
      </c>
      <c r="K133" s="12" t="s">
        <v>994</v>
      </c>
      <c r="L133" s="13" t="s">
        <v>994</v>
      </c>
      <c r="M133" s="11" t="s">
        <v>994</v>
      </c>
      <c r="N133" s="11" t="s">
        <v>994</v>
      </c>
      <c r="O133" s="11" t="s">
        <v>994</v>
      </c>
      <c r="P133" s="11" t="s">
        <v>994</v>
      </c>
      <c r="Q133" s="11" t="s">
        <v>994</v>
      </c>
      <c r="R133" s="11" t="s">
        <v>994</v>
      </c>
      <c r="S133" s="11" t="s">
        <v>994</v>
      </c>
      <c r="T133" s="11" t="s">
        <v>994</v>
      </c>
      <c r="U133" s="11" t="s">
        <v>994</v>
      </c>
      <c r="V133" s="11" t="s">
        <v>994</v>
      </c>
      <c r="W133" s="11" t="s">
        <v>994</v>
      </c>
      <c r="X133" s="11" t="s">
        <v>994</v>
      </c>
      <c r="Y133" s="11" t="s">
        <v>994</v>
      </c>
      <c r="Z133" s="11" t="s">
        <v>994</v>
      </c>
      <c r="AA133" s="11" t="s">
        <v>994</v>
      </c>
      <c r="AB133" s="11" t="s">
        <v>994</v>
      </c>
      <c r="AC133" s="11" t="s">
        <v>994</v>
      </c>
      <c r="AD133" s="11" t="s">
        <v>994</v>
      </c>
    </row>
    <row r="134">
      <c r="B134" s="12" t="s">
        <v>994</v>
      </c>
      <c r="C134" s="11" t="s">
        <v>994</v>
      </c>
      <c r="D134" s="11" t="s">
        <v>994</v>
      </c>
      <c r="E134" s="12" t="s">
        <v>994</v>
      </c>
      <c r="F134" s="12" t="s">
        <v>994</v>
      </c>
      <c r="G134" s="12" t="s">
        <v>994</v>
      </c>
      <c r="H134" s="12" t="s">
        <v>994</v>
      </c>
      <c r="I134" s="12" t="s">
        <v>994</v>
      </c>
      <c r="J134" s="12" t="s">
        <v>994</v>
      </c>
      <c r="K134" s="12" t="s">
        <v>994</v>
      </c>
      <c r="L134" s="13" t="s">
        <v>994</v>
      </c>
      <c r="M134" s="11" t="s">
        <v>994</v>
      </c>
      <c r="N134" s="11" t="s">
        <v>994</v>
      </c>
      <c r="O134" s="11" t="s">
        <v>994</v>
      </c>
      <c r="P134" s="11" t="s">
        <v>994</v>
      </c>
      <c r="Q134" s="11" t="s">
        <v>994</v>
      </c>
      <c r="R134" s="11" t="s">
        <v>994</v>
      </c>
      <c r="S134" s="11" t="s">
        <v>994</v>
      </c>
      <c r="T134" s="11" t="s">
        <v>994</v>
      </c>
      <c r="U134" s="11" t="s">
        <v>994</v>
      </c>
      <c r="V134" s="11" t="s">
        <v>994</v>
      </c>
      <c r="W134" s="11" t="s">
        <v>994</v>
      </c>
      <c r="X134" s="11" t="s">
        <v>994</v>
      </c>
      <c r="Y134" s="11" t="s">
        <v>994</v>
      </c>
      <c r="Z134" s="11" t="s">
        <v>994</v>
      </c>
      <c r="AA134" s="11" t="s">
        <v>994</v>
      </c>
      <c r="AB134" s="11" t="s">
        <v>994</v>
      </c>
      <c r="AC134" s="11" t="s">
        <v>994</v>
      </c>
      <c r="AD134" s="11" t="s">
        <v>994</v>
      </c>
    </row>
    <row r="135">
      <c r="B135" s="12" t="s">
        <v>994</v>
      </c>
      <c r="C135" s="11" t="s">
        <v>994</v>
      </c>
      <c r="D135" s="11" t="s">
        <v>994</v>
      </c>
      <c r="E135" s="12" t="s">
        <v>994</v>
      </c>
      <c r="F135" s="12" t="s">
        <v>994</v>
      </c>
      <c r="G135" s="12" t="s">
        <v>994</v>
      </c>
      <c r="H135" s="12" t="s">
        <v>994</v>
      </c>
      <c r="I135" s="12" t="s">
        <v>994</v>
      </c>
      <c r="J135" s="12" t="s">
        <v>994</v>
      </c>
      <c r="K135" s="12" t="s">
        <v>994</v>
      </c>
      <c r="L135" s="13" t="s">
        <v>994</v>
      </c>
      <c r="M135" s="11" t="s">
        <v>994</v>
      </c>
      <c r="N135" s="11" t="s">
        <v>994</v>
      </c>
      <c r="O135" s="11" t="s">
        <v>994</v>
      </c>
      <c r="P135" s="11" t="s">
        <v>994</v>
      </c>
      <c r="Q135" s="11" t="s">
        <v>994</v>
      </c>
      <c r="R135" s="11" t="s">
        <v>994</v>
      </c>
      <c r="S135" s="11" t="s">
        <v>994</v>
      </c>
      <c r="T135" s="11" t="s">
        <v>994</v>
      </c>
      <c r="U135" s="11" t="s">
        <v>994</v>
      </c>
      <c r="V135" s="11" t="s">
        <v>994</v>
      </c>
      <c r="W135" s="11" t="s">
        <v>994</v>
      </c>
      <c r="X135" s="11" t="s">
        <v>994</v>
      </c>
      <c r="Y135" s="11" t="s">
        <v>994</v>
      </c>
      <c r="Z135" s="11" t="s">
        <v>994</v>
      </c>
      <c r="AA135" s="11" t="s">
        <v>994</v>
      </c>
      <c r="AB135" s="11" t="s">
        <v>994</v>
      </c>
      <c r="AC135" s="11" t="s">
        <v>994</v>
      </c>
      <c r="AD135" s="11" t="s">
        <v>994</v>
      </c>
    </row>
    <row r="136">
      <c r="B136" s="12" t="s">
        <v>994</v>
      </c>
      <c r="C136" s="11" t="s">
        <v>994</v>
      </c>
      <c r="D136" s="11" t="s">
        <v>994</v>
      </c>
      <c r="E136" s="12" t="s">
        <v>994</v>
      </c>
      <c r="F136" s="12" t="s">
        <v>994</v>
      </c>
      <c r="G136" s="12" t="s">
        <v>994</v>
      </c>
      <c r="H136" s="12" t="s">
        <v>994</v>
      </c>
      <c r="I136" s="12" t="s">
        <v>994</v>
      </c>
      <c r="J136" s="12" t="s">
        <v>994</v>
      </c>
      <c r="K136" s="12" t="s">
        <v>994</v>
      </c>
      <c r="L136" s="13" t="s">
        <v>994</v>
      </c>
      <c r="M136" s="11" t="s">
        <v>994</v>
      </c>
      <c r="N136" s="11" t="s">
        <v>994</v>
      </c>
      <c r="O136" s="11" t="s">
        <v>994</v>
      </c>
      <c r="P136" s="11" t="s">
        <v>994</v>
      </c>
      <c r="Q136" s="11" t="s">
        <v>994</v>
      </c>
      <c r="R136" s="11" t="s">
        <v>994</v>
      </c>
      <c r="S136" s="11" t="s">
        <v>994</v>
      </c>
      <c r="T136" s="11" t="s">
        <v>994</v>
      </c>
      <c r="U136" s="11" t="s">
        <v>994</v>
      </c>
      <c r="V136" s="11" t="s">
        <v>994</v>
      </c>
      <c r="W136" s="11" t="s">
        <v>994</v>
      </c>
      <c r="X136" s="11" t="s">
        <v>994</v>
      </c>
      <c r="Y136" s="11" t="s">
        <v>994</v>
      </c>
      <c r="Z136" s="11" t="s">
        <v>994</v>
      </c>
      <c r="AA136" s="11" t="s">
        <v>994</v>
      </c>
      <c r="AB136" s="11" t="s">
        <v>994</v>
      </c>
      <c r="AC136" s="11" t="s">
        <v>994</v>
      </c>
      <c r="AD136" s="11" t="s">
        <v>994</v>
      </c>
    </row>
    <row r="137">
      <c r="B137" s="12" t="s">
        <v>994</v>
      </c>
      <c r="C137" s="11" t="s">
        <v>994</v>
      </c>
      <c r="D137" s="11" t="s">
        <v>994</v>
      </c>
      <c r="E137" s="12" t="s">
        <v>994</v>
      </c>
      <c r="F137" s="12" t="s">
        <v>994</v>
      </c>
      <c r="G137" s="12" t="s">
        <v>994</v>
      </c>
      <c r="H137" s="12" t="s">
        <v>994</v>
      </c>
      <c r="I137" s="12" t="s">
        <v>994</v>
      </c>
      <c r="J137" s="12" t="s">
        <v>994</v>
      </c>
      <c r="K137" s="12" t="s">
        <v>994</v>
      </c>
      <c r="L137" s="13" t="s">
        <v>994</v>
      </c>
      <c r="M137" s="11" t="s">
        <v>994</v>
      </c>
      <c r="N137" s="11" t="s">
        <v>994</v>
      </c>
      <c r="O137" s="11" t="s">
        <v>994</v>
      </c>
      <c r="P137" s="11" t="s">
        <v>994</v>
      </c>
      <c r="Q137" s="11" t="s">
        <v>994</v>
      </c>
      <c r="R137" s="11" t="s">
        <v>994</v>
      </c>
      <c r="S137" s="11" t="s">
        <v>994</v>
      </c>
      <c r="T137" s="11" t="s">
        <v>994</v>
      </c>
      <c r="U137" s="11" t="s">
        <v>994</v>
      </c>
      <c r="V137" s="11" t="s">
        <v>994</v>
      </c>
      <c r="W137" s="11" t="s">
        <v>994</v>
      </c>
      <c r="X137" s="11" t="s">
        <v>994</v>
      </c>
      <c r="Y137" s="11" t="s">
        <v>994</v>
      </c>
      <c r="Z137" s="11" t="s">
        <v>994</v>
      </c>
      <c r="AA137" s="11" t="s">
        <v>994</v>
      </c>
      <c r="AB137" s="11" t="s">
        <v>994</v>
      </c>
      <c r="AC137" s="11" t="s">
        <v>994</v>
      </c>
      <c r="AD137" s="11" t="s">
        <v>994</v>
      </c>
    </row>
    <row r="138">
      <c r="B138" s="12" t="s">
        <v>994</v>
      </c>
      <c r="C138" s="11" t="s">
        <v>994</v>
      </c>
      <c r="D138" s="11" t="s">
        <v>994</v>
      </c>
      <c r="E138" s="12" t="s">
        <v>994</v>
      </c>
      <c r="F138" s="12" t="s">
        <v>994</v>
      </c>
      <c r="G138" s="12" t="s">
        <v>994</v>
      </c>
      <c r="H138" s="12" t="s">
        <v>994</v>
      </c>
      <c r="I138" s="12" t="s">
        <v>994</v>
      </c>
      <c r="J138" s="12" t="s">
        <v>994</v>
      </c>
      <c r="K138" s="12" t="s">
        <v>994</v>
      </c>
      <c r="L138" s="13" t="s">
        <v>994</v>
      </c>
      <c r="M138" s="11" t="s">
        <v>994</v>
      </c>
      <c r="N138" s="11" t="s">
        <v>994</v>
      </c>
      <c r="O138" s="11" t="s">
        <v>994</v>
      </c>
      <c r="P138" s="11" t="s">
        <v>994</v>
      </c>
      <c r="Q138" s="11" t="s">
        <v>994</v>
      </c>
      <c r="R138" s="11" t="s">
        <v>994</v>
      </c>
      <c r="S138" s="11" t="s">
        <v>994</v>
      </c>
      <c r="T138" s="11" t="s">
        <v>994</v>
      </c>
      <c r="U138" s="11" t="s">
        <v>994</v>
      </c>
      <c r="V138" s="11" t="s">
        <v>994</v>
      </c>
      <c r="W138" s="11" t="s">
        <v>994</v>
      </c>
      <c r="X138" s="11" t="s">
        <v>994</v>
      </c>
      <c r="Y138" s="11" t="s">
        <v>994</v>
      </c>
      <c r="Z138" s="11" t="s">
        <v>994</v>
      </c>
      <c r="AA138" s="11" t="s">
        <v>994</v>
      </c>
      <c r="AB138" s="11" t="s">
        <v>994</v>
      </c>
      <c r="AC138" s="11" t="s">
        <v>994</v>
      </c>
      <c r="AD138" s="11" t="s">
        <v>994</v>
      </c>
    </row>
    <row r="139">
      <c r="B139" s="12" t="s">
        <v>994</v>
      </c>
      <c r="C139" s="11" t="s">
        <v>994</v>
      </c>
      <c r="D139" s="11" t="s">
        <v>994</v>
      </c>
      <c r="E139" s="12" t="s">
        <v>994</v>
      </c>
      <c r="F139" s="12" t="s">
        <v>994</v>
      </c>
      <c r="G139" s="12" t="s">
        <v>994</v>
      </c>
      <c r="H139" s="12" t="s">
        <v>994</v>
      </c>
      <c r="I139" s="12" t="s">
        <v>994</v>
      </c>
      <c r="J139" s="12" t="s">
        <v>994</v>
      </c>
      <c r="K139" s="12" t="s">
        <v>994</v>
      </c>
      <c r="L139" s="13" t="s">
        <v>994</v>
      </c>
      <c r="M139" s="11" t="s">
        <v>994</v>
      </c>
      <c r="N139" s="11" t="s">
        <v>994</v>
      </c>
      <c r="O139" s="11" t="s">
        <v>994</v>
      </c>
      <c r="P139" s="11" t="s">
        <v>994</v>
      </c>
      <c r="Q139" s="11" t="s">
        <v>994</v>
      </c>
      <c r="R139" s="11" t="s">
        <v>994</v>
      </c>
      <c r="S139" s="11" t="s">
        <v>994</v>
      </c>
      <c r="T139" s="11" t="s">
        <v>994</v>
      </c>
      <c r="U139" s="11" t="s">
        <v>994</v>
      </c>
      <c r="V139" s="11" t="s">
        <v>994</v>
      </c>
      <c r="W139" s="11" t="s">
        <v>994</v>
      </c>
      <c r="X139" s="11" t="s">
        <v>994</v>
      </c>
      <c r="Y139" s="11" t="s">
        <v>994</v>
      </c>
      <c r="Z139" s="11" t="s">
        <v>994</v>
      </c>
      <c r="AA139" s="11" t="s">
        <v>994</v>
      </c>
      <c r="AB139" s="11" t="s">
        <v>994</v>
      </c>
      <c r="AC139" s="11" t="s">
        <v>994</v>
      </c>
      <c r="AD139" s="11" t="s">
        <v>994</v>
      </c>
    </row>
    <row r="140">
      <c r="B140" s="12" t="s">
        <v>994</v>
      </c>
      <c r="C140" s="11" t="s">
        <v>994</v>
      </c>
      <c r="D140" s="11" t="s">
        <v>994</v>
      </c>
      <c r="E140" s="12" t="s">
        <v>994</v>
      </c>
      <c r="F140" s="12" t="s">
        <v>994</v>
      </c>
      <c r="G140" s="12" t="s">
        <v>994</v>
      </c>
      <c r="H140" s="12" t="s">
        <v>994</v>
      </c>
      <c r="I140" s="12" t="s">
        <v>994</v>
      </c>
      <c r="J140" s="12" t="s">
        <v>994</v>
      </c>
      <c r="K140" s="12" t="s">
        <v>994</v>
      </c>
      <c r="L140" s="13" t="s">
        <v>994</v>
      </c>
      <c r="M140" s="11" t="s">
        <v>994</v>
      </c>
      <c r="N140" s="11" t="s">
        <v>994</v>
      </c>
      <c r="O140" s="11" t="s">
        <v>994</v>
      </c>
      <c r="P140" s="11" t="s">
        <v>994</v>
      </c>
      <c r="Q140" s="11" t="s">
        <v>994</v>
      </c>
      <c r="R140" s="11" t="s">
        <v>994</v>
      </c>
      <c r="S140" s="11" t="s">
        <v>994</v>
      </c>
      <c r="T140" s="11" t="s">
        <v>994</v>
      </c>
      <c r="U140" s="11" t="s">
        <v>994</v>
      </c>
      <c r="V140" s="11" t="s">
        <v>994</v>
      </c>
      <c r="W140" s="11" t="s">
        <v>994</v>
      </c>
      <c r="X140" s="11" t="s">
        <v>994</v>
      </c>
      <c r="Y140" s="11" t="s">
        <v>994</v>
      </c>
      <c r="Z140" s="11" t="s">
        <v>994</v>
      </c>
      <c r="AA140" s="11" t="s">
        <v>994</v>
      </c>
      <c r="AB140" s="11" t="s">
        <v>994</v>
      </c>
      <c r="AC140" s="11" t="s">
        <v>994</v>
      </c>
      <c r="AD140" s="11" t="s">
        <v>994</v>
      </c>
    </row>
    <row r="141">
      <c r="B141" s="12" t="s">
        <v>994</v>
      </c>
      <c r="C141" s="11" t="s">
        <v>994</v>
      </c>
      <c r="D141" s="11" t="s">
        <v>994</v>
      </c>
      <c r="E141" s="12" t="s">
        <v>994</v>
      </c>
      <c r="F141" s="12" t="s">
        <v>994</v>
      </c>
      <c r="G141" s="12" t="s">
        <v>994</v>
      </c>
      <c r="H141" s="12" t="s">
        <v>994</v>
      </c>
      <c r="I141" s="12" t="s">
        <v>994</v>
      </c>
      <c r="J141" s="12" t="s">
        <v>994</v>
      </c>
      <c r="K141" s="12" t="s">
        <v>994</v>
      </c>
      <c r="L141" s="13" t="s">
        <v>994</v>
      </c>
      <c r="M141" s="11" t="s">
        <v>994</v>
      </c>
      <c r="N141" s="11" t="s">
        <v>994</v>
      </c>
      <c r="O141" s="11" t="s">
        <v>994</v>
      </c>
      <c r="P141" s="11" t="s">
        <v>994</v>
      </c>
      <c r="Q141" s="11" t="s">
        <v>994</v>
      </c>
      <c r="R141" s="11" t="s">
        <v>994</v>
      </c>
      <c r="S141" s="11" t="s">
        <v>994</v>
      </c>
      <c r="T141" s="11" t="s">
        <v>994</v>
      </c>
      <c r="U141" s="11" t="s">
        <v>994</v>
      </c>
      <c r="V141" s="11" t="s">
        <v>994</v>
      </c>
      <c r="W141" s="11" t="s">
        <v>994</v>
      </c>
      <c r="X141" s="11" t="s">
        <v>994</v>
      </c>
      <c r="Y141" s="11" t="s">
        <v>994</v>
      </c>
      <c r="Z141" s="11" t="s">
        <v>994</v>
      </c>
      <c r="AA141" s="11" t="s">
        <v>994</v>
      </c>
      <c r="AB141" s="11" t="s">
        <v>994</v>
      </c>
      <c r="AC141" s="11" t="s">
        <v>994</v>
      </c>
      <c r="AD141" s="11" t="s">
        <v>994</v>
      </c>
    </row>
    <row r="142">
      <c r="B142" s="12" t="s">
        <v>994</v>
      </c>
      <c r="C142" s="11" t="s">
        <v>994</v>
      </c>
      <c r="D142" s="11" t="s">
        <v>994</v>
      </c>
      <c r="E142" s="12" t="s">
        <v>994</v>
      </c>
      <c r="F142" s="12" t="s">
        <v>994</v>
      </c>
      <c r="G142" s="12" t="s">
        <v>994</v>
      </c>
      <c r="H142" s="12" t="s">
        <v>994</v>
      </c>
      <c r="I142" s="12" t="s">
        <v>994</v>
      </c>
      <c r="J142" s="12" t="s">
        <v>994</v>
      </c>
      <c r="K142" s="12" t="s">
        <v>994</v>
      </c>
      <c r="L142" s="13" t="s">
        <v>994</v>
      </c>
      <c r="M142" s="11" t="s">
        <v>994</v>
      </c>
      <c r="N142" s="11" t="s">
        <v>994</v>
      </c>
      <c r="O142" s="11" t="s">
        <v>994</v>
      </c>
      <c r="P142" s="11" t="s">
        <v>994</v>
      </c>
      <c r="Q142" s="11" t="s">
        <v>994</v>
      </c>
      <c r="R142" s="11" t="s">
        <v>994</v>
      </c>
      <c r="S142" s="11" t="s">
        <v>994</v>
      </c>
      <c r="T142" s="11" t="s">
        <v>994</v>
      </c>
      <c r="U142" s="11" t="s">
        <v>994</v>
      </c>
      <c r="V142" s="11" t="s">
        <v>994</v>
      </c>
      <c r="W142" s="11" t="s">
        <v>994</v>
      </c>
      <c r="X142" s="11" t="s">
        <v>994</v>
      </c>
      <c r="Y142" s="11" t="s">
        <v>994</v>
      </c>
      <c r="Z142" s="11" t="s">
        <v>994</v>
      </c>
      <c r="AA142" s="11" t="s">
        <v>994</v>
      </c>
      <c r="AB142" s="11" t="s">
        <v>994</v>
      </c>
      <c r="AC142" s="11" t="s">
        <v>994</v>
      </c>
      <c r="AD142" s="11" t="s">
        <v>994</v>
      </c>
    </row>
    <row r="143">
      <c r="B143" s="12" t="s">
        <v>994</v>
      </c>
      <c r="C143" s="11" t="s">
        <v>994</v>
      </c>
      <c r="D143" s="11" t="s">
        <v>994</v>
      </c>
      <c r="E143" s="12" t="s">
        <v>994</v>
      </c>
      <c r="F143" s="12" t="s">
        <v>994</v>
      </c>
      <c r="G143" s="12" t="s">
        <v>994</v>
      </c>
      <c r="H143" s="12" t="s">
        <v>994</v>
      </c>
      <c r="I143" s="12" t="s">
        <v>994</v>
      </c>
      <c r="J143" s="12" t="s">
        <v>994</v>
      </c>
      <c r="K143" s="12" t="s">
        <v>994</v>
      </c>
      <c r="L143" s="13" t="s">
        <v>994</v>
      </c>
      <c r="M143" s="11" t="s">
        <v>994</v>
      </c>
      <c r="N143" s="11" t="s">
        <v>994</v>
      </c>
      <c r="O143" s="11" t="s">
        <v>994</v>
      </c>
      <c r="P143" s="11" t="s">
        <v>994</v>
      </c>
      <c r="Q143" s="11" t="s">
        <v>994</v>
      </c>
      <c r="R143" s="11" t="s">
        <v>994</v>
      </c>
      <c r="S143" s="11" t="s">
        <v>994</v>
      </c>
      <c r="T143" s="11" t="s">
        <v>994</v>
      </c>
      <c r="U143" s="11" t="s">
        <v>994</v>
      </c>
      <c r="V143" s="11" t="s">
        <v>994</v>
      </c>
      <c r="W143" s="11" t="s">
        <v>994</v>
      </c>
      <c r="X143" s="11" t="s">
        <v>994</v>
      </c>
      <c r="Y143" s="11" t="s">
        <v>994</v>
      </c>
      <c r="Z143" s="11" t="s">
        <v>994</v>
      </c>
      <c r="AA143" s="11" t="s">
        <v>994</v>
      </c>
      <c r="AB143" s="11" t="s">
        <v>994</v>
      </c>
      <c r="AC143" s="11" t="s">
        <v>994</v>
      </c>
      <c r="AD143" s="11" t="s">
        <v>994</v>
      </c>
    </row>
    <row r="144">
      <c r="B144" s="12" t="s">
        <v>994</v>
      </c>
      <c r="C144" s="11" t="s">
        <v>994</v>
      </c>
      <c r="D144" s="11" t="s">
        <v>994</v>
      </c>
      <c r="E144" s="12" t="s">
        <v>994</v>
      </c>
      <c r="F144" s="12" t="s">
        <v>994</v>
      </c>
      <c r="G144" s="12" t="s">
        <v>994</v>
      </c>
      <c r="H144" s="12" t="s">
        <v>994</v>
      </c>
      <c r="I144" s="12" t="s">
        <v>994</v>
      </c>
      <c r="J144" s="12" t="s">
        <v>994</v>
      </c>
      <c r="K144" s="12" t="s">
        <v>994</v>
      </c>
      <c r="L144" s="13" t="s">
        <v>994</v>
      </c>
      <c r="M144" s="11" t="s">
        <v>994</v>
      </c>
      <c r="N144" s="11" t="s">
        <v>994</v>
      </c>
      <c r="O144" s="11" t="s">
        <v>994</v>
      </c>
      <c r="P144" s="11" t="s">
        <v>994</v>
      </c>
      <c r="Q144" s="11" t="s">
        <v>994</v>
      </c>
      <c r="R144" s="11" t="s">
        <v>994</v>
      </c>
      <c r="S144" s="11" t="s">
        <v>994</v>
      </c>
      <c r="T144" s="11" t="s">
        <v>994</v>
      </c>
      <c r="U144" s="11" t="s">
        <v>994</v>
      </c>
      <c r="V144" s="11" t="s">
        <v>994</v>
      </c>
      <c r="W144" s="11" t="s">
        <v>994</v>
      </c>
      <c r="X144" s="11" t="s">
        <v>994</v>
      </c>
      <c r="Y144" s="11" t="s">
        <v>994</v>
      </c>
      <c r="Z144" s="11" t="s">
        <v>994</v>
      </c>
      <c r="AA144" s="11" t="s">
        <v>994</v>
      </c>
      <c r="AB144" s="11" t="s">
        <v>994</v>
      </c>
      <c r="AC144" s="11" t="s">
        <v>994</v>
      </c>
      <c r="AD144" s="11" t="s">
        <v>994</v>
      </c>
    </row>
    <row r="145">
      <c r="B145" s="12" t="s">
        <v>994</v>
      </c>
      <c r="C145" s="11" t="s">
        <v>994</v>
      </c>
      <c r="D145" s="11" t="s">
        <v>994</v>
      </c>
      <c r="E145" s="12" t="s">
        <v>994</v>
      </c>
      <c r="F145" s="12" t="s">
        <v>994</v>
      </c>
      <c r="G145" s="12" t="s">
        <v>994</v>
      </c>
      <c r="H145" s="12" t="s">
        <v>994</v>
      </c>
      <c r="I145" s="12" t="s">
        <v>994</v>
      </c>
      <c r="J145" s="12" t="s">
        <v>994</v>
      </c>
      <c r="K145" s="12" t="s">
        <v>994</v>
      </c>
      <c r="L145" s="13" t="s">
        <v>994</v>
      </c>
      <c r="M145" s="11" t="s">
        <v>994</v>
      </c>
      <c r="N145" s="11" t="s">
        <v>994</v>
      </c>
      <c r="O145" s="11" t="s">
        <v>994</v>
      </c>
      <c r="P145" s="11" t="s">
        <v>994</v>
      </c>
      <c r="Q145" s="11" t="s">
        <v>994</v>
      </c>
      <c r="R145" s="11" t="s">
        <v>994</v>
      </c>
      <c r="S145" s="11" t="s">
        <v>994</v>
      </c>
      <c r="T145" s="11" t="s">
        <v>994</v>
      </c>
      <c r="U145" s="11" t="s">
        <v>994</v>
      </c>
      <c r="V145" s="11" t="s">
        <v>994</v>
      </c>
      <c r="W145" s="11" t="s">
        <v>994</v>
      </c>
      <c r="X145" s="11" t="s">
        <v>994</v>
      </c>
      <c r="Y145" s="11" t="s">
        <v>994</v>
      </c>
      <c r="Z145" s="11" t="s">
        <v>994</v>
      </c>
      <c r="AA145" s="11" t="s">
        <v>994</v>
      </c>
      <c r="AB145" s="11" t="s">
        <v>994</v>
      </c>
      <c r="AC145" s="11" t="s">
        <v>994</v>
      </c>
      <c r="AD145" s="11" t="s">
        <v>994</v>
      </c>
    </row>
    <row r="146">
      <c r="B146" s="12" t="s">
        <v>994</v>
      </c>
      <c r="C146" s="11" t="s">
        <v>994</v>
      </c>
      <c r="D146" s="11" t="s">
        <v>994</v>
      </c>
      <c r="E146" s="12" t="s">
        <v>994</v>
      </c>
      <c r="F146" s="12" t="s">
        <v>994</v>
      </c>
      <c r="G146" s="12" t="s">
        <v>994</v>
      </c>
      <c r="H146" s="12" t="s">
        <v>994</v>
      </c>
      <c r="I146" s="12" t="s">
        <v>994</v>
      </c>
      <c r="J146" s="12" t="s">
        <v>994</v>
      </c>
      <c r="K146" s="12" t="s">
        <v>994</v>
      </c>
      <c r="L146" s="13" t="s">
        <v>994</v>
      </c>
      <c r="M146" s="11" t="s">
        <v>994</v>
      </c>
      <c r="N146" s="11" t="s">
        <v>994</v>
      </c>
      <c r="O146" s="11" t="s">
        <v>994</v>
      </c>
      <c r="P146" s="11" t="s">
        <v>994</v>
      </c>
      <c r="Q146" s="11" t="s">
        <v>994</v>
      </c>
      <c r="R146" s="11" t="s">
        <v>994</v>
      </c>
      <c r="S146" s="11" t="s">
        <v>994</v>
      </c>
      <c r="T146" s="11" t="s">
        <v>994</v>
      </c>
      <c r="U146" s="11" t="s">
        <v>994</v>
      </c>
      <c r="V146" s="11" t="s">
        <v>994</v>
      </c>
      <c r="W146" s="11" t="s">
        <v>994</v>
      </c>
      <c r="X146" s="11" t="s">
        <v>994</v>
      </c>
      <c r="Y146" s="11" t="s">
        <v>994</v>
      </c>
      <c r="Z146" s="11" t="s">
        <v>994</v>
      </c>
      <c r="AA146" s="11" t="s">
        <v>994</v>
      </c>
      <c r="AB146" s="11" t="s">
        <v>994</v>
      </c>
      <c r="AC146" s="11" t="s">
        <v>994</v>
      </c>
      <c r="AD146" s="11" t="s">
        <v>994</v>
      </c>
    </row>
    <row r="147">
      <c r="B147" s="12" t="s">
        <v>994</v>
      </c>
      <c r="C147" s="11" t="s">
        <v>994</v>
      </c>
      <c r="D147" s="11" t="s">
        <v>994</v>
      </c>
      <c r="E147" s="12" t="s">
        <v>994</v>
      </c>
      <c r="F147" s="12" t="s">
        <v>994</v>
      </c>
      <c r="G147" s="12" t="s">
        <v>994</v>
      </c>
      <c r="H147" s="12" t="s">
        <v>994</v>
      </c>
      <c r="I147" s="12" t="s">
        <v>994</v>
      </c>
      <c r="J147" s="12" t="s">
        <v>994</v>
      </c>
      <c r="K147" s="12" t="s">
        <v>994</v>
      </c>
      <c r="L147" s="13" t="s">
        <v>994</v>
      </c>
      <c r="M147" s="11" t="s">
        <v>994</v>
      </c>
      <c r="N147" s="11" t="s">
        <v>994</v>
      </c>
      <c r="O147" s="11" t="s">
        <v>994</v>
      </c>
      <c r="P147" s="11" t="s">
        <v>994</v>
      </c>
      <c r="Q147" s="11" t="s">
        <v>994</v>
      </c>
      <c r="R147" s="11" t="s">
        <v>994</v>
      </c>
      <c r="S147" s="11" t="s">
        <v>994</v>
      </c>
      <c r="T147" s="11" t="s">
        <v>994</v>
      </c>
      <c r="U147" s="11" t="s">
        <v>994</v>
      </c>
      <c r="V147" s="11" t="s">
        <v>994</v>
      </c>
      <c r="W147" s="11" t="s">
        <v>994</v>
      </c>
      <c r="X147" s="11" t="s">
        <v>994</v>
      </c>
      <c r="Y147" s="11" t="s">
        <v>994</v>
      </c>
      <c r="Z147" s="11" t="s">
        <v>994</v>
      </c>
      <c r="AA147" s="11" t="s">
        <v>994</v>
      </c>
      <c r="AB147" s="11" t="s">
        <v>994</v>
      </c>
      <c r="AC147" s="11" t="s">
        <v>994</v>
      </c>
      <c r="AD147" s="11" t="s">
        <v>994</v>
      </c>
    </row>
    <row r="148">
      <c r="B148" s="12" t="s">
        <v>994</v>
      </c>
      <c r="C148" s="11" t="s">
        <v>994</v>
      </c>
      <c r="D148" s="11" t="s">
        <v>994</v>
      </c>
      <c r="E148" s="12" t="s">
        <v>994</v>
      </c>
      <c r="F148" s="12" t="s">
        <v>994</v>
      </c>
      <c r="G148" s="12" t="s">
        <v>994</v>
      </c>
      <c r="H148" s="12" t="s">
        <v>994</v>
      </c>
      <c r="I148" s="12" t="s">
        <v>994</v>
      </c>
      <c r="J148" s="12" t="s">
        <v>994</v>
      </c>
      <c r="K148" s="12" t="s">
        <v>994</v>
      </c>
      <c r="L148" s="13" t="s">
        <v>994</v>
      </c>
      <c r="M148" s="11" t="s">
        <v>994</v>
      </c>
      <c r="N148" s="11" t="s">
        <v>994</v>
      </c>
      <c r="O148" s="11" t="s">
        <v>994</v>
      </c>
      <c r="P148" s="11" t="s">
        <v>994</v>
      </c>
      <c r="Q148" s="11" t="s">
        <v>994</v>
      </c>
      <c r="R148" s="11" t="s">
        <v>994</v>
      </c>
      <c r="S148" s="11" t="s">
        <v>994</v>
      </c>
      <c r="T148" s="11" t="s">
        <v>994</v>
      </c>
      <c r="U148" s="11" t="s">
        <v>994</v>
      </c>
      <c r="V148" s="11" t="s">
        <v>994</v>
      </c>
      <c r="W148" s="11" t="s">
        <v>994</v>
      </c>
      <c r="X148" s="11" t="s">
        <v>994</v>
      </c>
      <c r="Y148" s="11" t="s">
        <v>994</v>
      </c>
      <c r="Z148" s="11" t="s">
        <v>994</v>
      </c>
      <c r="AA148" s="11" t="s">
        <v>994</v>
      </c>
      <c r="AB148" s="11" t="s">
        <v>994</v>
      </c>
      <c r="AC148" s="11" t="s">
        <v>994</v>
      </c>
      <c r="AD148" s="11" t="s">
        <v>994</v>
      </c>
    </row>
    <row r="149">
      <c r="B149" s="12" t="s">
        <v>994</v>
      </c>
      <c r="C149" s="11" t="s">
        <v>994</v>
      </c>
      <c r="D149" s="11" t="s">
        <v>994</v>
      </c>
      <c r="E149" s="12" t="s">
        <v>994</v>
      </c>
      <c r="F149" s="12" t="s">
        <v>994</v>
      </c>
      <c r="G149" s="12" t="s">
        <v>994</v>
      </c>
      <c r="H149" s="12" t="s">
        <v>994</v>
      </c>
      <c r="I149" s="12" t="s">
        <v>994</v>
      </c>
      <c r="J149" s="12" t="s">
        <v>994</v>
      </c>
      <c r="K149" s="12" t="s">
        <v>994</v>
      </c>
      <c r="L149" s="13" t="s">
        <v>994</v>
      </c>
      <c r="M149" s="11" t="s">
        <v>994</v>
      </c>
      <c r="N149" s="11" t="s">
        <v>994</v>
      </c>
      <c r="O149" s="11" t="s">
        <v>994</v>
      </c>
      <c r="P149" s="11" t="s">
        <v>994</v>
      </c>
      <c r="Q149" s="11" t="s">
        <v>994</v>
      </c>
      <c r="R149" s="11" t="s">
        <v>994</v>
      </c>
      <c r="S149" s="11" t="s">
        <v>994</v>
      </c>
      <c r="T149" s="11" t="s">
        <v>994</v>
      </c>
      <c r="U149" s="11" t="s">
        <v>994</v>
      </c>
      <c r="V149" s="11" t="s">
        <v>994</v>
      </c>
      <c r="W149" s="11" t="s">
        <v>994</v>
      </c>
      <c r="X149" s="11" t="s">
        <v>994</v>
      </c>
      <c r="Y149" s="11" t="s">
        <v>994</v>
      </c>
      <c r="Z149" s="11" t="s">
        <v>994</v>
      </c>
      <c r="AA149" s="11" t="s">
        <v>994</v>
      </c>
      <c r="AB149" s="11" t="s">
        <v>994</v>
      </c>
      <c r="AC149" s="11" t="s">
        <v>994</v>
      </c>
      <c r="AD149" s="11" t="s">
        <v>994</v>
      </c>
    </row>
    <row r="150">
      <c r="B150" s="12" t="s">
        <v>994</v>
      </c>
      <c r="C150" s="11" t="s">
        <v>994</v>
      </c>
      <c r="D150" s="11" t="s">
        <v>994</v>
      </c>
      <c r="E150" s="12" t="s">
        <v>994</v>
      </c>
      <c r="F150" s="12" t="s">
        <v>994</v>
      </c>
      <c r="G150" s="12" t="s">
        <v>994</v>
      </c>
      <c r="H150" s="12" t="s">
        <v>994</v>
      </c>
      <c r="I150" s="12" t="s">
        <v>994</v>
      </c>
      <c r="J150" s="12" t="s">
        <v>994</v>
      </c>
      <c r="K150" s="12" t="s">
        <v>994</v>
      </c>
      <c r="L150" s="13" t="s">
        <v>994</v>
      </c>
      <c r="M150" s="11" t="s">
        <v>994</v>
      </c>
      <c r="N150" s="11" t="s">
        <v>994</v>
      </c>
      <c r="O150" s="11" t="s">
        <v>994</v>
      </c>
      <c r="P150" s="11" t="s">
        <v>994</v>
      </c>
      <c r="Q150" s="11" t="s">
        <v>994</v>
      </c>
      <c r="R150" s="11" t="s">
        <v>994</v>
      </c>
      <c r="S150" s="11" t="s">
        <v>994</v>
      </c>
      <c r="T150" s="11" t="s">
        <v>994</v>
      </c>
      <c r="U150" s="11" t="s">
        <v>994</v>
      </c>
      <c r="V150" s="11" t="s">
        <v>994</v>
      </c>
      <c r="W150" s="11" t="s">
        <v>994</v>
      </c>
      <c r="X150" s="11" t="s">
        <v>994</v>
      </c>
      <c r="Y150" s="11" t="s">
        <v>994</v>
      </c>
      <c r="Z150" s="11" t="s">
        <v>994</v>
      </c>
      <c r="AA150" s="11" t="s">
        <v>994</v>
      </c>
      <c r="AB150" s="11" t="s">
        <v>994</v>
      </c>
      <c r="AC150" s="11" t="s">
        <v>994</v>
      </c>
      <c r="AD150" s="11" t="s">
        <v>994</v>
      </c>
    </row>
    <row r="151">
      <c r="B151" s="12" t="s">
        <v>994</v>
      </c>
      <c r="C151" s="11" t="s">
        <v>994</v>
      </c>
      <c r="D151" s="11" t="s">
        <v>994</v>
      </c>
      <c r="E151" s="12" t="s">
        <v>994</v>
      </c>
      <c r="F151" s="12" t="s">
        <v>994</v>
      </c>
      <c r="G151" s="12" t="s">
        <v>994</v>
      </c>
      <c r="H151" s="12" t="s">
        <v>994</v>
      </c>
      <c r="I151" s="12" t="s">
        <v>994</v>
      </c>
      <c r="J151" s="12" t="s">
        <v>994</v>
      </c>
      <c r="K151" s="12" t="s">
        <v>994</v>
      </c>
      <c r="L151" s="13" t="s">
        <v>994</v>
      </c>
      <c r="M151" s="11" t="s">
        <v>994</v>
      </c>
      <c r="N151" s="11" t="s">
        <v>994</v>
      </c>
      <c r="O151" s="11" t="s">
        <v>994</v>
      </c>
      <c r="P151" s="11" t="s">
        <v>994</v>
      </c>
      <c r="Q151" s="11" t="s">
        <v>994</v>
      </c>
      <c r="R151" s="11" t="s">
        <v>994</v>
      </c>
      <c r="S151" s="11" t="s">
        <v>994</v>
      </c>
      <c r="T151" s="11" t="s">
        <v>994</v>
      </c>
      <c r="U151" s="11" t="s">
        <v>994</v>
      </c>
      <c r="V151" s="11" t="s">
        <v>994</v>
      </c>
      <c r="W151" s="11" t="s">
        <v>994</v>
      </c>
      <c r="X151" s="11" t="s">
        <v>994</v>
      </c>
      <c r="Y151" s="11" t="s">
        <v>994</v>
      </c>
      <c r="Z151" s="11" t="s">
        <v>994</v>
      </c>
      <c r="AA151" s="11" t="s">
        <v>994</v>
      </c>
      <c r="AB151" s="11" t="s">
        <v>994</v>
      </c>
      <c r="AC151" s="11" t="s">
        <v>994</v>
      </c>
      <c r="AD151" s="11" t="s">
        <v>994</v>
      </c>
    </row>
    <row r="152">
      <c r="B152" s="12" t="s">
        <v>994</v>
      </c>
      <c r="C152" s="11" t="s">
        <v>994</v>
      </c>
      <c r="D152" s="11" t="s">
        <v>994</v>
      </c>
      <c r="E152" s="12" t="s">
        <v>994</v>
      </c>
      <c r="F152" s="12" t="s">
        <v>994</v>
      </c>
      <c r="G152" s="12" t="s">
        <v>994</v>
      </c>
      <c r="H152" s="12" t="s">
        <v>994</v>
      </c>
      <c r="I152" s="12" t="s">
        <v>994</v>
      </c>
      <c r="J152" s="12" t="s">
        <v>994</v>
      </c>
      <c r="K152" s="12" t="s">
        <v>994</v>
      </c>
      <c r="L152" s="13" t="s">
        <v>994</v>
      </c>
      <c r="M152" s="11" t="s">
        <v>994</v>
      </c>
      <c r="N152" s="11" t="s">
        <v>994</v>
      </c>
      <c r="O152" s="11" t="s">
        <v>994</v>
      </c>
      <c r="P152" s="11" t="s">
        <v>994</v>
      </c>
      <c r="Q152" s="11" t="s">
        <v>994</v>
      </c>
      <c r="R152" s="11" t="s">
        <v>994</v>
      </c>
      <c r="S152" s="11" t="s">
        <v>994</v>
      </c>
      <c r="T152" s="11" t="s">
        <v>994</v>
      </c>
      <c r="U152" s="11" t="s">
        <v>994</v>
      </c>
      <c r="V152" s="11" t="s">
        <v>994</v>
      </c>
      <c r="W152" s="11" t="s">
        <v>994</v>
      </c>
      <c r="X152" s="11" t="s">
        <v>994</v>
      </c>
      <c r="Y152" s="11" t="s">
        <v>994</v>
      </c>
      <c r="Z152" s="11" t="s">
        <v>994</v>
      </c>
      <c r="AA152" s="11" t="s">
        <v>994</v>
      </c>
      <c r="AB152" s="11" t="s">
        <v>994</v>
      </c>
      <c r="AC152" s="11" t="s">
        <v>994</v>
      </c>
      <c r="AD152" s="11" t="s">
        <v>994</v>
      </c>
    </row>
    <row r="153">
      <c r="B153" s="12" t="s">
        <v>994</v>
      </c>
      <c r="C153" s="11" t="s">
        <v>994</v>
      </c>
      <c r="D153" s="11" t="s">
        <v>994</v>
      </c>
      <c r="E153" s="12" t="s">
        <v>994</v>
      </c>
      <c r="F153" s="12" t="s">
        <v>994</v>
      </c>
      <c r="G153" s="12" t="s">
        <v>994</v>
      </c>
      <c r="H153" s="12" t="s">
        <v>994</v>
      </c>
      <c r="I153" s="12" t="s">
        <v>994</v>
      </c>
      <c r="J153" s="12" t="s">
        <v>994</v>
      </c>
      <c r="K153" s="12" t="s">
        <v>994</v>
      </c>
      <c r="L153" s="13" t="s">
        <v>994</v>
      </c>
      <c r="M153" s="11" t="s">
        <v>994</v>
      </c>
      <c r="N153" s="11" t="s">
        <v>994</v>
      </c>
      <c r="O153" s="11" t="s">
        <v>994</v>
      </c>
      <c r="P153" s="11" t="s">
        <v>994</v>
      </c>
      <c r="Q153" s="11" t="s">
        <v>994</v>
      </c>
      <c r="R153" s="11" t="s">
        <v>994</v>
      </c>
      <c r="S153" s="11" t="s">
        <v>994</v>
      </c>
      <c r="T153" s="11" t="s">
        <v>994</v>
      </c>
      <c r="U153" s="11" t="s">
        <v>994</v>
      </c>
      <c r="V153" s="11" t="s">
        <v>994</v>
      </c>
      <c r="W153" s="11" t="s">
        <v>994</v>
      </c>
      <c r="X153" s="11" t="s">
        <v>994</v>
      </c>
      <c r="Y153" s="11" t="s">
        <v>994</v>
      </c>
      <c r="Z153" s="11" t="s">
        <v>994</v>
      </c>
      <c r="AA153" s="11" t="s">
        <v>994</v>
      </c>
      <c r="AB153" s="11" t="s">
        <v>994</v>
      </c>
      <c r="AC153" s="11" t="s">
        <v>994</v>
      </c>
      <c r="AD153" s="11" t="s">
        <v>994</v>
      </c>
    </row>
    <row r="154">
      <c r="B154" s="12" t="s">
        <v>994</v>
      </c>
      <c r="C154" s="11" t="s">
        <v>994</v>
      </c>
      <c r="D154" s="11" t="s">
        <v>994</v>
      </c>
      <c r="E154" s="12" t="s">
        <v>994</v>
      </c>
      <c r="F154" s="12" t="s">
        <v>994</v>
      </c>
      <c r="G154" s="12" t="s">
        <v>994</v>
      </c>
      <c r="H154" s="12" t="s">
        <v>994</v>
      </c>
      <c r="I154" s="12" t="s">
        <v>994</v>
      </c>
      <c r="J154" s="12" t="s">
        <v>994</v>
      </c>
      <c r="K154" s="12" t="s">
        <v>994</v>
      </c>
      <c r="L154" s="13" t="s">
        <v>994</v>
      </c>
      <c r="M154" s="11" t="s">
        <v>994</v>
      </c>
      <c r="N154" s="11" t="s">
        <v>994</v>
      </c>
      <c r="O154" s="11" t="s">
        <v>994</v>
      </c>
      <c r="P154" s="11" t="s">
        <v>994</v>
      </c>
      <c r="Q154" s="11" t="s">
        <v>994</v>
      </c>
      <c r="R154" s="11" t="s">
        <v>994</v>
      </c>
      <c r="S154" s="11" t="s">
        <v>994</v>
      </c>
      <c r="T154" s="11" t="s">
        <v>994</v>
      </c>
      <c r="U154" s="11" t="s">
        <v>994</v>
      </c>
      <c r="V154" s="11" t="s">
        <v>994</v>
      </c>
      <c r="W154" s="11" t="s">
        <v>994</v>
      </c>
      <c r="X154" s="11" t="s">
        <v>994</v>
      </c>
      <c r="Y154" s="11" t="s">
        <v>994</v>
      </c>
      <c r="Z154" s="11" t="s">
        <v>994</v>
      </c>
      <c r="AA154" s="11" t="s">
        <v>994</v>
      </c>
      <c r="AB154" s="11" t="s">
        <v>994</v>
      </c>
      <c r="AC154" s="11" t="s">
        <v>994</v>
      </c>
      <c r="AD154" s="11" t="s">
        <v>994</v>
      </c>
    </row>
    <row r="155">
      <c r="B155" s="12" t="s">
        <v>994</v>
      </c>
      <c r="C155" s="11" t="s">
        <v>994</v>
      </c>
      <c r="D155" s="11" t="s">
        <v>994</v>
      </c>
      <c r="E155" s="12" t="s">
        <v>994</v>
      </c>
      <c r="F155" s="12" t="s">
        <v>994</v>
      </c>
      <c r="G155" s="12" t="s">
        <v>994</v>
      </c>
      <c r="H155" s="12" t="s">
        <v>994</v>
      </c>
      <c r="I155" s="12" t="s">
        <v>994</v>
      </c>
      <c r="J155" s="12" t="s">
        <v>994</v>
      </c>
      <c r="K155" s="12" t="s">
        <v>994</v>
      </c>
      <c r="L155" s="13" t="s">
        <v>994</v>
      </c>
      <c r="M155" s="11" t="s">
        <v>994</v>
      </c>
      <c r="N155" s="11" t="s">
        <v>994</v>
      </c>
      <c r="O155" s="11" t="s">
        <v>994</v>
      </c>
      <c r="P155" s="11" t="s">
        <v>994</v>
      </c>
      <c r="Q155" s="11" t="s">
        <v>994</v>
      </c>
      <c r="R155" s="11" t="s">
        <v>994</v>
      </c>
      <c r="S155" s="11" t="s">
        <v>994</v>
      </c>
      <c r="T155" s="11" t="s">
        <v>994</v>
      </c>
      <c r="U155" s="11" t="s">
        <v>994</v>
      </c>
      <c r="V155" s="11" t="s">
        <v>994</v>
      </c>
      <c r="W155" s="11" t="s">
        <v>994</v>
      </c>
      <c r="X155" s="11" t="s">
        <v>994</v>
      </c>
      <c r="Y155" s="11" t="s">
        <v>994</v>
      </c>
      <c r="Z155" s="11" t="s">
        <v>994</v>
      </c>
      <c r="AA155" s="11" t="s">
        <v>994</v>
      </c>
      <c r="AB155" s="11" t="s">
        <v>994</v>
      </c>
      <c r="AC155" s="11" t="s">
        <v>994</v>
      </c>
      <c r="AD155" s="11" t="s">
        <v>994</v>
      </c>
    </row>
    <row r="156">
      <c r="B156" s="12" t="s">
        <v>994</v>
      </c>
      <c r="C156" s="11" t="s">
        <v>994</v>
      </c>
      <c r="D156" s="11" t="s">
        <v>994</v>
      </c>
      <c r="E156" s="12" t="s">
        <v>994</v>
      </c>
      <c r="F156" s="12" t="s">
        <v>994</v>
      </c>
      <c r="G156" s="12" t="s">
        <v>994</v>
      </c>
      <c r="H156" s="12" t="s">
        <v>994</v>
      </c>
      <c r="I156" s="12" t="s">
        <v>994</v>
      </c>
      <c r="J156" s="12" t="s">
        <v>994</v>
      </c>
      <c r="K156" s="12" t="s">
        <v>994</v>
      </c>
      <c r="L156" s="13" t="s">
        <v>994</v>
      </c>
      <c r="M156" s="11" t="s">
        <v>994</v>
      </c>
      <c r="N156" s="11" t="s">
        <v>994</v>
      </c>
      <c r="O156" s="11" t="s">
        <v>994</v>
      </c>
      <c r="P156" s="11" t="s">
        <v>994</v>
      </c>
      <c r="Q156" s="11" t="s">
        <v>994</v>
      </c>
      <c r="R156" s="11" t="s">
        <v>994</v>
      </c>
      <c r="S156" s="11" t="s">
        <v>994</v>
      </c>
      <c r="T156" s="11" t="s">
        <v>994</v>
      </c>
      <c r="U156" s="11" t="s">
        <v>994</v>
      </c>
      <c r="V156" s="11" t="s">
        <v>994</v>
      </c>
      <c r="W156" s="11" t="s">
        <v>994</v>
      </c>
      <c r="X156" s="11" t="s">
        <v>994</v>
      </c>
      <c r="Y156" s="11" t="s">
        <v>994</v>
      </c>
      <c r="Z156" s="11" t="s">
        <v>994</v>
      </c>
      <c r="AA156" s="11" t="s">
        <v>994</v>
      </c>
      <c r="AB156" s="11" t="s">
        <v>994</v>
      </c>
      <c r="AC156" s="11" t="s">
        <v>994</v>
      </c>
      <c r="AD156" s="11" t="s">
        <v>994</v>
      </c>
    </row>
    <row r="157">
      <c r="B157" s="12" t="s">
        <v>994</v>
      </c>
      <c r="C157" s="11" t="s">
        <v>994</v>
      </c>
      <c r="D157" s="11" t="s">
        <v>994</v>
      </c>
      <c r="E157" s="12" t="s">
        <v>994</v>
      </c>
      <c r="F157" s="12" t="s">
        <v>994</v>
      </c>
      <c r="G157" s="12" t="s">
        <v>994</v>
      </c>
      <c r="H157" s="12" t="s">
        <v>994</v>
      </c>
      <c r="I157" s="12" t="s">
        <v>994</v>
      </c>
      <c r="J157" s="12" t="s">
        <v>994</v>
      </c>
      <c r="K157" s="12" t="s">
        <v>994</v>
      </c>
      <c r="L157" s="13" t="s">
        <v>994</v>
      </c>
      <c r="M157" s="11" t="s">
        <v>994</v>
      </c>
      <c r="N157" s="11" t="s">
        <v>994</v>
      </c>
      <c r="O157" s="11" t="s">
        <v>994</v>
      </c>
      <c r="P157" s="11" t="s">
        <v>994</v>
      </c>
      <c r="Q157" s="11" t="s">
        <v>994</v>
      </c>
      <c r="R157" s="11" t="s">
        <v>994</v>
      </c>
      <c r="S157" s="11" t="s">
        <v>994</v>
      </c>
      <c r="T157" s="11" t="s">
        <v>994</v>
      </c>
      <c r="U157" s="11" t="s">
        <v>994</v>
      </c>
      <c r="V157" s="11" t="s">
        <v>994</v>
      </c>
      <c r="W157" s="11" t="s">
        <v>994</v>
      </c>
      <c r="X157" s="11" t="s">
        <v>994</v>
      </c>
      <c r="Y157" s="11" t="s">
        <v>994</v>
      </c>
      <c r="Z157" s="11" t="s">
        <v>994</v>
      </c>
      <c r="AA157" s="11" t="s">
        <v>994</v>
      </c>
      <c r="AB157" s="11" t="s">
        <v>994</v>
      </c>
      <c r="AC157" s="11" t="s">
        <v>994</v>
      </c>
      <c r="AD157" s="11" t="s">
        <v>994</v>
      </c>
    </row>
    <row r="158">
      <c r="B158" s="12" t="s">
        <v>994</v>
      </c>
      <c r="C158" s="11" t="s">
        <v>994</v>
      </c>
      <c r="D158" s="11" t="s">
        <v>994</v>
      </c>
      <c r="E158" s="12" t="s">
        <v>994</v>
      </c>
      <c r="F158" s="12" t="s">
        <v>994</v>
      </c>
      <c r="G158" s="12" t="s">
        <v>994</v>
      </c>
      <c r="H158" s="12" t="s">
        <v>994</v>
      </c>
      <c r="I158" s="12" t="s">
        <v>994</v>
      </c>
      <c r="J158" s="12" t="s">
        <v>994</v>
      </c>
      <c r="K158" s="12" t="s">
        <v>994</v>
      </c>
      <c r="L158" s="13" t="s">
        <v>994</v>
      </c>
      <c r="M158" s="11" t="s">
        <v>994</v>
      </c>
      <c r="N158" s="11" t="s">
        <v>994</v>
      </c>
      <c r="O158" s="11" t="s">
        <v>994</v>
      </c>
      <c r="P158" s="11" t="s">
        <v>994</v>
      </c>
      <c r="Q158" s="11" t="s">
        <v>994</v>
      </c>
      <c r="R158" s="11" t="s">
        <v>994</v>
      </c>
      <c r="S158" s="11" t="s">
        <v>994</v>
      </c>
      <c r="T158" s="11" t="s">
        <v>994</v>
      </c>
      <c r="U158" s="11" t="s">
        <v>994</v>
      </c>
      <c r="V158" s="11" t="s">
        <v>994</v>
      </c>
      <c r="W158" s="11" t="s">
        <v>994</v>
      </c>
      <c r="X158" s="11" t="s">
        <v>994</v>
      </c>
      <c r="Y158" s="11" t="s">
        <v>994</v>
      </c>
      <c r="Z158" s="11" t="s">
        <v>994</v>
      </c>
      <c r="AA158" s="11" t="s">
        <v>994</v>
      </c>
      <c r="AB158" s="11" t="s">
        <v>994</v>
      </c>
      <c r="AC158" s="11" t="s">
        <v>994</v>
      </c>
      <c r="AD158" s="11" t="s">
        <v>994</v>
      </c>
    </row>
    <row r="159">
      <c r="B159" s="12" t="s">
        <v>994</v>
      </c>
      <c r="C159" s="11" t="s">
        <v>994</v>
      </c>
      <c r="D159" s="11" t="s">
        <v>994</v>
      </c>
      <c r="E159" s="12" t="s">
        <v>994</v>
      </c>
      <c r="F159" s="12" t="s">
        <v>994</v>
      </c>
      <c r="G159" s="12" t="s">
        <v>994</v>
      </c>
      <c r="H159" s="12" t="s">
        <v>994</v>
      </c>
      <c r="I159" s="12" t="s">
        <v>994</v>
      </c>
      <c r="J159" s="12" t="s">
        <v>994</v>
      </c>
      <c r="K159" s="12" t="s">
        <v>994</v>
      </c>
      <c r="L159" s="13" t="s">
        <v>994</v>
      </c>
      <c r="M159" s="11" t="s">
        <v>994</v>
      </c>
      <c r="N159" s="11" t="s">
        <v>994</v>
      </c>
      <c r="O159" s="11" t="s">
        <v>994</v>
      </c>
      <c r="P159" s="11" t="s">
        <v>994</v>
      </c>
      <c r="Q159" s="11" t="s">
        <v>994</v>
      </c>
      <c r="R159" s="11" t="s">
        <v>994</v>
      </c>
      <c r="S159" s="11" t="s">
        <v>994</v>
      </c>
      <c r="T159" s="11" t="s">
        <v>994</v>
      </c>
      <c r="U159" s="11" t="s">
        <v>994</v>
      </c>
      <c r="V159" s="11" t="s">
        <v>994</v>
      </c>
      <c r="W159" s="11" t="s">
        <v>994</v>
      </c>
      <c r="X159" s="11" t="s">
        <v>994</v>
      </c>
      <c r="Y159" s="11" t="s">
        <v>994</v>
      </c>
      <c r="Z159" s="11" t="s">
        <v>994</v>
      </c>
      <c r="AA159" s="11" t="s">
        <v>994</v>
      </c>
      <c r="AB159" s="11" t="s">
        <v>994</v>
      </c>
      <c r="AC159" s="11" t="s">
        <v>994</v>
      </c>
      <c r="AD159" s="11" t="s">
        <v>994</v>
      </c>
    </row>
    <row r="160">
      <c r="B160" s="12" t="s">
        <v>994</v>
      </c>
      <c r="C160" s="11" t="s">
        <v>994</v>
      </c>
      <c r="D160" s="11" t="s">
        <v>994</v>
      </c>
      <c r="E160" s="12" t="s">
        <v>994</v>
      </c>
      <c r="F160" s="12" t="s">
        <v>994</v>
      </c>
      <c r="G160" s="12" t="s">
        <v>994</v>
      </c>
      <c r="H160" s="12" t="s">
        <v>994</v>
      </c>
      <c r="I160" s="12" t="s">
        <v>994</v>
      </c>
      <c r="J160" s="12" t="s">
        <v>994</v>
      </c>
      <c r="K160" s="12" t="s">
        <v>994</v>
      </c>
      <c r="L160" s="13" t="s">
        <v>994</v>
      </c>
      <c r="M160" s="11" t="s">
        <v>994</v>
      </c>
      <c r="N160" s="11" t="s">
        <v>994</v>
      </c>
      <c r="O160" s="11" t="s">
        <v>994</v>
      </c>
      <c r="P160" s="11" t="s">
        <v>994</v>
      </c>
      <c r="Q160" s="11" t="s">
        <v>994</v>
      </c>
      <c r="R160" s="11" t="s">
        <v>994</v>
      </c>
      <c r="S160" s="11" t="s">
        <v>994</v>
      </c>
      <c r="T160" s="11" t="s">
        <v>994</v>
      </c>
      <c r="U160" s="11" t="s">
        <v>994</v>
      </c>
      <c r="V160" s="11" t="s">
        <v>994</v>
      </c>
      <c r="W160" s="11" t="s">
        <v>994</v>
      </c>
      <c r="X160" s="11" t="s">
        <v>994</v>
      </c>
      <c r="Y160" s="11" t="s">
        <v>994</v>
      </c>
      <c r="Z160" s="11" t="s">
        <v>994</v>
      </c>
      <c r="AA160" s="11" t="s">
        <v>994</v>
      </c>
      <c r="AB160" s="11" t="s">
        <v>994</v>
      </c>
      <c r="AC160" s="11" t="s">
        <v>994</v>
      </c>
      <c r="AD160" s="11" t="s">
        <v>994</v>
      </c>
    </row>
    <row r="161">
      <c r="B161" s="12" t="s">
        <v>994</v>
      </c>
      <c r="C161" s="11" t="s">
        <v>994</v>
      </c>
      <c r="D161" s="11" t="s">
        <v>994</v>
      </c>
      <c r="E161" s="12" t="s">
        <v>994</v>
      </c>
      <c r="F161" s="12" t="s">
        <v>994</v>
      </c>
      <c r="G161" s="12" t="s">
        <v>994</v>
      </c>
      <c r="H161" s="12" t="s">
        <v>994</v>
      </c>
      <c r="I161" s="12" t="s">
        <v>994</v>
      </c>
      <c r="J161" s="12" t="s">
        <v>994</v>
      </c>
      <c r="K161" s="12" t="s">
        <v>994</v>
      </c>
      <c r="L161" s="13" t="s">
        <v>994</v>
      </c>
      <c r="M161" s="11" t="s">
        <v>994</v>
      </c>
      <c r="N161" s="11" t="s">
        <v>994</v>
      </c>
      <c r="O161" s="11" t="s">
        <v>994</v>
      </c>
      <c r="P161" s="11" t="s">
        <v>994</v>
      </c>
      <c r="Q161" s="11" t="s">
        <v>994</v>
      </c>
      <c r="R161" s="11" t="s">
        <v>994</v>
      </c>
      <c r="S161" s="11" t="s">
        <v>994</v>
      </c>
      <c r="T161" s="11" t="s">
        <v>994</v>
      </c>
      <c r="U161" s="11" t="s">
        <v>994</v>
      </c>
      <c r="V161" s="11" t="s">
        <v>994</v>
      </c>
      <c r="W161" s="11" t="s">
        <v>994</v>
      </c>
      <c r="X161" s="11" t="s">
        <v>994</v>
      </c>
      <c r="Y161" s="11" t="s">
        <v>994</v>
      </c>
      <c r="Z161" s="11" t="s">
        <v>994</v>
      </c>
      <c r="AA161" s="11" t="s">
        <v>994</v>
      </c>
      <c r="AB161" s="11" t="s">
        <v>994</v>
      </c>
      <c r="AC161" s="11" t="s">
        <v>994</v>
      </c>
      <c r="AD161" s="11" t="s">
        <v>994</v>
      </c>
    </row>
    <row r="162">
      <c r="B162" s="12" t="s">
        <v>994</v>
      </c>
      <c r="C162" s="11" t="s">
        <v>994</v>
      </c>
      <c r="D162" s="11" t="s">
        <v>994</v>
      </c>
      <c r="E162" s="12" t="s">
        <v>994</v>
      </c>
      <c r="F162" s="12" t="s">
        <v>994</v>
      </c>
      <c r="G162" s="12" t="s">
        <v>994</v>
      </c>
      <c r="H162" s="12" t="s">
        <v>994</v>
      </c>
      <c r="I162" s="12" t="s">
        <v>994</v>
      </c>
      <c r="J162" s="12" t="s">
        <v>994</v>
      </c>
      <c r="K162" s="12" t="s">
        <v>994</v>
      </c>
      <c r="L162" s="13" t="s">
        <v>994</v>
      </c>
      <c r="M162" s="11" t="s">
        <v>994</v>
      </c>
      <c r="N162" s="11" t="s">
        <v>994</v>
      </c>
      <c r="O162" s="11" t="s">
        <v>994</v>
      </c>
      <c r="P162" s="11" t="s">
        <v>994</v>
      </c>
      <c r="Q162" s="11" t="s">
        <v>994</v>
      </c>
      <c r="R162" s="11" t="s">
        <v>994</v>
      </c>
      <c r="S162" s="11" t="s">
        <v>994</v>
      </c>
      <c r="T162" s="11" t="s">
        <v>994</v>
      </c>
      <c r="U162" s="11" t="s">
        <v>994</v>
      </c>
      <c r="V162" s="11" t="s">
        <v>994</v>
      </c>
      <c r="W162" s="11" t="s">
        <v>994</v>
      </c>
      <c r="X162" s="11" t="s">
        <v>994</v>
      </c>
      <c r="Y162" s="11" t="s">
        <v>994</v>
      </c>
      <c r="Z162" s="11" t="s">
        <v>994</v>
      </c>
      <c r="AA162" s="11" t="s">
        <v>994</v>
      </c>
      <c r="AB162" s="11" t="s">
        <v>994</v>
      </c>
      <c r="AC162" s="11" t="s">
        <v>994</v>
      </c>
      <c r="AD162" s="11" t="s">
        <v>994</v>
      </c>
    </row>
    <row r="163">
      <c r="B163" s="12" t="s">
        <v>994</v>
      </c>
      <c r="C163" s="11" t="s">
        <v>994</v>
      </c>
      <c r="D163" s="11" t="s">
        <v>994</v>
      </c>
      <c r="E163" s="12" t="s">
        <v>994</v>
      </c>
      <c r="F163" s="12" t="s">
        <v>994</v>
      </c>
      <c r="G163" s="12" t="s">
        <v>994</v>
      </c>
      <c r="H163" s="12" t="s">
        <v>994</v>
      </c>
      <c r="I163" s="12" t="s">
        <v>994</v>
      </c>
      <c r="J163" s="12" t="s">
        <v>994</v>
      </c>
      <c r="K163" s="12" t="s">
        <v>994</v>
      </c>
      <c r="L163" s="13" t="s">
        <v>994</v>
      </c>
      <c r="M163" s="11" t="s">
        <v>994</v>
      </c>
      <c r="N163" s="11" t="s">
        <v>994</v>
      </c>
      <c r="O163" s="11" t="s">
        <v>994</v>
      </c>
      <c r="P163" s="11" t="s">
        <v>994</v>
      </c>
      <c r="Q163" s="11" t="s">
        <v>994</v>
      </c>
      <c r="R163" s="11" t="s">
        <v>994</v>
      </c>
      <c r="S163" s="11" t="s">
        <v>994</v>
      </c>
      <c r="T163" s="11" t="s">
        <v>994</v>
      </c>
      <c r="U163" s="11" t="s">
        <v>994</v>
      </c>
      <c r="V163" s="11" t="s">
        <v>994</v>
      </c>
      <c r="W163" s="11" t="s">
        <v>994</v>
      </c>
      <c r="X163" s="11" t="s">
        <v>994</v>
      </c>
      <c r="Y163" s="11" t="s">
        <v>994</v>
      </c>
      <c r="Z163" s="11" t="s">
        <v>994</v>
      </c>
      <c r="AA163" s="11" t="s">
        <v>994</v>
      </c>
      <c r="AB163" s="11" t="s">
        <v>994</v>
      </c>
      <c r="AC163" s="11" t="s">
        <v>994</v>
      </c>
      <c r="AD163" s="11" t="s">
        <v>994</v>
      </c>
    </row>
    <row r="164">
      <c r="B164" s="12" t="s">
        <v>994</v>
      </c>
      <c r="C164" s="11" t="s">
        <v>994</v>
      </c>
      <c r="D164" s="11" t="s">
        <v>994</v>
      </c>
      <c r="E164" s="12" t="s">
        <v>994</v>
      </c>
      <c r="F164" s="12" t="s">
        <v>994</v>
      </c>
      <c r="G164" s="12" t="s">
        <v>994</v>
      </c>
      <c r="H164" s="12" t="s">
        <v>994</v>
      </c>
      <c r="I164" s="12" t="s">
        <v>994</v>
      </c>
      <c r="J164" s="12" t="s">
        <v>994</v>
      </c>
      <c r="K164" s="12" t="s">
        <v>994</v>
      </c>
      <c r="L164" s="13" t="s">
        <v>994</v>
      </c>
      <c r="M164" s="11" t="s">
        <v>994</v>
      </c>
      <c r="N164" s="11" t="s">
        <v>994</v>
      </c>
      <c r="O164" s="11" t="s">
        <v>994</v>
      </c>
      <c r="P164" s="11" t="s">
        <v>994</v>
      </c>
      <c r="Q164" s="11" t="s">
        <v>994</v>
      </c>
      <c r="R164" s="11" t="s">
        <v>994</v>
      </c>
      <c r="S164" s="11" t="s">
        <v>994</v>
      </c>
      <c r="T164" s="11" t="s">
        <v>994</v>
      </c>
      <c r="U164" s="11" t="s">
        <v>994</v>
      </c>
      <c r="V164" s="11" t="s">
        <v>994</v>
      </c>
      <c r="W164" s="11" t="s">
        <v>994</v>
      </c>
      <c r="X164" s="11" t="s">
        <v>994</v>
      </c>
      <c r="Y164" s="11" t="s">
        <v>994</v>
      </c>
      <c r="Z164" s="11" t="s">
        <v>994</v>
      </c>
      <c r="AA164" s="11" t="s">
        <v>994</v>
      </c>
      <c r="AB164" s="11" t="s">
        <v>994</v>
      </c>
      <c r="AC164" s="11" t="s">
        <v>994</v>
      </c>
      <c r="AD164" s="11" t="s">
        <v>994</v>
      </c>
    </row>
    <row r="165">
      <c r="B165" s="12" t="s">
        <v>994</v>
      </c>
      <c r="C165" s="11" t="s">
        <v>994</v>
      </c>
      <c r="D165" s="11" t="s">
        <v>994</v>
      </c>
      <c r="E165" s="12" t="s">
        <v>994</v>
      </c>
      <c r="F165" s="12" t="s">
        <v>994</v>
      </c>
      <c r="G165" s="12" t="s">
        <v>994</v>
      </c>
      <c r="H165" s="12" t="s">
        <v>994</v>
      </c>
      <c r="I165" s="12" t="s">
        <v>994</v>
      </c>
      <c r="J165" s="12" t="s">
        <v>994</v>
      </c>
      <c r="K165" s="12" t="s">
        <v>994</v>
      </c>
      <c r="L165" s="13" t="s">
        <v>994</v>
      </c>
      <c r="M165" s="11" t="s">
        <v>994</v>
      </c>
      <c r="N165" s="11" t="s">
        <v>994</v>
      </c>
      <c r="O165" s="11" t="s">
        <v>994</v>
      </c>
      <c r="P165" s="11" t="s">
        <v>994</v>
      </c>
      <c r="Q165" s="11" t="s">
        <v>994</v>
      </c>
      <c r="R165" s="11" t="s">
        <v>994</v>
      </c>
      <c r="S165" s="11" t="s">
        <v>994</v>
      </c>
      <c r="T165" s="11" t="s">
        <v>994</v>
      </c>
      <c r="U165" s="11" t="s">
        <v>994</v>
      </c>
      <c r="V165" s="11" t="s">
        <v>994</v>
      </c>
      <c r="W165" s="11" t="s">
        <v>994</v>
      </c>
      <c r="X165" s="11" t="s">
        <v>994</v>
      </c>
      <c r="Y165" s="11" t="s">
        <v>994</v>
      </c>
      <c r="Z165" s="11" t="s">
        <v>994</v>
      </c>
      <c r="AA165" s="11" t="s">
        <v>994</v>
      </c>
      <c r="AB165" s="11" t="s">
        <v>994</v>
      </c>
      <c r="AC165" s="11" t="s">
        <v>994</v>
      </c>
      <c r="AD165" s="11" t="s">
        <v>994</v>
      </c>
    </row>
    <row r="166">
      <c r="B166" s="12" t="s">
        <v>994</v>
      </c>
      <c r="C166" s="11" t="s">
        <v>994</v>
      </c>
      <c r="D166" s="11" t="s">
        <v>994</v>
      </c>
      <c r="E166" s="12" t="s">
        <v>994</v>
      </c>
      <c r="F166" s="12" t="s">
        <v>994</v>
      </c>
      <c r="G166" s="12" t="s">
        <v>994</v>
      </c>
      <c r="H166" s="12" t="s">
        <v>994</v>
      </c>
      <c r="I166" s="12" t="s">
        <v>994</v>
      </c>
      <c r="J166" s="12" t="s">
        <v>994</v>
      </c>
      <c r="K166" s="12" t="s">
        <v>994</v>
      </c>
      <c r="L166" s="13" t="s">
        <v>994</v>
      </c>
      <c r="M166" s="11" t="s">
        <v>994</v>
      </c>
      <c r="N166" s="11" t="s">
        <v>994</v>
      </c>
      <c r="O166" s="11" t="s">
        <v>994</v>
      </c>
      <c r="P166" s="11" t="s">
        <v>994</v>
      </c>
      <c r="Q166" s="11" t="s">
        <v>994</v>
      </c>
      <c r="R166" s="11" t="s">
        <v>994</v>
      </c>
      <c r="S166" s="11" t="s">
        <v>994</v>
      </c>
      <c r="T166" s="11" t="s">
        <v>994</v>
      </c>
      <c r="U166" s="11" t="s">
        <v>994</v>
      </c>
      <c r="V166" s="11" t="s">
        <v>994</v>
      </c>
      <c r="W166" s="11" t="s">
        <v>994</v>
      </c>
      <c r="X166" s="11" t="s">
        <v>994</v>
      </c>
      <c r="Y166" s="11" t="s">
        <v>994</v>
      </c>
      <c r="Z166" s="11" t="s">
        <v>994</v>
      </c>
      <c r="AA166" s="11" t="s">
        <v>994</v>
      </c>
      <c r="AB166" s="11" t="s">
        <v>994</v>
      </c>
      <c r="AC166" s="11" t="s">
        <v>994</v>
      </c>
      <c r="AD166" s="11" t="s">
        <v>994</v>
      </c>
    </row>
    <row r="167">
      <c r="B167" s="12" t="s">
        <v>994</v>
      </c>
      <c r="C167" s="11" t="s">
        <v>994</v>
      </c>
      <c r="D167" s="11" t="s">
        <v>994</v>
      </c>
      <c r="E167" s="12" t="s">
        <v>994</v>
      </c>
      <c r="F167" s="12" t="s">
        <v>994</v>
      </c>
      <c r="G167" s="12" t="s">
        <v>994</v>
      </c>
      <c r="H167" s="12" t="s">
        <v>994</v>
      </c>
      <c r="I167" s="12" t="s">
        <v>994</v>
      </c>
      <c r="J167" s="12" t="s">
        <v>994</v>
      </c>
      <c r="K167" s="12" t="s">
        <v>994</v>
      </c>
      <c r="L167" s="13" t="s">
        <v>994</v>
      </c>
      <c r="M167" s="11" t="s">
        <v>994</v>
      </c>
      <c r="N167" s="11" t="s">
        <v>994</v>
      </c>
      <c r="O167" s="11" t="s">
        <v>994</v>
      </c>
      <c r="P167" s="11" t="s">
        <v>994</v>
      </c>
      <c r="Q167" s="11" t="s">
        <v>994</v>
      </c>
      <c r="R167" s="11" t="s">
        <v>994</v>
      </c>
      <c r="S167" s="11" t="s">
        <v>994</v>
      </c>
      <c r="T167" s="11" t="s">
        <v>994</v>
      </c>
      <c r="U167" s="11" t="s">
        <v>994</v>
      </c>
      <c r="V167" s="11" t="s">
        <v>994</v>
      </c>
      <c r="W167" s="11" t="s">
        <v>994</v>
      </c>
      <c r="X167" s="11" t="s">
        <v>994</v>
      </c>
      <c r="Y167" s="11" t="s">
        <v>994</v>
      </c>
      <c r="Z167" s="11" t="s">
        <v>994</v>
      </c>
      <c r="AA167" s="11" t="s">
        <v>994</v>
      </c>
      <c r="AB167" s="11" t="s">
        <v>994</v>
      </c>
      <c r="AC167" s="11" t="s">
        <v>994</v>
      </c>
      <c r="AD167" s="11" t="s">
        <v>994</v>
      </c>
    </row>
    <row r="168">
      <c r="B168" s="12" t="s">
        <v>994</v>
      </c>
      <c r="C168" s="11" t="s">
        <v>994</v>
      </c>
      <c r="D168" s="11" t="s">
        <v>994</v>
      </c>
      <c r="E168" s="12" t="s">
        <v>994</v>
      </c>
      <c r="F168" s="12" t="s">
        <v>994</v>
      </c>
      <c r="G168" s="12" t="s">
        <v>994</v>
      </c>
      <c r="H168" s="12" t="s">
        <v>994</v>
      </c>
      <c r="I168" s="12" t="s">
        <v>994</v>
      </c>
      <c r="J168" s="12" t="s">
        <v>994</v>
      </c>
      <c r="K168" s="12" t="s">
        <v>994</v>
      </c>
      <c r="L168" s="13" t="s">
        <v>994</v>
      </c>
      <c r="M168" s="11" t="s">
        <v>994</v>
      </c>
      <c r="N168" s="11" t="s">
        <v>994</v>
      </c>
      <c r="O168" s="11" t="s">
        <v>994</v>
      </c>
      <c r="P168" s="11" t="s">
        <v>994</v>
      </c>
      <c r="Q168" s="11" t="s">
        <v>994</v>
      </c>
      <c r="R168" s="11" t="s">
        <v>994</v>
      </c>
      <c r="S168" s="11" t="s">
        <v>994</v>
      </c>
      <c r="T168" s="11" t="s">
        <v>994</v>
      </c>
      <c r="U168" s="11" t="s">
        <v>994</v>
      </c>
      <c r="V168" s="11" t="s">
        <v>994</v>
      </c>
      <c r="W168" s="11" t="s">
        <v>994</v>
      </c>
      <c r="X168" s="11" t="s">
        <v>994</v>
      </c>
      <c r="Y168" s="11" t="s">
        <v>994</v>
      </c>
      <c r="Z168" s="11" t="s">
        <v>994</v>
      </c>
      <c r="AA168" s="11" t="s">
        <v>994</v>
      </c>
      <c r="AB168" s="11" t="s">
        <v>994</v>
      </c>
      <c r="AC168" s="11" t="s">
        <v>994</v>
      </c>
      <c r="AD168" s="11" t="s">
        <v>994</v>
      </c>
    </row>
    <row r="169">
      <c r="B169" s="12" t="s">
        <v>994</v>
      </c>
      <c r="C169" s="11" t="s">
        <v>994</v>
      </c>
      <c r="D169" s="11" t="s">
        <v>994</v>
      </c>
      <c r="E169" s="12" t="s">
        <v>994</v>
      </c>
      <c r="F169" s="12" t="s">
        <v>994</v>
      </c>
      <c r="G169" s="12" t="s">
        <v>994</v>
      </c>
      <c r="H169" s="12" t="s">
        <v>994</v>
      </c>
      <c r="I169" s="12" t="s">
        <v>994</v>
      </c>
      <c r="J169" s="12" t="s">
        <v>994</v>
      </c>
      <c r="K169" s="12" t="s">
        <v>994</v>
      </c>
      <c r="L169" s="13" t="s">
        <v>994</v>
      </c>
      <c r="M169" s="11" t="s">
        <v>994</v>
      </c>
      <c r="N169" s="11" t="s">
        <v>994</v>
      </c>
      <c r="O169" s="11" t="s">
        <v>994</v>
      </c>
      <c r="P169" s="11" t="s">
        <v>994</v>
      </c>
      <c r="Q169" s="11" t="s">
        <v>994</v>
      </c>
      <c r="R169" s="11" t="s">
        <v>994</v>
      </c>
      <c r="S169" s="11" t="s">
        <v>994</v>
      </c>
      <c r="T169" s="11" t="s">
        <v>994</v>
      </c>
      <c r="U169" s="11" t="s">
        <v>994</v>
      </c>
      <c r="V169" s="11" t="s">
        <v>994</v>
      </c>
      <c r="W169" s="11" t="s">
        <v>994</v>
      </c>
      <c r="X169" s="11" t="s">
        <v>994</v>
      </c>
      <c r="Y169" s="11" t="s">
        <v>994</v>
      </c>
      <c r="Z169" s="11" t="s">
        <v>994</v>
      </c>
      <c r="AA169" s="11" t="s">
        <v>994</v>
      </c>
      <c r="AB169" s="11" t="s">
        <v>994</v>
      </c>
      <c r="AC169" s="11" t="s">
        <v>994</v>
      </c>
      <c r="AD169" s="11" t="s">
        <v>994</v>
      </c>
    </row>
    <row r="170">
      <c r="B170" s="12" t="s">
        <v>994</v>
      </c>
      <c r="C170" s="11" t="s">
        <v>994</v>
      </c>
      <c r="D170" s="11" t="s">
        <v>994</v>
      </c>
      <c r="E170" s="12" t="s">
        <v>994</v>
      </c>
      <c r="F170" s="12" t="s">
        <v>994</v>
      </c>
      <c r="G170" s="12" t="s">
        <v>994</v>
      </c>
      <c r="H170" s="12" t="s">
        <v>994</v>
      </c>
      <c r="I170" s="12" t="s">
        <v>994</v>
      </c>
      <c r="J170" s="12" t="s">
        <v>994</v>
      </c>
      <c r="K170" s="12" t="s">
        <v>994</v>
      </c>
      <c r="L170" s="13" t="s">
        <v>994</v>
      </c>
      <c r="M170" s="11" t="s">
        <v>994</v>
      </c>
      <c r="N170" s="11" t="s">
        <v>994</v>
      </c>
      <c r="O170" s="11" t="s">
        <v>994</v>
      </c>
      <c r="P170" s="11" t="s">
        <v>994</v>
      </c>
      <c r="Q170" s="11" t="s">
        <v>994</v>
      </c>
      <c r="R170" s="11" t="s">
        <v>994</v>
      </c>
      <c r="S170" s="11" t="s">
        <v>994</v>
      </c>
      <c r="T170" s="11" t="s">
        <v>994</v>
      </c>
      <c r="U170" s="11" t="s">
        <v>994</v>
      </c>
      <c r="V170" s="11" t="s">
        <v>994</v>
      </c>
      <c r="W170" s="11" t="s">
        <v>994</v>
      </c>
      <c r="X170" s="11" t="s">
        <v>994</v>
      </c>
      <c r="Y170" s="11" t="s">
        <v>994</v>
      </c>
      <c r="Z170" s="11" t="s">
        <v>994</v>
      </c>
      <c r="AA170" s="11" t="s">
        <v>994</v>
      </c>
      <c r="AB170" s="11" t="s">
        <v>994</v>
      </c>
      <c r="AC170" s="11" t="s">
        <v>994</v>
      </c>
      <c r="AD170" s="11" t="s">
        <v>994</v>
      </c>
    </row>
    <row r="171">
      <c r="B171" s="12" t="s">
        <v>994</v>
      </c>
      <c r="C171" s="11" t="s">
        <v>994</v>
      </c>
      <c r="D171" s="11" t="s">
        <v>994</v>
      </c>
      <c r="E171" s="12" t="s">
        <v>994</v>
      </c>
      <c r="F171" s="12" t="s">
        <v>994</v>
      </c>
      <c r="G171" s="12" t="s">
        <v>994</v>
      </c>
      <c r="H171" s="12" t="s">
        <v>994</v>
      </c>
      <c r="I171" s="12" t="s">
        <v>994</v>
      </c>
      <c r="J171" s="12" t="s">
        <v>994</v>
      </c>
      <c r="K171" s="12" t="s">
        <v>994</v>
      </c>
      <c r="L171" s="13" t="s">
        <v>994</v>
      </c>
      <c r="M171" s="11" t="s">
        <v>994</v>
      </c>
      <c r="N171" s="11" t="s">
        <v>994</v>
      </c>
      <c r="O171" s="11" t="s">
        <v>994</v>
      </c>
      <c r="P171" s="11" t="s">
        <v>994</v>
      </c>
      <c r="Q171" s="11" t="s">
        <v>994</v>
      </c>
      <c r="R171" s="11" t="s">
        <v>994</v>
      </c>
      <c r="S171" s="11" t="s">
        <v>994</v>
      </c>
      <c r="T171" s="11" t="s">
        <v>994</v>
      </c>
      <c r="U171" s="11" t="s">
        <v>994</v>
      </c>
      <c r="V171" s="11" t="s">
        <v>994</v>
      </c>
      <c r="W171" s="11" t="s">
        <v>994</v>
      </c>
      <c r="X171" s="11" t="s">
        <v>994</v>
      </c>
      <c r="Y171" s="11" t="s">
        <v>994</v>
      </c>
      <c r="Z171" s="11" t="s">
        <v>994</v>
      </c>
      <c r="AA171" s="11" t="s">
        <v>994</v>
      </c>
      <c r="AB171" s="11" t="s">
        <v>994</v>
      </c>
      <c r="AC171" s="11" t="s">
        <v>994</v>
      </c>
      <c r="AD171" s="11" t="s">
        <v>994</v>
      </c>
    </row>
    <row r="172">
      <c r="B172" s="12" t="s">
        <v>994</v>
      </c>
      <c r="C172" s="11" t="s">
        <v>994</v>
      </c>
      <c r="D172" s="11" t="s">
        <v>994</v>
      </c>
      <c r="E172" s="12" t="s">
        <v>994</v>
      </c>
      <c r="F172" s="12" t="s">
        <v>994</v>
      </c>
      <c r="G172" s="12" t="s">
        <v>994</v>
      </c>
      <c r="H172" s="12" t="s">
        <v>994</v>
      </c>
      <c r="I172" s="12" t="s">
        <v>994</v>
      </c>
      <c r="J172" s="12" t="s">
        <v>994</v>
      </c>
      <c r="K172" s="12" t="s">
        <v>994</v>
      </c>
      <c r="L172" s="13" t="s">
        <v>994</v>
      </c>
      <c r="M172" s="11" t="s">
        <v>994</v>
      </c>
      <c r="N172" s="11" t="s">
        <v>994</v>
      </c>
      <c r="O172" s="11" t="s">
        <v>994</v>
      </c>
      <c r="P172" s="11" t="s">
        <v>994</v>
      </c>
      <c r="Q172" s="11" t="s">
        <v>994</v>
      </c>
      <c r="R172" s="11" t="s">
        <v>994</v>
      </c>
      <c r="S172" s="11" t="s">
        <v>994</v>
      </c>
      <c r="T172" s="11" t="s">
        <v>994</v>
      </c>
      <c r="U172" s="11" t="s">
        <v>994</v>
      </c>
      <c r="V172" s="11" t="s">
        <v>994</v>
      </c>
      <c r="W172" s="11" t="s">
        <v>994</v>
      </c>
      <c r="X172" s="11" t="s">
        <v>994</v>
      </c>
      <c r="Y172" s="11" t="s">
        <v>994</v>
      </c>
      <c r="Z172" s="11" t="s">
        <v>994</v>
      </c>
      <c r="AA172" s="11" t="s">
        <v>994</v>
      </c>
      <c r="AB172" s="11" t="s">
        <v>994</v>
      </c>
      <c r="AC172" s="11" t="s">
        <v>994</v>
      </c>
      <c r="AD172" s="11" t="s">
        <v>994</v>
      </c>
    </row>
    <row r="173">
      <c r="B173" s="12" t="s">
        <v>994</v>
      </c>
      <c r="C173" s="11" t="s">
        <v>994</v>
      </c>
      <c r="D173" s="11" t="s">
        <v>994</v>
      </c>
      <c r="E173" s="12" t="s">
        <v>994</v>
      </c>
      <c r="F173" s="12" t="s">
        <v>994</v>
      </c>
      <c r="G173" s="12" t="s">
        <v>994</v>
      </c>
      <c r="H173" s="12" t="s">
        <v>994</v>
      </c>
      <c r="I173" s="12" t="s">
        <v>994</v>
      </c>
      <c r="J173" s="12" t="s">
        <v>994</v>
      </c>
      <c r="K173" s="12" t="s">
        <v>994</v>
      </c>
      <c r="L173" s="13" t="s">
        <v>994</v>
      </c>
      <c r="M173" s="11" t="s">
        <v>994</v>
      </c>
      <c r="N173" s="11" t="s">
        <v>994</v>
      </c>
      <c r="O173" s="11" t="s">
        <v>994</v>
      </c>
      <c r="P173" s="11" t="s">
        <v>994</v>
      </c>
      <c r="Q173" s="11" t="s">
        <v>994</v>
      </c>
      <c r="R173" s="11" t="s">
        <v>994</v>
      </c>
      <c r="S173" s="11" t="s">
        <v>994</v>
      </c>
      <c r="T173" s="11" t="s">
        <v>994</v>
      </c>
      <c r="U173" s="11" t="s">
        <v>994</v>
      </c>
      <c r="V173" s="11" t="s">
        <v>994</v>
      </c>
      <c r="W173" s="11" t="s">
        <v>994</v>
      </c>
      <c r="X173" s="11" t="s">
        <v>994</v>
      </c>
      <c r="Y173" s="11" t="s">
        <v>994</v>
      </c>
      <c r="Z173" s="11" t="s">
        <v>994</v>
      </c>
      <c r="AA173" s="11" t="s">
        <v>994</v>
      </c>
      <c r="AB173" s="11" t="s">
        <v>994</v>
      </c>
      <c r="AC173" s="11" t="s">
        <v>994</v>
      </c>
      <c r="AD173" s="11" t="s">
        <v>994</v>
      </c>
    </row>
    <row r="174">
      <c r="B174" s="12" t="s">
        <v>994</v>
      </c>
      <c r="C174" s="11" t="s">
        <v>994</v>
      </c>
      <c r="D174" s="11" t="s">
        <v>994</v>
      </c>
      <c r="E174" s="12" t="s">
        <v>994</v>
      </c>
      <c r="F174" s="12" t="s">
        <v>994</v>
      </c>
      <c r="G174" s="12" t="s">
        <v>994</v>
      </c>
      <c r="H174" s="12" t="s">
        <v>994</v>
      </c>
      <c r="I174" s="12" t="s">
        <v>994</v>
      </c>
      <c r="J174" s="12" t="s">
        <v>994</v>
      </c>
      <c r="K174" s="12" t="s">
        <v>994</v>
      </c>
      <c r="L174" s="13" t="s">
        <v>994</v>
      </c>
      <c r="M174" s="11" t="s">
        <v>994</v>
      </c>
      <c r="N174" s="11" t="s">
        <v>994</v>
      </c>
      <c r="O174" s="11" t="s">
        <v>994</v>
      </c>
      <c r="P174" s="11" t="s">
        <v>994</v>
      </c>
      <c r="Q174" s="11" t="s">
        <v>994</v>
      </c>
      <c r="R174" s="11" t="s">
        <v>994</v>
      </c>
      <c r="S174" s="11" t="s">
        <v>994</v>
      </c>
      <c r="T174" s="11" t="s">
        <v>994</v>
      </c>
      <c r="U174" s="11" t="s">
        <v>994</v>
      </c>
      <c r="V174" s="11" t="s">
        <v>994</v>
      </c>
      <c r="W174" s="11" t="s">
        <v>994</v>
      </c>
      <c r="X174" s="11" t="s">
        <v>994</v>
      </c>
      <c r="Y174" s="11" t="s">
        <v>994</v>
      </c>
      <c r="Z174" s="11" t="s">
        <v>994</v>
      </c>
      <c r="AA174" s="11" t="s">
        <v>994</v>
      </c>
      <c r="AB174" s="11" t="s">
        <v>994</v>
      </c>
      <c r="AC174" s="11" t="s">
        <v>994</v>
      </c>
      <c r="AD174" s="11" t="s">
        <v>994</v>
      </c>
    </row>
    <row r="175">
      <c r="B175" s="12" t="s">
        <v>994</v>
      </c>
      <c r="C175" s="11" t="s">
        <v>994</v>
      </c>
      <c r="D175" s="11" t="s">
        <v>994</v>
      </c>
      <c r="E175" s="12" t="s">
        <v>994</v>
      </c>
      <c r="F175" s="12" t="s">
        <v>994</v>
      </c>
      <c r="G175" s="12" t="s">
        <v>994</v>
      </c>
      <c r="H175" s="12" t="s">
        <v>994</v>
      </c>
      <c r="I175" s="12" t="s">
        <v>994</v>
      </c>
      <c r="J175" s="12" t="s">
        <v>994</v>
      </c>
      <c r="K175" s="12" t="s">
        <v>994</v>
      </c>
      <c r="L175" s="13" t="s">
        <v>994</v>
      </c>
      <c r="M175" s="11" t="s">
        <v>994</v>
      </c>
      <c r="N175" s="11" t="s">
        <v>994</v>
      </c>
      <c r="O175" s="11" t="s">
        <v>994</v>
      </c>
      <c r="P175" s="11" t="s">
        <v>994</v>
      </c>
      <c r="Q175" s="11" t="s">
        <v>994</v>
      </c>
      <c r="R175" s="11" t="s">
        <v>994</v>
      </c>
      <c r="S175" s="11" t="s">
        <v>994</v>
      </c>
      <c r="T175" s="11" t="s">
        <v>994</v>
      </c>
      <c r="U175" s="11" t="s">
        <v>994</v>
      </c>
      <c r="V175" s="11" t="s">
        <v>994</v>
      </c>
      <c r="W175" s="11" t="s">
        <v>994</v>
      </c>
      <c r="X175" s="11" t="s">
        <v>994</v>
      </c>
      <c r="Y175" s="11" t="s">
        <v>994</v>
      </c>
      <c r="Z175" s="11" t="s">
        <v>994</v>
      </c>
      <c r="AA175" s="11" t="s">
        <v>994</v>
      </c>
      <c r="AB175" s="11" t="s">
        <v>994</v>
      </c>
      <c r="AC175" s="11" t="s">
        <v>994</v>
      </c>
      <c r="AD175" s="11" t="s">
        <v>994</v>
      </c>
    </row>
    <row r="176">
      <c r="B176" s="12" t="s">
        <v>994</v>
      </c>
      <c r="C176" s="11" t="s">
        <v>994</v>
      </c>
      <c r="D176" s="11" t="s">
        <v>994</v>
      </c>
      <c r="E176" s="12" t="s">
        <v>994</v>
      </c>
      <c r="F176" s="12" t="s">
        <v>994</v>
      </c>
      <c r="G176" s="12" t="s">
        <v>994</v>
      </c>
      <c r="H176" s="12" t="s">
        <v>994</v>
      </c>
      <c r="I176" s="12" t="s">
        <v>994</v>
      </c>
      <c r="J176" s="12" t="s">
        <v>994</v>
      </c>
      <c r="K176" s="12" t="s">
        <v>994</v>
      </c>
      <c r="L176" s="13" t="s">
        <v>994</v>
      </c>
      <c r="M176" s="11" t="s">
        <v>994</v>
      </c>
      <c r="N176" s="11" t="s">
        <v>994</v>
      </c>
      <c r="O176" s="11" t="s">
        <v>994</v>
      </c>
      <c r="P176" s="11" t="s">
        <v>994</v>
      </c>
      <c r="Q176" s="11" t="s">
        <v>994</v>
      </c>
      <c r="R176" s="11" t="s">
        <v>994</v>
      </c>
      <c r="S176" s="11" t="s">
        <v>994</v>
      </c>
      <c r="T176" s="11" t="s">
        <v>994</v>
      </c>
      <c r="U176" s="11" t="s">
        <v>994</v>
      </c>
      <c r="V176" s="11" t="s">
        <v>994</v>
      </c>
      <c r="W176" s="11" t="s">
        <v>994</v>
      </c>
      <c r="X176" s="11" t="s">
        <v>994</v>
      </c>
      <c r="Y176" s="11" t="s">
        <v>994</v>
      </c>
      <c r="Z176" s="11" t="s">
        <v>994</v>
      </c>
      <c r="AA176" s="11" t="s">
        <v>994</v>
      </c>
      <c r="AB176" s="11" t="s">
        <v>994</v>
      </c>
      <c r="AC176" s="11" t="s">
        <v>994</v>
      </c>
      <c r="AD176" s="11" t="s">
        <v>994</v>
      </c>
    </row>
    <row r="177">
      <c r="B177" s="12" t="s">
        <v>994</v>
      </c>
      <c r="C177" s="11" t="s">
        <v>994</v>
      </c>
      <c r="D177" s="11" t="s">
        <v>994</v>
      </c>
      <c r="E177" s="12" t="s">
        <v>994</v>
      </c>
      <c r="F177" s="12" t="s">
        <v>994</v>
      </c>
      <c r="G177" s="12" t="s">
        <v>994</v>
      </c>
      <c r="H177" s="12" t="s">
        <v>994</v>
      </c>
      <c r="I177" s="12" t="s">
        <v>994</v>
      </c>
      <c r="J177" s="12" t="s">
        <v>994</v>
      </c>
      <c r="K177" s="12" t="s">
        <v>994</v>
      </c>
      <c r="L177" s="13" t="s">
        <v>994</v>
      </c>
      <c r="M177" s="11" t="s">
        <v>994</v>
      </c>
      <c r="N177" s="11" t="s">
        <v>994</v>
      </c>
      <c r="O177" s="11" t="s">
        <v>994</v>
      </c>
      <c r="P177" s="11" t="s">
        <v>994</v>
      </c>
      <c r="Q177" s="11" t="s">
        <v>994</v>
      </c>
      <c r="R177" s="11" t="s">
        <v>994</v>
      </c>
      <c r="S177" s="11" t="s">
        <v>994</v>
      </c>
      <c r="T177" s="11" t="s">
        <v>994</v>
      </c>
      <c r="U177" s="11" t="s">
        <v>994</v>
      </c>
      <c r="V177" s="11" t="s">
        <v>994</v>
      </c>
      <c r="W177" s="11" t="s">
        <v>994</v>
      </c>
      <c r="X177" s="11" t="s">
        <v>994</v>
      </c>
      <c r="Y177" s="11" t="s">
        <v>994</v>
      </c>
      <c r="Z177" s="11" t="s">
        <v>994</v>
      </c>
      <c r="AA177" s="11" t="s">
        <v>994</v>
      </c>
      <c r="AB177" s="11" t="s">
        <v>994</v>
      </c>
      <c r="AC177" s="11" t="s">
        <v>994</v>
      </c>
      <c r="AD177" s="11" t="s">
        <v>994</v>
      </c>
    </row>
    <row r="178">
      <c r="B178" s="12" t="s">
        <v>994</v>
      </c>
      <c r="C178" s="11" t="s">
        <v>994</v>
      </c>
      <c r="D178" s="11" t="s">
        <v>994</v>
      </c>
      <c r="E178" s="12" t="s">
        <v>994</v>
      </c>
      <c r="F178" s="12" t="s">
        <v>994</v>
      </c>
      <c r="G178" s="12" t="s">
        <v>994</v>
      </c>
      <c r="H178" s="12" t="s">
        <v>994</v>
      </c>
      <c r="I178" s="12" t="s">
        <v>994</v>
      </c>
      <c r="J178" s="12" t="s">
        <v>994</v>
      </c>
      <c r="K178" s="12" t="s">
        <v>994</v>
      </c>
      <c r="L178" s="13" t="s">
        <v>994</v>
      </c>
      <c r="M178" s="11" t="s">
        <v>994</v>
      </c>
      <c r="N178" s="11" t="s">
        <v>994</v>
      </c>
      <c r="O178" s="11" t="s">
        <v>994</v>
      </c>
      <c r="P178" s="11" t="s">
        <v>994</v>
      </c>
      <c r="Q178" s="11" t="s">
        <v>994</v>
      </c>
      <c r="R178" s="11" t="s">
        <v>994</v>
      </c>
      <c r="S178" s="11" t="s">
        <v>994</v>
      </c>
      <c r="T178" s="11" t="s">
        <v>994</v>
      </c>
      <c r="U178" s="11" t="s">
        <v>994</v>
      </c>
      <c r="V178" s="11" t="s">
        <v>994</v>
      </c>
      <c r="W178" s="11" t="s">
        <v>994</v>
      </c>
      <c r="X178" s="11" t="s">
        <v>994</v>
      </c>
      <c r="Y178" s="11" t="s">
        <v>994</v>
      </c>
      <c r="Z178" s="11" t="s">
        <v>994</v>
      </c>
      <c r="AA178" s="11" t="s">
        <v>994</v>
      </c>
      <c r="AB178" s="11" t="s">
        <v>994</v>
      </c>
      <c r="AC178" s="11" t="s">
        <v>994</v>
      </c>
      <c r="AD178" s="11" t="s">
        <v>994</v>
      </c>
    </row>
    <row r="179">
      <c r="B179" s="12" t="s">
        <v>994</v>
      </c>
      <c r="C179" s="11" t="s">
        <v>994</v>
      </c>
      <c r="D179" s="11" t="s">
        <v>994</v>
      </c>
      <c r="E179" s="12" t="s">
        <v>994</v>
      </c>
      <c r="F179" s="12" t="s">
        <v>994</v>
      </c>
      <c r="G179" s="12" t="s">
        <v>994</v>
      </c>
      <c r="H179" s="12" t="s">
        <v>994</v>
      </c>
      <c r="I179" s="12" t="s">
        <v>994</v>
      </c>
      <c r="J179" s="12" t="s">
        <v>994</v>
      </c>
      <c r="K179" s="12" t="s">
        <v>994</v>
      </c>
      <c r="L179" s="13" t="s">
        <v>994</v>
      </c>
      <c r="M179" s="11" t="s">
        <v>994</v>
      </c>
      <c r="N179" s="11" t="s">
        <v>994</v>
      </c>
      <c r="O179" s="11" t="s">
        <v>994</v>
      </c>
      <c r="P179" s="11" t="s">
        <v>994</v>
      </c>
      <c r="Q179" s="11" t="s">
        <v>994</v>
      </c>
      <c r="R179" s="11" t="s">
        <v>994</v>
      </c>
      <c r="S179" s="11" t="s">
        <v>994</v>
      </c>
      <c r="T179" s="11" t="s">
        <v>994</v>
      </c>
      <c r="U179" s="11" t="s">
        <v>994</v>
      </c>
      <c r="V179" s="11" t="s">
        <v>994</v>
      </c>
      <c r="W179" s="11" t="s">
        <v>994</v>
      </c>
      <c r="X179" s="11" t="s">
        <v>994</v>
      </c>
      <c r="Y179" s="11" t="s">
        <v>994</v>
      </c>
      <c r="Z179" s="11" t="s">
        <v>994</v>
      </c>
      <c r="AA179" s="11" t="s">
        <v>994</v>
      </c>
      <c r="AB179" s="11" t="s">
        <v>994</v>
      </c>
      <c r="AC179" s="11" t="s">
        <v>994</v>
      </c>
      <c r="AD179" s="11" t="s">
        <v>994</v>
      </c>
    </row>
    <row r="180">
      <c r="B180" s="12" t="s">
        <v>994</v>
      </c>
      <c r="C180" s="11" t="s">
        <v>994</v>
      </c>
      <c r="D180" s="11" t="s">
        <v>994</v>
      </c>
      <c r="E180" s="12" t="s">
        <v>994</v>
      </c>
      <c r="F180" s="12" t="s">
        <v>994</v>
      </c>
      <c r="G180" s="12" t="s">
        <v>994</v>
      </c>
      <c r="H180" s="12" t="s">
        <v>994</v>
      </c>
      <c r="I180" s="12" t="s">
        <v>994</v>
      </c>
      <c r="J180" s="12" t="s">
        <v>994</v>
      </c>
      <c r="K180" s="12" t="s">
        <v>994</v>
      </c>
      <c r="L180" s="13" t="s">
        <v>994</v>
      </c>
      <c r="M180" s="11" t="s">
        <v>994</v>
      </c>
      <c r="N180" s="11" t="s">
        <v>994</v>
      </c>
      <c r="O180" s="11" t="s">
        <v>994</v>
      </c>
      <c r="P180" s="11" t="s">
        <v>994</v>
      </c>
      <c r="Q180" s="11" t="s">
        <v>994</v>
      </c>
      <c r="R180" s="11" t="s">
        <v>994</v>
      </c>
      <c r="S180" s="11" t="s">
        <v>994</v>
      </c>
      <c r="T180" s="11" t="s">
        <v>994</v>
      </c>
      <c r="U180" s="11" t="s">
        <v>994</v>
      </c>
      <c r="V180" s="11" t="s">
        <v>994</v>
      </c>
      <c r="W180" s="11" t="s">
        <v>994</v>
      </c>
      <c r="X180" s="11" t="s">
        <v>994</v>
      </c>
      <c r="Y180" s="11" t="s">
        <v>994</v>
      </c>
      <c r="Z180" s="11" t="s">
        <v>994</v>
      </c>
      <c r="AA180" s="11" t="s">
        <v>994</v>
      </c>
      <c r="AB180" s="11" t="s">
        <v>994</v>
      </c>
      <c r="AC180" s="11" t="s">
        <v>994</v>
      </c>
      <c r="AD180" s="11" t="s">
        <v>994</v>
      </c>
    </row>
    <row r="181">
      <c r="B181" s="12" t="s">
        <v>994</v>
      </c>
      <c r="C181" s="11" t="s">
        <v>994</v>
      </c>
      <c r="D181" s="11" t="s">
        <v>994</v>
      </c>
      <c r="E181" s="12" t="s">
        <v>994</v>
      </c>
      <c r="F181" s="12" t="s">
        <v>994</v>
      </c>
      <c r="G181" s="12" t="s">
        <v>994</v>
      </c>
      <c r="H181" s="12" t="s">
        <v>994</v>
      </c>
      <c r="I181" s="12" t="s">
        <v>994</v>
      </c>
      <c r="J181" s="12" t="s">
        <v>994</v>
      </c>
      <c r="K181" s="12" t="s">
        <v>994</v>
      </c>
      <c r="L181" s="13" t="s">
        <v>994</v>
      </c>
      <c r="M181" s="11" t="s">
        <v>994</v>
      </c>
      <c r="N181" s="11" t="s">
        <v>994</v>
      </c>
      <c r="O181" s="11" t="s">
        <v>994</v>
      </c>
      <c r="P181" s="11" t="s">
        <v>994</v>
      </c>
      <c r="Q181" s="11" t="s">
        <v>994</v>
      </c>
      <c r="R181" s="11" t="s">
        <v>994</v>
      </c>
      <c r="S181" s="11" t="s">
        <v>994</v>
      </c>
      <c r="T181" s="11" t="s">
        <v>994</v>
      </c>
      <c r="U181" s="11" t="s">
        <v>994</v>
      </c>
      <c r="V181" s="11" t="s">
        <v>994</v>
      </c>
      <c r="W181" s="11" t="s">
        <v>994</v>
      </c>
      <c r="X181" s="11" t="s">
        <v>994</v>
      </c>
      <c r="Y181" s="11" t="s">
        <v>994</v>
      </c>
      <c r="Z181" s="11" t="s">
        <v>994</v>
      </c>
      <c r="AA181" s="11" t="s">
        <v>994</v>
      </c>
      <c r="AB181" s="11" t="s">
        <v>994</v>
      </c>
      <c r="AC181" s="11" t="s">
        <v>994</v>
      </c>
      <c r="AD181" s="11" t="s">
        <v>994</v>
      </c>
    </row>
    <row r="182">
      <c r="B182" s="12" t="s">
        <v>994</v>
      </c>
      <c r="C182" s="11" t="s">
        <v>994</v>
      </c>
      <c r="D182" s="11" t="s">
        <v>994</v>
      </c>
      <c r="E182" s="12" t="s">
        <v>994</v>
      </c>
      <c r="F182" s="12" t="s">
        <v>994</v>
      </c>
      <c r="G182" s="12" t="s">
        <v>994</v>
      </c>
      <c r="H182" s="12" t="s">
        <v>994</v>
      </c>
      <c r="I182" s="12" t="s">
        <v>994</v>
      </c>
      <c r="J182" s="12" t="s">
        <v>994</v>
      </c>
      <c r="K182" s="12" t="s">
        <v>994</v>
      </c>
      <c r="L182" s="13" t="s">
        <v>994</v>
      </c>
      <c r="M182" s="11" t="s">
        <v>994</v>
      </c>
      <c r="N182" s="11" t="s">
        <v>994</v>
      </c>
      <c r="O182" s="11" t="s">
        <v>994</v>
      </c>
      <c r="P182" s="11" t="s">
        <v>994</v>
      </c>
      <c r="Q182" s="11" t="s">
        <v>994</v>
      </c>
      <c r="R182" s="11" t="s">
        <v>994</v>
      </c>
      <c r="S182" s="11" t="s">
        <v>994</v>
      </c>
      <c r="T182" s="11" t="s">
        <v>994</v>
      </c>
      <c r="U182" s="11" t="s">
        <v>994</v>
      </c>
      <c r="V182" s="11" t="s">
        <v>994</v>
      </c>
      <c r="W182" s="11" t="s">
        <v>994</v>
      </c>
      <c r="X182" s="11" t="s">
        <v>994</v>
      </c>
      <c r="Y182" s="11" t="s">
        <v>994</v>
      </c>
      <c r="Z182" s="11" t="s">
        <v>994</v>
      </c>
      <c r="AA182" s="11" t="s">
        <v>994</v>
      </c>
      <c r="AB182" s="11" t="s">
        <v>994</v>
      </c>
      <c r="AC182" s="11" t="s">
        <v>994</v>
      </c>
      <c r="AD182" s="11" t="s">
        <v>994</v>
      </c>
    </row>
    <row r="183">
      <c r="B183" s="12" t="s">
        <v>994</v>
      </c>
      <c r="C183" s="11" t="s">
        <v>994</v>
      </c>
      <c r="D183" s="11" t="s">
        <v>994</v>
      </c>
      <c r="E183" s="12" t="s">
        <v>994</v>
      </c>
      <c r="F183" s="12" t="s">
        <v>994</v>
      </c>
      <c r="G183" s="12" t="s">
        <v>994</v>
      </c>
      <c r="H183" s="12" t="s">
        <v>994</v>
      </c>
      <c r="I183" s="12" t="s">
        <v>994</v>
      </c>
      <c r="J183" s="12" t="s">
        <v>994</v>
      </c>
      <c r="K183" s="12" t="s">
        <v>994</v>
      </c>
      <c r="L183" s="13" t="s">
        <v>994</v>
      </c>
      <c r="M183" s="11" t="s">
        <v>994</v>
      </c>
      <c r="N183" s="11" t="s">
        <v>994</v>
      </c>
      <c r="O183" s="11" t="s">
        <v>994</v>
      </c>
      <c r="P183" s="11" t="s">
        <v>994</v>
      </c>
      <c r="Q183" s="11" t="s">
        <v>994</v>
      </c>
      <c r="R183" s="11" t="s">
        <v>994</v>
      </c>
      <c r="S183" s="11" t="s">
        <v>994</v>
      </c>
      <c r="T183" s="11" t="s">
        <v>994</v>
      </c>
      <c r="U183" s="11" t="s">
        <v>994</v>
      </c>
      <c r="V183" s="11" t="s">
        <v>994</v>
      </c>
      <c r="W183" s="11" t="s">
        <v>994</v>
      </c>
      <c r="X183" s="11" t="s">
        <v>994</v>
      </c>
      <c r="Y183" s="11" t="s">
        <v>994</v>
      </c>
      <c r="Z183" s="11" t="s">
        <v>994</v>
      </c>
      <c r="AA183" s="11" t="s">
        <v>994</v>
      </c>
      <c r="AB183" s="11" t="s">
        <v>994</v>
      </c>
      <c r="AC183" s="11" t="s">
        <v>994</v>
      </c>
      <c r="AD183" s="11" t="s">
        <v>994</v>
      </c>
    </row>
    <row r="184">
      <c r="B184" s="12" t="s">
        <v>994</v>
      </c>
      <c r="C184" s="11" t="s">
        <v>994</v>
      </c>
      <c r="D184" s="11" t="s">
        <v>994</v>
      </c>
      <c r="E184" s="12" t="s">
        <v>994</v>
      </c>
      <c r="F184" s="12" t="s">
        <v>994</v>
      </c>
      <c r="G184" s="12" t="s">
        <v>994</v>
      </c>
      <c r="H184" s="12" t="s">
        <v>994</v>
      </c>
      <c r="I184" s="12" t="s">
        <v>994</v>
      </c>
      <c r="J184" s="12" t="s">
        <v>994</v>
      </c>
      <c r="K184" s="12" t="s">
        <v>994</v>
      </c>
      <c r="L184" s="13" t="s">
        <v>994</v>
      </c>
      <c r="M184" s="11" t="s">
        <v>994</v>
      </c>
      <c r="N184" s="11" t="s">
        <v>994</v>
      </c>
      <c r="O184" s="11" t="s">
        <v>994</v>
      </c>
      <c r="P184" s="11" t="s">
        <v>994</v>
      </c>
      <c r="Q184" s="11" t="s">
        <v>994</v>
      </c>
      <c r="R184" s="11" t="s">
        <v>994</v>
      </c>
      <c r="S184" s="11" t="s">
        <v>994</v>
      </c>
      <c r="T184" s="11" t="s">
        <v>994</v>
      </c>
      <c r="U184" s="11" t="s">
        <v>994</v>
      </c>
      <c r="V184" s="11" t="s">
        <v>994</v>
      </c>
      <c r="W184" s="11" t="s">
        <v>994</v>
      </c>
      <c r="X184" s="11" t="s">
        <v>994</v>
      </c>
      <c r="Y184" s="11" t="s">
        <v>994</v>
      </c>
      <c r="Z184" s="11" t="s">
        <v>994</v>
      </c>
      <c r="AA184" s="11" t="s">
        <v>994</v>
      </c>
      <c r="AB184" s="11" t="s">
        <v>994</v>
      </c>
      <c r="AC184" s="11" t="s">
        <v>994</v>
      </c>
      <c r="AD184" s="11" t="s">
        <v>994</v>
      </c>
    </row>
    <row r="185">
      <c r="B185" s="12" t="s">
        <v>994</v>
      </c>
      <c r="C185" s="11" t="s">
        <v>994</v>
      </c>
      <c r="D185" s="11" t="s">
        <v>994</v>
      </c>
      <c r="E185" s="12" t="s">
        <v>994</v>
      </c>
      <c r="F185" s="12" t="s">
        <v>994</v>
      </c>
      <c r="G185" s="12" t="s">
        <v>994</v>
      </c>
      <c r="H185" s="12" t="s">
        <v>994</v>
      </c>
      <c r="I185" s="12" t="s">
        <v>994</v>
      </c>
      <c r="J185" s="12" t="s">
        <v>994</v>
      </c>
      <c r="K185" s="12" t="s">
        <v>994</v>
      </c>
      <c r="L185" s="13" t="s">
        <v>994</v>
      </c>
      <c r="M185" s="11" t="s">
        <v>994</v>
      </c>
      <c r="N185" s="11" t="s">
        <v>994</v>
      </c>
      <c r="O185" s="11" t="s">
        <v>994</v>
      </c>
      <c r="P185" s="11" t="s">
        <v>994</v>
      </c>
      <c r="Q185" s="11" t="s">
        <v>994</v>
      </c>
      <c r="R185" s="11" t="s">
        <v>994</v>
      </c>
      <c r="S185" s="11" t="s">
        <v>994</v>
      </c>
      <c r="T185" s="11" t="s">
        <v>994</v>
      </c>
      <c r="U185" s="11" t="s">
        <v>994</v>
      </c>
      <c r="V185" s="11" t="s">
        <v>994</v>
      </c>
      <c r="W185" s="11" t="s">
        <v>994</v>
      </c>
      <c r="X185" s="11" t="s">
        <v>994</v>
      </c>
      <c r="Y185" s="11" t="s">
        <v>994</v>
      </c>
      <c r="Z185" s="11" t="s">
        <v>994</v>
      </c>
      <c r="AA185" s="11" t="s">
        <v>994</v>
      </c>
      <c r="AB185" s="11" t="s">
        <v>994</v>
      </c>
      <c r="AC185" s="11" t="s">
        <v>994</v>
      </c>
      <c r="AD185" s="11" t="s">
        <v>994</v>
      </c>
    </row>
    <row r="186">
      <c r="B186" s="12" t="s">
        <v>994</v>
      </c>
      <c r="C186" s="11" t="s">
        <v>994</v>
      </c>
      <c r="D186" s="11" t="s">
        <v>994</v>
      </c>
      <c r="E186" s="12" t="s">
        <v>994</v>
      </c>
      <c r="F186" s="12" t="s">
        <v>994</v>
      </c>
      <c r="G186" s="12" t="s">
        <v>994</v>
      </c>
      <c r="H186" s="12" t="s">
        <v>994</v>
      </c>
      <c r="I186" s="12" t="s">
        <v>994</v>
      </c>
      <c r="J186" s="12" t="s">
        <v>994</v>
      </c>
      <c r="K186" s="12" t="s">
        <v>994</v>
      </c>
      <c r="L186" s="13" t="s">
        <v>994</v>
      </c>
      <c r="M186" s="11" t="s">
        <v>994</v>
      </c>
      <c r="N186" s="11" t="s">
        <v>994</v>
      </c>
      <c r="O186" s="11" t="s">
        <v>994</v>
      </c>
      <c r="P186" s="11" t="s">
        <v>994</v>
      </c>
      <c r="Q186" s="11" t="s">
        <v>994</v>
      </c>
      <c r="R186" s="11" t="s">
        <v>994</v>
      </c>
      <c r="S186" s="11" t="s">
        <v>994</v>
      </c>
      <c r="T186" s="11" t="s">
        <v>994</v>
      </c>
      <c r="U186" s="11" t="s">
        <v>994</v>
      </c>
      <c r="V186" s="11" t="s">
        <v>994</v>
      </c>
      <c r="W186" s="11" t="s">
        <v>994</v>
      </c>
      <c r="X186" s="11" t="s">
        <v>994</v>
      </c>
      <c r="Y186" s="11" t="s">
        <v>994</v>
      </c>
      <c r="Z186" s="11" t="s">
        <v>994</v>
      </c>
      <c r="AA186" s="11" t="s">
        <v>994</v>
      </c>
      <c r="AB186" s="11" t="s">
        <v>994</v>
      </c>
      <c r="AC186" s="11" t="s">
        <v>994</v>
      </c>
      <c r="AD186" s="11" t="s">
        <v>994</v>
      </c>
    </row>
    <row r="187">
      <c r="B187" s="12" t="s">
        <v>994</v>
      </c>
      <c r="C187" s="11" t="s">
        <v>994</v>
      </c>
      <c r="D187" s="11" t="s">
        <v>994</v>
      </c>
      <c r="E187" s="12" t="s">
        <v>994</v>
      </c>
      <c r="F187" s="12" t="s">
        <v>994</v>
      </c>
      <c r="G187" s="12" t="s">
        <v>994</v>
      </c>
      <c r="H187" s="12" t="s">
        <v>994</v>
      </c>
      <c r="I187" s="12" t="s">
        <v>994</v>
      </c>
      <c r="J187" s="12" t="s">
        <v>994</v>
      </c>
      <c r="K187" s="12" t="s">
        <v>994</v>
      </c>
      <c r="L187" s="13" t="s">
        <v>994</v>
      </c>
      <c r="M187" s="11" t="s">
        <v>994</v>
      </c>
      <c r="N187" s="11" t="s">
        <v>994</v>
      </c>
      <c r="O187" s="11" t="s">
        <v>994</v>
      </c>
      <c r="P187" s="11" t="s">
        <v>994</v>
      </c>
      <c r="Q187" s="11" t="s">
        <v>994</v>
      </c>
      <c r="R187" s="11" t="s">
        <v>994</v>
      </c>
      <c r="S187" s="11" t="s">
        <v>994</v>
      </c>
      <c r="T187" s="11" t="s">
        <v>994</v>
      </c>
      <c r="U187" s="11" t="s">
        <v>994</v>
      </c>
      <c r="V187" s="11" t="s">
        <v>994</v>
      </c>
      <c r="W187" s="11" t="s">
        <v>994</v>
      </c>
      <c r="X187" s="11" t="s">
        <v>994</v>
      </c>
      <c r="Y187" s="11" t="s">
        <v>994</v>
      </c>
      <c r="Z187" s="11" t="s">
        <v>994</v>
      </c>
      <c r="AA187" s="11" t="s">
        <v>994</v>
      </c>
      <c r="AB187" s="11" t="s">
        <v>994</v>
      </c>
      <c r="AC187" s="11" t="s">
        <v>994</v>
      </c>
      <c r="AD187" s="11" t="s">
        <v>994</v>
      </c>
    </row>
    <row r="188">
      <c r="B188" s="12" t="s">
        <v>994</v>
      </c>
      <c r="C188" s="11" t="s">
        <v>994</v>
      </c>
      <c r="D188" s="11" t="s">
        <v>994</v>
      </c>
      <c r="E188" s="12" t="s">
        <v>994</v>
      </c>
      <c r="F188" s="12" t="s">
        <v>994</v>
      </c>
      <c r="G188" s="12" t="s">
        <v>994</v>
      </c>
      <c r="H188" s="12" t="s">
        <v>994</v>
      </c>
      <c r="I188" s="12" t="s">
        <v>994</v>
      </c>
      <c r="J188" s="12" t="s">
        <v>994</v>
      </c>
      <c r="K188" s="12" t="s">
        <v>994</v>
      </c>
      <c r="L188" s="13" t="s">
        <v>994</v>
      </c>
      <c r="M188" s="11" t="s">
        <v>994</v>
      </c>
      <c r="N188" s="11" t="s">
        <v>994</v>
      </c>
      <c r="O188" s="11" t="s">
        <v>994</v>
      </c>
      <c r="P188" s="11" t="s">
        <v>994</v>
      </c>
      <c r="Q188" s="11" t="s">
        <v>994</v>
      </c>
      <c r="R188" s="11" t="s">
        <v>994</v>
      </c>
      <c r="S188" s="11" t="s">
        <v>994</v>
      </c>
      <c r="T188" s="11" t="s">
        <v>994</v>
      </c>
      <c r="U188" s="11" t="s">
        <v>994</v>
      </c>
      <c r="V188" s="11" t="s">
        <v>994</v>
      </c>
      <c r="W188" s="11" t="s">
        <v>994</v>
      </c>
      <c r="X188" s="11" t="s">
        <v>994</v>
      </c>
      <c r="Y188" s="11" t="s">
        <v>994</v>
      </c>
      <c r="Z188" s="11" t="s">
        <v>994</v>
      </c>
      <c r="AA188" s="11" t="s">
        <v>994</v>
      </c>
      <c r="AB188" s="11" t="s">
        <v>994</v>
      </c>
      <c r="AC188" s="11" t="s">
        <v>994</v>
      </c>
      <c r="AD188" s="11" t="s">
        <v>994</v>
      </c>
    </row>
    <row r="189">
      <c r="B189" s="12" t="s">
        <v>994</v>
      </c>
      <c r="C189" s="11" t="s">
        <v>994</v>
      </c>
      <c r="D189" s="11" t="s">
        <v>994</v>
      </c>
      <c r="E189" s="12" t="s">
        <v>994</v>
      </c>
      <c r="F189" s="12" t="s">
        <v>994</v>
      </c>
      <c r="G189" s="12" t="s">
        <v>994</v>
      </c>
      <c r="H189" s="12" t="s">
        <v>994</v>
      </c>
      <c r="I189" s="12" t="s">
        <v>994</v>
      </c>
      <c r="J189" s="12" t="s">
        <v>994</v>
      </c>
      <c r="K189" s="12" t="s">
        <v>994</v>
      </c>
      <c r="L189" s="13" t="s">
        <v>994</v>
      </c>
      <c r="M189" s="11" t="s">
        <v>994</v>
      </c>
      <c r="N189" s="11" t="s">
        <v>994</v>
      </c>
      <c r="O189" s="11" t="s">
        <v>994</v>
      </c>
      <c r="P189" s="11" t="s">
        <v>994</v>
      </c>
      <c r="Q189" s="11" t="s">
        <v>994</v>
      </c>
      <c r="R189" s="11" t="s">
        <v>994</v>
      </c>
      <c r="S189" s="11" t="s">
        <v>994</v>
      </c>
      <c r="T189" s="11" t="s">
        <v>994</v>
      </c>
      <c r="U189" s="11" t="s">
        <v>994</v>
      </c>
      <c r="V189" s="11" t="s">
        <v>994</v>
      </c>
      <c r="W189" s="11" t="s">
        <v>994</v>
      </c>
      <c r="X189" s="11" t="s">
        <v>994</v>
      </c>
      <c r="Y189" s="11" t="s">
        <v>994</v>
      </c>
      <c r="Z189" s="11" t="s">
        <v>994</v>
      </c>
      <c r="AA189" s="11" t="s">
        <v>994</v>
      </c>
      <c r="AB189" s="11" t="s">
        <v>994</v>
      </c>
      <c r="AC189" s="11" t="s">
        <v>994</v>
      </c>
      <c r="AD189" s="11" t="s">
        <v>994</v>
      </c>
    </row>
    <row r="190">
      <c r="B190" s="12" t="s">
        <v>994</v>
      </c>
      <c r="C190" s="11" t="s">
        <v>994</v>
      </c>
      <c r="D190" s="11" t="s">
        <v>994</v>
      </c>
      <c r="E190" s="12" t="s">
        <v>994</v>
      </c>
      <c r="F190" s="12" t="s">
        <v>994</v>
      </c>
      <c r="G190" s="12" t="s">
        <v>994</v>
      </c>
      <c r="H190" s="12" t="s">
        <v>994</v>
      </c>
      <c r="I190" s="12" t="s">
        <v>994</v>
      </c>
      <c r="J190" s="12" t="s">
        <v>994</v>
      </c>
      <c r="K190" s="12" t="s">
        <v>994</v>
      </c>
      <c r="L190" s="13" t="s">
        <v>994</v>
      </c>
      <c r="M190" s="11" t="s">
        <v>994</v>
      </c>
      <c r="N190" s="11" t="s">
        <v>994</v>
      </c>
      <c r="O190" s="11" t="s">
        <v>994</v>
      </c>
      <c r="P190" s="11" t="s">
        <v>994</v>
      </c>
      <c r="Q190" s="11" t="s">
        <v>994</v>
      </c>
      <c r="R190" s="11" t="s">
        <v>994</v>
      </c>
      <c r="S190" s="11" t="s">
        <v>994</v>
      </c>
      <c r="T190" s="11" t="s">
        <v>994</v>
      </c>
      <c r="U190" s="11" t="s">
        <v>994</v>
      </c>
      <c r="V190" s="11" t="s">
        <v>994</v>
      </c>
      <c r="W190" s="11" t="s">
        <v>994</v>
      </c>
      <c r="X190" s="11" t="s">
        <v>994</v>
      </c>
      <c r="Y190" s="11" t="s">
        <v>994</v>
      </c>
      <c r="Z190" s="11" t="s">
        <v>994</v>
      </c>
      <c r="AA190" s="11" t="s">
        <v>994</v>
      </c>
      <c r="AB190" s="11" t="s">
        <v>994</v>
      </c>
      <c r="AC190" s="11" t="s">
        <v>994</v>
      </c>
      <c r="AD190" s="11" t="s">
        <v>994</v>
      </c>
    </row>
    <row r="191">
      <c r="B191" s="12" t="s">
        <v>994</v>
      </c>
      <c r="C191" s="11" t="s">
        <v>994</v>
      </c>
      <c r="D191" s="11" t="s">
        <v>994</v>
      </c>
      <c r="E191" s="12" t="s">
        <v>994</v>
      </c>
      <c r="F191" s="12" t="s">
        <v>994</v>
      </c>
      <c r="G191" s="12" t="s">
        <v>994</v>
      </c>
      <c r="H191" s="12" t="s">
        <v>994</v>
      </c>
      <c r="I191" s="12" t="s">
        <v>994</v>
      </c>
      <c r="J191" s="12" t="s">
        <v>994</v>
      </c>
      <c r="K191" s="12" t="s">
        <v>994</v>
      </c>
      <c r="L191" s="13" t="s">
        <v>994</v>
      </c>
      <c r="M191" s="11" t="s">
        <v>994</v>
      </c>
      <c r="N191" s="11" t="s">
        <v>994</v>
      </c>
      <c r="O191" s="11" t="s">
        <v>994</v>
      </c>
      <c r="P191" s="11" t="s">
        <v>994</v>
      </c>
      <c r="Q191" s="11" t="s">
        <v>994</v>
      </c>
      <c r="R191" s="11" t="s">
        <v>994</v>
      </c>
      <c r="S191" s="11" t="s">
        <v>994</v>
      </c>
      <c r="T191" s="11" t="s">
        <v>994</v>
      </c>
      <c r="U191" s="11" t="s">
        <v>994</v>
      </c>
      <c r="V191" s="11" t="s">
        <v>994</v>
      </c>
      <c r="W191" s="11" t="s">
        <v>994</v>
      </c>
      <c r="X191" s="11" t="s">
        <v>994</v>
      </c>
      <c r="Y191" s="11" t="s">
        <v>994</v>
      </c>
      <c r="Z191" s="11" t="s">
        <v>994</v>
      </c>
      <c r="AA191" s="11" t="s">
        <v>994</v>
      </c>
      <c r="AB191" s="11" t="s">
        <v>994</v>
      </c>
      <c r="AC191" s="11" t="s">
        <v>994</v>
      </c>
      <c r="AD191" s="11" t="s">
        <v>994</v>
      </c>
    </row>
    <row r="192">
      <c r="B192" s="12" t="s">
        <v>994</v>
      </c>
      <c r="C192" s="11" t="s">
        <v>994</v>
      </c>
      <c r="D192" s="11" t="s">
        <v>994</v>
      </c>
      <c r="E192" s="12" t="s">
        <v>994</v>
      </c>
      <c r="F192" s="12" t="s">
        <v>994</v>
      </c>
      <c r="G192" s="12" t="s">
        <v>994</v>
      </c>
      <c r="H192" s="12" t="s">
        <v>994</v>
      </c>
      <c r="I192" s="12" t="s">
        <v>994</v>
      </c>
      <c r="J192" s="12" t="s">
        <v>994</v>
      </c>
      <c r="K192" s="12" t="s">
        <v>994</v>
      </c>
      <c r="L192" s="13" t="s">
        <v>994</v>
      </c>
      <c r="M192" s="11" t="s">
        <v>994</v>
      </c>
      <c r="N192" s="11" t="s">
        <v>994</v>
      </c>
      <c r="O192" s="11" t="s">
        <v>994</v>
      </c>
      <c r="P192" s="11" t="s">
        <v>994</v>
      </c>
      <c r="Q192" s="11" t="s">
        <v>994</v>
      </c>
      <c r="R192" s="11" t="s">
        <v>994</v>
      </c>
      <c r="S192" s="11" t="s">
        <v>994</v>
      </c>
      <c r="T192" s="11" t="s">
        <v>994</v>
      </c>
      <c r="U192" s="11" t="s">
        <v>994</v>
      </c>
      <c r="V192" s="11" t="s">
        <v>994</v>
      </c>
      <c r="W192" s="11" t="s">
        <v>994</v>
      </c>
      <c r="X192" s="11" t="s">
        <v>994</v>
      </c>
      <c r="Y192" s="11" t="s">
        <v>994</v>
      </c>
      <c r="Z192" s="11" t="s">
        <v>994</v>
      </c>
      <c r="AA192" s="11" t="s">
        <v>994</v>
      </c>
      <c r="AB192" s="11" t="s">
        <v>994</v>
      </c>
      <c r="AC192" s="11" t="s">
        <v>994</v>
      </c>
      <c r="AD192" s="11" t="s">
        <v>994</v>
      </c>
    </row>
    <row r="193">
      <c r="B193" s="12" t="s">
        <v>994</v>
      </c>
      <c r="C193" s="11" t="s">
        <v>994</v>
      </c>
      <c r="D193" s="11" t="s">
        <v>994</v>
      </c>
      <c r="E193" s="12" t="s">
        <v>994</v>
      </c>
      <c r="F193" s="12" t="s">
        <v>994</v>
      </c>
      <c r="G193" s="12" t="s">
        <v>994</v>
      </c>
      <c r="H193" s="12" t="s">
        <v>994</v>
      </c>
      <c r="I193" s="12" t="s">
        <v>994</v>
      </c>
      <c r="J193" s="12" t="s">
        <v>994</v>
      </c>
      <c r="K193" s="12" t="s">
        <v>994</v>
      </c>
      <c r="L193" s="13" t="s">
        <v>994</v>
      </c>
      <c r="M193" s="11" t="s">
        <v>994</v>
      </c>
      <c r="N193" s="11" t="s">
        <v>994</v>
      </c>
      <c r="O193" s="11" t="s">
        <v>994</v>
      </c>
      <c r="P193" s="11" t="s">
        <v>994</v>
      </c>
      <c r="Q193" s="11" t="s">
        <v>994</v>
      </c>
      <c r="R193" s="11" t="s">
        <v>994</v>
      </c>
      <c r="S193" s="11" t="s">
        <v>994</v>
      </c>
      <c r="T193" s="11" t="s">
        <v>994</v>
      </c>
      <c r="U193" s="11" t="s">
        <v>994</v>
      </c>
      <c r="V193" s="11" t="s">
        <v>994</v>
      </c>
      <c r="W193" s="11" t="s">
        <v>994</v>
      </c>
      <c r="X193" s="11" t="s">
        <v>994</v>
      </c>
      <c r="Y193" s="11" t="s">
        <v>994</v>
      </c>
      <c r="Z193" s="11" t="s">
        <v>994</v>
      </c>
      <c r="AA193" s="11" t="s">
        <v>994</v>
      </c>
      <c r="AB193" s="11" t="s">
        <v>994</v>
      </c>
      <c r="AC193" s="11" t="s">
        <v>994</v>
      </c>
      <c r="AD193" s="11" t="s">
        <v>994</v>
      </c>
    </row>
    <row r="194">
      <c r="B194" s="12" t="s">
        <v>994</v>
      </c>
      <c r="C194" s="11" t="s">
        <v>994</v>
      </c>
      <c r="D194" s="11" t="s">
        <v>994</v>
      </c>
      <c r="E194" s="12" t="s">
        <v>994</v>
      </c>
      <c r="F194" s="12" t="s">
        <v>994</v>
      </c>
      <c r="G194" s="12" t="s">
        <v>994</v>
      </c>
      <c r="H194" s="12" t="s">
        <v>994</v>
      </c>
      <c r="I194" s="12" t="s">
        <v>994</v>
      </c>
      <c r="J194" s="12" t="s">
        <v>994</v>
      </c>
      <c r="K194" s="12" t="s">
        <v>994</v>
      </c>
      <c r="L194" s="13" t="s">
        <v>994</v>
      </c>
      <c r="M194" s="11" t="s">
        <v>994</v>
      </c>
      <c r="N194" s="11" t="s">
        <v>994</v>
      </c>
      <c r="O194" s="11" t="s">
        <v>994</v>
      </c>
      <c r="P194" s="11" t="s">
        <v>994</v>
      </c>
      <c r="Q194" s="11" t="s">
        <v>994</v>
      </c>
      <c r="R194" s="11" t="s">
        <v>994</v>
      </c>
      <c r="S194" s="11" t="s">
        <v>994</v>
      </c>
      <c r="T194" s="11" t="s">
        <v>994</v>
      </c>
      <c r="U194" s="11" t="s">
        <v>994</v>
      </c>
      <c r="V194" s="11" t="s">
        <v>994</v>
      </c>
      <c r="W194" s="11" t="s">
        <v>994</v>
      </c>
      <c r="X194" s="11" t="s">
        <v>994</v>
      </c>
      <c r="Y194" s="11" t="s">
        <v>994</v>
      </c>
      <c r="Z194" s="11" t="s">
        <v>994</v>
      </c>
      <c r="AA194" s="11" t="s">
        <v>994</v>
      </c>
      <c r="AB194" s="11" t="s">
        <v>994</v>
      </c>
      <c r="AC194" s="11" t="s">
        <v>994</v>
      </c>
      <c r="AD194" s="11" t="s">
        <v>994</v>
      </c>
    </row>
    <row r="195">
      <c r="B195" s="12" t="s">
        <v>994</v>
      </c>
      <c r="C195" s="11" t="s">
        <v>994</v>
      </c>
      <c r="D195" s="11" t="s">
        <v>994</v>
      </c>
      <c r="E195" s="12" t="s">
        <v>994</v>
      </c>
      <c r="F195" s="12" t="s">
        <v>994</v>
      </c>
      <c r="G195" s="12" t="s">
        <v>994</v>
      </c>
      <c r="H195" s="12" t="s">
        <v>994</v>
      </c>
      <c r="I195" s="12" t="s">
        <v>994</v>
      </c>
      <c r="J195" s="12" t="s">
        <v>994</v>
      </c>
      <c r="K195" s="12" t="s">
        <v>994</v>
      </c>
      <c r="L195" s="13" t="s">
        <v>994</v>
      </c>
      <c r="M195" s="11" t="s">
        <v>994</v>
      </c>
      <c r="N195" s="11" t="s">
        <v>994</v>
      </c>
      <c r="O195" s="11" t="s">
        <v>994</v>
      </c>
      <c r="P195" s="11" t="s">
        <v>994</v>
      </c>
      <c r="Q195" s="11" t="s">
        <v>994</v>
      </c>
      <c r="R195" s="11" t="s">
        <v>994</v>
      </c>
      <c r="S195" s="11" t="s">
        <v>994</v>
      </c>
      <c r="T195" s="11" t="s">
        <v>994</v>
      </c>
      <c r="U195" s="11" t="s">
        <v>994</v>
      </c>
      <c r="V195" s="11" t="s">
        <v>994</v>
      </c>
      <c r="W195" s="11" t="s">
        <v>994</v>
      </c>
      <c r="X195" s="11" t="s">
        <v>994</v>
      </c>
      <c r="Y195" s="11" t="s">
        <v>994</v>
      </c>
      <c r="Z195" s="11" t="s">
        <v>994</v>
      </c>
      <c r="AA195" s="11" t="s">
        <v>994</v>
      </c>
      <c r="AB195" s="11" t="s">
        <v>994</v>
      </c>
      <c r="AC195" s="11" t="s">
        <v>994</v>
      </c>
      <c r="AD195" s="11" t="s">
        <v>994</v>
      </c>
    </row>
    <row r="196">
      <c r="B196" s="12" t="s">
        <v>994</v>
      </c>
      <c r="C196" s="11" t="s">
        <v>994</v>
      </c>
      <c r="D196" s="11" t="s">
        <v>994</v>
      </c>
      <c r="E196" s="12" t="s">
        <v>994</v>
      </c>
      <c r="F196" s="12" t="s">
        <v>994</v>
      </c>
      <c r="G196" s="12" t="s">
        <v>994</v>
      </c>
      <c r="H196" s="12" t="s">
        <v>994</v>
      </c>
      <c r="I196" s="12" t="s">
        <v>994</v>
      </c>
      <c r="J196" s="12" t="s">
        <v>994</v>
      </c>
      <c r="K196" s="12" t="s">
        <v>994</v>
      </c>
      <c r="L196" s="13" t="s">
        <v>994</v>
      </c>
      <c r="M196" s="11" t="s">
        <v>994</v>
      </c>
      <c r="N196" s="11" t="s">
        <v>994</v>
      </c>
      <c r="O196" s="11" t="s">
        <v>994</v>
      </c>
      <c r="P196" s="11" t="s">
        <v>994</v>
      </c>
      <c r="Q196" s="11" t="s">
        <v>994</v>
      </c>
      <c r="R196" s="11" t="s">
        <v>994</v>
      </c>
      <c r="S196" s="11" t="s">
        <v>994</v>
      </c>
      <c r="T196" s="11" t="s">
        <v>994</v>
      </c>
      <c r="U196" s="11" t="s">
        <v>994</v>
      </c>
      <c r="V196" s="11" t="s">
        <v>994</v>
      </c>
      <c r="W196" s="11" t="s">
        <v>994</v>
      </c>
      <c r="X196" s="11" t="s">
        <v>994</v>
      </c>
      <c r="Y196" s="11" t="s">
        <v>994</v>
      </c>
      <c r="Z196" s="11" t="s">
        <v>994</v>
      </c>
      <c r="AA196" s="11" t="s">
        <v>994</v>
      </c>
      <c r="AB196" s="11" t="s">
        <v>994</v>
      </c>
      <c r="AC196" s="11" t="s">
        <v>994</v>
      </c>
      <c r="AD196" s="11" t="s">
        <v>994</v>
      </c>
    </row>
    <row r="197">
      <c r="B197" s="12" t="s">
        <v>994</v>
      </c>
      <c r="C197" s="11" t="s">
        <v>994</v>
      </c>
      <c r="D197" s="11" t="s">
        <v>994</v>
      </c>
      <c r="E197" s="12" t="s">
        <v>994</v>
      </c>
      <c r="F197" s="12" t="s">
        <v>994</v>
      </c>
      <c r="G197" s="12" t="s">
        <v>994</v>
      </c>
      <c r="H197" s="12" t="s">
        <v>994</v>
      </c>
      <c r="I197" s="12" t="s">
        <v>994</v>
      </c>
      <c r="J197" s="12" t="s">
        <v>994</v>
      </c>
      <c r="K197" s="12" t="s">
        <v>994</v>
      </c>
      <c r="L197" s="13" t="s">
        <v>994</v>
      </c>
      <c r="M197" s="11" t="s">
        <v>994</v>
      </c>
      <c r="N197" s="11" t="s">
        <v>994</v>
      </c>
      <c r="O197" s="11" t="s">
        <v>994</v>
      </c>
      <c r="P197" s="11" t="s">
        <v>994</v>
      </c>
      <c r="Q197" s="11" t="s">
        <v>994</v>
      </c>
      <c r="R197" s="11" t="s">
        <v>994</v>
      </c>
      <c r="S197" s="11" t="s">
        <v>994</v>
      </c>
      <c r="T197" s="11" t="s">
        <v>994</v>
      </c>
      <c r="U197" s="11" t="s">
        <v>994</v>
      </c>
      <c r="V197" s="11" t="s">
        <v>994</v>
      </c>
      <c r="W197" s="11" t="s">
        <v>994</v>
      </c>
      <c r="X197" s="11" t="s">
        <v>994</v>
      </c>
      <c r="Y197" s="11" t="s">
        <v>994</v>
      </c>
      <c r="Z197" s="11" t="s">
        <v>994</v>
      </c>
      <c r="AA197" s="11" t="s">
        <v>994</v>
      </c>
      <c r="AB197" s="11" t="s">
        <v>994</v>
      </c>
      <c r="AC197" s="11" t="s">
        <v>994</v>
      </c>
      <c r="AD197" s="11" t="s">
        <v>994</v>
      </c>
    </row>
    <row r="198">
      <c r="B198" s="12" t="s">
        <v>994</v>
      </c>
      <c r="C198" s="11" t="s">
        <v>994</v>
      </c>
      <c r="D198" s="11" t="s">
        <v>994</v>
      </c>
      <c r="E198" s="12" t="s">
        <v>994</v>
      </c>
      <c r="F198" s="12" t="s">
        <v>994</v>
      </c>
      <c r="G198" s="12" t="s">
        <v>994</v>
      </c>
      <c r="H198" s="12" t="s">
        <v>994</v>
      </c>
      <c r="I198" s="12" t="s">
        <v>994</v>
      </c>
      <c r="J198" s="12" t="s">
        <v>994</v>
      </c>
      <c r="K198" s="12" t="s">
        <v>994</v>
      </c>
      <c r="L198" s="13" t="s">
        <v>994</v>
      </c>
      <c r="M198" s="11" t="s">
        <v>994</v>
      </c>
      <c r="N198" s="11" t="s">
        <v>994</v>
      </c>
      <c r="O198" s="11" t="s">
        <v>994</v>
      </c>
      <c r="P198" s="11" t="s">
        <v>994</v>
      </c>
      <c r="Q198" s="11" t="s">
        <v>994</v>
      </c>
      <c r="R198" s="11" t="s">
        <v>994</v>
      </c>
      <c r="S198" s="11" t="s">
        <v>994</v>
      </c>
      <c r="T198" s="11" t="s">
        <v>994</v>
      </c>
      <c r="U198" s="11" t="s">
        <v>994</v>
      </c>
      <c r="V198" s="11" t="s">
        <v>994</v>
      </c>
      <c r="W198" s="11" t="s">
        <v>994</v>
      </c>
      <c r="X198" s="11" t="s">
        <v>994</v>
      </c>
      <c r="Y198" s="11" t="s">
        <v>994</v>
      </c>
      <c r="Z198" s="11" t="s">
        <v>994</v>
      </c>
      <c r="AA198" s="11" t="s">
        <v>994</v>
      </c>
      <c r="AB198" s="11" t="s">
        <v>994</v>
      </c>
      <c r="AC198" s="11" t="s">
        <v>994</v>
      </c>
      <c r="AD198" s="11" t="s">
        <v>994</v>
      </c>
    </row>
    <row r="199">
      <c r="B199" s="12" t="s">
        <v>994</v>
      </c>
      <c r="C199" s="11" t="s">
        <v>994</v>
      </c>
      <c r="D199" s="11" t="s">
        <v>994</v>
      </c>
      <c r="E199" s="12" t="s">
        <v>994</v>
      </c>
      <c r="F199" s="12" t="s">
        <v>994</v>
      </c>
      <c r="G199" s="12" t="s">
        <v>994</v>
      </c>
      <c r="H199" s="12" t="s">
        <v>994</v>
      </c>
      <c r="I199" s="12" t="s">
        <v>994</v>
      </c>
      <c r="J199" s="12" t="s">
        <v>994</v>
      </c>
      <c r="K199" s="12" t="s">
        <v>994</v>
      </c>
      <c r="L199" s="13" t="s">
        <v>994</v>
      </c>
      <c r="M199" s="11" t="s">
        <v>994</v>
      </c>
      <c r="N199" s="11" t="s">
        <v>994</v>
      </c>
      <c r="O199" s="11" t="s">
        <v>994</v>
      </c>
      <c r="P199" s="11" t="s">
        <v>994</v>
      </c>
      <c r="Q199" s="11" t="s">
        <v>994</v>
      </c>
      <c r="R199" s="11" t="s">
        <v>994</v>
      </c>
      <c r="S199" s="11" t="s">
        <v>994</v>
      </c>
      <c r="T199" s="11" t="s">
        <v>994</v>
      </c>
      <c r="U199" s="11" t="s">
        <v>994</v>
      </c>
      <c r="V199" s="11" t="s">
        <v>994</v>
      </c>
      <c r="W199" s="11" t="s">
        <v>994</v>
      </c>
      <c r="X199" s="11" t="s">
        <v>994</v>
      </c>
      <c r="Y199" s="11" t="s">
        <v>994</v>
      </c>
      <c r="Z199" s="11" t="s">
        <v>994</v>
      </c>
      <c r="AA199" s="11" t="s">
        <v>994</v>
      </c>
      <c r="AB199" s="11" t="s">
        <v>994</v>
      </c>
      <c r="AC199" s="11" t="s">
        <v>994</v>
      </c>
      <c r="AD199" s="11" t="s">
        <v>994</v>
      </c>
    </row>
    <row r="200">
      <c r="B200" s="12" t="s">
        <v>994</v>
      </c>
      <c r="C200" s="11" t="s">
        <v>994</v>
      </c>
      <c r="D200" s="11" t="s">
        <v>994</v>
      </c>
      <c r="E200" s="12" t="s">
        <v>994</v>
      </c>
      <c r="F200" s="12" t="s">
        <v>994</v>
      </c>
      <c r="G200" s="12" t="s">
        <v>994</v>
      </c>
      <c r="H200" s="12" t="s">
        <v>994</v>
      </c>
      <c r="I200" s="12" t="s">
        <v>994</v>
      </c>
      <c r="J200" s="12" t="s">
        <v>994</v>
      </c>
      <c r="K200" s="12" t="s">
        <v>994</v>
      </c>
      <c r="L200" s="13" t="s">
        <v>994</v>
      </c>
      <c r="M200" s="11" t="s">
        <v>994</v>
      </c>
      <c r="N200" s="11" t="s">
        <v>994</v>
      </c>
      <c r="O200" s="11" t="s">
        <v>994</v>
      </c>
      <c r="P200" s="11" t="s">
        <v>994</v>
      </c>
      <c r="Q200" s="11" t="s">
        <v>994</v>
      </c>
      <c r="R200" s="11" t="s">
        <v>994</v>
      </c>
      <c r="S200" s="11" t="s">
        <v>994</v>
      </c>
      <c r="T200" s="11" t="s">
        <v>994</v>
      </c>
      <c r="U200" s="11" t="s">
        <v>994</v>
      </c>
      <c r="V200" s="11" t="s">
        <v>994</v>
      </c>
      <c r="W200" s="11" t="s">
        <v>994</v>
      </c>
      <c r="X200" s="11" t="s">
        <v>994</v>
      </c>
      <c r="Y200" s="11" t="s">
        <v>994</v>
      </c>
      <c r="Z200" s="11" t="s">
        <v>994</v>
      </c>
      <c r="AA200" s="11" t="s">
        <v>994</v>
      </c>
      <c r="AB200" s="11" t="s">
        <v>994</v>
      </c>
      <c r="AC200" s="11" t="s">
        <v>994</v>
      </c>
      <c r="AD200" s="11" t="s">
        <v>994</v>
      </c>
    </row>
    <row r="201">
      <c r="B201" s="12" t="s">
        <v>994</v>
      </c>
      <c r="C201" s="11" t="s">
        <v>994</v>
      </c>
      <c r="D201" s="11" t="s">
        <v>994</v>
      </c>
      <c r="E201" s="12" t="s">
        <v>994</v>
      </c>
      <c r="F201" s="12" t="s">
        <v>994</v>
      </c>
      <c r="G201" s="12" t="s">
        <v>994</v>
      </c>
      <c r="H201" s="12" t="s">
        <v>994</v>
      </c>
      <c r="I201" s="12" t="s">
        <v>994</v>
      </c>
      <c r="J201" s="12" t="s">
        <v>994</v>
      </c>
      <c r="K201" s="12" t="s">
        <v>994</v>
      </c>
      <c r="L201" s="13" t="s">
        <v>994</v>
      </c>
      <c r="M201" s="11" t="s">
        <v>994</v>
      </c>
      <c r="N201" s="11" t="s">
        <v>994</v>
      </c>
      <c r="O201" s="11" t="s">
        <v>994</v>
      </c>
      <c r="P201" s="11" t="s">
        <v>994</v>
      </c>
      <c r="Q201" s="11" t="s">
        <v>994</v>
      </c>
      <c r="R201" s="11" t="s">
        <v>994</v>
      </c>
      <c r="S201" s="11" t="s">
        <v>994</v>
      </c>
      <c r="T201" s="11" t="s">
        <v>994</v>
      </c>
      <c r="U201" s="11" t="s">
        <v>994</v>
      </c>
      <c r="V201" s="11" t="s">
        <v>994</v>
      </c>
      <c r="W201" s="11" t="s">
        <v>994</v>
      </c>
      <c r="X201" s="11" t="s">
        <v>994</v>
      </c>
      <c r="Y201" s="11" t="s">
        <v>994</v>
      </c>
      <c r="Z201" s="11" t="s">
        <v>994</v>
      </c>
      <c r="AA201" s="11" t="s">
        <v>994</v>
      </c>
      <c r="AB201" s="11" t="s">
        <v>994</v>
      </c>
      <c r="AC201" s="11" t="s">
        <v>994</v>
      </c>
      <c r="AD201" s="11" t="s">
        <v>994</v>
      </c>
    </row>
    <row r="202">
      <c r="B202" s="12" t="s">
        <v>994</v>
      </c>
      <c r="C202" s="11" t="s">
        <v>994</v>
      </c>
      <c r="D202" s="11" t="s">
        <v>994</v>
      </c>
      <c r="E202" s="12" t="s">
        <v>994</v>
      </c>
      <c r="F202" s="12" t="s">
        <v>994</v>
      </c>
      <c r="G202" s="12" t="s">
        <v>994</v>
      </c>
      <c r="H202" s="12" t="s">
        <v>994</v>
      </c>
      <c r="I202" s="12" t="s">
        <v>994</v>
      </c>
      <c r="J202" s="12" t="s">
        <v>994</v>
      </c>
      <c r="K202" s="12" t="s">
        <v>994</v>
      </c>
      <c r="L202" s="13" t="s">
        <v>994</v>
      </c>
      <c r="M202" s="11" t="s">
        <v>994</v>
      </c>
      <c r="N202" s="11" t="s">
        <v>994</v>
      </c>
      <c r="O202" s="11" t="s">
        <v>994</v>
      </c>
      <c r="P202" s="11" t="s">
        <v>994</v>
      </c>
      <c r="Q202" s="11" t="s">
        <v>994</v>
      </c>
      <c r="R202" s="11" t="s">
        <v>994</v>
      </c>
      <c r="S202" s="11" t="s">
        <v>994</v>
      </c>
      <c r="T202" s="11" t="s">
        <v>994</v>
      </c>
      <c r="U202" s="11" t="s">
        <v>994</v>
      </c>
      <c r="V202" s="11" t="s">
        <v>994</v>
      </c>
      <c r="W202" s="11" t="s">
        <v>994</v>
      </c>
      <c r="X202" s="11" t="s">
        <v>994</v>
      </c>
      <c r="Y202" s="11" t="s">
        <v>994</v>
      </c>
      <c r="Z202" s="11" t="s">
        <v>994</v>
      </c>
      <c r="AA202" s="11" t="s">
        <v>994</v>
      </c>
      <c r="AB202" s="11" t="s">
        <v>994</v>
      </c>
      <c r="AC202" s="11" t="s">
        <v>994</v>
      </c>
      <c r="AD202" s="11" t="s">
        <v>994</v>
      </c>
    </row>
    <row r="203">
      <c r="B203" s="12" t="s">
        <v>994</v>
      </c>
      <c r="C203" s="11" t="s">
        <v>994</v>
      </c>
      <c r="D203" s="11" t="s">
        <v>994</v>
      </c>
      <c r="E203" s="12" t="s">
        <v>994</v>
      </c>
      <c r="F203" s="12" t="s">
        <v>994</v>
      </c>
      <c r="G203" s="12" t="s">
        <v>994</v>
      </c>
      <c r="H203" s="12" t="s">
        <v>994</v>
      </c>
      <c r="I203" s="12" t="s">
        <v>994</v>
      </c>
      <c r="J203" s="12" t="s">
        <v>994</v>
      </c>
      <c r="K203" s="12" t="s">
        <v>994</v>
      </c>
      <c r="L203" s="13" t="s">
        <v>994</v>
      </c>
      <c r="M203" s="11" t="s">
        <v>994</v>
      </c>
      <c r="N203" s="11" t="s">
        <v>994</v>
      </c>
      <c r="O203" s="11" t="s">
        <v>994</v>
      </c>
      <c r="P203" s="11" t="s">
        <v>994</v>
      </c>
      <c r="Q203" s="11" t="s">
        <v>994</v>
      </c>
      <c r="R203" s="11" t="s">
        <v>994</v>
      </c>
      <c r="S203" s="11" t="s">
        <v>994</v>
      </c>
      <c r="T203" s="11" t="s">
        <v>994</v>
      </c>
      <c r="U203" s="11" t="s">
        <v>994</v>
      </c>
      <c r="V203" s="11" t="s">
        <v>994</v>
      </c>
      <c r="W203" s="11" t="s">
        <v>994</v>
      </c>
      <c r="X203" s="11" t="s">
        <v>994</v>
      </c>
      <c r="Y203" s="11" t="s">
        <v>994</v>
      </c>
      <c r="Z203" s="11" t="s">
        <v>994</v>
      </c>
      <c r="AA203" s="11" t="s">
        <v>994</v>
      </c>
      <c r="AB203" s="11" t="s">
        <v>994</v>
      </c>
      <c r="AC203" s="11" t="s">
        <v>994</v>
      </c>
      <c r="AD203" s="11" t="s">
        <v>994</v>
      </c>
    </row>
    <row r="204">
      <c r="B204" s="12" t="s">
        <v>994</v>
      </c>
      <c r="C204" s="11" t="s">
        <v>994</v>
      </c>
      <c r="D204" s="11" t="s">
        <v>994</v>
      </c>
      <c r="E204" s="12" t="s">
        <v>994</v>
      </c>
      <c r="F204" s="12" t="s">
        <v>994</v>
      </c>
      <c r="G204" s="12" t="s">
        <v>994</v>
      </c>
      <c r="H204" s="12" t="s">
        <v>994</v>
      </c>
      <c r="I204" s="12" t="s">
        <v>994</v>
      </c>
      <c r="J204" s="12" t="s">
        <v>994</v>
      </c>
      <c r="K204" s="12" t="s">
        <v>994</v>
      </c>
      <c r="L204" s="13" t="s">
        <v>994</v>
      </c>
      <c r="M204" s="11" t="s">
        <v>994</v>
      </c>
      <c r="N204" s="11" t="s">
        <v>994</v>
      </c>
      <c r="O204" s="11" t="s">
        <v>994</v>
      </c>
      <c r="P204" s="11" t="s">
        <v>994</v>
      </c>
      <c r="Q204" s="11" t="s">
        <v>994</v>
      </c>
      <c r="R204" s="11" t="s">
        <v>994</v>
      </c>
      <c r="S204" s="11" t="s">
        <v>994</v>
      </c>
      <c r="T204" s="11" t="s">
        <v>994</v>
      </c>
      <c r="U204" s="11" t="s">
        <v>994</v>
      </c>
      <c r="V204" s="11" t="s">
        <v>994</v>
      </c>
      <c r="W204" s="11" t="s">
        <v>994</v>
      </c>
      <c r="X204" s="11" t="s">
        <v>994</v>
      </c>
      <c r="Y204" s="11" t="s">
        <v>994</v>
      </c>
      <c r="Z204" s="11" t="s">
        <v>994</v>
      </c>
      <c r="AA204" s="11" t="s">
        <v>994</v>
      </c>
      <c r="AB204" s="11" t="s">
        <v>994</v>
      </c>
      <c r="AC204" s="11" t="s">
        <v>994</v>
      </c>
      <c r="AD204" s="11" t="s">
        <v>994</v>
      </c>
    </row>
    <row r="205">
      <c r="B205" s="12" t="s">
        <v>994</v>
      </c>
      <c r="C205" s="11" t="s">
        <v>994</v>
      </c>
      <c r="D205" s="11" t="s">
        <v>994</v>
      </c>
      <c r="E205" s="12" t="s">
        <v>994</v>
      </c>
      <c r="F205" s="12" t="s">
        <v>994</v>
      </c>
      <c r="G205" s="12" t="s">
        <v>994</v>
      </c>
      <c r="H205" s="12" t="s">
        <v>994</v>
      </c>
      <c r="I205" s="12" t="s">
        <v>994</v>
      </c>
      <c r="J205" s="12" t="s">
        <v>994</v>
      </c>
      <c r="K205" s="12" t="s">
        <v>994</v>
      </c>
      <c r="L205" s="13" t="s">
        <v>994</v>
      </c>
      <c r="M205" s="11" t="s">
        <v>994</v>
      </c>
      <c r="N205" s="11" t="s">
        <v>994</v>
      </c>
      <c r="O205" s="11" t="s">
        <v>994</v>
      </c>
      <c r="P205" s="11" t="s">
        <v>994</v>
      </c>
      <c r="Q205" s="11" t="s">
        <v>994</v>
      </c>
      <c r="R205" s="11" t="s">
        <v>994</v>
      </c>
      <c r="S205" s="11" t="s">
        <v>994</v>
      </c>
      <c r="T205" s="11" t="s">
        <v>994</v>
      </c>
      <c r="U205" s="11" t="s">
        <v>994</v>
      </c>
      <c r="V205" s="11" t="s">
        <v>994</v>
      </c>
      <c r="W205" s="11" t="s">
        <v>994</v>
      </c>
      <c r="X205" s="11" t="s">
        <v>994</v>
      </c>
      <c r="Y205" s="11" t="s">
        <v>994</v>
      </c>
      <c r="Z205" s="11" t="s">
        <v>994</v>
      </c>
      <c r="AA205" s="11" t="s">
        <v>994</v>
      </c>
      <c r="AB205" s="11" t="s">
        <v>994</v>
      </c>
      <c r="AC205" s="11" t="s">
        <v>994</v>
      </c>
      <c r="AD205" s="11" t="s">
        <v>994</v>
      </c>
    </row>
    <row r="206">
      <c r="B206" s="12" t="s">
        <v>994</v>
      </c>
      <c r="C206" s="11" t="s">
        <v>994</v>
      </c>
      <c r="D206" s="11" t="s">
        <v>994</v>
      </c>
      <c r="E206" s="12" t="s">
        <v>994</v>
      </c>
      <c r="F206" s="12" t="s">
        <v>994</v>
      </c>
      <c r="G206" s="12" t="s">
        <v>994</v>
      </c>
      <c r="H206" s="12" t="s">
        <v>994</v>
      </c>
      <c r="I206" s="12" t="s">
        <v>994</v>
      </c>
      <c r="J206" s="12" t="s">
        <v>994</v>
      </c>
      <c r="K206" s="12" t="s">
        <v>994</v>
      </c>
      <c r="L206" s="13" t="s">
        <v>994</v>
      </c>
      <c r="M206" s="11" t="s">
        <v>994</v>
      </c>
      <c r="N206" s="11" t="s">
        <v>994</v>
      </c>
      <c r="O206" s="11" t="s">
        <v>994</v>
      </c>
      <c r="P206" s="11" t="s">
        <v>994</v>
      </c>
      <c r="Q206" s="11" t="s">
        <v>994</v>
      </c>
      <c r="R206" s="11" t="s">
        <v>994</v>
      </c>
      <c r="S206" s="11" t="s">
        <v>994</v>
      </c>
      <c r="T206" s="11" t="s">
        <v>994</v>
      </c>
      <c r="U206" s="11" t="s">
        <v>994</v>
      </c>
      <c r="V206" s="11" t="s">
        <v>994</v>
      </c>
      <c r="W206" s="11" t="s">
        <v>994</v>
      </c>
      <c r="X206" s="11" t="s">
        <v>994</v>
      </c>
      <c r="Y206" s="11" t="s">
        <v>994</v>
      </c>
      <c r="Z206" s="11" t="s">
        <v>994</v>
      </c>
      <c r="AA206" s="11" t="s">
        <v>994</v>
      </c>
      <c r="AB206" s="11" t="s">
        <v>994</v>
      </c>
      <c r="AC206" s="11" t="s">
        <v>994</v>
      </c>
      <c r="AD206" s="11" t="s">
        <v>994</v>
      </c>
    </row>
    <row r="207">
      <c r="B207" s="12" t="s">
        <v>994</v>
      </c>
      <c r="C207" s="11" t="s">
        <v>994</v>
      </c>
      <c r="D207" s="11" t="s">
        <v>994</v>
      </c>
      <c r="E207" s="12" t="s">
        <v>994</v>
      </c>
      <c r="F207" s="12" t="s">
        <v>994</v>
      </c>
      <c r="G207" s="12" t="s">
        <v>994</v>
      </c>
      <c r="H207" s="12" t="s">
        <v>994</v>
      </c>
      <c r="I207" s="12" t="s">
        <v>994</v>
      </c>
      <c r="J207" s="12" t="s">
        <v>994</v>
      </c>
      <c r="K207" s="12" t="s">
        <v>994</v>
      </c>
      <c r="L207" s="13" t="s">
        <v>994</v>
      </c>
      <c r="M207" s="11" t="s">
        <v>994</v>
      </c>
      <c r="N207" s="11" t="s">
        <v>994</v>
      </c>
      <c r="O207" s="11" t="s">
        <v>994</v>
      </c>
      <c r="P207" s="11" t="s">
        <v>994</v>
      </c>
      <c r="Q207" s="11" t="s">
        <v>994</v>
      </c>
      <c r="R207" s="11" t="s">
        <v>994</v>
      </c>
      <c r="S207" s="11" t="s">
        <v>994</v>
      </c>
      <c r="T207" s="11" t="s">
        <v>994</v>
      </c>
      <c r="U207" s="11" t="s">
        <v>994</v>
      </c>
      <c r="V207" s="11" t="s">
        <v>994</v>
      </c>
      <c r="W207" s="11" t="s">
        <v>994</v>
      </c>
      <c r="X207" s="11" t="s">
        <v>994</v>
      </c>
      <c r="Y207" s="11" t="s">
        <v>994</v>
      </c>
      <c r="Z207" s="11" t="s">
        <v>994</v>
      </c>
      <c r="AA207" s="11" t="s">
        <v>994</v>
      </c>
      <c r="AB207" s="11" t="s">
        <v>994</v>
      </c>
      <c r="AC207" s="11" t="s">
        <v>994</v>
      </c>
      <c r="AD207" s="11" t="s">
        <v>994</v>
      </c>
    </row>
    <row r="208">
      <c r="B208" s="12" t="s">
        <v>994</v>
      </c>
      <c r="C208" s="11" t="s">
        <v>994</v>
      </c>
      <c r="D208" s="11" t="s">
        <v>994</v>
      </c>
      <c r="E208" s="12" t="s">
        <v>994</v>
      </c>
      <c r="F208" s="12" t="s">
        <v>994</v>
      </c>
      <c r="G208" s="12" t="s">
        <v>994</v>
      </c>
      <c r="H208" s="12" t="s">
        <v>994</v>
      </c>
      <c r="I208" s="12" t="s">
        <v>994</v>
      </c>
      <c r="J208" s="12" t="s">
        <v>994</v>
      </c>
      <c r="K208" s="12" t="s">
        <v>994</v>
      </c>
      <c r="L208" s="13" t="s">
        <v>994</v>
      </c>
      <c r="M208" s="11" t="s">
        <v>994</v>
      </c>
      <c r="N208" s="11" t="s">
        <v>994</v>
      </c>
      <c r="O208" s="11" t="s">
        <v>994</v>
      </c>
      <c r="P208" s="11" t="s">
        <v>994</v>
      </c>
      <c r="Q208" s="11" t="s">
        <v>994</v>
      </c>
      <c r="R208" s="11" t="s">
        <v>994</v>
      </c>
      <c r="S208" s="11" t="s">
        <v>994</v>
      </c>
      <c r="T208" s="11" t="s">
        <v>994</v>
      </c>
      <c r="U208" s="11" t="s">
        <v>994</v>
      </c>
      <c r="V208" s="11" t="s">
        <v>994</v>
      </c>
      <c r="W208" s="11" t="s">
        <v>994</v>
      </c>
      <c r="X208" s="11" t="s">
        <v>994</v>
      </c>
      <c r="Y208" s="11" t="s">
        <v>994</v>
      </c>
      <c r="Z208" s="11" t="s">
        <v>994</v>
      </c>
      <c r="AA208" s="11" t="s">
        <v>994</v>
      </c>
      <c r="AB208" s="11" t="s">
        <v>994</v>
      </c>
      <c r="AC208" s="11" t="s">
        <v>994</v>
      </c>
      <c r="AD208" s="11" t="s">
        <v>994</v>
      </c>
    </row>
    <row r="209">
      <c r="B209" s="12" t="s">
        <v>994</v>
      </c>
      <c r="C209" s="11" t="s">
        <v>994</v>
      </c>
      <c r="D209" s="11" t="s">
        <v>994</v>
      </c>
      <c r="E209" s="12" t="s">
        <v>994</v>
      </c>
      <c r="F209" s="12" t="s">
        <v>994</v>
      </c>
      <c r="G209" s="12" t="s">
        <v>994</v>
      </c>
      <c r="H209" s="12" t="s">
        <v>994</v>
      </c>
      <c r="I209" s="12" t="s">
        <v>994</v>
      </c>
      <c r="J209" s="12" t="s">
        <v>994</v>
      </c>
      <c r="K209" s="12" t="s">
        <v>994</v>
      </c>
      <c r="L209" s="13" t="s">
        <v>994</v>
      </c>
      <c r="M209" s="11" t="s">
        <v>994</v>
      </c>
      <c r="N209" s="11" t="s">
        <v>994</v>
      </c>
      <c r="O209" s="11" t="s">
        <v>994</v>
      </c>
      <c r="P209" s="11" t="s">
        <v>994</v>
      </c>
      <c r="Q209" s="11" t="s">
        <v>994</v>
      </c>
      <c r="R209" s="11" t="s">
        <v>994</v>
      </c>
      <c r="S209" s="11" t="s">
        <v>994</v>
      </c>
      <c r="T209" s="11" t="s">
        <v>994</v>
      </c>
      <c r="U209" s="11" t="s">
        <v>994</v>
      </c>
      <c r="V209" s="11" t="s">
        <v>994</v>
      </c>
      <c r="W209" s="11" t="s">
        <v>994</v>
      </c>
      <c r="X209" s="11" t="s">
        <v>994</v>
      </c>
      <c r="Y209" s="11" t="s">
        <v>994</v>
      </c>
      <c r="Z209" s="11" t="s">
        <v>994</v>
      </c>
      <c r="AA209" s="11" t="s">
        <v>994</v>
      </c>
      <c r="AB209" s="11" t="s">
        <v>994</v>
      </c>
      <c r="AC209" s="11" t="s">
        <v>994</v>
      </c>
      <c r="AD209" s="11" t="s">
        <v>994</v>
      </c>
    </row>
    <row r="210">
      <c r="B210" s="12" t="s">
        <v>994</v>
      </c>
      <c r="C210" s="11" t="s">
        <v>994</v>
      </c>
      <c r="D210" s="11" t="s">
        <v>994</v>
      </c>
      <c r="E210" s="12" t="s">
        <v>994</v>
      </c>
      <c r="F210" s="12" t="s">
        <v>994</v>
      </c>
      <c r="G210" s="12" t="s">
        <v>994</v>
      </c>
      <c r="H210" s="12" t="s">
        <v>994</v>
      </c>
      <c r="I210" s="12" t="s">
        <v>994</v>
      </c>
      <c r="J210" s="12" t="s">
        <v>994</v>
      </c>
      <c r="K210" s="12" t="s">
        <v>994</v>
      </c>
      <c r="L210" s="13" t="s">
        <v>994</v>
      </c>
      <c r="M210" s="11" t="s">
        <v>994</v>
      </c>
      <c r="N210" s="11" t="s">
        <v>994</v>
      </c>
      <c r="O210" s="11" t="s">
        <v>994</v>
      </c>
      <c r="P210" s="11" t="s">
        <v>994</v>
      </c>
      <c r="Q210" s="11" t="s">
        <v>994</v>
      </c>
      <c r="R210" s="11" t="s">
        <v>994</v>
      </c>
      <c r="S210" s="11" t="s">
        <v>994</v>
      </c>
      <c r="T210" s="11" t="s">
        <v>994</v>
      </c>
      <c r="U210" s="11" t="s">
        <v>994</v>
      </c>
      <c r="V210" s="11" t="s">
        <v>994</v>
      </c>
      <c r="W210" s="11" t="s">
        <v>994</v>
      </c>
      <c r="X210" s="11" t="s">
        <v>994</v>
      </c>
      <c r="Y210" s="11" t="s">
        <v>994</v>
      </c>
      <c r="Z210" s="11" t="s">
        <v>994</v>
      </c>
      <c r="AA210" s="11" t="s">
        <v>994</v>
      </c>
      <c r="AB210" s="11" t="s">
        <v>994</v>
      </c>
      <c r="AC210" s="11" t="s">
        <v>994</v>
      </c>
      <c r="AD210" s="11" t="s">
        <v>994</v>
      </c>
    </row>
    <row r="211">
      <c r="B211" s="12" t="s">
        <v>994</v>
      </c>
      <c r="C211" s="11" t="s">
        <v>994</v>
      </c>
      <c r="D211" s="11" t="s">
        <v>994</v>
      </c>
      <c r="E211" s="12" t="s">
        <v>994</v>
      </c>
      <c r="F211" s="12" t="s">
        <v>994</v>
      </c>
      <c r="G211" s="12" t="s">
        <v>994</v>
      </c>
      <c r="H211" s="12" t="s">
        <v>994</v>
      </c>
      <c r="I211" s="12" t="s">
        <v>994</v>
      </c>
      <c r="J211" s="12" t="s">
        <v>994</v>
      </c>
      <c r="K211" s="12" t="s">
        <v>994</v>
      </c>
      <c r="L211" s="13" t="s">
        <v>994</v>
      </c>
      <c r="M211" s="11" t="s">
        <v>994</v>
      </c>
      <c r="N211" s="11" t="s">
        <v>994</v>
      </c>
      <c r="O211" s="11" t="s">
        <v>994</v>
      </c>
      <c r="P211" s="11" t="s">
        <v>994</v>
      </c>
      <c r="Q211" s="11" t="s">
        <v>994</v>
      </c>
      <c r="R211" s="11" t="s">
        <v>994</v>
      </c>
      <c r="S211" s="11" t="s">
        <v>994</v>
      </c>
      <c r="T211" s="11" t="s">
        <v>994</v>
      </c>
      <c r="U211" s="11" t="s">
        <v>994</v>
      </c>
      <c r="V211" s="11" t="s">
        <v>994</v>
      </c>
      <c r="W211" s="11" t="s">
        <v>994</v>
      </c>
      <c r="X211" s="11" t="s">
        <v>994</v>
      </c>
      <c r="Y211" s="11" t="s">
        <v>994</v>
      </c>
      <c r="Z211" s="11" t="s">
        <v>994</v>
      </c>
      <c r="AA211" s="11" t="s">
        <v>994</v>
      </c>
      <c r="AB211" s="11" t="s">
        <v>994</v>
      </c>
      <c r="AC211" s="11" t="s">
        <v>994</v>
      </c>
      <c r="AD211" s="11" t="s">
        <v>994</v>
      </c>
    </row>
    <row r="212">
      <c r="B212" s="12" t="s">
        <v>994</v>
      </c>
      <c r="C212" s="11" t="s">
        <v>994</v>
      </c>
      <c r="D212" s="11" t="s">
        <v>994</v>
      </c>
      <c r="E212" s="12" t="s">
        <v>994</v>
      </c>
      <c r="F212" s="12" t="s">
        <v>994</v>
      </c>
      <c r="G212" s="12" t="s">
        <v>994</v>
      </c>
      <c r="H212" s="12" t="s">
        <v>994</v>
      </c>
      <c r="I212" s="12" t="s">
        <v>994</v>
      </c>
      <c r="J212" s="12" t="s">
        <v>994</v>
      </c>
      <c r="K212" s="12" t="s">
        <v>994</v>
      </c>
      <c r="L212" s="13" t="s">
        <v>994</v>
      </c>
      <c r="M212" s="11" t="s">
        <v>994</v>
      </c>
      <c r="N212" s="11" t="s">
        <v>994</v>
      </c>
      <c r="O212" s="11" t="s">
        <v>994</v>
      </c>
      <c r="P212" s="11" t="s">
        <v>994</v>
      </c>
      <c r="Q212" s="11" t="s">
        <v>994</v>
      </c>
      <c r="R212" s="11" t="s">
        <v>994</v>
      </c>
      <c r="S212" s="11" t="s">
        <v>994</v>
      </c>
      <c r="T212" s="11" t="s">
        <v>994</v>
      </c>
      <c r="U212" s="11" t="s">
        <v>994</v>
      </c>
      <c r="V212" s="11" t="s">
        <v>994</v>
      </c>
      <c r="W212" s="11" t="s">
        <v>994</v>
      </c>
      <c r="X212" s="11" t="s">
        <v>994</v>
      </c>
      <c r="Y212" s="11" t="s">
        <v>994</v>
      </c>
      <c r="Z212" s="11" t="s">
        <v>994</v>
      </c>
      <c r="AA212" s="11" t="s">
        <v>994</v>
      </c>
      <c r="AB212" s="11" t="s">
        <v>994</v>
      </c>
      <c r="AC212" s="11" t="s">
        <v>994</v>
      </c>
      <c r="AD212" s="11" t="s">
        <v>994</v>
      </c>
    </row>
    <row r="213">
      <c r="B213" s="12" t="s">
        <v>994</v>
      </c>
      <c r="C213" s="11" t="s">
        <v>994</v>
      </c>
      <c r="D213" s="11" t="s">
        <v>994</v>
      </c>
      <c r="E213" s="12" t="s">
        <v>994</v>
      </c>
      <c r="F213" s="12" t="s">
        <v>994</v>
      </c>
      <c r="G213" s="12" t="s">
        <v>994</v>
      </c>
      <c r="H213" s="12" t="s">
        <v>994</v>
      </c>
      <c r="I213" s="12" t="s">
        <v>994</v>
      </c>
      <c r="J213" s="12" t="s">
        <v>994</v>
      </c>
      <c r="K213" s="12" t="s">
        <v>994</v>
      </c>
      <c r="L213" s="13" t="s">
        <v>994</v>
      </c>
      <c r="M213" s="11" t="s">
        <v>994</v>
      </c>
      <c r="N213" s="11" t="s">
        <v>994</v>
      </c>
      <c r="O213" s="11" t="s">
        <v>994</v>
      </c>
      <c r="P213" s="11" t="s">
        <v>994</v>
      </c>
      <c r="Q213" s="11" t="s">
        <v>994</v>
      </c>
      <c r="R213" s="11" t="s">
        <v>994</v>
      </c>
      <c r="S213" s="11" t="s">
        <v>994</v>
      </c>
      <c r="T213" s="11" t="s">
        <v>994</v>
      </c>
      <c r="U213" s="11" t="s">
        <v>994</v>
      </c>
      <c r="V213" s="11" t="s">
        <v>994</v>
      </c>
      <c r="W213" s="11" t="s">
        <v>994</v>
      </c>
      <c r="X213" s="11" t="s">
        <v>994</v>
      </c>
      <c r="Y213" s="11" t="s">
        <v>994</v>
      </c>
      <c r="Z213" s="11" t="s">
        <v>994</v>
      </c>
      <c r="AA213" s="11" t="s">
        <v>994</v>
      </c>
      <c r="AB213" s="11" t="s">
        <v>994</v>
      </c>
      <c r="AC213" s="11" t="s">
        <v>994</v>
      </c>
      <c r="AD213" s="11" t="s">
        <v>994</v>
      </c>
    </row>
    <row r="214">
      <c r="B214" s="12" t="s">
        <v>994</v>
      </c>
      <c r="C214" s="11" t="s">
        <v>994</v>
      </c>
      <c r="D214" s="11" t="s">
        <v>994</v>
      </c>
      <c r="E214" s="12" t="s">
        <v>994</v>
      </c>
      <c r="F214" s="12" t="s">
        <v>994</v>
      </c>
      <c r="G214" s="12" t="s">
        <v>994</v>
      </c>
      <c r="H214" s="12" t="s">
        <v>994</v>
      </c>
      <c r="I214" s="12" t="s">
        <v>994</v>
      </c>
      <c r="J214" s="12" t="s">
        <v>994</v>
      </c>
      <c r="K214" s="12" t="s">
        <v>994</v>
      </c>
      <c r="L214" s="13" t="s">
        <v>994</v>
      </c>
      <c r="M214" s="11" t="s">
        <v>994</v>
      </c>
      <c r="N214" s="11" t="s">
        <v>994</v>
      </c>
      <c r="O214" s="11" t="s">
        <v>994</v>
      </c>
      <c r="P214" s="11" t="s">
        <v>994</v>
      </c>
      <c r="Q214" s="11" t="s">
        <v>994</v>
      </c>
      <c r="R214" s="11" t="s">
        <v>994</v>
      </c>
      <c r="S214" s="11" t="s">
        <v>994</v>
      </c>
      <c r="T214" s="11" t="s">
        <v>994</v>
      </c>
      <c r="U214" s="11" t="s">
        <v>994</v>
      </c>
      <c r="V214" s="11" t="s">
        <v>994</v>
      </c>
      <c r="W214" s="11" t="s">
        <v>994</v>
      </c>
      <c r="X214" s="11" t="s">
        <v>994</v>
      </c>
      <c r="Y214" s="11" t="s">
        <v>994</v>
      </c>
      <c r="Z214" s="11" t="s">
        <v>994</v>
      </c>
      <c r="AA214" s="11" t="s">
        <v>994</v>
      </c>
      <c r="AB214" s="11" t="s">
        <v>994</v>
      </c>
      <c r="AC214" s="11" t="s">
        <v>994</v>
      </c>
      <c r="AD214" s="11" t="s">
        <v>994</v>
      </c>
    </row>
    <row r="215">
      <c r="B215" s="12" t="s">
        <v>994</v>
      </c>
      <c r="C215" s="11" t="s">
        <v>994</v>
      </c>
      <c r="D215" s="11" t="s">
        <v>994</v>
      </c>
      <c r="E215" s="12" t="s">
        <v>994</v>
      </c>
      <c r="F215" s="12" t="s">
        <v>994</v>
      </c>
      <c r="G215" s="12" t="s">
        <v>994</v>
      </c>
      <c r="H215" s="12" t="s">
        <v>994</v>
      </c>
      <c r="I215" s="12" t="s">
        <v>994</v>
      </c>
      <c r="J215" s="12" t="s">
        <v>994</v>
      </c>
      <c r="K215" s="12" t="s">
        <v>994</v>
      </c>
      <c r="L215" s="13" t="s">
        <v>994</v>
      </c>
      <c r="M215" s="11" t="s">
        <v>994</v>
      </c>
      <c r="N215" s="11" t="s">
        <v>994</v>
      </c>
      <c r="O215" s="11" t="s">
        <v>994</v>
      </c>
      <c r="P215" s="11" t="s">
        <v>994</v>
      </c>
      <c r="Q215" s="11" t="s">
        <v>994</v>
      </c>
      <c r="R215" s="11" t="s">
        <v>994</v>
      </c>
      <c r="S215" s="11" t="s">
        <v>994</v>
      </c>
      <c r="T215" s="11" t="s">
        <v>994</v>
      </c>
      <c r="U215" s="11" t="s">
        <v>994</v>
      </c>
      <c r="V215" s="11" t="s">
        <v>994</v>
      </c>
      <c r="W215" s="11" t="s">
        <v>994</v>
      </c>
      <c r="X215" s="11" t="s">
        <v>994</v>
      </c>
      <c r="Y215" s="11" t="s">
        <v>994</v>
      </c>
      <c r="Z215" s="11" t="s">
        <v>994</v>
      </c>
      <c r="AA215" s="11" t="s">
        <v>994</v>
      </c>
      <c r="AB215" s="11" t="s">
        <v>994</v>
      </c>
      <c r="AC215" s="11" t="s">
        <v>994</v>
      </c>
      <c r="AD215" s="11" t="s">
        <v>994</v>
      </c>
    </row>
    <row r="216">
      <c r="B216" s="12" t="s">
        <v>994</v>
      </c>
      <c r="C216" s="11" t="s">
        <v>994</v>
      </c>
      <c r="D216" s="11" t="s">
        <v>994</v>
      </c>
      <c r="E216" s="12" t="s">
        <v>994</v>
      </c>
      <c r="F216" s="12" t="s">
        <v>994</v>
      </c>
      <c r="G216" s="12" t="s">
        <v>994</v>
      </c>
      <c r="H216" s="12" t="s">
        <v>994</v>
      </c>
      <c r="I216" s="12" t="s">
        <v>994</v>
      </c>
      <c r="J216" s="12" t="s">
        <v>994</v>
      </c>
      <c r="K216" s="12" t="s">
        <v>994</v>
      </c>
      <c r="L216" s="13" t="s">
        <v>994</v>
      </c>
      <c r="M216" s="11" t="s">
        <v>994</v>
      </c>
      <c r="N216" s="11" t="s">
        <v>994</v>
      </c>
      <c r="O216" s="11" t="s">
        <v>994</v>
      </c>
      <c r="P216" s="11" t="s">
        <v>994</v>
      </c>
      <c r="Q216" s="11" t="s">
        <v>994</v>
      </c>
      <c r="R216" s="11" t="s">
        <v>994</v>
      </c>
      <c r="S216" s="11" t="s">
        <v>994</v>
      </c>
      <c r="T216" s="11" t="s">
        <v>994</v>
      </c>
      <c r="U216" s="11" t="s">
        <v>994</v>
      </c>
      <c r="V216" s="11" t="s">
        <v>994</v>
      </c>
      <c r="W216" s="11" t="s">
        <v>994</v>
      </c>
      <c r="X216" s="11" t="s">
        <v>994</v>
      </c>
      <c r="Y216" s="11" t="s">
        <v>994</v>
      </c>
      <c r="Z216" s="11" t="s">
        <v>994</v>
      </c>
      <c r="AA216" s="11" t="s">
        <v>994</v>
      </c>
      <c r="AB216" s="11" t="s">
        <v>994</v>
      </c>
      <c r="AC216" s="11" t="s">
        <v>994</v>
      </c>
      <c r="AD216" s="11" t="s">
        <v>994</v>
      </c>
    </row>
    <row r="217">
      <c r="B217" s="12" t="s">
        <v>994</v>
      </c>
      <c r="C217" s="11" t="s">
        <v>994</v>
      </c>
      <c r="D217" s="11" t="s">
        <v>994</v>
      </c>
      <c r="E217" s="12" t="s">
        <v>994</v>
      </c>
      <c r="F217" s="12" t="s">
        <v>994</v>
      </c>
      <c r="G217" s="12" t="s">
        <v>994</v>
      </c>
      <c r="H217" s="12" t="s">
        <v>994</v>
      </c>
      <c r="I217" s="12" t="s">
        <v>994</v>
      </c>
      <c r="J217" s="12" t="s">
        <v>994</v>
      </c>
      <c r="K217" s="12" t="s">
        <v>994</v>
      </c>
      <c r="L217" s="13" t="s">
        <v>994</v>
      </c>
      <c r="M217" s="11" t="s">
        <v>994</v>
      </c>
      <c r="N217" s="11" t="s">
        <v>994</v>
      </c>
      <c r="O217" s="11" t="s">
        <v>994</v>
      </c>
      <c r="P217" s="11" t="s">
        <v>994</v>
      </c>
      <c r="Q217" s="11" t="s">
        <v>994</v>
      </c>
      <c r="R217" s="11" t="s">
        <v>994</v>
      </c>
      <c r="S217" s="11" t="s">
        <v>994</v>
      </c>
      <c r="T217" s="11" t="s">
        <v>994</v>
      </c>
      <c r="U217" s="11" t="s">
        <v>994</v>
      </c>
      <c r="V217" s="11" t="s">
        <v>994</v>
      </c>
      <c r="W217" s="11" t="s">
        <v>994</v>
      </c>
      <c r="X217" s="11" t="s">
        <v>994</v>
      </c>
      <c r="Y217" s="11" t="s">
        <v>994</v>
      </c>
      <c r="Z217" s="11" t="s">
        <v>994</v>
      </c>
      <c r="AA217" s="11" t="s">
        <v>994</v>
      </c>
      <c r="AB217" s="11" t="s">
        <v>994</v>
      </c>
      <c r="AC217" s="11" t="s">
        <v>994</v>
      </c>
      <c r="AD217" s="11" t="s">
        <v>994</v>
      </c>
    </row>
    <row r="218">
      <c r="B218" s="12" t="s">
        <v>994</v>
      </c>
      <c r="C218" s="11" t="s">
        <v>994</v>
      </c>
      <c r="D218" s="11" t="s">
        <v>994</v>
      </c>
      <c r="E218" s="12" t="s">
        <v>994</v>
      </c>
      <c r="F218" s="12" t="s">
        <v>994</v>
      </c>
      <c r="G218" s="12" t="s">
        <v>994</v>
      </c>
      <c r="H218" s="12" t="s">
        <v>994</v>
      </c>
      <c r="I218" s="12" t="s">
        <v>994</v>
      </c>
      <c r="J218" s="12" t="s">
        <v>994</v>
      </c>
      <c r="K218" s="12" t="s">
        <v>994</v>
      </c>
      <c r="L218" s="13" t="s">
        <v>994</v>
      </c>
      <c r="M218" s="11" t="s">
        <v>994</v>
      </c>
      <c r="N218" s="11" t="s">
        <v>994</v>
      </c>
      <c r="O218" s="11" t="s">
        <v>994</v>
      </c>
      <c r="P218" s="11" t="s">
        <v>994</v>
      </c>
      <c r="Q218" s="11" t="s">
        <v>994</v>
      </c>
      <c r="R218" s="11" t="s">
        <v>994</v>
      </c>
      <c r="S218" s="11" t="s">
        <v>994</v>
      </c>
      <c r="T218" s="11" t="s">
        <v>994</v>
      </c>
      <c r="U218" s="11" t="s">
        <v>994</v>
      </c>
      <c r="V218" s="11" t="s">
        <v>994</v>
      </c>
      <c r="W218" s="11" t="s">
        <v>994</v>
      </c>
      <c r="X218" s="11" t="s">
        <v>994</v>
      </c>
      <c r="Y218" s="11" t="s">
        <v>994</v>
      </c>
      <c r="Z218" s="11" t="s">
        <v>994</v>
      </c>
      <c r="AA218" s="11" t="s">
        <v>994</v>
      </c>
      <c r="AB218" s="11" t="s">
        <v>994</v>
      </c>
      <c r="AC218" s="11" t="s">
        <v>994</v>
      </c>
      <c r="AD218" s="11" t="s">
        <v>994</v>
      </c>
    </row>
    <row r="219">
      <c r="B219" s="12" t="s">
        <v>994</v>
      </c>
      <c r="C219" s="11" t="s">
        <v>994</v>
      </c>
      <c r="D219" s="11" t="s">
        <v>994</v>
      </c>
      <c r="E219" s="12" t="s">
        <v>994</v>
      </c>
      <c r="F219" s="12" t="s">
        <v>994</v>
      </c>
      <c r="G219" s="12" t="s">
        <v>994</v>
      </c>
      <c r="H219" s="12" t="s">
        <v>994</v>
      </c>
      <c r="I219" s="12" t="s">
        <v>994</v>
      </c>
      <c r="J219" s="12" t="s">
        <v>994</v>
      </c>
      <c r="K219" s="12" t="s">
        <v>994</v>
      </c>
      <c r="L219" s="13" t="s">
        <v>994</v>
      </c>
      <c r="M219" s="11" t="s">
        <v>994</v>
      </c>
      <c r="N219" s="11" t="s">
        <v>994</v>
      </c>
      <c r="O219" s="11" t="s">
        <v>994</v>
      </c>
      <c r="P219" s="11" t="s">
        <v>994</v>
      </c>
      <c r="Q219" s="11" t="s">
        <v>994</v>
      </c>
      <c r="R219" s="11" t="s">
        <v>994</v>
      </c>
      <c r="S219" s="11" t="s">
        <v>994</v>
      </c>
      <c r="T219" s="11" t="s">
        <v>994</v>
      </c>
      <c r="U219" s="11" t="s">
        <v>994</v>
      </c>
      <c r="V219" s="11" t="s">
        <v>994</v>
      </c>
      <c r="W219" s="11" t="s">
        <v>994</v>
      </c>
      <c r="X219" s="11" t="s">
        <v>994</v>
      </c>
      <c r="Y219" s="11" t="s">
        <v>994</v>
      </c>
      <c r="Z219" s="11" t="s">
        <v>994</v>
      </c>
      <c r="AA219" s="11" t="s">
        <v>994</v>
      </c>
      <c r="AB219" s="11" t="s">
        <v>994</v>
      </c>
      <c r="AC219" s="11" t="s">
        <v>994</v>
      </c>
      <c r="AD219" s="11" t="s">
        <v>994</v>
      </c>
    </row>
    <row r="220">
      <c r="B220" s="12" t="s">
        <v>994</v>
      </c>
      <c r="C220" s="11" t="s">
        <v>994</v>
      </c>
      <c r="D220" s="11" t="s">
        <v>994</v>
      </c>
      <c r="E220" s="12" t="s">
        <v>994</v>
      </c>
      <c r="F220" s="12" t="s">
        <v>994</v>
      </c>
      <c r="G220" s="12" t="s">
        <v>994</v>
      </c>
      <c r="H220" s="12" t="s">
        <v>994</v>
      </c>
      <c r="I220" s="12" t="s">
        <v>994</v>
      </c>
      <c r="J220" s="12" t="s">
        <v>994</v>
      </c>
      <c r="K220" s="12" t="s">
        <v>994</v>
      </c>
      <c r="L220" s="13" t="s">
        <v>994</v>
      </c>
      <c r="M220" s="11" t="s">
        <v>994</v>
      </c>
      <c r="N220" s="11" t="s">
        <v>994</v>
      </c>
      <c r="O220" s="11" t="s">
        <v>994</v>
      </c>
      <c r="P220" s="11" t="s">
        <v>994</v>
      </c>
      <c r="Q220" s="11" t="s">
        <v>994</v>
      </c>
      <c r="R220" s="11" t="s">
        <v>994</v>
      </c>
      <c r="S220" s="11" t="s">
        <v>994</v>
      </c>
      <c r="T220" s="11" t="s">
        <v>994</v>
      </c>
      <c r="U220" s="11" t="s">
        <v>994</v>
      </c>
      <c r="V220" s="11" t="s">
        <v>994</v>
      </c>
      <c r="W220" s="11" t="s">
        <v>994</v>
      </c>
      <c r="X220" s="11" t="s">
        <v>994</v>
      </c>
      <c r="Y220" s="11" t="s">
        <v>994</v>
      </c>
      <c r="Z220" s="11" t="s">
        <v>994</v>
      </c>
      <c r="AA220" s="11" t="s">
        <v>994</v>
      </c>
      <c r="AB220" s="11" t="s">
        <v>994</v>
      </c>
      <c r="AC220" s="11" t="s">
        <v>994</v>
      </c>
      <c r="AD220" s="11" t="s">
        <v>994</v>
      </c>
    </row>
    <row r="221">
      <c r="B221" s="12" t="s">
        <v>994</v>
      </c>
      <c r="C221" s="11" t="s">
        <v>994</v>
      </c>
      <c r="D221" s="11" t="s">
        <v>994</v>
      </c>
      <c r="E221" s="12" t="s">
        <v>994</v>
      </c>
      <c r="F221" s="12" t="s">
        <v>994</v>
      </c>
      <c r="G221" s="12" t="s">
        <v>994</v>
      </c>
      <c r="H221" s="12" t="s">
        <v>994</v>
      </c>
      <c r="I221" s="12" t="s">
        <v>994</v>
      </c>
      <c r="J221" s="12" t="s">
        <v>994</v>
      </c>
      <c r="K221" s="12" t="s">
        <v>994</v>
      </c>
      <c r="L221" s="13" t="s">
        <v>994</v>
      </c>
      <c r="M221" s="11" t="s">
        <v>994</v>
      </c>
      <c r="N221" s="11" t="s">
        <v>994</v>
      </c>
      <c r="O221" s="11" t="s">
        <v>994</v>
      </c>
      <c r="P221" s="11" t="s">
        <v>994</v>
      </c>
      <c r="Q221" s="11" t="s">
        <v>994</v>
      </c>
      <c r="R221" s="11" t="s">
        <v>994</v>
      </c>
      <c r="S221" s="11" t="s">
        <v>994</v>
      </c>
      <c r="T221" s="11" t="s">
        <v>994</v>
      </c>
      <c r="U221" s="11" t="s">
        <v>994</v>
      </c>
      <c r="V221" s="11" t="s">
        <v>994</v>
      </c>
      <c r="W221" s="11" t="s">
        <v>994</v>
      </c>
      <c r="X221" s="11" t="s">
        <v>994</v>
      </c>
      <c r="Y221" s="11" t="s">
        <v>994</v>
      </c>
      <c r="Z221" s="11" t="s">
        <v>994</v>
      </c>
      <c r="AA221" s="11" t="s">
        <v>994</v>
      </c>
      <c r="AB221" s="11" t="s">
        <v>994</v>
      </c>
      <c r="AC221" s="11" t="s">
        <v>994</v>
      </c>
      <c r="AD221" s="11" t="s">
        <v>994</v>
      </c>
    </row>
    <row r="222">
      <c r="B222" s="12" t="s">
        <v>994</v>
      </c>
      <c r="C222" s="11" t="s">
        <v>994</v>
      </c>
      <c r="D222" s="11" t="s">
        <v>994</v>
      </c>
      <c r="E222" s="12" t="s">
        <v>994</v>
      </c>
      <c r="F222" s="12" t="s">
        <v>994</v>
      </c>
      <c r="G222" s="12" t="s">
        <v>994</v>
      </c>
      <c r="H222" s="12" t="s">
        <v>994</v>
      </c>
      <c r="I222" s="12" t="s">
        <v>994</v>
      </c>
      <c r="J222" s="12" t="s">
        <v>994</v>
      </c>
      <c r="K222" s="12" t="s">
        <v>994</v>
      </c>
      <c r="L222" s="13" t="s">
        <v>994</v>
      </c>
      <c r="M222" s="11" t="s">
        <v>994</v>
      </c>
      <c r="N222" s="11" t="s">
        <v>994</v>
      </c>
      <c r="O222" s="11" t="s">
        <v>994</v>
      </c>
      <c r="P222" s="11" t="s">
        <v>994</v>
      </c>
      <c r="Q222" s="11" t="s">
        <v>994</v>
      </c>
      <c r="R222" s="11" t="s">
        <v>994</v>
      </c>
      <c r="S222" s="11" t="s">
        <v>994</v>
      </c>
      <c r="T222" s="11" t="s">
        <v>994</v>
      </c>
      <c r="U222" s="11" t="s">
        <v>994</v>
      </c>
      <c r="V222" s="11" t="s">
        <v>994</v>
      </c>
      <c r="W222" s="11" t="s">
        <v>994</v>
      </c>
      <c r="X222" s="11" t="s">
        <v>994</v>
      </c>
      <c r="Y222" s="11" t="s">
        <v>994</v>
      </c>
      <c r="Z222" s="11" t="s">
        <v>994</v>
      </c>
      <c r="AA222" s="11" t="s">
        <v>994</v>
      </c>
      <c r="AB222" s="11" t="s">
        <v>994</v>
      </c>
      <c r="AC222" s="11" t="s">
        <v>994</v>
      </c>
      <c r="AD222" s="11" t="s">
        <v>994</v>
      </c>
    </row>
    <row r="223">
      <c r="B223" s="12" t="s">
        <v>994</v>
      </c>
      <c r="C223" s="11" t="s">
        <v>994</v>
      </c>
      <c r="D223" s="11" t="s">
        <v>994</v>
      </c>
      <c r="E223" s="12" t="s">
        <v>994</v>
      </c>
      <c r="F223" s="12" t="s">
        <v>994</v>
      </c>
      <c r="G223" s="12" t="s">
        <v>994</v>
      </c>
      <c r="H223" s="12" t="s">
        <v>994</v>
      </c>
      <c r="I223" s="12" t="s">
        <v>994</v>
      </c>
      <c r="J223" s="12" t="s">
        <v>994</v>
      </c>
      <c r="K223" s="12" t="s">
        <v>994</v>
      </c>
      <c r="L223" s="13" t="s">
        <v>994</v>
      </c>
      <c r="M223" s="11" t="s">
        <v>994</v>
      </c>
      <c r="N223" s="11" t="s">
        <v>994</v>
      </c>
      <c r="O223" s="11" t="s">
        <v>994</v>
      </c>
      <c r="P223" s="11" t="s">
        <v>994</v>
      </c>
      <c r="Q223" s="11" t="s">
        <v>994</v>
      </c>
      <c r="R223" s="11" t="s">
        <v>994</v>
      </c>
      <c r="S223" s="11" t="s">
        <v>994</v>
      </c>
      <c r="T223" s="11" t="s">
        <v>994</v>
      </c>
      <c r="U223" s="11" t="s">
        <v>994</v>
      </c>
      <c r="V223" s="11" t="s">
        <v>994</v>
      </c>
      <c r="W223" s="11" t="s">
        <v>994</v>
      </c>
      <c r="X223" s="11" t="s">
        <v>994</v>
      </c>
      <c r="Y223" s="11" t="s">
        <v>994</v>
      </c>
      <c r="Z223" s="11" t="s">
        <v>994</v>
      </c>
      <c r="AA223" s="11" t="s">
        <v>994</v>
      </c>
      <c r="AB223" s="11" t="s">
        <v>994</v>
      </c>
      <c r="AC223" s="11" t="s">
        <v>994</v>
      </c>
      <c r="AD223" s="11" t="s">
        <v>994</v>
      </c>
    </row>
    <row r="224">
      <c r="B224" s="12" t="s">
        <v>994</v>
      </c>
      <c r="C224" s="11" t="s">
        <v>994</v>
      </c>
      <c r="D224" s="11" t="s">
        <v>994</v>
      </c>
      <c r="E224" s="12" t="s">
        <v>994</v>
      </c>
      <c r="F224" s="12" t="s">
        <v>994</v>
      </c>
      <c r="G224" s="12" t="s">
        <v>994</v>
      </c>
      <c r="H224" s="12" t="s">
        <v>994</v>
      </c>
      <c r="I224" s="12" t="s">
        <v>994</v>
      </c>
      <c r="J224" s="12" t="s">
        <v>994</v>
      </c>
      <c r="K224" s="12" t="s">
        <v>994</v>
      </c>
      <c r="L224" s="13" t="s">
        <v>994</v>
      </c>
      <c r="M224" s="11" t="s">
        <v>994</v>
      </c>
      <c r="N224" s="11" t="s">
        <v>994</v>
      </c>
      <c r="O224" s="11" t="s">
        <v>994</v>
      </c>
      <c r="P224" s="11" t="s">
        <v>994</v>
      </c>
      <c r="Q224" s="11" t="s">
        <v>994</v>
      </c>
      <c r="R224" s="11" t="s">
        <v>994</v>
      </c>
      <c r="S224" s="11" t="s">
        <v>994</v>
      </c>
      <c r="T224" s="11" t="s">
        <v>994</v>
      </c>
      <c r="U224" s="11" t="s">
        <v>994</v>
      </c>
      <c r="V224" s="11" t="s">
        <v>994</v>
      </c>
      <c r="W224" s="11" t="s">
        <v>994</v>
      </c>
      <c r="X224" s="11" t="s">
        <v>994</v>
      </c>
      <c r="Y224" s="11" t="s">
        <v>994</v>
      </c>
      <c r="Z224" s="11" t="s">
        <v>994</v>
      </c>
      <c r="AA224" s="11" t="s">
        <v>994</v>
      </c>
      <c r="AB224" s="11" t="s">
        <v>994</v>
      </c>
      <c r="AC224" s="11" t="s">
        <v>994</v>
      </c>
      <c r="AD224" s="11" t="s">
        <v>994</v>
      </c>
    </row>
    <row r="225">
      <c r="B225" s="12" t="s">
        <v>994</v>
      </c>
      <c r="C225" s="11" t="s">
        <v>994</v>
      </c>
      <c r="D225" s="11" t="s">
        <v>994</v>
      </c>
      <c r="E225" s="12" t="s">
        <v>994</v>
      </c>
      <c r="F225" s="12" t="s">
        <v>994</v>
      </c>
      <c r="G225" s="12" t="s">
        <v>994</v>
      </c>
      <c r="H225" s="12" t="s">
        <v>994</v>
      </c>
      <c r="I225" s="12" t="s">
        <v>994</v>
      </c>
      <c r="J225" s="12" t="s">
        <v>994</v>
      </c>
      <c r="K225" s="12" t="s">
        <v>994</v>
      </c>
      <c r="L225" s="13" t="s">
        <v>994</v>
      </c>
      <c r="M225" s="11" t="s">
        <v>994</v>
      </c>
      <c r="N225" s="11" t="s">
        <v>994</v>
      </c>
      <c r="O225" s="11" t="s">
        <v>994</v>
      </c>
      <c r="P225" s="11" t="s">
        <v>994</v>
      </c>
      <c r="Q225" s="11" t="s">
        <v>994</v>
      </c>
      <c r="R225" s="11" t="s">
        <v>994</v>
      </c>
      <c r="S225" s="11" t="s">
        <v>994</v>
      </c>
      <c r="T225" s="11" t="s">
        <v>994</v>
      </c>
      <c r="U225" s="11" t="s">
        <v>994</v>
      </c>
      <c r="V225" s="11" t="s">
        <v>994</v>
      </c>
      <c r="W225" s="11" t="s">
        <v>994</v>
      </c>
      <c r="X225" s="11" t="s">
        <v>994</v>
      </c>
      <c r="Y225" s="11" t="s">
        <v>994</v>
      </c>
      <c r="Z225" s="11" t="s">
        <v>994</v>
      </c>
      <c r="AA225" s="11" t="s">
        <v>994</v>
      </c>
      <c r="AB225" s="11" t="s">
        <v>994</v>
      </c>
      <c r="AC225" s="11" t="s">
        <v>994</v>
      </c>
      <c r="AD225" s="11" t="s">
        <v>994</v>
      </c>
    </row>
    <row r="226">
      <c r="B226" s="12" t="s">
        <v>994</v>
      </c>
      <c r="C226" s="11" t="s">
        <v>994</v>
      </c>
      <c r="D226" s="11" t="s">
        <v>994</v>
      </c>
      <c r="E226" s="12" t="s">
        <v>994</v>
      </c>
      <c r="F226" s="12" t="s">
        <v>994</v>
      </c>
      <c r="G226" s="12" t="s">
        <v>994</v>
      </c>
      <c r="H226" s="12" t="s">
        <v>994</v>
      </c>
      <c r="I226" s="12" t="s">
        <v>994</v>
      </c>
      <c r="J226" s="12" t="s">
        <v>994</v>
      </c>
      <c r="K226" s="12" t="s">
        <v>994</v>
      </c>
      <c r="L226" s="13" t="s">
        <v>994</v>
      </c>
      <c r="M226" s="11" t="s">
        <v>994</v>
      </c>
      <c r="N226" s="11" t="s">
        <v>994</v>
      </c>
      <c r="O226" s="11" t="s">
        <v>994</v>
      </c>
      <c r="P226" s="11" t="s">
        <v>994</v>
      </c>
      <c r="Q226" s="11" t="s">
        <v>994</v>
      </c>
      <c r="R226" s="11" t="s">
        <v>994</v>
      </c>
      <c r="S226" s="11" t="s">
        <v>994</v>
      </c>
      <c r="T226" s="11" t="s">
        <v>994</v>
      </c>
      <c r="U226" s="11" t="s">
        <v>994</v>
      </c>
      <c r="V226" s="11" t="s">
        <v>994</v>
      </c>
      <c r="W226" s="11" t="s">
        <v>994</v>
      </c>
      <c r="X226" s="11" t="s">
        <v>994</v>
      </c>
      <c r="Y226" s="11" t="s">
        <v>994</v>
      </c>
      <c r="Z226" s="11" t="s">
        <v>994</v>
      </c>
      <c r="AA226" s="11" t="s">
        <v>994</v>
      </c>
      <c r="AB226" s="11" t="s">
        <v>994</v>
      </c>
      <c r="AC226" s="11" t="s">
        <v>994</v>
      </c>
      <c r="AD226" s="11" t="s">
        <v>994</v>
      </c>
    </row>
    <row r="227">
      <c r="B227" s="12" t="s">
        <v>994</v>
      </c>
      <c r="C227" s="11" t="s">
        <v>994</v>
      </c>
      <c r="D227" s="11" t="s">
        <v>994</v>
      </c>
      <c r="E227" s="12" t="s">
        <v>994</v>
      </c>
      <c r="F227" s="12" t="s">
        <v>994</v>
      </c>
      <c r="G227" s="12" t="s">
        <v>994</v>
      </c>
      <c r="H227" s="12" t="s">
        <v>994</v>
      </c>
      <c r="I227" s="12" t="s">
        <v>994</v>
      </c>
      <c r="J227" s="12" t="s">
        <v>994</v>
      </c>
      <c r="K227" s="12" t="s">
        <v>994</v>
      </c>
      <c r="L227" s="13" t="s">
        <v>994</v>
      </c>
      <c r="M227" s="11" t="s">
        <v>994</v>
      </c>
      <c r="N227" s="11" t="s">
        <v>994</v>
      </c>
      <c r="O227" s="11" t="s">
        <v>994</v>
      </c>
      <c r="P227" s="11" t="s">
        <v>994</v>
      </c>
      <c r="Q227" s="11" t="s">
        <v>994</v>
      </c>
      <c r="R227" s="11" t="s">
        <v>994</v>
      </c>
      <c r="S227" s="11" t="s">
        <v>994</v>
      </c>
      <c r="T227" s="11" t="s">
        <v>994</v>
      </c>
      <c r="U227" s="11" t="s">
        <v>994</v>
      </c>
      <c r="V227" s="11" t="s">
        <v>994</v>
      </c>
      <c r="W227" s="11" t="s">
        <v>994</v>
      </c>
      <c r="X227" s="11" t="s">
        <v>994</v>
      </c>
      <c r="Y227" s="11" t="s">
        <v>994</v>
      </c>
      <c r="Z227" s="11" t="s">
        <v>994</v>
      </c>
      <c r="AA227" s="11" t="s">
        <v>994</v>
      </c>
      <c r="AB227" s="11" t="s">
        <v>994</v>
      </c>
      <c r="AC227" s="11" t="s">
        <v>994</v>
      </c>
      <c r="AD227" s="11" t="s">
        <v>994</v>
      </c>
    </row>
    <row r="228">
      <c r="B228" s="12" t="s">
        <v>994</v>
      </c>
      <c r="C228" s="11" t="s">
        <v>994</v>
      </c>
      <c r="D228" s="11" t="s">
        <v>994</v>
      </c>
      <c r="E228" s="12" t="s">
        <v>994</v>
      </c>
      <c r="F228" s="12" t="s">
        <v>994</v>
      </c>
      <c r="G228" s="12" t="s">
        <v>994</v>
      </c>
      <c r="H228" s="12" t="s">
        <v>994</v>
      </c>
      <c r="I228" s="12" t="s">
        <v>994</v>
      </c>
      <c r="J228" s="12" t="s">
        <v>994</v>
      </c>
      <c r="K228" s="12" t="s">
        <v>994</v>
      </c>
      <c r="L228" s="13" t="s">
        <v>994</v>
      </c>
      <c r="M228" s="11" t="s">
        <v>994</v>
      </c>
      <c r="N228" s="11" t="s">
        <v>994</v>
      </c>
      <c r="O228" s="11" t="s">
        <v>994</v>
      </c>
      <c r="P228" s="11" t="s">
        <v>994</v>
      </c>
      <c r="Q228" s="11" t="s">
        <v>994</v>
      </c>
      <c r="R228" s="11" t="s">
        <v>994</v>
      </c>
      <c r="S228" s="11" t="s">
        <v>994</v>
      </c>
      <c r="T228" s="11" t="s">
        <v>994</v>
      </c>
      <c r="U228" s="11" t="s">
        <v>994</v>
      </c>
      <c r="V228" s="11" t="s">
        <v>994</v>
      </c>
      <c r="W228" s="11" t="s">
        <v>994</v>
      </c>
      <c r="X228" s="11" t="s">
        <v>994</v>
      </c>
      <c r="Y228" s="11" t="s">
        <v>994</v>
      </c>
      <c r="Z228" s="11" t="s">
        <v>994</v>
      </c>
      <c r="AA228" s="11" t="s">
        <v>994</v>
      </c>
      <c r="AB228" s="11" t="s">
        <v>994</v>
      </c>
      <c r="AC228" s="11" t="s">
        <v>994</v>
      </c>
      <c r="AD228" s="11" t="s">
        <v>994</v>
      </c>
    </row>
    <row r="229">
      <c r="B229" s="12" t="s">
        <v>994</v>
      </c>
      <c r="C229" s="11" t="s">
        <v>994</v>
      </c>
      <c r="D229" s="11" t="s">
        <v>994</v>
      </c>
      <c r="E229" s="12" t="s">
        <v>994</v>
      </c>
      <c r="F229" s="12" t="s">
        <v>994</v>
      </c>
      <c r="G229" s="12" t="s">
        <v>994</v>
      </c>
      <c r="H229" s="12" t="s">
        <v>994</v>
      </c>
      <c r="I229" s="12" t="s">
        <v>994</v>
      </c>
      <c r="J229" s="12" t="s">
        <v>994</v>
      </c>
      <c r="K229" s="12" t="s">
        <v>994</v>
      </c>
      <c r="L229" s="13" t="s">
        <v>994</v>
      </c>
      <c r="M229" s="11" t="s">
        <v>994</v>
      </c>
      <c r="N229" s="11" t="s">
        <v>994</v>
      </c>
      <c r="O229" s="11" t="s">
        <v>994</v>
      </c>
      <c r="P229" s="11" t="s">
        <v>994</v>
      </c>
      <c r="Q229" s="11" t="s">
        <v>994</v>
      </c>
      <c r="R229" s="11" t="s">
        <v>994</v>
      </c>
      <c r="S229" s="11" t="s">
        <v>994</v>
      </c>
      <c r="T229" s="11" t="s">
        <v>994</v>
      </c>
      <c r="U229" s="11" t="s">
        <v>994</v>
      </c>
      <c r="V229" s="11" t="s">
        <v>994</v>
      </c>
      <c r="W229" s="11" t="s">
        <v>994</v>
      </c>
      <c r="X229" s="11" t="s">
        <v>994</v>
      </c>
      <c r="Y229" s="11" t="s">
        <v>994</v>
      </c>
      <c r="Z229" s="11" t="s">
        <v>994</v>
      </c>
      <c r="AA229" s="11" t="s">
        <v>994</v>
      </c>
      <c r="AB229" s="11" t="s">
        <v>994</v>
      </c>
      <c r="AC229" s="11" t="s">
        <v>994</v>
      </c>
      <c r="AD229" s="11" t="s">
        <v>994</v>
      </c>
    </row>
    <row r="230">
      <c r="B230" s="12" t="s">
        <v>994</v>
      </c>
      <c r="C230" s="11" t="s">
        <v>994</v>
      </c>
      <c r="D230" s="11" t="s">
        <v>994</v>
      </c>
      <c r="E230" s="12" t="s">
        <v>994</v>
      </c>
      <c r="F230" s="12" t="s">
        <v>994</v>
      </c>
      <c r="G230" s="12" t="s">
        <v>994</v>
      </c>
      <c r="H230" s="12" t="s">
        <v>994</v>
      </c>
      <c r="I230" s="12" t="s">
        <v>994</v>
      </c>
      <c r="J230" s="12" t="s">
        <v>994</v>
      </c>
      <c r="K230" s="12" t="s">
        <v>994</v>
      </c>
      <c r="L230" s="13" t="s">
        <v>994</v>
      </c>
      <c r="M230" s="11" t="s">
        <v>994</v>
      </c>
      <c r="N230" s="11" t="s">
        <v>994</v>
      </c>
      <c r="O230" s="11" t="s">
        <v>994</v>
      </c>
      <c r="P230" s="11" t="s">
        <v>994</v>
      </c>
      <c r="Q230" s="11" t="s">
        <v>994</v>
      </c>
      <c r="R230" s="11" t="s">
        <v>994</v>
      </c>
      <c r="S230" s="11" t="s">
        <v>994</v>
      </c>
      <c r="T230" s="11" t="s">
        <v>994</v>
      </c>
      <c r="U230" s="11" t="s">
        <v>994</v>
      </c>
      <c r="V230" s="11" t="s">
        <v>994</v>
      </c>
      <c r="W230" s="11" t="s">
        <v>994</v>
      </c>
      <c r="X230" s="11" t="s">
        <v>994</v>
      </c>
      <c r="Y230" s="11" t="s">
        <v>994</v>
      </c>
      <c r="Z230" s="11" t="s">
        <v>994</v>
      </c>
      <c r="AA230" s="11" t="s">
        <v>994</v>
      </c>
      <c r="AB230" s="11" t="s">
        <v>994</v>
      </c>
      <c r="AC230" s="11" t="s">
        <v>994</v>
      </c>
      <c r="AD230" s="11" t="s">
        <v>994</v>
      </c>
    </row>
    <row r="231">
      <c r="B231" s="12" t="s">
        <v>994</v>
      </c>
      <c r="C231" s="11" t="s">
        <v>994</v>
      </c>
      <c r="D231" s="11" t="s">
        <v>994</v>
      </c>
      <c r="E231" s="12" t="s">
        <v>994</v>
      </c>
      <c r="F231" s="12" t="s">
        <v>994</v>
      </c>
      <c r="G231" s="12" t="s">
        <v>994</v>
      </c>
      <c r="H231" s="12" t="s">
        <v>994</v>
      </c>
      <c r="I231" s="12" t="s">
        <v>994</v>
      </c>
      <c r="J231" s="12" t="s">
        <v>994</v>
      </c>
      <c r="K231" s="12" t="s">
        <v>994</v>
      </c>
      <c r="L231" s="13" t="s">
        <v>994</v>
      </c>
      <c r="M231" s="11" t="s">
        <v>994</v>
      </c>
      <c r="N231" s="11" t="s">
        <v>994</v>
      </c>
      <c r="O231" s="11" t="s">
        <v>994</v>
      </c>
      <c r="P231" s="11" t="s">
        <v>994</v>
      </c>
      <c r="Q231" s="11" t="s">
        <v>994</v>
      </c>
      <c r="R231" s="11" t="s">
        <v>994</v>
      </c>
      <c r="S231" s="11" t="s">
        <v>994</v>
      </c>
      <c r="T231" s="11" t="s">
        <v>994</v>
      </c>
      <c r="U231" s="11" t="s">
        <v>994</v>
      </c>
      <c r="V231" s="11" t="s">
        <v>994</v>
      </c>
      <c r="W231" s="11" t="s">
        <v>994</v>
      </c>
      <c r="X231" s="11" t="s">
        <v>994</v>
      </c>
      <c r="Y231" s="11" t="s">
        <v>994</v>
      </c>
      <c r="Z231" s="11" t="s">
        <v>994</v>
      </c>
      <c r="AA231" s="11" t="s">
        <v>994</v>
      </c>
      <c r="AB231" s="11" t="s">
        <v>994</v>
      </c>
      <c r="AC231" s="11" t="s">
        <v>994</v>
      </c>
      <c r="AD231" s="11" t="s">
        <v>994</v>
      </c>
    </row>
    <row r="232">
      <c r="B232" s="12" t="s">
        <v>994</v>
      </c>
      <c r="C232" s="11" t="s">
        <v>994</v>
      </c>
      <c r="D232" s="11" t="s">
        <v>994</v>
      </c>
      <c r="E232" s="12" t="s">
        <v>994</v>
      </c>
      <c r="F232" s="12" t="s">
        <v>994</v>
      </c>
      <c r="G232" s="12" t="s">
        <v>994</v>
      </c>
      <c r="H232" s="12" t="s">
        <v>994</v>
      </c>
      <c r="I232" s="12" t="s">
        <v>994</v>
      </c>
      <c r="J232" s="12" t="s">
        <v>994</v>
      </c>
      <c r="K232" s="12" t="s">
        <v>994</v>
      </c>
      <c r="L232" s="13" t="s">
        <v>994</v>
      </c>
      <c r="M232" s="11" t="s">
        <v>994</v>
      </c>
      <c r="N232" s="11" t="s">
        <v>994</v>
      </c>
      <c r="O232" s="11" t="s">
        <v>994</v>
      </c>
      <c r="P232" s="11" t="s">
        <v>994</v>
      </c>
      <c r="Q232" s="11" t="s">
        <v>994</v>
      </c>
      <c r="R232" s="11" t="s">
        <v>994</v>
      </c>
      <c r="S232" s="11" t="s">
        <v>994</v>
      </c>
      <c r="T232" s="11" t="s">
        <v>994</v>
      </c>
      <c r="U232" s="11" t="s">
        <v>994</v>
      </c>
      <c r="V232" s="11" t="s">
        <v>994</v>
      </c>
      <c r="W232" s="11" t="s">
        <v>994</v>
      </c>
      <c r="X232" s="11" t="s">
        <v>994</v>
      </c>
      <c r="Y232" s="11" t="s">
        <v>994</v>
      </c>
      <c r="Z232" s="11" t="s">
        <v>994</v>
      </c>
      <c r="AA232" s="11" t="s">
        <v>994</v>
      </c>
      <c r="AB232" s="11" t="s">
        <v>994</v>
      </c>
      <c r="AC232" s="11" t="s">
        <v>994</v>
      </c>
      <c r="AD232" s="11" t="s">
        <v>994</v>
      </c>
    </row>
    <row r="233">
      <c r="B233" s="12" t="s">
        <v>994</v>
      </c>
      <c r="C233" s="11" t="s">
        <v>994</v>
      </c>
      <c r="D233" s="11" t="s">
        <v>994</v>
      </c>
      <c r="E233" s="12" t="s">
        <v>994</v>
      </c>
      <c r="F233" s="12" t="s">
        <v>994</v>
      </c>
      <c r="G233" s="12" t="s">
        <v>994</v>
      </c>
      <c r="H233" s="12" t="s">
        <v>994</v>
      </c>
      <c r="I233" s="12" t="s">
        <v>994</v>
      </c>
      <c r="J233" s="12" t="s">
        <v>994</v>
      </c>
      <c r="K233" s="12" t="s">
        <v>994</v>
      </c>
      <c r="L233" s="13" t="s">
        <v>994</v>
      </c>
      <c r="M233" s="11" t="s">
        <v>994</v>
      </c>
      <c r="N233" s="11" t="s">
        <v>994</v>
      </c>
      <c r="O233" s="11" t="s">
        <v>994</v>
      </c>
      <c r="P233" s="11" t="s">
        <v>994</v>
      </c>
      <c r="Q233" s="11" t="s">
        <v>994</v>
      </c>
      <c r="R233" s="11" t="s">
        <v>994</v>
      </c>
      <c r="S233" s="11" t="s">
        <v>994</v>
      </c>
      <c r="T233" s="11" t="s">
        <v>994</v>
      </c>
      <c r="U233" s="11" t="s">
        <v>994</v>
      </c>
      <c r="V233" s="11" t="s">
        <v>994</v>
      </c>
      <c r="W233" s="11" t="s">
        <v>994</v>
      </c>
      <c r="X233" s="11" t="s">
        <v>994</v>
      </c>
      <c r="Y233" s="11" t="s">
        <v>994</v>
      </c>
      <c r="Z233" s="11" t="s">
        <v>994</v>
      </c>
      <c r="AA233" s="11" t="s">
        <v>994</v>
      </c>
      <c r="AB233" s="11" t="s">
        <v>994</v>
      </c>
      <c r="AC233" s="11" t="s">
        <v>994</v>
      </c>
      <c r="AD233" s="11" t="s">
        <v>994</v>
      </c>
    </row>
    <row r="234">
      <c r="B234" s="12" t="s">
        <v>994</v>
      </c>
      <c r="C234" s="11" t="s">
        <v>994</v>
      </c>
      <c r="D234" s="11" t="s">
        <v>994</v>
      </c>
      <c r="E234" s="12" t="s">
        <v>994</v>
      </c>
      <c r="F234" s="12" t="s">
        <v>994</v>
      </c>
      <c r="G234" s="12" t="s">
        <v>994</v>
      </c>
      <c r="H234" s="12" t="s">
        <v>994</v>
      </c>
      <c r="I234" s="12" t="s">
        <v>994</v>
      </c>
      <c r="J234" s="12" t="s">
        <v>994</v>
      </c>
      <c r="K234" s="12" t="s">
        <v>994</v>
      </c>
      <c r="L234" s="13" t="s">
        <v>994</v>
      </c>
      <c r="M234" s="11" t="s">
        <v>994</v>
      </c>
      <c r="N234" s="11" t="s">
        <v>994</v>
      </c>
      <c r="O234" s="11" t="s">
        <v>994</v>
      </c>
      <c r="P234" s="11" t="s">
        <v>994</v>
      </c>
      <c r="Q234" s="11" t="s">
        <v>994</v>
      </c>
      <c r="R234" s="11" t="s">
        <v>994</v>
      </c>
      <c r="S234" s="11" t="s">
        <v>994</v>
      </c>
      <c r="T234" s="11" t="s">
        <v>994</v>
      </c>
      <c r="U234" s="11" t="s">
        <v>994</v>
      </c>
      <c r="V234" s="11" t="s">
        <v>994</v>
      </c>
      <c r="W234" s="11" t="s">
        <v>994</v>
      </c>
      <c r="X234" s="11" t="s">
        <v>994</v>
      </c>
      <c r="Y234" s="11" t="s">
        <v>994</v>
      </c>
      <c r="Z234" s="11" t="s">
        <v>994</v>
      </c>
      <c r="AA234" s="11" t="s">
        <v>994</v>
      </c>
      <c r="AB234" s="11" t="s">
        <v>994</v>
      </c>
      <c r="AC234" s="11" t="s">
        <v>994</v>
      </c>
      <c r="AD234" s="11" t="s">
        <v>994</v>
      </c>
    </row>
    <row r="235">
      <c r="B235" s="12" t="s">
        <v>994</v>
      </c>
      <c r="C235" s="11" t="s">
        <v>994</v>
      </c>
      <c r="D235" s="11" t="s">
        <v>994</v>
      </c>
      <c r="E235" s="12" t="s">
        <v>994</v>
      </c>
      <c r="F235" s="12" t="s">
        <v>994</v>
      </c>
      <c r="G235" s="12" t="s">
        <v>994</v>
      </c>
      <c r="H235" s="12" t="s">
        <v>994</v>
      </c>
      <c r="I235" s="12" t="s">
        <v>994</v>
      </c>
      <c r="J235" s="12" t="s">
        <v>994</v>
      </c>
      <c r="K235" s="12" t="s">
        <v>994</v>
      </c>
      <c r="L235" s="13" t="s">
        <v>994</v>
      </c>
      <c r="M235" s="11" t="s">
        <v>994</v>
      </c>
      <c r="N235" s="11" t="s">
        <v>994</v>
      </c>
      <c r="O235" s="11" t="s">
        <v>994</v>
      </c>
      <c r="P235" s="11" t="s">
        <v>994</v>
      </c>
      <c r="Q235" s="11" t="s">
        <v>994</v>
      </c>
      <c r="R235" s="11" t="s">
        <v>994</v>
      </c>
      <c r="S235" s="11" t="s">
        <v>994</v>
      </c>
      <c r="T235" s="11" t="s">
        <v>994</v>
      </c>
      <c r="U235" s="11" t="s">
        <v>994</v>
      </c>
      <c r="V235" s="11" t="s">
        <v>994</v>
      </c>
      <c r="W235" s="11" t="s">
        <v>994</v>
      </c>
      <c r="X235" s="11" t="s">
        <v>994</v>
      </c>
      <c r="Y235" s="11" t="s">
        <v>994</v>
      </c>
      <c r="Z235" s="11" t="s">
        <v>994</v>
      </c>
      <c r="AA235" s="11" t="s">
        <v>994</v>
      </c>
      <c r="AB235" s="11" t="s">
        <v>994</v>
      </c>
      <c r="AC235" s="11" t="s">
        <v>994</v>
      </c>
      <c r="AD235" s="11" t="s">
        <v>994</v>
      </c>
    </row>
    <row r="236">
      <c r="B236" s="12" t="s">
        <v>994</v>
      </c>
      <c r="C236" s="11" t="s">
        <v>994</v>
      </c>
      <c r="D236" s="11" t="s">
        <v>994</v>
      </c>
      <c r="E236" s="12" t="s">
        <v>994</v>
      </c>
      <c r="F236" s="12" t="s">
        <v>994</v>
      </c>
      <c r="G236" s="12" t="s">
        <v>994</v>
      </c>
      <c r="H236" s="12" t="s">
        <v>994</v>
      </c>
      <c r="I236" s="12" t="s">
        <v>994</v>
      </c>
      <c r="J236" s="12" t="s">
        <v>994</v>
      </c>
      <c r="K236" s="12" t="s">
        <v>994</v>
      </c>
      <c r="L236" s="13" t="s">
        <v>994</v>
      </c>
      <c r="M236" s="11" t="s">
        <v>994</v>
      </c>
      <c r="N236" s="11" t="s">
        <v>994</v>
      </c>
      <c r="O236" s="11" t="s">
        <v>994</v>
      </c>
      <c r="P236" s="11" t="s">
        <v>994</v>
      </c>
      <c r="Q236" s="11" t="s">
        <v>994</v>
      </c>
      <c r="R236" s="11" t="s">
        <v>994</v>
      </c>
      <c r="S236" s="11" t="s">
        <v>994</v>
      </c>
      <c r="T236" s="11" t="s">
        <v>994</v>
      </c>
      <c r="U236" s="11" t="s">
        <v>994</v>
      </c>
      <c r="V236" s="11" t="s">
        <v>994</v>
      </c>
      <c r="W236" s="11" t="s">
        <v>994</v>
      </c>
      <c r="X236" s="11" t="s">
        <v>994</v>
      </c>
      <c r="Y236" s="11" t="s">
        <v>994</v>
      </c>
      <c r="Z236" s="11" t="s">
        <v>994</v>
      </c>
      <c r="AA236" s="11" t="s">
        <v>994</v>
      </c>
      <c r="AB236" s="11" t="s">
        <v>994</v>
      </c>
      <c r="AC236" s="11" t="s">
        <v>994</v>
      </c>
      <c r="AD236" s="11" t="s">
        <v>994</v>
      </c>
    </row>
    <row r="237">
      <c r="B237" s="12" t="s">
        <v>994</v>
      </c>
      <c r="C237" s="11" t="s">
        <v>994</v>
      </c>
      <c r="D237" s="11" t="s">
        <v>994</v>
      </c>
      <c r="E237" s="12" t="s">
        <v>994</v>
      </c>
      <c r="F237" s="12" t="s">
        <v>994</v>
      </c>
      <c r="G237" s="12" t="s">
        <v>994</v>
      </c>
      <c r="H237" s="12" t="s">
        <v>994</v>
      </c>
      <c r="I237" s="12" t="s">
        <v>994</v>
      </c>
      <c r="J237" s="12" t="s">
        <v>994</v>
      </c>
      <c r="K237" s="12" t="s">
        <v>994</v>
      </c>
      <c r="L237" s="13" t="s">
        <v>994</v>
      </c>
      <c r="M237" s="11" t="s">
        <v>994</v>
      </c>
      <c r="N237" s="11" t="s">
        <v>994</v>
      </c>
      <c r="O237" s="11" t="s">
        <v>994</v>
      </c>
      <c r="P237" s="11" t="s">
        <v>994</v>
      </c>
      <c r="Q237" s="11" t="s">
        <v>994</v>
      </c>
      <c r="R237" s="11" t="s">
        <v>994</v>
      </c>
      <c r="S237" s="11" t="s">
        <v>994</v>
      </c>
      <c r="T237" s="11" t="s">
        <v>994</v>
      </c>
      <c r="U237" s="11" t="s">
        <v>994</v>
      </c>
      <c r="V237" s="11" t="s">
        <v>994</v>
      </c>
      <c r="W237" s="11" t="s">
        <v>994</v>
      </c>
      <c r="X237" s="11" t="s">
        <v>994</v>
      </c>
      <c r="Y237" s="11" t="s">
        <v>994</v>
      </c>
      <c r="Z237" s="11" t="s">
        <v>994</v>
      </c>
      <c r="AA237" s="11" t="s">
        <v>994</v>
      </c>
      <c r="AB237" s="11" t="s">
        <v>994</v>
      </c>
      <c r="AC237" s="11" t="s">
        <v>994</v>
      </c>
      <c r="AD237" s="11" t="s">
        <v>994</v>
      </c>
    </row>
    <row r="238">
      <c r="B238" s="12" t="s">
        <v>994</v>
      </c>
      <c r="C238" s="11" t="s">
        <v>994</v>
      </c>
      <c r="D238" s="11" t="s">
        <v>994</v>
      </c>
      <c r="E238" s="12" t="s">
        <v>994</v>
      </c>
      <c r="F238" s="12" t="s">
        <v>994</v>
      </c>
      <c r="G238" s="12" t="s">
        <v>994</v>
      </c>
      <c r="H238" s="12" t="s">
        <v>994</v>
      </c>
      <c r="I238" s="12" t="s">
        <v>994</v>
      </c>
      <c r="J238" s="12" t="s">
        <v>994</v>
      </c>
      <c r="K238" s="12" t="s">
        <v>994</v>
      </c>
      <c r="L238" s="13" t="s">
        <v>994</v>
      </c>
      <c r="M238" s="11" t="s">
        <v>994</v>
      </c>
      <c r="N238" s="11" t="s">
        <v>994</v>
      </c>
      <c r="O238" s="11" t="s">
        <v>994</v>
      </c>
      <c r="P238" s="11" t="s">
        <v>994</v>
      </c>
      <c r="Q238" s="11" t="s">
        <v>994</v>
      </c>
      <c r="R238" s="11" t="s">
        <v>994</v>
      </c>
      <c r="S238" s="11" t="s">
        <v>994</v>
      </c>
      <c r="T238" s="11" t="s">
        <v>994</v>
      </c>
      <c r="U238" s="11" t="s">
        <v>994</v>
      </c>
      <c r="V238" s="11" t="s">
        <v>994</v>
      </c>
      <c r="W238" s="11" t="s">
        <v>994</v>
      </c>
      <c r="X238" s="11" t="s">
        <v>994</v>
      </c>
      <c r="Y238" s="11" t="s">
        <v>994</v>
      </c>
      <c r="Z238" s="11" t="s">
        <v>994</v>
      </c>
      <c r="AA238" s="11" t="s">
        <v>994</v>
      </c>
      <c r="AB238" s="11" t="s">
        <v>994</v>
      </c>
      <c r="AC238" s="11" t="s">
        <v>994</v>
      </c>
      <c r="AD238" s="11" t="s">
        <v>994</v>
      </c>
    </row>
    <row r="239">
      <c r="B239" s="12" t="s">
        <v>994</v>
      </c>
      <c r="C239" s="11" t="s">
        <v>994</v>
      </c>
      <c r="D239" s="11" t="s">
        <v>994</v>
      </c>
      <c r="E239" s="12" t="s">
        <v>994</v>
      </c>
      <c r="F239" s="12" t="s">
        <v>994</v>
      </c>
      <c r="G239" s="12" t="s">
        <v>994</v>
      </c>
      <c r="H239" s="12" t="s">
        <v>994</v>
      </c>
      <c r="I239" s="12" t="s">
        <v>994</v>
      </c>
      <c r="J239" s="12" t="s">
        <v>994</v>
      </c>
      <c r="K239" s="12" t="s">
        <v>994</v>
      </c>
      <c r="L239" s="13" t="s">
        <v>994</v>
      </c>
      <c r="M239" s="11" t="s">
        <v>994</v>
      </c>
      <c r="N239" s="11" t="s">
        <v>994</v>
      </c>
      <c r="O239" s="11" t="s">
        <v>994</v>
      </c>
      <c r="P239" s="11" t="s">
        <v>994</v>
      </c>
      <c r="Q239" s="11" t="s">
        <v>994</v>
      </c>
      <c r="R239" s="11" t="s">
        <v>994</v>
      </c>
      <c r="S239" s="11" t="s">
        <v>994</v>
      </c>
      <c r="T239" s="11" t="s">
        <v>994</v>
      </c>
      <c r="U239" s="11" t="s">
        <v>994</v>
      </c>
      <c r="V239" s="11" t="s">
        <v>994</v>
      </c>
      <c r="W239" s="11" t="s">
        <v>994</v>
      </c>
      <c r="X239" s="11" t="s">
        <v>994</v>
      </c>
      <c r="Y239" s="11" t="s">
        <v>994</v>
      </c>
      <c r="Z239" s="11" t="s">
        <v>994</v>
      </c>
      <c r="AA239" s="11" t="s">
        <v>994</v>
      </c>
      <c r="AB239" s="11" t="s">
        <v>994</v>
      </c>
      <c r="AC239" s="11" t="s">
        <v>994</v>
      </c>
      <c r="AD239" s="11" t="s">
        <v>994</v>
      </c>
    </row>
    <row r="240">
      <c r="B240" s="12" t="s">
        <v>994</v>
      </c>
      <c r="C240" s="11" t="s">
        <v>994</v>
      </c>
      <c r="D240" s="11" t="s">
        <v>994</v>
      </c>
      <c r="E240" s="12" t="s">
        <v>994</v>
      </c>
      <c r="F240" s="12" t="s">
        <v>994</v>
      </c>
      <c r="G240" s="12" t="s">
        <v>994</v>
      </c>
      <c r="H240" s="12" t="s">
        <v>994</v>
      </c>
      <c r="I240" s="12" t="s">
        <v>994</v>
      </c>
      <c r="J240" s="12" t="s">
        <v>994</v>
      </c>
      <c r="K240" s="12" t="s">
        <v>994</v>
      </c>
      <c r="L240" s="13" t="s">
        <v>994</v>
      </c>
      <c r="M240" s="11" t="s">
        <v>994</v>
      </c>
      <c r="N240" s="11" t="s">
        <v>994</v>
      </c>
      <c r="O240" s="11" t="s">
        <v>994</v>
      </c>
      <c r="P240" s="11" t="s">
        <v>994</v>
      </c>
      <c r="Q240" s="11" t="s">
        <v>994</v>
      </c>
      <c r="R240" s="11" t="s">
        <v>994</v>
      </c>
      <c r="S240" s="11" t="s">
        <v>994</v>
      </c>
      <c r="T240" s="11" t="s">
        <v>994</v>
      </c>
      <c r="U240" s="11" t="s">
        <v>994</v>
      </c>
      <c r="V240" s="11" t="s">
        <v>994</v>
      </c>
      <c r="W240" s="11" t="s">
        <v>994</v>
      </c>
      <c r="X240" s="11" t="s">
        <v>994</v>
      </c>
      <c r="Y240" s="11" t="s">
        <v>994</v>
      </c>
      <c r="Z240" s="11" t="s">
        <v>994</v>
      </c>
      <c r="AA240" s="11" t="s">
        <v>994</v>
      </c>
      <c r="AB240" s="11" t="s">
        <v>994</v>
      </c>
      <c r="AC240" s="11" t="s">
        <v>994</v>
      </c>
      <c r="AD240" s="11" t="s">
        <v>994</v>
      </c>
    </row>
    <row r="241">
      <c r="B241" s="12" t="s">
        <v>994</v>
      </c>
      <c r="C241" s="11" t="s">
        <v>994</v>
      </c>
      <c r="D241" s="11" t="s">
        <v>994</v>
      </c>
      <c r="E241" s="12" t="s">
        <v>994</v>
      </c>
      <c r="F241" s="12" t="s">
        <v>994</v>
      </c>
      <c r="G241" s="12" t="s">
        <v>994</v>
      </c>
      <c r="H241" s="12" t="s">
        <v>994</v>
      </c>
      <c r="I241" s="12" t="s">
        <v>994</v>
      </c>
      <c r="J241" s="12" t="s">
        <v>994</v>
      </c>
      <c r="K241" s="12" t="s">
        <v>994</v>
      </c>
      <c r="L241" s="13" t="s">
        <v>994</v>
      </c>
      <c r="M241" s="11" t="s">
        <v>994</v>
      </c>
      <c r="N241" s="11" t="s">
        <v>994</v>
      </c>
      <c r="O241" s="11" t="s">
        <v>994</v>
      </c>
      <c r="P241" s="11" t="s">
        <v>994</v>
      </c>
      <c r="Q241" s="11" t="s">
        <v>994</v>
      </c>
      <c r="R241" s="11" t="s">
        <v>994</v>
      </c>
      <c r="S241" s="11" t="s">
        <v>994</v>
      </c>
      <c r="T241" s="11" t="s">
        <v>994</v>
      </c>
      <c r="U241" s="11" t="s">
        <v>994</v>
      </c>
      <c r="V241" s="11" t="s">
        <v>994</v>
      </c>
      <c r="W241" s="11" t="s">
        <v>994</v>
      </c>
      <c r="X241" s="11" t="s">
        <v>994</v>
      </c>
      <c r="Y241" s="11" t="s">
        <v>994</v>
      </c>
      <c r="Z241" s="11" t="s">
        <v>994</v>
      </c>
      <c r="AA241" s="11" t="s">
        <v>994</v>
      </c>
      <c r="AB241" s="11" t="s">
        <v>994</v>
      </c>
      <c r="AC241" s="11" t="s">
        <v>994</v>
      </c>
      <c r="AD241" s="11" t="s">
        <v>994</v>
      </c>
    </row>
    <row r="242">
      <c r="B242" s="12" t="s">
        <v>994</v>
      </c>
      <c r="C242" s="11" t="s">
        <v>994</v>
      </c>
      <c r="D242" s="11" t="s">
        <v>994</v>
      </c>
      <c r="E242" s="12" t="s">
        <v>994</v>
      </c>
      <c r="F242" s="12" t="s">
        <v>994</v>
      </c>
      <c r="G242" s="12" t="s">
        <v>994</v>
      </c>
      <c r="H242" s="12" t="s">
        <v>994</v>
      </c>
      <c r="I242" s="12" t="s">
        <v>994</v>
      </c>
      <c r="J242" s="12" t="s">
        <v>994</v>
      </c>
      <c r="K242" s="12" t="s">
        <v>994</v>
      </c>
      <c r="L242" s="13" t="s">
        <v>994</v>
      </c>
      <c r="M242" s="11" t="s">
        <v>994</v>
      </c>
      <c r="N242" s="11" t="s">
        <v>994</v>
      </c>
      <c r="O242" s="11" t="s">
        <v>994</v>
      </c>
      <c r="P242" s="11" t="s">
        <v>994</v>
      </c>
      <c r="Q242" s="11" t="s">
        <v>994</v>
      </c>
      <c r="R242" s="11" t="s">
        <v>994</v>
      </c>
      <c r="S242" s="11" t="s">
        <v>994</v>
      </c>
      <c r="T242" s="11" t="s">
        <v>994</v>
      </c>
      <c r="U242" s="11" t="s">
        <v>994</v>
      </c>
      <c r="V242" s="11" t="s">
        <v>994</v>
      </c>
      <c r="W242" s="11" t="s">
        <v>994</v>
      </c>
      <c r="X242" s="11" t="s">
        <v>994</v>
      </c>
      <c r="Y242" s="11" t="s">
        <v>994</v>
      </c>
      <c r="Z242" s="11" t="s">
        <v>994</v>
      </c>
      <c r="AA242" s="11" t="s">
        <v>994</v>
      </c>
      <c r="AB242" s="11" t="s">
        <v>994</v>
      </c>
      <c r="AC242" s="11" t="s">
        <v>994</v>
      </c>
      <c r="AD242" s="11" t="s">
        <v>994</v>
      </c>
    </row>
    <row r="243">
      <c r="B243" s="12" t="s">
        <v>994</v>
      </c>
      <c r="C243" s="11" t="s">
        <v>994</v>
      </c>
      <c r="D243" s="11" t="s">
        <v>994</v>
      </c>
      <c r="E243" s="12" t="s">
        <v>994</v>
      </c>
      <c r="F243" s="12" t="s">
        <v>994</v>
      </c>
      <c r="G243" s="12" t="s">
        <v>994</v>
      </c>
      <c r="H243" s="12" t="s">
        <v>994</v>
      </c>
      <c r="I243" s="12" t="s">
        <v>994</v>
      </c>
      <c r="J243" s="12" t="s">
        <v>994</v>
      </c>
      <c r="K243" s="12" t="s">
        <v>994</v>
      </c>
      <c r="L243" s="13" t="s">
        <v>994</v>
      </c>
      <c r="M243" s="11" t="s">
        <v>994</v>
      </c>
      <c r="N243" s="11" t="s">
        <v>994</v>
      </c>
      <c r="O243" s="11" t="s">
        <v>994</v>
      </c>
      <c r="P243" s="11" t="s">
        <v>994</v>
      </c>
      <c r="Q243" s="11" t="s">
        <v>994</v>
      </c>
      <c r="R243" s="11" t="s">
        <v>994</v>
      </c>
      <c r="S243" s="11" t="s">
        <v>994</v>
      </c>
      <c r="T243" s="11" t="s">
        <v>994</v>
      </c>
      <c r="U243" s="11" t="s">
        <v>994</v>
      </c>
      <c r="V243" s="11" t="s">
        <v>994</v>
      </c>
      <c r="W243" s="11" t="s">
        <v>994</v>
      </c>
      <c r="X243" s="11" t="s">
        <v>994</v>
      </c>
      <c r="Y243" s="11" t="s">
        <v>994</v>
      </c>
      <c r="Z243" s="11" t="s">
        <v>994</v>
      </c>
      <c r="AA243" s="11" t="s">
        <v>994</v>
      </c>
      <c r="AB243" s="11" t="s">
        <v>994</v>
      </c>
      <c r="AC243" s="11" t="s">
        <v>994</v>
      </c>
      <c r="AD243" s="11" t="s">
        <v>994</v>
      </c>
    </row>
    <row r="244">
      <c r="B244" s="12" t="s">
        <v>994</v>
      </c>
      <c r="C244" s="11" t="s">
        <v>994</v>
      </c>
      <c r="D244" s="11" t="s">
        <v>994</v>
      </c>
      <c r="E244" s="12" t="s">
        <v>994</v>
      </c>
      <c r="F244" s="12" t="s">
        <v>994</v>
      </c>
      <c r="G244" s="12" t="s">
        <v>994</v>
      </c>
      <c r="H244" s="12" t="s">
        <v>994</v>
      </c>
      <c r="I244" s="12" t="s">
        <v>994</v>
      </c>
      <c r="J244" s="12" t="s">
        <v>994</v>
      </c>
      <c r="K244" s="12" t="s">
        <v>994</v>
      </c>
      <c r="L244" s="13" t="s">
        <v>994</v>
      </c>
      <c r="M244" s="11" t="s">
        <v>994</v>
      </c>
      <c r="N244" s="11" t="s">
        <v>994</v>
      </c>
      <c r="O244" s="11" t="s">
        <v>994</v>
      </c>
      <c r="P244" s="11" t="s">
        <v>994</v>
      </c>
      <c r="Q244" s="11" t="s">
        <v>994</v>
      </c>
      <c r="R244" s="11" t="s">
        <v>994</v>
      </c>
      <c r="S244" s="11" t="s">
        <v>994</v>
      </c>
      <c r="T244" s="11" t="s">
        <v>994</v>
      </c>
      <c r="U244" s="11" t="s">
        <v>994</v>
      </c>
      <c r="V244" s="11" t="s">
        <v>994</v>
      </c>
      <c r="W244" s="11" t="s">
        <v>994</v>
      </c>
      <c r="X244" s="11" t="s">
        <v>994</v>
      </c>
      <c r="Y244" s="11" t="s">
        <v>994</v>
      </c>
      <c r="Z244" s="11" t="s">
        <v>994</v>
      </c>
      <c r="AA244" s="11" t="s">
        <v>994</v>
      </c>
      <c r="AB244" s="11" t="s">
        <v>994</v>
      </c>
      <c r="AC244" s="11" t="s">
        <v>994</v>
      </c>
      <c r="AD244" s="11" t="s">
        <v>994</v>
      </c>
    </row>
    <row r="245">
      <c r="B245" s="12" t="s">
        <v>994</v>
      </c>
      <c r="C245" s="11" t="s">
        <v>994</v>
      </c>
      <c r="D245" s="11" t="s">
        <v>994</v>
      </c>
      <c r="E245" s="12" t="s">
        <v>994</v>
      </c>
      <c r="F245" s="12" t="s">
        <v>994</v>
      </c>
      <c r="G245" s="12" t="s">
        <v>994</v>
      </c>
      <c r="H245" s="12" t="s">
        <v>994</v>
      </c>
      <c r="I245" s="12" t="s">
        <v>994</v>
      </c>
      <c r="J245" s="12" t="s">
        <v>994</v>
      </c>
      <c r="K245" s="12" t="s">
        <v>994</v>
      </c>
      <c r="L245" s="13" t="s">
        <v>994</v>
      </c>
      <c r="M245" s="11" t="s">
        <v>994</v>
      </c>
      <c r="N245" s="11" t="s">
        <v>994</v>
      </c>
      <c r="O245" s="11" t="s">
        <v>994</v>
      </c>
      <c r="P245" s="11" t="s">
        <v>994</v>
      </c>
      <c r="Q245" s="11" t="s">
        <v>994</v>
      </c>
      <c r="R245" s="11" t="s">
        <v>994</v>
      </c>
      <c r="S245" s="11" t="s">
        <v>994</v>
      </c>
      <c r="T245" s="11" t="s">
        <v>994</v>
      </c>
      <c r="U245" s="11" t="s">
        <v>994</v>
      </c>
      <c r="V245" s="11" t="s">
        <v>994</v>
      </c>
      <c r="W245" s="11" t="s">
        <v>994</v>
      </c>
      <c r="X245" s="11" t="s">
        <v>994</v>
      </c>
      <c r="Y245" s="11" t="s">
        <v>994</v>
      </c>
      <c r="Z245" s="11" t="s">
        <v>994</v>
      </c>
      <c r="AA245" s="11" t="s">
        <v>994</v>
      </c>
      <c r="AB245" s="11" t="s">
        <v>994</v>
      </c>
      <c r="AC245" s="11" t="s">
        <v>994</v>
      </c>
      <c r="AD245" s="11" t="s">
        <v>994</v>
      </c>
    </row>
    <row r="246">
      <c r="B246" s="12" t="s">
        <v>994</v>
      </c>
      <c r="C246" s="11" t="s">
        <v>994</v>
      </c>
      <c r="D246" s="11" t="s">
        <v>994</v>
      </c>
      <c r="E246" s="12" t="s">
        <v>994</v>
      </c>
      <c r="F246" s="12" t="s">
        <v>994</v>
      </c>
      <c r="G246" s="12" t="s">
        <v>994</v>
      </c>
      <c r="H246" s="12" t="s">
        <v>994</v>
      </c>
      <c r="I246" s="12" t="s">
        <v>994</v>
      </c>
      <c r="J246" s="12" t="s">
        <v>994</v>
      </c>
      <c r="K246" s="12" t="s">
        <v>994</v>
      </c>
      <c r="L246" s="13" t="s">
        <v>994</v>
      </c>
      <c r="M246" s="11" t="s">
        <v>994</v>
      </c>
      <c r="N246" s="11" t="s">
        <v>994</v>
      </c>
      <c r="O246" s="11" t="s">
        <v>994</v>
      </c>
      <c r="P246" s="11" t="s">
        <v>994</v>
      </c>
      <c r="Q246" s="11" t="s">
        <v>994</v>
      </c>
      <c r="R246" s="11" t="s">
        <v>994</v>
      </c>
      <c r="S246" s="11" t="s">
        <v>994</v>
      </c>
      <c r="T246" s="11" t="s">
        <v>994</v>
      </c>
      <c r="U246" s="11" t="s">
        <v>994</v>
      </c>
      <c r="V246" s="11" t="s">
        <v>994</v>
      </c>
      <c r="W246" s="11" t="s">
        <v>994</v>
      </c>
      <c r="X246" s="11" t="s">
        <v>994</v>
      </c>
      <c r="Y246" s="11" t="s">
        <v>994</v>
      </c>
      <c r="Z246" s="11" t="s">
        <v>994</v>
      </c>
      <c r="AA246" s="11" t="s">
        <v>994</v>
      </c>
      <c r="AB246" s="11" t="s">
        <v>994</v>
      </c>
      <c r="AC246" s="11" t="s">
        <v>994</v>
      </c>
      <c r="AD246" s="11" t="s">
        <v>994</v>
      </c>
    </row>
    <row r="247">
      <c r="B247" s="12" t="s">
        <v>994</v>
      </c>
      <c r="C247" s="11" t="s">
        <v>994</v>
      </c>
      <c r="D247" s="11" t="s">
        <v>994</v>
      </c>
      <c r="E247" s="12" t="s">
        <v>994</v>
      </c>
      <c r="F247" s="12" t="s">
        <v>994</v>
      </c>
      <c r="G247" s="12" t="s">
        <v>994</v>
      </c>
      <c r="H247" s="12" t="s">
        <v>994</v>
      </c>
      <c r="I247" s="12" t="s">
        <v>994</v>
      </c>
      <c r="J247" s="12" t="s">
        <v>994</v>
      </c>
      <c r="K247" s="12" t="s">
        <v>994</v>
      </c>
      <c r="L247" s="13" t="s">
        <v>994</v>
      </c>
      <c r="M247" s="11" t="s">
        <v>994</v>
      </c>
      <c r="N247" s="11" t="s">
        <v>994</v>
      </c>
      <c r="O247" s="11" t="s">
        <v>994</v>
      </c>
      <c r="P247" s="11" t="s">
        <v>994</v>
      </c>
      <c r="Q247" s="11" t="s">
        <v>994</v>
      </c>
      <c r="R247" s="11" t="s">
        <v>994</v>
      </c>
      <c r="S247" s="11" t="s">
        <v>994</v>
      </c>
      <c r="T247" s="11" t="s">
        <v>994</v>
      </c>
      <c r="U247" s="11" t="s">
        <v>994</v>
      </c>
      <c r="V247" s="11" t="s">
        <v>994</v>
      </c>
      <c r="W247" s="11" t="s">
        <v>994</v>
      </c>
      <c r="X247" s="11" t="s">
        <v>994</v>
      </c>
      <c r="Y247" s="11" t="s">
        <v>994</v>
      </c>
      <c r="Z247" s="11" t="s">
        <v>994</v>
      </c>
      <c r="AA247" s="11" t="s">
        <v>994</v>
      </c>
      <c r="AB247" s="11" t="s">
        <v>994</v>
      </c>
      <c r="AC247" s="11" t="s">
        <v>994</v>
      </c>
      <c r="AD247" s="11" t="s">
        <v>994</v>
      </c>
    </row>
    <row r="248">
      <c r="B248" s="12" t="s">
        <v>994</v>
      </c>
      <c r="C248" s="11" t="s">
        <v>994</v>
      </c>
      <c r="D248" s="11" t="s">
        <v>994</v>
      </c>
      <c r="E248" s="12" t="s">
        <v>994</v>
      </c>
      <c r="F248" s="12" t="s">
        <v>994</v>
      </c>
      <c r="G248" s="12" t="s">
        <v>994</v>
      </c>
      <c r="H248" s="12" t="s">
        <v>994</v>
      </c>
      <c r="I248" s="12" t="s">
        <v>994</v>
      </c>
      <c r="J248" s="12" t="s">
        <v>994</v>
      </c>
      <c r="K248" s="12" t="s">
        <v>994</v>
      </c>
      <c r="L248" s="13" t="s">
        <v>994</v>
      </c>
      <c r="M248" s="11" t="s">
        <v>994</v>
      </c>
      <c r="N248" s="11" t="s">
        <v>994</v>
      </c>
      <c r="O248" s="11" t="s">
        <v>994</v>
      </c>
      <c r="P248" s="11" t="s">
        <v>994</v>
      </c>
      <c r="Q248" s="11" t="s">
        <v>994</v>
      </c>
      <c r="R248" s="11" t="s">
        <v>994</v>
      </c>
      <c r="S248" s="11" t="s">
        <v>994</v>
      </c>
      <c r="T248" s="11" t="s">
        <v>994</v>
      </c>
      <c r="U248" s="11" t="s">
        <v>994</v>
      </c>
      <c r="V248" s="11" t="s">
        <v>994</v>
      </c>
      <c r="W248" s="11" t="s">
        <v>994</v>
      </c>
      <c r="X248" s="11" t="s">
        <v>994</v>
      </c>
      <c r="Y248" s="11" t="s">
        <v>994</v>
      </c>
      <c r="Z248" s="11" t="s">
        <v>994</v>
      </c>
      <c r="AA248" s="11" t="s">
        <v>994</v>
      </c>
      <c r="AB248" s="11" t="s">
        <v>994</v>
      </c>
      <c r="AC248" s="11" t="s">
        <v>994</v>
      </c>
      <c r="AD248" s="11" t="s">
        <v>994</v>
      </c>
    </row>
    <row r="249">
      <c r="B249" s="12" t="s">
        <v>994</v>
      </c>
      <c r="C249" s="11" t="s">
        <v>994</v>
      </c>
      <c r="D249" s="11" t="s">
        <v>994</v>
      </c>
      <c r="E249" s="12" t="s">
        <v>994</v>
      </c>
      <c r="F249" s="12" t="s">
        <v>994</v>
      </c>
      <c r="G249" s="12" t="s">
        <v>994</v>
      </c>
      <c r="H249" s="12" t="s">
        <v>994</v>
      </c>
      <c r="I249" s="12" t="s">
        <v>994</v>
      </c>
      <c r="J249" s="12" t="s">
        <v>994</v>
      </c>
      <c r="K249" s="12" t="s">
        <v>994</v>
      </c>
      <c r="L249" s="13" t="s">
        <v>994</v>
      </c>
      <c r="M249" s="11" t="s">
        <v>994</v>
      </c>
      <c r="N249" s="11" t="s">
        <v>994</v>
      </c>
      <c r="O249" s="11" t="s">
        <v>994</v>
      </c>
      <c r="P249" s="11" t="s">
        <v>994</v>
      </c>
      <c r="Q249" s="11" t="s">
        <v>994</v>
      </c>
      <c r="R249" s="11" t="s">
        <v>994</v>
      </c>
      <c r="S249" s="11" t="s">
        <v>994</v>
      </c>
      <c r="T249" s="11" t="s">
        <v>994</v>
      </c>
      <c r="U249" s="11" t="s">
        <v>994</v>
      </c>
      <c r="V249" s="11" t="s">
        <v>994</v>
      </c>
      <c r="W249" s="11" t="s">
        <v>994</v>
      </c>
      <c r="X249" s="11" t="s">
        <v>994</v>
      </c>
      <c r="Y249" s="11" t="s">
        <v>994</v>
      </c>
      <c r="Z249" s="11" t="s">
        <v>994</v>
      </c>
      <c r="AA249" s="11" t="s">
        <v>994</v>
      </c>
      <c r="AB249" s="11" t="s">
        <v>994</v>
      </c>
      <c r="AC249" s="11" t="s">
        <v>994</v>
      </c>
      <c r="AD249" s="11" t="s">
        <v>994</v>
      </c>
    </row>
    <row r="250">
      <c r="B250" s="12" t="s">
        <v>994</v>
      </c>
      <c r="C250" s="11" t="s">
        <v>994</v>
      </c>
      <c r="D250" s="11" t="s">
        <v>994</v>
      </c>
      <c r="E250" s="12" t="s">
        <v>994</v>
      </c>
      <c r="F250" s="12" t="s">
        <v>994</v>
      </c>
      <c r="G250" s="12" t="s">
        <v>994</v>
      </c>
      <c r="H250" s="12" t="s">
        <v>994</v>
      </c>
      <c r="I250" s="12" t="s">
        <v>994</v>
      </c>
      <c r="J250" s="12" t="s">
        <v>994</v>
      </c>
      <c r="K250" s="12" t="s">
        <v>994</v>
      </c>
      <c r="L250" s="13" t="s">
        <v>994</v>
      </c>
      <c r="M250" s="11" t="s">
        <v>994</v>
      </c>
      <c r="N250" s="11" t="s">
        <v>994</v>
      </c>
      <c r="O250" s="11" t="s">
        <v>994</v>
      </c>
      <c r="P250" s="11" t="s">
        <v>994</v>
      </c>
      <c r="Q250" s="11" t="s">
        <v>994</v>
      </c>
      <c r="R250" s="11" t="s">
        <v>994</v>
      </c>
      <c r="S250" s="11" t="s">
        <v>994</v>
      </c>
      <c r="T250" s="11" t="s">
        <v>994</v>
      </c>
      <c r="U250" s="11" t="s">
        <v>994</v>
      </c>
      <c r="V250" s="11" t="s">
        <v>994</v>
      </c>
      <c r="W250" s="11" t="s">
        <v>994</v>
      </c>
      <c r="X250" s="11" t="s">
        <v>994</v>
      </c>
      <c r="Y250" s="11" t="s">
        <v>994</v>
      </c>
      <c r="Z250" s="11" t="s">
        <v>994</v>
      </c>
      <c r="AA250" s="11" t="s">
        <v>994</v>
      </c>
      <c r="AB250" s="11" t="s">
        <v>994</v>
      </c>
      <c r="AC250" s="11" t="s">
        <v>994</v>
      </c>
      <c r="AD250" s="11" t="s">
        <v>994</v>
      </c>
    </row>
    <row r="251">
      <c r="B251" s="12" t="s">
        <v>994</v>
      </c>
      <c r="C251" s="11" t="s">
        <v>994</v>
      </c>
      <c r="D251" s="11" t="s">
        <v>994</v>
      </c>
      <c r="E251" s="12" t="s">
        <v>994</v>
      </c>
      <c r="F251" s="12" t="s">
        <v>994</v>
      </c>
      <c r="G251" s="12" t="s">
        <v>994</v>
      </c>
      <c r="H251" s="12" t="s">
        <v>994</v>
      </c>
      <c r="I251" s="12" t="s">
        <v>994</v>
      </c>
      <c r="J251" s="12" t="s">
        <v>994</v>
      </c>
      <c r="K251" s="12" t="s">
        <v>994</v>
      </c>
      <c r="L251" s="13" t="s">
        <v>994</v>
      </c>
      <c r="M251" s="11" t="s">
        <v>994</v>
      </c>
      <c r="N251" s="11" t="s">
        <v>994</v>
      </c>
      <c r="O251" s="11" t="s">
        <v>994</v>
      </c>
      <c r="P251" s="11" t="s">
        <v>994</v>
      </c>
      <c r="Q251" s="11" t="s">
        <v>994</v>
      </c>
      <c r="R251" s="11" t="s">
        <v>994</v>
      </c>
      <c r="S251" s="11" t="s">
        <v>994</v>
      </c>
      <c r="T251" s="11" t="s">
        <v>994</v>
      </c>
      <c r="U251" s="11" t="s">
        <v>994</v>
      </c>
      <c r="V251" s="11" t="s">
        <v>994</v>
      </c>
      <c r="W251" s="11" t="s">
        <v>994</v>
      </c>
      <c r="X251" s="11" t="s">
        <v>994</v>
      </c>
      <c r="Y251" s="11" t="s">
        <v>994</v>
      </c>
      <c r="Z251" s="11" t="s">
        <v>994</v>
      </c>
      <c r="AA251" s="11" t="s">
        <v>994</v>
      </c>
      <c r="AB251" s="11" t="s">
        <v>994</v>
      </c>
      <c r="AC251" s="11" t="s">
        <v>994</v>
      </c>
      <c r="AD251" s="11" t="s">
        <v>994</v>
      </c>
    </row>
    <row r="252">
      <c r="B252" s="12" t="s">
        <v>994</v>
      </c>
      <c r="C252" s="11" t="s">
        <v>994</v>
      </c>
      <c r="D252" s="11" t="s">
        <v>994</v>
      </c>
      <c r="E252" s="12" t="s">
        <v>994</v>
      </c>
      <c r="F252" s="12" t="s">
        <v>994</v>
      </c>
      <c r="G252" s="12" t="s">
        <v>994</v>
      </c>
      <c r="H252" s="12" t="s">
        <v>994</v>
      </c>
      <c r="I252" s="12" t="s">
        <v>994</v>
      </c>
      <c r="J252" s="12" t="s">
        <v>994</v>
      </c>
      <c r="K252" s="12" t="s">
        <v>994</v>
      </c>
      <c r="L252" s="13" t="s">
        <v>994</v>
      </c>
      <c r="M252" s="11" t="s">
        <v>994</v>
      </c>
      <c r="N252" s="11" t="s">
        <v>994</v>
      </c>
      <c r="O252" s="11" t="s">
        <v>994</v>
      </c>
      <c r="P252" s="11" t="s">
        <v>994</v>
      </c>
      <c r="Q252" s="11" t="s">
        <v>994</v>
      </c>
      <c r="R252" s="11" t="s">
        <v>994</v>
      </c>
      <c r="S252" s="11" t="s">
        <v>994</v>
      </c>
      <c r="T252" s="11" t="s">
        <v>994</v>
      </c>
      <c r="U252" s="11" t="s">
        <v>994</v>
      </c>
      <c r="V252" s="11" t="s">
        <v>994</v>
      </c>
      <c r="W252" s="11" t="s">
        <v>994</v>
      </c>
      <c r="X252" s="11" t="s">
        <v>994</v>
      </c>
      <c r="Y252" s="11" t="s">
        <v>994</v>
      </c>
      <c r="Z252" s="11" t="s">
        <v>994</v>
      </c>
      <c r="AA252" s="11" t="s">
        <v>994</v>
      </c>
      <c r="AB252" s="11" t="s">
        <v>994</v>
      </c>
      <c r="AC252" s="11" t="s">
        <v>994</v>
      </c>
      <c r="AD252" s="11" t="s">
        <v>994</v>
      </c>
    </row>
    <row r="253">
      <c r="B253" s="12" t="s">
        <v>994</v>
      </c>
      <c r="C253" s="11" t="s">
        <v>994</v>
      </c>
      <c r="D253" s="11" t="s">
        <v>994</v>
      </c>
      <c r="E253" s="12" t="s">
        <v>994</v>
      </c>
      <c r="F253" s="12" t="s">
        <v>994</v>
      </c>
      <c r="G253" s="12" t="s">
        <v>994</v>
      </c>
      <c r="H253" s="12" t="s">
        <v>994</v>
      </c>
      <c r="I253" s="12" t="s">
        <v>994</v>
      </c>
      <c r="J253" s="12" t="s">
        <v>994</v>
      </c>
      <c r="K253" s="12" t="s">
        <v>994</v>
      </c>
      <c r="L253" s="13" t="s">
        <v>994</v>
      </c>
      <c r="M253" s="11" t="s">
        <v>994</v>
      </c>
      <c r="N253" s="11" t="s">
        <v>994</v>
      </c>
      <c r="O253" s="11" t="s">
        <v>994</v>
      </c>
      <c r="P253" s="11" t="s">
        <v>994</v>
      </c>
      <c r="Q253" s="11" t="s">
        <v>994</v>
      </c>
      <c r="R253" s="11" t="s">
        <v>994</v>
      </c>
      <c r="S253" s="11" t="s">
        <v>994</v>
      </c>
      <c r="T253" s="11" t="s">
        <v>994</v>
      </c>
      <c r="U253" s="11" t="s">
        <v>994</v>
      </c>
      <c r="V253" s="11" t="s">
        <v>994</v>
      </c>
      <c r="W253" s="11" t="s">
        <v>994</v>
      </c>
      <c r="X253" s="11" t="s">
        <v>994</v>
      </c>
      <c r="Y253" s="11" t="s">
        <v>994</v>
      </c>
      <c r="Z253" s="11" t="s">
        <v>994</v>
      </c>
      <c r="AA253" s="11" t="s">
        <v>994</v>
      </c>
      <c r="AB253" s="11" t="s">
        <v>994</v>
      </c>
      <c r="AC253" s="11" t="s">
        <v>994</v>
      </c>
      <c r="AD253" s="11" t="s">
        <v>994</v>
      </c>
    </row>
    <row r="254">
      <c r="B254" s="12" t="s">
        <v>994</v>
      </c>
      <c r="C254" s="11" t="s">
        <v>994</v>
      </c>
      <c r="D254" s="11" t="s">
        <v>994</v>
      </c>
      <c r="E254" s="12" t="s">
        <v>994</v>
      </c>
      <c r="F254" s="12" t="s">
        <v>994</v>
      </c>
      <c r="G254" s="12" t="s">
        <v>994</v>
      </c>
      <c r="H254" s="12" t="s">
        <v>994</v>
      </c>
      <c r="I254" s="12" t="s">
        <v>994</v>
      </c>
      <c r="J254" s="12" t="s">
        <v>994</v>
      </c>
      <c r="K254" s="12" t="s">
        <v>994</v>
      </c>
      <c r="L254" s="13" t="s">
        <v>994</v>
      </c>
      <c r="M254" s="11" t="s">
        <v>994</v>
      </c>
      <c r="N254" s="11" t="s">
        <v>994</v>
      </c>
      <c r="O254" s="11" t="s">
        <v>994</v>
      </c>
      <c r="P254" s="11" t="s">
        <v>994</v>
      </c>
      <c r="Q254" s="11" t="s">
        <v>994</v>
      </c>
      <c r="R254" s="11" t="s">
        <v>994</v>
      </c>
      <c r="S254" s="11" t="s">
        <v>994</v>
      </c>
      <c r="T254" s="11" t="s">
        <v>994</v>
      </c>
      <c r="U254" s="11" t="s">
        <v>994</v>
      </c>
      <c r="V254" s="11" t="s">
        <v>994</v>
      </c>
      <c r="W254" s="11" t="s">
        <v>994</v>
      </c>
      <c r="X254" s="11" t="s">
        <v>994</v>
      </c>
      <c r="Y254" s="11" t="s">
        <v>994</v>
      </c>
      <c r="Z254" s="11" t="s">
        <v>994</v>
      </c>
      <c r="AA254" s="11" t="s">
        <v>994</v>
      </c>
      <c r="AB254" s="11" t="s">
        <v>994</v>
      </c>
      <c r="AC254" s="11" t="s">
        <v>994</v>
      </c>
      <c r="AD254" s="11" t="s">
        <v>994</v>
      </c>
    </row>
    <row r="255">
      <c r="B255" s="12" t="s">
        <v>994</v>
      </c>
      <c r="C255" s="11" t="s">
        <v>994</v>
      </c>
      <c r="D255" s="11" t="s">
        <v>994</v>
      </c>
      <c r="E255" s="12" t="s">
        <v>994</v>
      </c>
      <c r="F255" s="12" t="s">
        <v>994</v>
      </c>
      <c r="G255" s="12" t="s">
        <v>994</v>
      </c>
      <c r="H255" s="12" t="s">
        <v>994</v>
      </c>
      <c r="I255" s="12" t="s">
        <v>994</v>
      </c>
      <c r="J255" s="12" t="s">
        <v>994</v>
      </c>
      <c r="K255" s="12" t="s">
        <v>994</v>
      </c>
      <c r="L255" s="13" t="s">
        <v>994</v>
      </c>
      <c r="M255" s="11" t="s">
        <v>994</v>
      </c>
      <c r="N255" s="11" t="s">
        <v>994</v>
      </c>
      <c r="O255" s="11" t="s">
        <v>994</v>
      </c>
      <c r="P255" s="11" t="s">
        <v>994</v>
      </c>
      <c r="Q255" s="11" t="s">
        <v>994</v>
      </c>
      <c r="R255" s="11" t="s">
        <v>994</v>
      </c>
      <c r="S255" s="11" t="s">
        <v>994</v>
      </c>
      <c r="T255" s="11" t="s">
        <v>994</v>
      </c>
      <c r="U255" s="11" t="s">
        <v>994</v>
      </c>
      <c r="V255" s="11" t="s">
        <v>994</v>
      </c>
      <c r="W255" s="11" t="s">
        <v>994</v>
      </c>
      <c r="X255" s="11" t="s">
        <v>994</v>
      </c>
      <c r="Y255" s="11" t="s">
        <v>994</v>
      </c>
      <c r="Z255" s="11" t="s">
        <v>994</v>
      </c>
      <c r="AA255" s="11" t="s">
        <v>994</v>
      </c>
      <c r="AB255" s="11" t="s">
        <v>994</v>
      </c>
      <c r="AC255" s="11" t="s">
        <v>994</v>
      </c>
      <c r="AD255" s="11" t="s">
        <v>994</v>
      </c>
    </row>
    <row r="256">
      <c r="B256" s="12" t="s">
        <v>994</v>
      </c>
      <c r="C256" s="11" t="s">
        <v>994</v>
      </c>
      <c r="D256" s="11" t="s">
        <v>994</v>
      </c>
      <c r="E256" s="12" t="s">
        <v>994</v>
      </c>
      <c r="F256" s="12" t="s">
        <v>994</v>
      </c>
      <c r="G256" s="12" t="s">
        <v>994</v>
      </c>
      <c r="H256" s="12" t="s">
        <v>994</v>
      </c>
      <c r="I256" s="12" t="s">
        <v>994</v>
      </c>
      <c r="J256" s="12" t="s">
        <v>994</v>
      </c>
      <c r="K256" s="12" t="s">
        <v>994</v>
      </c>
      <c r="L256" s="13" t="s">
        <v>994</v>
      </c>
      <c r="M256" s="11" t="s">
        <v>994</v>
      </c>
      <c r="N256" s="11" t="s">
        <v>994</v>
      </c>
      <c r="O256" s="11" t="s">
        <v>994</v>
      </c>
      <c r="P256" s="11" t="s">
        <v>994</v>
      </c>
      <c r="Q256" s="11" t="s">
        <v>994</v>
      </c>
      <c r="R256" s="11" t="s">
        <v>994</v>
      </c>
      <c r="S256" s="11" t="s">
        <v>994</v>
      </c>
      <c r="T256" s="11" t="s">
        <v>994</v>
      </c>
      <c r="U256" s="11" t="s">
        <v>994</v>
      </c>
      <c r="V256" s="11" t="s">
        <v>994</v>
      </c>
      <c r="W256" s="11" t="s">
        <v>994</v>
      </c>
      <c r="X256" s="11" t="s">
        <v>994</v>
      </c>
      <c r="Y256" s="11" t="s">
        <v>994</v>
      </c>
      <c r="Z256" s="11" t="s">
        <v>994</v>
      </c>
      <c r="AA256" s="11" t="s">
        <v>994</v>
      </c>
      <c r="AB256" s="11" t="s">
        <v>994</v>
      </c>
      <c r="AC256" s="11" t="s">
        <v>994</v>
      </c>
      <c r="AD256" s="11" t="s">
        <v>994</v>
      </c>
    </row>
    <row r="257">
      <c r="B257" s="12" t="s">
        <v>994</v>
      </c>
      <c r="C257" s="11" t="s">
        <v>994</v>
      </c>
      <c r="D257" s="11" t="s">
        <v>994</v>
      </c>
      <c r="E257" s="12" t="s">
        <v>994</v>
      </c>
      <c r="F257" s="12" t="s">
        <v>994</v>
      </c>
      <c r="G257" s="12" t="s">
        <v>994</v>
      </c>
      <c r="H257" s="12" t="s">
        <v>994</v>
      </c>
      <c r="I257" s="12" t="s">
        <v>994</v>
      </c>
      <c r="J257" s="12" t="s">
        <v>994</v>
      </c>
      <c r="K257" s="12" t="s">
        <v>994</v>
      </c>
      <c r="L257" s="13" t="s">
        <v>994</v>
      </c>
      <c r="M257" s="11" t="s">
        <v>994</v>
      </c>
      <c r="N257" s="11" t="s">
        <v>994</v>
      </c>
      <c r="O257" s="11" t="s">
        <v>994</v>
      </c>
      <c r="P257" s="11" t="s">
        <v>994</v>
      </c>
      <c r="Q257" s="11" t="s">
        <v>994</v>
      </c>
      <c r="R257" s="11" t="s">
        <v>994</v>
      </c>
      <c r="S257" s="11" t="s">
        <v>994</v>
      </c>
      <c r="T257" s="11" t="s">
        <v>994</v>
      </c>
      <c r="U257" s="11" t="s">
        <v>994</v>
      </c>
      <c r="V257" s="11" t="s">
        <v>994</v>
      </c>
      <c r="W257" s="11" t="s">
        <v>994</v>
      </c>
      <c r="X257" s="11" t="s">
        <v>994</v>
      </c>
      <c r="Y257" s="11" t="s">
        <v>994</v>
      </c>
      <c r="Z257" s="11" t="s">
        <v>994</v>
      </c>
      <c r="AA257" s="11" t="s">
        <v>994</v>
      </c>
      <c r="AB257" s="11" t="s">
        <v>994</v>
      </c>
      <c r="AC257" s="11" t="s">
        <v>994</v>
      </c>
      <c r="AD257" s="11" t="s">
        <v>994</v>
      </c>
    </row>
    <row r="258">
      <c r="B258" s="12" t="s">
        <v>994</v>
      </c>
      <c r="C258" s="11" t="s">
        <v>994</v>
      </c>
      <c r="D258" s="11" t="s">
        <v>994</v>
      </c>
      <c r="E258" s="12" t="s">
        <v>994</v>
      </c>
      <c r="F258" s="12" t="s">
        <v>994</v>
      </c>
      <c r="G258" s="12" t="s">
        <v>994</v>
      </c>
      <c r="H258" s="12" t="s">
        <v>994</v>
      </c>
      <c r="I258" s="12" t="s">
        <v>994</v>
      </c>
      <c r="J258" s="12" t="s">
        <v>994</v>
      </c>
      <c r="K258" s="12" t="s">
        <v>994</v>
      </c>
      <c r="L258" s="13" t="s">
        <v>994</v>
      </c>
      <c r="M258" s="11" t="s">
        <v>994</v>
      </c>
      <c r="N258" s="11" t="s">
        <v>994</v>
      </c>
      <c r="O258" s="11" t="s">
        <v>994</v>
      </c>
      <c r="P258" s="11" t="s">
        <v>994</v>
      </c>
      <c r="Q258" s="11" t="s">
        <v>994</v>
      </c>
      <c r="R258" s="11" t="s">
        <v>994</v>
      </c>
      <c r="S258" s="11" t="s">
        <v>994</v>
      </c>
      <c r="T258" s="11" t="s">
        <v>994</v>
      </c>
      <c r="U258" s="11" t="s">
        <v>994</v>
      </c>
      <c r="V258" s="11" t="s">
        <v>994</v>
      </c>
      <c r="W258" s="11" t="s">
        <v>994</v>
      </c>
      <c r="X258" s="11" t="s">
        <v>994</v>
      </c>
      <c r="Y258" s="11" t="s">
        <v>994</v>
      </c>
      <c r="Z258" s="11" t="s">
        <v>994</v>
      </c>
      <c r="AA258" s="11" t="s">
        <v>994</v>
      </c>
      <c r="AB258" s="11" t="s">
        <v>994</v>
      </c>
      <c r="AC258" s="11" t="s">
        <v>994</v>
      </c>
      <c r="AD258" s="11" t="s">
        <v>994</v>
      </c>
    </row>
    <row r="259">
      <c r="B259" s="12" t="s">
        <v>994</v>
      </c>
      <c r="C259" s="11" t="s">
        <v>994</v>
      </c>
      <c r="D259" s="11" t="s">
        <v>994</v>
      </c>
      <c r="E259" s="12" t="s">
        <v>994</v>
      </c>
      <c r="F259" s="12" t="s">
        <v>994</v>
      </c>
      <c r="G259" s="12" t="s">
        <v>994</v>
      </c>
      <c r="H259" s="12" t="s">
        <v>994</v>
      </c>
      <c r="I259" s="12" t="s">
        <v>994</v>
      </c>
      <c r="J259" s="12" t="s">
        <v>994</v>
      </c>
      <c r="K259" s="12" t="s">
        <v>994</v>
      </c>
      <c r="L259" s="13" t="s">
        <v>994</v>
      </c>
      <c r="M259" s="11" t="s">
        <v>994</v>
      </c>
      <c r="N259" s="11" t="s">
        <v>994</v>
      </c>
      <c r="O259" s="11" t="s">
        <v>994</v>
      </c>
      <c r="P259" s="11" t="s">
        <v>994</v>
      </c>
      <c r="Q259" s="11" t="s">
        <v>994</v>
      </c>
      <c r="R259" s="11" t="s">
        <v>994</v>
      </c>
      <c r="S259" s="11" t="s">
        <v>994</v>
      </c>
      <c r="T259" s="11" t="s">
        <v>994</v>
      </c>
      <c r="U259" s="11" t="s">
        <v>994</v>
      </c>
      <c r="V259" s="11" t="s">
        <v>994</v>
      </c>
      <c r="W259" s="11" t="s">
        <v>994</v>
      </c>
      <c r="X259" s="11" t="s">
        <v>994</v>
      </c>
      <c r="Y259" s="11" t="s">
        <v>994</v>
      </c>
      <c r="Z259" s="11" t="s">
        <v>994</v>
      </c>
      <c r="AA259" s="11" t="s">
        <v>994</v>
      </c>
      <c r="AB259" s="11" t="s">
        <v>994</v>
      </c>
      <c r="AC259" s="11" t="s">
        <v>994</v>
      </c>
      <c r="AD259" s="11" t="s">
        <v>994</v>
      </c>
    </row>
    <row r="260">
      <c r="B260" s="12" t="s">
        <v>994</v>
      </c>
      <c r="C260" s="11" t="s">
        <v>994</v>
      </c>
      <c r="D260" s="11" t="s">
        <v>994</v>
      </c>
      <c r="E260" s="12" t="s">
        <v>994</v>
      </c>
      <c r="F260" s="12" t="s">
        <v>994</v>
      </c>
      <c r="G260" s="12" t="s">
        <v>994</v>
      </c>
      <c r="H260" s="12" t="s">
        <v>994</v>
      </c>
      <c r="I260" s="12" t="s">
        <v>994</v>
      </c>
      <c r="J260" s="12" t="s">
        <v>994</v>
      </c>
      <c r="K260" s="12" t="s">
        <v>994</v>
      </c>
      <c r="L260" s="13" t="s">
        <v>994</v>
      </c>
      <c r="M260" s="11" t="s">
        <v>994</v>
      </c>
      <c r="N260" s="11" t="s">
        <v>994</v>
      </c>
      <c r="O260" s="11" t="s">
        <v>994</v>
      </c>
      <c r="P260" s="11" t="s">
        <v>994</v>
      </c>
      <c r="Q260" s="11" t="s">
        <v>994</v>
      </c>
      <c r="R260" s="11" t="s">
        <v>994</v>
      </c>
      <c r="S260" s="11" t="s">
        <v>994</v>
      </c>
      <c r="T260" s="11" t="s">
        <v>994</v>
      </c>
      <c r="U260" s="11" t="s">
        <v>994</v>
      </c>
      <c r="V260" s="11" t="s">
        <v>994</v>
      </c>
      <c r="W260" s="11" t="s">
        <v>994</v>
      </c>
      <c r="X260" s="11" t="s">
        <v>994</v>
      </c>
      <c r="Y260" s="11" t="s">
        <v>994</v>
      </c>
      <c r="Z260" s="11" t="s">
        <v>994</v>
      </c>
      <c r="AA260" s="11" t="s">
        <v>994</v>
      </c>
      <c r="AB260" s="11" t="s">
        <v>994</v>
      </c>
      <c r="AC260" s="11" t="s">
        <v>994</v>
      </c>
      <c r="AD260" s="11" t="s">
        <v>994</v>
      </c>
    </row>
    <row r="261">
      <c r="B261" s="12" t="s">
        <v>994</v>
      </c>
      <c r="C261" s="11" t="s">
        <v>994</v>
      </c>
      <c r="D261" s="11" t="s">
        <v>994</v>
      </c>
      <c r="E261" s="12" t="s">
        <v>994</v>
      </c>
      <c r="F261" s="12" t="s">
        <v>994</v>
      </c>
      <c r="G261" s="12" t="s">
        <v>994</v>
      </c>
      <c r="H261" s="12" t="s">
        <v>994</v>
      </c>
      <c r="I261" s="12" t="s">
        <v>994</v>
      </c>
      <c r="J261" s="12" t="s">
        <v>994</v>
      </c>
      <c r="K261" s="12" t="s">
        <v>994</v>
      </c>
      <c r="L261" s="13" t="s">
        <v>994</v>
      </c>
      <c r="M261" s="11" t="s">
        <v>994</v>
      </c>
      <c r="N261" s="11" t="s">
        <v>994</v>
      </c>
      <c r="O261" s="11" t="s">
        <v>994</v>
      </c>
      <c r="P261" s="11" t="s">
        <v>994</v>
      </c>
      <c r="Q261" s="11" t="s">
        <v>994</v>
      </c>
      <c r="R261" s="11" t="s">
        <v>994</v>
      </c>
      <c r="S261" s="11" t="s">
        <v>994</v>
      </c>
      <c r="T261" s="11" t="s">
        <v>994</v>
      </c>
      <c r="U261" s="11" t="s">
        <v>994</v>
      </c>
      <c r="V261" s="11" t="s">
        <v>994</v>
      </c>
      <c r="W261" s="11" t="s">
        <v>994</v>
      </c>
      <c r="X261" s="11" t="s">
        <v>994</v>
      </c>
      <c r="Y261" s="11" t="s">
        <v>994</v>
      </c>
      <c r="Z261" s="11" t="s">
        <v>994</v>
      </c>
      <c r="AA261" s="11" t="s">
        <v>994</v>
      </c>
      <c r="AB261" s="11" t="s">
        <v>994</v>
      </c>
      <c r="AC261" s="11" t="s">
        <v>994</v>
      </c>
      <c r="AD261" s="11" t="s">
        <v>994</v>
      </c>
    </row>
    <row r="262">
      <c r="B262" s="12" t="s">
        <v>994</v>
      </c>
      <c r="C262" s="11" t="s">
        <v>994</v>
      </c>
      <c r="D262" s="11" t="s">
        <v>994</v>
      </c>
      <c r="E262" s="12" t="s">
        <v>994</v>
      </c>
      <c r="F262" s="12" t="s">
        <v>994</v>
      </c>
      <c r="G262" s="12" t="s">
        <v>994</v>
      </c>
      <c r="H262" s="12" t="s">
        <v>994</v>
      </c>
      <c r="I262" s="12" t="s">
        <v>994</v>
      </c>
      <c r="J262" s="12" t="s">
        <v>994</v>
      </c>
      <c r="K262" s="12" t="s">
        <v>994</v>
      </c>
      <c r="L262" s="13" t="s">
        <v>994</v>
      </c>
      <c r="M262" s="11" t="s">
        <v>994</v>
      </c>
      <c r="N262" s="11" t="s">
        <v>994</v>
      </c>
      <c r="O262" s="11" t="s">
        <v>994</v>
      </c>
      <c r="P262" s="11" t="s">
        <v>994</v>
      </c>
      <c r="Q262" s="11" t="s">
        <v>994</v>
      </c>
      <c r="R262" s="11" t="s">
        <v>994</v>
      </c>
      <c r="S262" s="11" t="s">
        <v>994</v>
      </c>
      <c r="T262" s="11" t="s">
        <v>994</v>
      </c>
      <c r="U262" s="11" t="s">
        <v>994</v>
      </c>
      <c r="V262" s="11" t="s">
        <v>994</v>
      </c>
      <c r="W262" s="11" t="s">
        <v>994</v>
      </c>
      <c r="X262" s="11" t="s">
        <v>994</v>
      </c>
      <c r="Y262" s="11" t="s">
        <v>994</v>
      </c>
      <c r="Z262" s="11" t="s">
        <v>994</v>
      </c>
      <c r="AA262" s="11" t="s">
        <v>994</v>
      </c>
      <c r="AB262" s="11" t="s">
        <v>994</v>
      </c>
      <c r="AC262" s="11" t="s">
        <v>994</v>
      </c>
      <c r="AD262" s="11" t="s">
        <v>994</v>
      </c>
    </row>
    <row r="263">
      <c r="B263" s="12" t="s">
        <v>994</v>
      </c>
      <c r="C263" s="11" t="s">
        <v>994</v>
      </c>
      <c r="D263" s="11" t="s">
        <v>994</v>
      </c>
      <c r="E263" s="12" t="s">
        <v>994</v>
      </c>
      <c r="F263" s="12" t="s">
        <v>994</v>
      </c>
      <c r="G263" s="12" t="s">
        <v>994</v>
      </c>
      <c r="H263" s="12" t="s">
        <v>994</v>
      </c>
      <c r="I263" s="12" t="s">
        <v>994</v>
      </c>
      <c r="J263" s="12" t="s">
        <v>994</v>
      </c>
      <c r="K263" s="12" t="s">
        <v>994</v>
      </c>
      <c r="L263" s="13" t="s">
        <v>994</v>
      </c>
      <c r="M263" s="11" t="s">
        <v>994</v>
      </c>
      <c r="N263" s="11" t="s">
        <v>994</v>
      </c>
      <c r="O263" s="11" t="s">
        <v>994</v>
      </c>
      <c r="P263" s="11" t="s">
        <v>994</v>
      </c>
      <c r="Q263" s="11" t="s">
        <v>994</v>
      </c>
      <c r="R263" s="11" t="s">
        <v>994</v>
      </c>
      <c r="S263" s="11" t="s">
        <v>994</v>
      </c>
      <c r="T263" s="11" t="s">
        <v>994</v>
      </c>
      <c r="U263" s="11" t="s">
        <v>994</v>
      </c>
      <c r="V263" s="11" t="s">
        <v>994</v>
      </c>
      <c r="W263" s="11" t="s">
        <v>994</v>
      </c>
      <c r="X263" s="11" t="s">
        <v>994</v>
      </c>
      <c r="Y263" s="11" t="s">
        <v>994</v>
      </c>
      <c r="Z263" s="11" t="s">
        <v>994</v>
      </c>
      <c r="AA263" s="11" t="s">
        <v>994</v>
      </c>
      <c r="AB263" s="11" t="s">
        <v>994</v>
      </c>
      <c r="AC263" s="11" t="s">
        <v>994</v>
      </c>
      <c r="AD263" s="11" t="s">
        <v>994</v>
      </c>
    </row>
    <row r="264">
      <c r="B264" s="12" t="s">
        <v>994</v>
      </c>
      <c r="C264" s="11" t="s">
        <v>994</v>
      </c>
      <c r="D264" s="11" t="s">
        <v>994</v>
      </c>
      <c r="E264" s="12" t="s">
        <v>994</v>
      </c>
      <c r="F264" s="12" t="s">
        <v>994</v>
      </c>
      <c r="G264" s="12" t="s">
        <v>994</v>
      </c>
      <c r="H264" s="12" t="s">
        <v>994</v>
      </c>
      <c r="I264" s="12" t="s">
        <v>994</v>
      </c>
      <c r="J264" s="12" t="s">
        <v>994</v>
      </c>
      <c r="K264" s="12" t="s">
        <v>994</v>
      </c>
      <c r="L264" s="13" t="s">
        <v>994</v>
      </c>
      <c r="M264" s="11" t="s">
        <v>994</v>
      </c>
      <c r="N264" s="11" t="s">
        <v>994</v>
      </c>
      <c r="O264" s="11" t="s">
        <v>994</v>
      </c>
      <c r="P264" s="11" t="s">
        <v>994</v>
      </c>
      <c r="Q264" s="11" t="s">
        <v>994</v>
      </c>
      <c r="R264" s="11" t="s">
        <v>994</v>
      </c>
      <c r="S264" s="11" t="s">
        <v>994</v>
      </c>
      <c r="T264" s="11" t="s">
        <v>994</v>
      </c>
      <c r="U264" s="11" t="s">
        <v>994</v>
      </c>
      <c r="V264" s="11" t="s">
        <v>994</v>
      </c>
      <c r="W264" s="11" t="s">
        <v>994</v>
      </c>
      <c r="X264" s="11" t="s">
        <v>994</v>
      </c>
      <c r="Y264" s="11" t="s">
        <v>994</v>
      </c>
      <c r="Z264" s="11" t="s">
        <v>994</v>
      </c>
      <c r="AA264" s="11" t="s">
        <v>994</v>
      </c>
      <c r="AB264" s="11" t="s">
        <v>994</v>
      </c>
      <c r="AC264" s="11" t="s">
        <v>994</v>
      </c>
      <c r="AD264" s="11" t="s">
        <v>994</v>
      </c>
    </row>
    <row r="265">
      <c r="B265" s="12" t="s">
        <v>994</v>
      </c>
      <c r="C265" s="11" t="s">
        <v>994</v>
      </c>
      <c r="D265" s="11" t="s">
        <v>994</v>
      </c>
      <c r="E265" s="12" t="s">
        <v>994</v>
      </c>
      <c r="F265" s="12" t="s">
        <v>994</v>
      </c>
      <c r="G265" s="12" t="s">
        <v>994</v>
      </c>
      <c r="H265" s="12" t="s">
        <v>994</v>
      </c>
      <c r="I265" s="12" t="s">
        <v>994</v>
      </c>
      <c r="J265" s="12" t="s">
        <v>994</v>
      </c>
      <c r="K265" s="12" t="s">
        <v>994</v>
      </c>
      <c r="L265" s="13" t="s">
        <v>994</v>
      </c>
      <c r="M265" s="11" t="s">
        <v>994</v>
      </c>
      <c r="N265" s="11" t="s">
        <v>994</v>
      </c>
      <c r="O265" s="11" t="s">
        <v>994</v>
      </c>
      <c r="P265" s="11" t="s">
        <v>994</v>
      </c>
      <c r="Q265" s="11" t="s">
        <v>994</v>
      </c>
      <c r="R265" s="11" t="s">
        <v>994</v>
      </c>
      <c r="S265" s="11" t="s">
        <v>994</v>
      </c>
      <c r="T265" s="11" t="s">
        <v>994</v>
      </c>
      <c r="U265" s="11" t="s">
        <v>994</v>
      </c>
      <c r="V265" s="11" t="s">
        <v>994</v>
      </c>
      <c r="W265" s="11" t="s">
        <v>994</v>
      </c>
      <c r="X265" s="11" t="s">
        <v>994</v>
      </c>
      <c r="Y265" s="11" t="s">
        <v>994</v>
      </c>
      <c r="Z265" s="11" t="s">
        <v>994</v>
      </c>
      <c r="AA265" s="11" t="s">
        <v>994</v>
      </c>
      <c r="AB265" s="11" t="s">
        <v>994</v>
      </c>
      <c r="AC265" s="11" t="s">
        <v>994</v>
      </c>
      <c r="AD265" s="11" t="s">
        <v>994</v>
      </c>
    </row>
    <row r="266">
      <c r="B266" s="12" t="s">
        <v>994</v>
      </c>
      <c r="C266" s="11" t="s">
        <v>994</v>
      </c>
      <c r="D266" s="11" t="s">
        <v>994</v>
      </c>
      <c r="E266" s="12" t="s">
        <v>994</v>
      </c>
      <c r="F266" s="12" t="s">
        <v>994</v>
      </c>
      <c r="G266" s="12" t="s">
        <v>994</v>
      </c>
      <c r="H266" s="12" t="s">
        <v>994</v>
      </c>
      <c r="I266" s="12" t="s">
        <v>994</v>
      </c>
      <c r="J266" s="12" t="s">
        <v>994</v>
      </c>
      <c r="K266" s="12" t="s">
        <v>994</v>
      </c>
      <c r="L266" s="13" t="s">
        <v>994</v>
      </c>
      <c r="M266" s="11" t="s">
        <v>994</v>
      </c>
      <c r="N266" s="11" t="s">
        <v>994</v>
      </c>
      <c r="O266" s="11" t="s">
        <v>994</v>
      </c>
      <c r="P266" s="11" t="s">
        <v>994</v>
      </c>
      <c r="Q266" s="11" t="s">
        <v>994</v>
      </c>
      <c r="R266" s="11" t="s">
        <v>994</v>
      </c>
      <c r="S266" s="11" t="s">
        <v>994</v>
      </c>
      <c r="T266" s="11" t="s">
        <v>994</v>
      </c>
      <c r="U266" s="11" t="s">
        <v>994</v>
      </c>
      <c r="V266" s="11" t="s">
        <v>994</v>
      </c>
      <c r="W266" s="11" t="s">
        <v>994</v>
      </c>
      <c r="X266" s="11" t="s">
        <v>994</v>
      </c>
      <c r="Y266" s="11" t="s">
        <v>994</v>
      </c>
      <c r="Z266" s="11" t="s">
        <v>994</v>
      </c>
      <c r="AA266" s="11" t="s">
        <v>994</v>
      </c>
      <c r="AB266" s="11" t="s">
        <v>994</v>
      </c>
      <c r="AC266" s="11" t="s">
        <v>994</v>
      </c>
      <c r="AD266" s="11" t="s">
        <v>994</v>
      </c>
    </row>
    <row r="267">
      <c r="B267" s="12" t="s">
        <v>994</v>
      </c>
      <c r="C267" s="11" t="s">
        <v>994</v>
      </c>
      <c r="D267" s="11" t="s">
        <v>994</v>
      </c>
      <c r="E267" s="12" t="s">
        <v>994</v>
      </c>
      <c r="F267" s="12" t="s">
        <v>994</v>
      </c>
      <c r="G267" s="12" t="s">
        <v>994</v>
      </c>
      <c r="H267" s="12" t="s">
        <v>994</v>
      </c>
      <c r="I267" s="12" t="s">
        <v>994</v>
      </c>
      <c r="J267" s="12" t="s">
        <v>994</v>
      </c>
      <c r="K267" s="12" t="s">
        <v>994</v>
      </c>
      <c r="L267" s="13" t="s">
        <v>994</v>
      </c>
      <c r="M267" s="11" t="s">
        <v>994</v>
      </c>
      <c r="N267" s="11" t="s">
        <v>994</v>
      </c>
      <c r="O267" s="11" t="s">
        <v>994</v>
      </c>
      <c r="P267" s="11" t="s">
        <v>994</v>
      </c>
      <c r="Q267" s="11" t="s">
        <v>994</v>
      </c>
      <c r="R267" s="11" t="s">
        <v>994</v>
      </c>
      <c r="S267" s="11" t="s">
        <v>994</v>
      </c>
      <c r="T267" s="11" t="s">
        <v>994</v>
      </c>
      <c r="U267" s="11" t="s">
        <v>994</v>
      </c>
      <c r="V267" s="11" t="s">
        <v>994</v>
      </c>
      <c r="W267" s="11" t="s">
        <v>994</v>
      </c>
      <c r="X267" s="11" t="s">
        <v>994</v>
      </c>
      <c r="Y267" s="11" t="s">
        <v>994</v>
      </c>
      <c r="Z267" s="11" t="s">
        <v>994</v>
      </c>
      <c r="AA267" s="11" t="s">
        <v>994</v>
      </c>
      <c r="AB267" s="11" t="s">
        <v>994</v>
      </c>
      <c r="AC267" s="11" t="s">
        <v>994</v>
      </c>
      <c r="AD267" s="11" t="s">
        <v>994</v>
      </c>
    </row>
    <row r="268">
      <c r="B268" s="12" t="s">
        <v>994</v>
      </c>
      <c r="C268" s="11" t="s">
        <v>994</v>
      </c>
      <c r="D268" s="11" t="s">
        <v>994</v>
      </c>
      <c r="E268" s="12" t="s">
        <v>994</v>
      </c>
      <c r="F268" s="12" t="s">
        <v>994</v>
      </c>
      <c r="G268" s="12" t="s">
        <v>994</v>
      </c>
      <c r="H268" s="12" t="s">
        <v>994</v>
      </c>
      <c r="I268" s="12" t="s">
        <v>994</v>
      </c>
      <c r="J268" s="12" t="s">
        <v>994</v>
      </c>
      <c r="K268" s="12" t="s">
        <v>994</v>
      </c>
      <c r="L268" s="13" t="s">
        <v>994</v>
      </c>
      <c r="M268" s="11" t="s">
        <v>994</v>
      </c>
      <c r="N268" s="11" t="s">
        <v>994</v>
      </c>
      <c r="O268" s="11" t="s">
        <v>994</v>
      </c>
      <c r="P268" s="11" t="s">
        <v>994</v>
      </c>
      <c r="Q268" s="11" t="s">
        <v>994</v>
      </c>
      <c r="R268" s="11" t="s">
        <v>994</v>
      </c>
      <c r="S268" s="11" t="s">
        <v>994</v>
      </c>
      <c r="T268" s="11" t="s">
        <v>994</v>
      </c>
      <c r="U268" s="11" t="s">
        <v>994</v>
      </c>
      <c r="V268" s="11" t="s">
        <v>994</v>
      </c>
      <c r="W268" s="11" t="s">
        <v>994</v>
      </c>
      <c r="X268" s="11" t="s">
        <v>994</v>
      </c>
      <c r="Y268" s="11" t="s">
        <v>994</v>
      </c>
      <c r="Z268" s="11" t="s">
        <v>994</v>
      </c>
      <c r="AA268" s="11" t="s">
        <v>994</v>
      </c>
      <c r="AB268" s="11" t="s">
        <v>994</v>
      </c>
      <c r="AC268" s="11" t="s">
        <v>994</v>
      </c>
      <c r="AD268" s="11" t="s">
        <v>994</v>
      </c>
    </row>
    <row r="269">
      <c r="B269" s="12" t="s">
        <v>994</v>
      </c>
      <c r="C269" s="11" t="s">
        <v>994</v>
      </c>
      <c r="D269" s="11" t="s">
        <v>994</v>
      </c>
      <c r="E269" s="12" t="s">
        <v>994</v>
      </c>
      <c r="F269" s="12" t="s">
        <v>994</v>
      </c>
      <c r="G269" s="12" t="s">
        <v>994</v>
      </c>
      <c r="H269" s="12" t="s">
        <v>994</v>
      </c>
      <c r="I269" s="12" t="s">
        <v>994</v>
      </c>
      <c r="J269" s="12" t="s">
        <v>994</v>
      </c>
      <c r="K269" s="12" t="s">
        <v>994</v>
      </c>
      <c r="L269" s="13" t="s">
        <v>994</v>
      </c>
      <c r="M269" s="11" t="s">
        <v>994</v>
      </c>
      <c r="N269" s="11" t="s">
        <v>994</v>
      </c>
      <c r="O269" s="11" t="s">
        <v>994</v>
      </c>
      <c r="P269" s="11" t="s">
        <v>994</v>
      </c>
      <c r="Q269" s="11" t="s">
        <v>994</v>
      </c>
      <c r="R269" s="11" t="s">
        <v>994</v>
      </c>
      <c r="S269" s="11" t="s">
        <v>994</v>
      </c>
      <c r="T269" s="11" t="s">
        <v>994</v>
      </c>
      <c r="U269" s="11" t="s">
        <v>994</v>
      </c>
      <c r="V269" s="11" t="s">
        <v>994</v>
      </c>
      <c r="W269" s="11" t="s">
        <v>994</v>
      </c>
      <c r="X269" s="11" t="s">
        <v>994</v>
      </c>
      <c r="Y269" s="11" t="s">
        <v>994</v>
      </c>
      <c r="Z269" s="11" t="s">
        <v>994</v>
      </c>
      <c r="AA269" s="11" t="s">
        <v>994</v>
      </c>
      <c r="AB269" s="11" t="s">
        <v>994</v>
      </c>
      <c r="AC269" s="11" t="s">
        <v>994</v>
      </c>
      <c r="AD269" s="11" t="s">
        <v>994</v>
      </c>
    </row>
    <row r="270">
      <c r="B270" s="12" t="s">
        <v>994</v>
      </c>
      <c r="C270" s="11" t="s">
        <v>994</v>
      </c>
      <c r="D270" s="11" t="s">
        <v>994</v>
      </c>
      <c r="E270" s="12" t="s">
        <v>994</v>
      </c>
      <c r="F270" s="12" t="s">
        <v>994</v>
      </c>
      <c r="G270" s="12" t="s">
        <v>994</v>
      </c>
      <c r="H270" s="12" t="s">
        <v>994</v>
      </c>
      <c r="I270" s="12" t="s">
        <v>994</v>
      </c>
      <c r="J270" s="12" t="s">
        <v>994</v>
      </c>
      <c r="K270" s="12" t="s">
        <v>994</v>
      </c>
      <c r="L270" s="13" t="s">
        <v>994</v>
      </c>
      <c r="M270" s="11" t="s">
        <v>994</v>
      </c>
      <c r="N270" s="11" t="s">
        <v>994</v>
      </c>
      <c r="O270" s="11" t="s">
        <v>994</v>
      </c>
      <c r="P270" s="11" t="s">
        <v>994</v>
      </c>
      <c r="Q270" s="11" t="s">
        <v>994</v>
      </c>
      <c r="R270" s="11" t="s">
        <v>994</v>
      </c>
      <c r="S270" s="11" t="s">
        <v>994</v>
      </c>
      <c r="T270" s="11" t="s">
        <v>994</v>
      </c>
      <c r="U270" s="11" t="s">
        <v>994</v>
      </c>
      <c r="V270" s="11" t="s">
        <v>994</v>
      </c>
      <c r="W270" s="11" t="s">
        <v>994</v>
      </c>
      <c r="X270" s="11" t="s">
        <v>994</v>
      </c>
      <c r="Y270" s="11" t="s">
        <v>994</v>
      </c>
      <c r="Z270" s="11" t="s">
        <v>994</v>
      </c>
      <c r="AA270" s="11" t="s">
        <v>994</v>
      </c>
      <c r="AB270" s="11" t="s">
        <v>994</v>
      </c>
      <c r="AC270" s="11" t="s">
        <v>994</v>
      </c>
      <c r="AD270" s="11" t="s">
        <v>994</v>
      </c>
    </row>
    <row r="271">
      <c r="B271" s="12" t="s">
        <v>994</v>
      </c>
      <c r="C271" s="11" t="s">
        <v>994</v>
      </c>
      <c r="D271" s="11" t="s">
        <v>994</v>
      </c>
      <c r="E271" s="12" t="s">
        <v>994</v>
      </c>
      <c r="F271" s="12" t="s">
        <v>994</v>
      </c>
      <c r="G271" s="12" t="s">
        <v>994</v>
      </c>
      <c r="H271" s="12" t="s">
        <v>994</v>
      </c>
      <c r="I271" s="12" t="s">
        <v>994</v>
      </c>
      <c r="J271" s="12" t="s">
        <v>994</v>
      </c>
      <c r="K271" s="12" t="s">
        <v>994</v>
      </c>
      <c r="L271" s="13" t="s">
        <v>994</v>
      </c>
      <c r="M271" s="11" t="s">
        <v>994</v>
      </c>
      <c r="N271" s="11" t="s">
        <v>994</v>
      </c>
      <c r="O271" s="11" t="s">
        <v>994</v>
      </c>
      <c r="P271" s="11" t="s">
        <v>994</v>
      </c>
      <c r="Q271" s="11" t="s">
        <v>994</v>
      </c>
      <c r="R271" s="11" t="s">
        <v>994</v>
      </c>
      <c r="S271" s="11" t="s">
        <v>994</v>
      </c>
      <c r="T271" s="11" t="s">
        <v>994</v>
      </c>
      <c r="U271" s="11" t="s">
        <v>994</v>
      </c>
      <c r="V271" s="11" t="s">
        <v>994</v>
      </c>
      <c r="W271" s="11" t="s">
        <v>994</v>
      </c>
      <c r="X271" s="11" t="s">
        <v>994</v>
      </c>
      <c r="Y271" s="11" t="s">
        <v>994</v>
      </c>
      <c r="Z271" s="11" t="s">
        <v>994</v>
      </c>
      <c r="AA271" s="11" t="s">
        <v>994</v>
      </c>
      <c r="AB271" s="11" t="s">
        <v>994</v>
      </c>
      <c r="AC271" s="11" t="s">
        <v>994</v>
      </c>
      <c r="AD271" s="11" t="s">
        <v>994</v>
      </c>
    </row>
    <row r="272">
      <c r="B272" s="12" t="s">
        <v>994</v>
      </c>
      <c r="C272" s="11" t="s">
        <v>994</v>
      </c>
      <c r="D272" s="11" t="s">
        <v>994</v>
      </c>
      <c r="E272" s="12" t="s">
        <v>994</v>
      </c>
      <c r="F272" s="12" t="s">
        <v>994</v>
      </c>
      <c r="G272" s="12" t="s">
        <v>994</v>
      </c>
      <c r="H272" s="12" t="s">
        <v>994</v>
      </c>
      <c r="I272" s="12" t="s">
        <v>994</v>
      </c>
      <c r="J272" s="12" t="s">
        <v>994</v>
      </c>
      <c r="K272" s="12" t="s">
        <v>994</v>
      </c>
      <c r="L272" s="13" t="s">
        <v>994</v>
      </c>
      <c r="M272" s="11" t="s">
        <v>994</v>
      </c>
      <c r="N272" s="11" t="s">
        <v>994</v>
      </c>
      <c r="O272" s="11" t="s">
        <v>994</v>
      </c>
      <c r="P272" s="11" t="s">
        <v>994</v>
      </c>
      <c r="Q272" s="11" t="s">
        <v>994</v>
      </c>
      <c r="R272" s="11" t="s">
        <v>994</v>
      </c>
      <c r="S272" s="11" t="s">
        <v>994</v>
      </c>
      <c r="T272" s="11" t="s">
        <v>994</v>
      </c>
      <c r="U272" s="11" t="s">
        <v>994</v>
      </c>
      <c r="V272" s="11" t="s">
        <v>994</v>
      </c>
      <c r="W272" s="11" t="s">
        <v>994</v>
      </c>
      <c r="X272" s="11" t="s">
        <v>994</v>
      </c>
      <c r="Y272" s="11" t="s">
        <v>994</v>
      </c>
      <c r="Z272" s="11" t="s">
        <v>994</v>
      </c>
      <c r="AA272" s="11" t="s">
        <v>994</v>
      </c>
      <c r="AB272" s="11" t="s">
        <v>994</v>
      </c>
      <c r="AC272" s="11" t="s">
        <v>994</v>
      </c>
      <c r="AD272" s="11" t="s">
        <v>994</v>
      </c>
    </row>
    <row r="273">
      <c r="B273" s="12" t="s">
        <v>994</v>
      </c>
      <c r="C273" s="11" t="s">
        <v>994</v>
      </c>
      <c r="D273" s="11" t="s">
        <v>994</v>
      </c>
      <c r="E273" s="12" t="s">
        <v>994</v>
      </c>
      <c r="F273" s="12" t="s">
        <v>994</v>
      </c>
      <c r="G273" s="12" t="s">
        <v>994</v>
      </c>
      <c r="H273" s="12" t="s">
        <v>994</v>
      </c>
      <c r="I273" s="12" t="s">
        <v>994</v>
      </c>
      <c r="J273" s="12" t="s">
        <v>994</v>
      </c>
      <c r="K273" s="12" t="s">
        <v>994</v>
      </c>
      <c r="L273" s="13" t="s">
        <v>994</v>
      </c>
      <c r="M273" s="11" t="s">
        <v>994</v>
      </c>
      <c r="N273" s="11" t="s">
        <v>994</v>
      </c>
      <c r="O273" s="11" t="s">
        <v>994</v>
      </c>
      <c r="P273" s="11" t="s">
        <v>994</v>
      </c>
      <c r="Q273" s="11" t="s">
        <v>994</v>
      </c>
      <c r="R273" s="11" t="s">
        <v>994</v>
      </c>
      <c r="S273" s="11" t="s">
        <v>994</v>
      </c>
      <c r="T273" s="11" t="s">
        <v>994</v>
      </c>
      <c r="U273" s="11" t="s">
        <v>994</v>
      </c>
      <c r="V273" s="11" t="s">
        <v>994</v>
      </c>
      <c r="W273" s="11" t="s">
        <v>994</v>
      </c>
      <c r="X273" s="11" t="s">
        <v>994</v>
      </c>
      <c r="Y273" s="11" t="s">
        <v>994</v>
      </c>
      <c r="Z273" s="11" t="s">
        <v>994</v>
      </c>
      <c r="AA273" s="11" t="s">
        <v>994</v>
      </c>
      <c r="AB273" s="11" t="s">
        <v>994</v>
      </c>
      <c r="AC273" s="11" t="s">
        <v>994</v>
      </c>
      <c r="AD273" s="11" t="s">
        <v>994</v>
      </c>
    </row>
    <row r="274">
      <c r="B274" s="12" t="s">
        <v>994</v>
      </c>
      <c r="C274" s="11" t="s">
        <v>994</v>
      </c>
      <c r="D274" s="11" t="s">
        <v>994</v>
      </c>
      <c r="E274" s="12" t="s">
        <v>994</v>
      </c>
      <c r="F274" s="12" t="s">
        <v>994</v>
      </c>
      <c r="G274" s="12" t="s">
        <v>994</v>
      </c>
      <c r="H274" s="12" t="s">
        <v>994</v>
      </c>
      <c r="I274" s="12" t="s">
        <v>994</v>
      </c>
      <c r="J274" s="12" t="s">
        <v>994</v>
      </c>
      <c r="K274" s="12" t="s">
        <v>994</v>
      </c>
      <c r="L274" s="13" t="s">
        <v>994</v>
      </c>
      <c r="M274" s="11" t="s">
        <v>994</v>
      </c>
      <c r="N274" s="11" t="s">
        <v>994</v>
      </c>
      <c r="O274" s="11" t="s">
        <v>994</v>
      </c>
      <c r="P274" s="11" t="s">
        <v>994</v>
      </c>
      <c r="Q274" s="11" t="s">
        <v>994</v>
      </c>
      <c r="R274" s="11" t="s">
        <v>994</v>
      </c>
      <c r="S274" s="11" t="s">
        <v>994</v>
      </c>
      <c r="T274" s="11" t="s">
        <v>994</v>
      </c>
      <c r="U274" s="11" t="s">
        <v>994</v>
      </c>
      <c r="V274" s="11" t="s">
        <v>994</v>
      </c>
      <c r="W274" s="11" t="s">
        <v>994</v>
      </c>
      <c r="X274" s="11" t="s">
        <v>994</v>
      </c>
      <c r="Y274" s="11" t="s">
        <v>994</v>
      </c>
      <c r="Z274" s="11" t="s">
        <v>994</v>
      </c>
      <c r="AA274" s="11" t="s">
        <v>994</v>
      </c>
      <c r="AB274" s="11" t="s">
        <v>994</v>
      </c>
      <c r="AC274" s="11" t="s">
        <v>994</v>
      </c>
      <c r="AD274" s="11" t="s">
        <v>994</v>
      </c>
    </row>
    <row r="275">
      <c r="B275" s="12" t="s">
        <v>994</v>
      </c>
      <c r="C275" s="11" t="s">
        <v>994</v>
      </c>
      <c r="D275" s="11" t="s">
        <v>994</v>
      </c>
      <c r="E275" s="12" t="s">
        <v>994</v>
      </c>
      <c r="F275" s="12" t="s">
        <v>994</v>
      </c>
      <c r="G275" s="12" t="s">
        <v>994</v>
      </c>
      <c r="H275" s="12" t="s">
        <v>994</v>
      </c>
      <c r="I275" s="12" t="s">
        <v>994</v>
      </c>
      <c r="J275" s="12" t="s">
        <v>994</v>
      </c>
      <c r="K275" s="12" t="s">
        <v>994</v>
      </c>
      <c r="L275" s="13" t="s">
        <v>994</v>
      </c>
      <c r="M275" s="11" t="s">
        <v>994</v>
      </c>
      <c r="N275" s="11" t="s">
        <v>994</v>
      </c>
      <c r="O275" s="11" t="s">
        <v>994</v>
      </c>
      <c r="P275" s="11" t="s">
        <v>994</v>
      </c>
      <c r="Q275" s="11" t="s">
        <v>994</v>
      </c>
      <c r="R275" s="11" t="s">
        <v>994</v>
      </c>
      <c r="S275" s="11" t="s">
        <v>994</v>
      </c>
      <c r="T275" s="11" t="s">
        <v>994</v>
      </c>
      <c r="U275" s="11" t="s">
        <v>994</v>
      </c>
      <c r="V275" s="11" t="s">
        <v>994</v>
      </c>
      <c r="W275" s="11" t="s">
        <v>994</v>
      </c>
      <c r="X275" s="11" t="s">
        <v>994</v>
      </c>
      <c r="Y275" s="11" t="s">
        <v>994</v>
      </c>
      <c r="Z275" s="11" t="s">
        <v>994</v>
      </c>
      <c r="AA275" s="11" t="s">
        <v>994</v>
      </c>
      <c r="AB275" s="11" t="s">
        <v>994</v>
      </c>
      <c r="AC275" s="11" t="s">
        <v>994</v>
      </c>
      <c r="AD275" s="11" t="s">
        <v>994</v>
      </c>
    </row>
    <row r="276">
      <c r="B276" s="12" t="s">
        <v>994</v>
      </c>
      <c r="C276" s="11" t="s">
        <v>994</v>
      </c>
      <c r="D276" s="11" t="s">
        <v>994</v>
      </c>
      <c r="E276" s="12" t="s">
        <v>994</v>
      </c>
      <c r="F276" s="12" t="s">
        <v>994</v>
      </c>
      <c r="G276" s="12" t="s">
        <v>994</v>
      </c>
      <c r="H276" s="12" t="s">
        <v>994</v>
      </c>
      <c r="I276" s="12" t="s">
        <v>994</v>
      </c>
      <c r="J276" s="12" t="s">
        <v>994</v>
      </c>
      <c r="K276" s="12" t="s">
        <v>994</v>
      </c>
      <c r="L276" s="13" t="s">
        <v>994</v>
      </c>
      <c r="M276" s="11" t="s">
        <v>994</v>
      </c>
      <c r="N276" s="11" t="s">
        <v>994</v>
      </c>
      <c r="O276" s="11" t="s">
        <v>994</v>
      </c>
      <c r="P276" s="11" t="s">
        <v>994</v>
      </c>
      <c r="Q276" s="11" t="s">
        <v>994</v>
      </c>
      <c r="R276" s="11" t="s">
        <v>994</v>
      </c>
      <c r="S276" s="11" t="s">
        <v>994</v>
      </c>
      <c r="T276" s="11" t="s">
        <v>994</v>
      </c>
      <c r="U276" s="11" t="s">
        <v>994</v>
      </c>
      <c r="V276" s="11" t="s">
        <v>994</v>
      </c>
      <c r="W276" s="11" t="s">
        <v>994</v>
      </c>
      <c r="X276" s="11" t="s">
        <v>994</v>
      </c>
      <c r="Y276" s="11" t="s">
        <v>994</v>
      </c>
      <c r="Z276" s="11" t="s">
        <v>994</v>
      </c>
      <c r="AA276" s="11" t="s">
        <v>994</v>
      </c>
      <c r="AB276" s="11" t="s">
        <v>994</v>
      </c>
      <c r="AC276" s="11" t="s">
        <v>994</v>
      </c>
      <c r="AD276" s="11" t="s">
        <v>994</v>
      </c>
    </row>
    <row r="277">
      <c r="B277" s="12" t="s">
        <v>994</v>
      </c>
      <c r="C277" s="11" t="s">
        <v>994</v>
      </c>
      <c r="D277" s="11" t="s">
        <v>994</v>
      </c>
      <c r="E277" s="12" t="s">
        <v>994</v>
      </c>
      <c r="F277" s="12" t="s">
        <v>994</v>
      </c>
      <c r="G277" s="12" t="s">
        <v>994</v>
      </c>
      <c r="H277" s="12" t="s">
        <v>994</v>
      </c>
      <c r="I277" s="12" t="s">
        <v>994</v>
      </c>
      <c r="J277" s="12" t="s">
        <v>994</v>
      </c>
      <c r="K277" s="12" t="s">
        <v>994</v>
      </c>
      <c r="L277" s="13" t="s">
        <v>994</v>
      </c>
      <c r="M277" s="11" t="s">
        <v>994</v>
      </c>
      <c r="N277" s="11" t="s">
        <v>994</v>
      </c>
      <c r="O277" s="11" t="s">
        <v>994</v>
      </c>
      <c r="P277" s="11" t="s">
        <v>994</v>
      </c>
      <c r="Q277" s="11" t="s">
        <v>994</v>
      </c>
      <c r="R277" s="11" t="s">
        <v>994</v>
      </c>
      <c r="S277" s="11" t="s">
        <v>994</v>
      </c>
      <c r="T277" s="11" t="s">
        <v>994</v>
      </c>
      <c r="U277" s="11" t="s">
        <v>994</v>
      </c>
      <c r="V277" s="11" t="s">
        <v>994</v>
      </c>
      <c r="W277" s="11" t="s">
        <v>994</v>
      </c>
      <c r="X277" s="11" t="s">
        <v>994</v>
      </c>
      <c r="Y277" s="11" t="s">
        <v>994</v>
      </c>
      <c r="Z277" s="11" t="s">
        <v>994</v>
      </c>
      <c r="AA277" s="11" t="s">
        <v>994</v>
      </c>
      <c r="AB277" s="11" t="s">
        <v>994</v>
      </c>
      <c r="AC277" s="11" t="s">
        <v>994</v>
      </c>
      <c r="AD277" s="11" t="s">
        <v>994</v>
      </c>
    </row>
    <row r="278">
      <c r="B278" s="12" t="s">
        <v>994</v>
      </c>
      <c r="C278" s="11" t="s">
        <v>994</v>
      </c>
      <c r="D278" s="11" t="s">
        <v>994</v>
      </c>
      <c r="E278" s="12" t="s">
        <v>994</v>
      </c>
      <c r="F278" s="12" t="s">
        <v>994</v>
      </c>
      <c r="G278" s="12" t="s">
        <v>994</v>
      </c>
      <c r="H278" s="12" t="s">
        <v>994</v>
      </c>
      <c r="I278" s="12" t="s">
        <v>994</v>
      </c>
      <c r="J278" s="12" t="s">
        <v>994</v>
      </c>
      <c r="K278" s="12" t="s">
        <v>994</v>
      </c>
      <c r="L278" s="13" t="s">
        <v>994</v>
      </c>
      <c r="M278" s="11" t="s">
        <v>994</v>
      </c>
      <c r="N278" s="11" t="s">
        <v>994</v>
      </c>
      <c r="O278" s="11" t="s">
        <v>994</v>
      </c>
      <c r="P278" s="11" t="s">
        <v>994</v>
      </c>
      <c r="Q278" s="11" t="s">
        <v>994</v>
      </c>
      <c r="R278" s="11" t="s">
        <v>994</v>
      </c>
      <c r="S278" s="11" t="s">
        <v>994</v>
      </c>
      <c r="T278" s="11" t="s">
        <v>994</v>
      </c>
      <c r="U278" s="11" t="s">
        <v>994</v>
      </c>
      <c r="V278" s="11" t="s">
        <v>994</v>
      </c>
      <c r="W278" s="11" t="s">
        <v>994</v>
      </c>
      <c r="X278" s="11" t="s">
        <v>994</v>
      </c>
      <c r="Y278" s="11" t="s">
        <v>994</v>
      </c>
      <c r="Z278" s="11" t="s">
        <v>994</v>
      </c>
      <c r="AA278" s="11" t="s">
        <v>994</v>
      </c>
      <c r="AB278" s="11" t="s">
        <v>994</v>
      </c>
      <c r="AC278" s="11" t="s">
        <v>994</v>
      </c>
      <c r="AD278" s="11" t="s">
        <v>994</v>
      </c>
    </row>
    <row r="279">
      <c r="B279" s="12" t="s">
        <v>994</v>
      </c>
      <c r="C279" s="11" t="s">
        <v>994</v>
      </c>
      <c r="D279" s="11" t="s">
        <v>994</v>
      </c>
      <c r="E279" s="12" t="s">
        <v>994</v>
      </c>
      <c r="F279" s="12" t="s">
        <v>994</v>
      </c>
      <c r="G279" s="12" t="s">
        <v>994</v>
      </c>
      <c r="H279" s="12" t="s">
        <v>994</v>
      </c>
      <c r="I279" s="12" t="s">
        <v>994</v>
      </c>
      <c r="J279" s="12" t="s">
        <v>994</v>
      </c>
      <c r="K279" s="12" t="s">
        <v>994</v>
      </c>
      <c r="L279" s="13" t="s">
        <v>994</v>
      </c>
      <c r="M279" s="11" t="s">
        <v>994</v>
      </c>
      <c r="N279" s="11" t="s">
        <v>994</v>
      </c>
      <c r="O279" s="11" t="s">
        <v>994</v>
      </c>
      <c r="P279" s="11" t="s">
        <v>994</v>
      </c>
      <c r="Q279" s="11" t="s">
        <v>994</v>
      </c>
      <c r="R279" s="11" t="s">
        <v>994</v>
      </c>
      <c r="S279" s="11" t="s">
        <v>994</v>
      </c>
      <c r="T279" s="11" t="s">
        <v>994</v>
      </c>
      <c r="U279" s="11" t="s">
        <v>994</v>
      </c>
      <c r="V279" s="11" t="s">
        <v>994</v>
      </c>
      <c r="W279" s="11" t="s">
        <v>994</v>
      </c>
      <c r="X279" s="11" t="s">
        <v>994</v>
      </c>
      <c r="Y279" s="11" t="s">
        <v>994</v>
      </c>
      <c r="Z279" s="11" t="s">
        <v>994</v>
      </c>
      <c r="AA279" s="11" t="s">
        <v>994</v>
      </c>
      <c r="AB279" s="11" t="s">
        <v>994</v>
      </c>
      <c r="AC279" s="11" t="s">
        <v>994</v>
      </c>
      <c r="AD279" s="11" t="s">
        <v>994</v>
      </c>
    </row>
    <row r="280">
      <c r="B280" s="12" t="s">
        <v>994</v>
      </c>
      <c r="C280" s="11" t="s">
        <v>994</v>
      </c>
      <c r="D280" s="11" t="s">
        <v>994</v>
      </c>
      <c r="E280" s="12" t="s">
        <v>994</v>
      </c>
      <c r="F280" s="12" t="s">
        <v>994</v>
      </c>
      <c r="G280" s="12" t="s">
        <v>994</v>
      </c>
      <c r="H280" s="12" t="s">
        <v>994</v>
      </c>
      <c r="I280" s="12" t="s">
        <v>994</v>
      </c>
      <c r="J280" s="12" t="s">
        <v>994</v>
      </c>
      <c r="K280" s="12" t="s">
        <v>994</v>
      </c>
      <c r="L280" s="13" t="s">
        <v>994</v>
      </c>
      <c r="M280" s="11" t="s">
        <v>994</v>
      </c>
      <c r="N280" s="11" t="s">
        <v>994</v>
      </c>
      <c r="O280" s="11" t="s">
        <v>994</v>
      </c>
      <c r="P280" s="11" t="s">
        <v>994</v>
      </c>
      <c r="Q280" s="11" t="s">
        <v>994</v>
      </c>
      <c r="R280" s="11" t="s">
        <v>994</v>
      </c>
      <c r="S280" s="11" t="s">
        <v>994</v>
      </c>
      <c r="T280" s="11" t="s">
        <v>994</v>
      </c>
      <c r="U280" s="11" t="s">
        <v>994</v>
      </c>
      <c r="V280" s="11" t="s">
        <v>994</v>
      </c>
      <c r="W280" s="11" t="s">
        <v>994</v>
      </c>
      <c r="X280" s="11" t="s">
        <v>994</v>
      </c>
      <c r="Y280" s="11" t="s">
        <v>994</v>
      </c>
      <c r="Z280" s="11" t="s">
        <v>994</v>
      </c>
      <c r="AA280" s="11" t="s">
        <v>994</v>
      </c>
      <c r="AB280" s="11" t="s">
        <v>994</v>
      </c>
      <c r="AC280" s="11" t="s">
        <v>994</v>
      </c>
      <c r="AD280" s="11" t="s">
        <v>994</v>
      </c>
    </row>
    <row r="281">
      <c r="B281" s="12" t="s">
        <v>994</v>
      </c>
      <c r="C281" s="11" t="s">
        <v>994</v>
      </c>
      <c r="D281" s="11" t="s">
        <v>994</v>
      </c>
      <c r="E281" s="12" t="s">
        <v>994</v>
      </c>
      <c r="F281" s="12" t="s">
        <v>994</v>
      </c>
      <c r="G281" s="12" t="s">
        <v>994</v>
      </c>
      <c r="H281" s="12" t="s">
        <v>994</v>
      </c>
      <c r="I281" s="12" t="s">
        <v>994</v>
      </c>
      <c r="J281" s="12" t="s">
        <v>994</v>
      </c>
      <c r="K281" s="12" t="s">
        <v>994</v>
      </c>
      <c r="L281" s="13" t="s">
        <v>994</v>
      </c>
      <c r="M281" s="11" t="s">
        <v>994</v>
      </c>
      <c r="N281" s="11" t="s">
        <v>994</v>
      </c>
      <c r="O281" s="11" t="s">
        <v>994</v>
      </c>
      <c r="P281" s="11" t="s">
        <v>994</v>
      </c>
      <c r="Q281" s="11" t="s">
        <v>994</v>
      </c>
      <c r="R281" s="11" t="s">
        <v>994</v>
      </c>
      <c r="S281" s="11" t="s">
        <v>994</v>
      </c>
      <c r="T281" s="11" t="s">
        <v>994</v>
      </c>
      <c r="U281" s="11" t="s">
        <v>994</v>
      </c>
      <c r="V281" s="11" t="s">
        <v>994</v>
      </c>
      <c r="W281" s="11" t="s">
        <v>994</v>
      </c>
      <c r="X281" s="11" t="s">
        <v>994</v>
      </c>
      <c r="Y281" s="11" t="s">
        <v>994</v>
      </c>
      <c r="Z281" s="11" t="s">
        <v>994</v>
      </c>
      <c r="AA281" s="11" t="s">
        <v>994</v>
      </c>
      <c r="AB281" s="11" t="s">
        <v>994</v>
      </c>
      <c r="AC281" s="11" t="s">
        <v>994</v>
      </c>
      <c r="AD281" s="11" t="s">
        <v>994</v>
      </c>
    </row>
    <row r="282">
      <c r="B282" s="12" t="s">
        <v>994</v>
      </c>
      <c r="C282" s="11" t="s">
        <v>994</v>
      </c>
      <c r="D282" s="11" t="s">
        <v>994</v>
      </c>
      <c r="E282" s="12" t="s">
        <v>994</v>
      </c>
      <c r="F282" s="12" t="s">
        <v>994</v>
      </c>
      <c r="G282" s="12" t="s">
        <v>994</v>
      </c>
      <c r="H282" s="12" t="s">
        <v>994</v>
      </c>
      <c r="I282" s="12" t="s">
        <v>994</v>
      </c>
      <c r="J282" s="12" t="s">
        <v>994</v>
      </c>
      <c r="K282" s="12" t="s">
        <v>994</v>
      </c>
      <c r="L282" s="13" t="s">
        <v>994</v>
      </c>
      <c r="M282" s="11" t="s">
        <v>994</v>
      </c>
      <c r="N282" s="11" t="s">
        <v>994</v>
      </c>
      <c r="O282" s="11" t="s">
        <v>994</v>
      </c>
      <c r="P282" s="11" t="s">
        <v>994</v>
      </c>
      <c r="Q282" s="11" t="s">
        <v>994</v>
      </c>
      <c r="R282" s="11" t="s">
        <v>994</v>
      </c>
      <c r="S282" s="11" t="s">
        <v>994</v>
      </c>
      <c r="T282" s="11" t="s">
        <v>994</v>
      </c>
      <c r="U282" s="11" t="s">
        <v>994</v>
      </c>
      <c r="V282" s="11" t="s">
        <v>994</v>
      </c>
      <c r="W282" s="11" t="s">
        <v>994</v>
      </c>
      <c r="X282" s="11" t="s">
        <v>994</v>
      </c>
      <c r="Y282" s="11" t="s">
        <v>994</v>
      </c>
      <c r="Z282" s="11" t="s">
        <v>994</v>
      </c>
      <c r="AA282" s="11" t="s">
        <v>994</v>
      </c>
      <c r="AB282" s="11" t="s">
        <v>994</v>
      </c>
      <c r="AC282" s="11" t="s">
        <v>994</v>
      </c>
      <c r="AD282" s="11" t="s">
        <v>994</v>
      </c>
    </row>
    <row r="283">
      <c r="B283" s="12" t="s">
        <v>994</v>
      </c>
      <c r="C283" s="11" t="s">
        <v>994</v>
      </c>
      <c r="D283" s="11" t="s">
        <v>994</v>
      </c>
      <c r="E283" s="12" t="s">
        <v>994</v>
      </c>
      <c r="F283" s="12" t="s">
        <v>994</v>
      </c>
      <c r="G283" s="12" t="s">
        <v>994</v>
      </c>
      <c r="H283" s="12" t="s">
        <v>994</v>
      </c>
      <c r="I283" s="12" t="s">
        <v>994</v>
      </c>
      <c r="J283" s="12" t="s">
        <v>994</v>
      </c>
      <c r="K283" s="12" t="s">
        <v>994</v>
      </c>
      <c r="L283" s="13" t="s">
        <v>994</v>
      </c>
      <c r="M283" s="11" t="s">
        <v>994</v>
      </c>
      <c r="N283" s="11" t="s">
        <v>994</v>
      </c>
      <c r="O283" s="11" t="s">
        <v>994</v>
      </c>
      <c r="P283" s="11" t="s">
        <v>994</v>
      </c>
      <c r="Q283" s="11" t="s">
        <v>994</v>
      </c>
      <c r="R283" s="11" t="s">
        <v>994</v>
      </c>
      <c r="S283" s="11" t="s">
        <v>994</v>
      </c>
      <c r="T283" s="11" t="s">
        <v>994</v>
      </c>
      <c r="U283" s="11" t="s">
        <v>994</v>
      </c>
      <c r="V283" s="11" t="s">
        <v>994</v>
      </c>
      <c r="W283" s="11" t="s">
        <v>994</v>
      </c>
      <c r="X283" s="11" t="s">
        <v>994</v>
      </c>
      <c r="Y283" s="11" t="s">
        <v>994</v>
      </c>
      <c r="Z283" s="11" t="s">
        <v>994</v>
      </c>
      <c r="AA283" s="11" t="s">
        <v>994</v>
      </c>
      <c r="AB283" s="11" t="s">
        <v>994</v>
      </c>
      <c r="AC283" s="11" t="s">
        <v>994</v>
      </c>
      <c r="AD283" s="11" t="s">
        <v>994</v>
      </c>
    </row>
    <row r="284">
      <c r="B284" s="12" t="s">
        <v>994</v>
      </c>
      <c r="C284" s="11" t="s">
        <v>994</v>
      </c>
      <c r="D284" s="11" t="s">
        <v>994</v>
      </c>
      <c r="E284" s="12" t="s">
        <v>994</v>
      </c>
      <c r="F284" s="12" t="s">
        <v>994</v>
      </c>
      <c r="G284" s="12" t="s">
        <v>994</v>
      </c>
      <c r="H284" s="12" t="s">
        <v>994</v>
      </c>
      <c r="I284" s="12" t="s">
        <v>994</v>
      </c>
      <c r="J284" s="12" t="s">
        <v>994</v>
      </c>
      <c r="K284" s="12" t="s">
        <v>994</v>
      </c>
      <c r="L284" s="13" t="s">
        <v>994</v>
      </c>
      <c r="M284" s="11" t="s">
        <v>994</v>
      </c>
      <c r="N284" s="11" t="s">
        <v>994</v>
      </c>
      <c r="O284" s="11" t="s">
        <v>994</v>
      </c>
      <c r="P284" s="11" t="s">
        <v>994</v>
      </c>
      <c r="Q284" s="11" t="s">
        <v>994</v>
      </c>
      <c r="R284" s="11" t="s">
        <v>994</v>
      </c>
      <c r="S284" s="11" t="s">
        <v>994</v>
      </c>
      <c r="T284" s="11" t="s">
        <v>994</v>
      </c>
      <c r="U284" s="11" t="s">
        <v>994</v>
      </c>
      <c r="V284" s="11" t="s">
        <v>994</v>
      </c>
      <c r="W284" s="11" t="s">
        <v>994</v>
      </c>
      <c r="X284" s="11" t="s">
        <v>994</v>
      </c>
      <c r="Y284" s="11" t="s">
        <v>994</v>
      </c>
      <c r="Z284" s="11" t="s">
        <v>994</v>
      </c>
      <c r="AA284" s="11" t="s">
        <v>994</v>
      </c>
      <c r="AB284" s="11" t="s">
        <v>994</v>
      </c>
      <c r="AC284" s="11" t="s">
        <v>994</v>
      </c>
      <c r="AD284" s="11" t="s">
        <v>994</v>
      </c>
    </row>
    <row r="285">
      <c r="B285" s="12" t="s">
        <v>994</v>
      </c>
      <c r="C285" s="11" t="s">
        <v>994</v>
      </c>
      <c r="D285" s="11" t="s">
        <v>994</v>
      </c>
      <c r="E285" s="12" t="s">
        <v>994</v>
      </c>
      <c r="F285" s="12" t="s">
        <v>994</v>
      </c>
      <c r="G285" s="12" t="s">
        <v>994</v>
      </c>
      <c r="H285" s="12" t="s">
        <v>994</v>
      </c>
      <c r="I285" s="12" t="s">
        <v>994</v>
      </c>
      <c r="J285" s="12" t="s">
        <v>994</v>
      </c>
      <c r="K285" s="12" t="s">
        <v>994</v>
      </c>
      <c r="L285" s="13" t="s">
        <v>994</v>
      </c>
      <c r="M285" s="11" t="s">
        <v>994</v>
      </c>
      <c r="N285" s="11" t="s">
        <v>994</v>
      </c>
      <c r="O285" s="11" t="s">
        <v>994</v>
      </c>
      <c r="P285" s="11" t="s">
        <v>994</v>
      </c>
      <c r="Q285" s="11" t="s">
        <v>994</v>
      </c>
      <c r="R285" s="11" t="s">
        <v>994</v>
      </c>
      <c r="S285" s="11" t="s">
        <v>994</v>
      </c>
      <c r="T285" s="11" t="s">
        <v>994</v>
      </c>
      <c r="U285" s="11" t="s">
        <v>994</v>
      </c>
      <c r="V285" s="11" t="s">
        <v>994</v>
      </c>
      <c r="W285" s="11" t="s">
        <v>994</v>
      </c>
      <c r="X285" s="11" t="s">
        <v>994</v>
      </c>
      <c r="Y285" s="11" t="s">
        <v>994</v>
      </c>
      <c r="Z285" s="11" t="s">
        <v>994</v>
      </c>
      <c r="AA285" s="11" t="s">
        <v>994</v>
      </c>
      <c r="AB285" s="11" t="s">
        <v>994</v>
      </c>
      <c r="AC285" s="11" t="s">
        <v>994</v>
      </c>
      <c r="AD285" s="11" t="s">
        <v>994</v>
      </c>
    </row>
    <row r="286">
      <c r="B286" s="12" t="s">
        <v>994</v>
      </c>
      <c r="C286" s="11" t="s">
        <v>994</v>
      </c>
      <c r="D286" s="11" t="s">
        <v>994</v>
      </c>
      <c r="E286" s="12" t="s">
        <v>994</v>
      </c>
      <c r="F286" s="12" t="s">
        <v>994</v>
      </c>
      <c r="G286" s="12" t="s">
        <v>994</v>
      </c>
      <c r="H286" s="12" t="s">
        <v>994</v>
      </c>
      <c r="I286" s="12" t="s">
        <v>994</v>
      </c>
      <c r="J286" s="12" t="s">
        <v>994</v>
      </c>
      <c r="K286" s="12" t="s">
        <v>994</v>
      </c>
      <c r="L286" s="13" t="s">
        <v>994</v>
      </c>
      <c r="M286" s="11" t="s">
        <v>994</v>
      </c>
      <c r="N286" s="11" t="s">
        <v>994</v>
      </c>
      <c r="O286" s="11" t="s">
        <v>994</v>
      </c>
      <c r="P286" s="11" t="s">
        <v>994</v>
      </c>
      <c r="Q286" s="11" t="s">
        <v>994</v>
      </c>
      <c r="R286" s="11" t="s">
        <v>994</v>
      </c>
      <c r="S286" s="11" t="s">
        <v>994</v>
      </c>
      <c r="T286" s="11" t="s">
        <v>994</v>
      </c>
      <c r="U286" s="11" t="s">
        <v>994</v>
      </c>
      <c r="V286" s="11" t="s">
        <v>994</v>
      </c>
      <c r="W286" s="11" t="s">
        <v>994</v>
      </c>
      <c r="X286" s="11" t="s">
        <v>994</v>
      </c>
      <c r="Y286" s="11" t="s">
        <v>994</v>
      </c>
      <c r="Z286" s="11" t="s">
        <v>994</v>
      </c>
      <c r="AA286" s="11" t="s">
        <v>994</v>
      </c>
      <c r="AB286" s="11" t="s">
        <v>994</v>
      </c>
      <c r="AC286" s="11" t="s">
        <v>994</v>
      </c>
      <c r="AD286" s="11" t="s">
        <v>994</v>
      </c>
    </row>
    <row r="287">
      <c r="B287" s="12" t="s">
        <v>994</v>
      </c>
      <c r="C287" s="11" t="s">
        <v>994</v>
      </c>
      <c r="D287" s="11" t="s">
        <v>994</v>
      </c>
      <c r="E287" s="12" t="s">
        <v>994</v>
      </c>
      <c r="F287" s="12" t="s">
        <v>994</v>
      </c>
      <c r="G287" s="12" t="s">
        <v>994</v>
      </c>
      <c r="H287" s="12" t="s">
        <v>994</v>
      </c>
      <c r="I287" s="12" t="s">
        <v>994</v>
      </c>
      <c r="J287" s="12" t="s">
        <v>994</v>
      </c>
      <c r="K287" s="12" t="s">
        <v>994</v>
      </c>
      <c r="L287" s="13" t="s">
        <v>994</v>
      </c>
      <c r="M287" s="11" t="s">
        <v>994</v>
      </c>
      <c r="N287" s="11" t="s">
        <v>994</v>
      </c>
      <c r="O287" s="11" t="s">
        <v>994</v>
      </c>
      <c r="P287" s="11" t="s">
        <v>994</v>
      </c>
      <c r="Q287" s="11" t="s">
        <v>994</v>
      </c>
      <c r="R287" s="11" t="s">
        <v>994</v>
      </c>
      <c r="S287" s="11" t="s">
        <v>994</v>
      </c>
      <c r="T287" s="11" t="s">
        <v>994</v>
      </c>
      <c r="U287" s="11" t="s">
        <v>994</v>
      </c>
      <c r="V287" s="11" t="s">
        <v>994</v>
      </c>
      <c r="W287" s="11" t="s">
        <v>994</v>
      </c>
      <c r="X287" s="11" t="s">
        <v>994</v>
      </c>
      <c r="Y287" s="11" t="s">
        <v>994</v>
      </c>
      <c r="Z287" s="11" t="s">
        <v>994</v>
      </c>
      <c r="AA287" s="11" t="s">
        <v>994</v>
      </c>
      <c r="AB287" s="11" t="s">
        <v>994</v>
      </c>
      <c r="AC287" s="11" t="s">
        <v>994</v>
      </c>
      <c r="AD287" s="11" t="s">
        <v>994</v>
      </c>
    </row>
    <row r="288">
      <c r="B288" s="12" t="s">
        <v>994</v>
      </c>
      <c r="C288" s="11" t="s">
        <v>994</v>
      </c>
      <c r="D288" s="11" t="s">
        <v>994</v>
      </c>
      <c r="E288" s="12" t="s">
        <v>994</v>
      </c>
      <c r="F288" s="12" t="s">
        <v>994</v>
      </c>
      <c r="G288" s="12" t="s">
        <v>994</v>
      </c>
      <c r="H288" s="12" t="s">
        <v>994</v>
      </c>
      <c r="I288" s="12" t="s">
        <v>994</v>
      </c>
      <c r="J288" s="12" t="s">
        <v>994</v>
      </c>
      <c r="K288" s="12" t="s">
        <v>994</v>
      </c>
      <c r="L288" s="13" t="s">
        <v>994</v>
      </c>
      <c r="M288" s="11" t="s">
        <v>994</v>
      </c>
      <c r="N288" s="11" t="s">
        <v>994</v>
      </c>
      <c r="O288" s="11" t="s">
        <v>994</v>
      </c>
      <c r="P288" s="11" t="s">
        <v>994</v>
      </c>
      <c r="Q288" s="11" t="s">
        <v>994</v>
      </c>
      <c r="R288" s="11" t="s">
        <v>994</v>
      </c>
      <c r="S288" s="11" t="s">
        <v>994</v>
      </c>
      <c r="T288" s="11" t="s">
        <v>994</v>
      </c>
      <c r="U288" s="11" t="s">
        <v>994</v>
      </c>
      <c r="V288" s="11" t="s">
        <v>994</v>
      </c>
      <c r="W288" s="11" t="s">
        <v>994</v>
      </c>
      <c r="X288" s="11" t="s">
        <v>994</v>
      </c>
      <c r="Y288" s="11" t="s">
        <v>994</v>
      </c>
      <c r="Z288" s="11" t="s">
        <v>994</v>
      </c>
      <c r="AA288" s="11" t="s">
        <v>994</v>
      </c>
      <c r="AB288" s="11" t="s">
        <v>994</v>
      </c>
      <c r="AC288" s="11" t="s">
        <v>994</v>
      </c>
      <c r="AD288" s="11" t="s">
        <v>994</v>
      </c>
    </row>
    <row r="289">
      <c r="B289" s="12" t="s">
        <v>994</v>
      </c>
      <c r="C289" s="11" t="s">
        <v>994</v>
      </c>
      <c r="D289" s="11" t="s">
        <v>994</v>
      </c>
      <c r="E289" s="12" t="s">
        <v>994</v>
      </c>
      <c r="F289" s="12" t="s">
        <v>994</v>
      </c>
      <c r="G289" s="12" t="s">
        <v>994</v>
      </c>
      <c r="H289" s="12" t="s">
        <v>994</v>
      </c>
      <c r="I289" s="12" t="s">
        <v>994</v>
      </c>
      <c r="J289" s="12" t="s">
        <v>994</v>
      </c>
      <c r="K289" s="12" t="s">
        <v>994</v>
      </c>
      <c r="L289" s="13" t="s">
        <v>994</v>
      </c>
      <c r="M289" s="11" t="s">
        <v>994</v>
      </c>
      <c r="N289" s="11" t="s">
        <v>994</v>
      </c>
      <c r="O289" s="11" t="s">
        <v>994</v>
      </c>
      <c r="P289" s="11" t="s">
        <v>994</v>
      </c>
      <c r="Q289" s="11" t="s">
        <v>994</v>
      </c>
      <c r="R289" s="11" t="s">
        <v>994</v>
      </c>
      <c r="S289" s="11" t="s">
        <v>994</v>
      </c>
      <c r="T289" s="11" t="s">
        <v>994</v>
      </c>
      <c r="U289" s="11" t="s">
        <v>994</v>
      </c>
      <c r="V289" s="11" t="s">
        <v>994</v>
      </c>
      <c r="W289" s="11" t="s">
        <v>994</v>
      </c>
      <c r="X289" s="11" t="s">
        <v>994</v>
      </c>
      <c r="Y289" s="11" t="s">
        <v>994</v>
      </c>
      <c r="Z289" s="11" t="s">
        <v>994</v>
      </c>
      <c r="AA289" s="11" t="s">
        <v>994</v>
      </c>
      <c r="AB289" s="11" t="s">
        <v>994</v>
      </c>
      <c r="AC289" s="11" t="s">
        <v>994</v>
      </c>
      <c r="AD289" s="11" t="s">
        <v>994</v>
      </c>
    </row>
    <row r="290">
      <c r="B290" s="12" t="s">
        <v>994</v>
      </c>
      <c r="C290" s="11" t="s">
        <v>994</v>
      </c>
      <c r="D290" s="11" t="s">
        <v>994</v>
      </c>
      <c r="E290" s="12" t="s">
        <v>994</v>
      </c>
      <c r="F290" s="12" t="s">
        <v>994</v>
      </c>
      <c r="G290" s="12" t="s">
        <v>994</v>
      </c>
      <c r="H290" s="12" t="s">
        <v>994</v>
      </c>
      <c r="I290" s="12" t="s">
        <v>994</v>
      </c>
      <c r="J290" s="12" t="s">
        <v>994</v>
      </c>
      <c r="K290" s="12" t="s">
        <v>994</v>
      </c>
      <c r="L290" s="13" t="s">
        <v>994</v>
      </c>
      <c r="M290" s="11" t="s">
        <v>994</v>
      </c>
      <c r="N290" s="11" t="s">
        <v>994</v>
      </c>
      <c r="O290" s="11" t="s">
        <v>994</v>
      </c>
      <c r="P290" s="11" t="s">
        <v>994</v>
      </c>
      <c r="Q290" s="11" t="s">
        <v>994</v>
      </c>
      <c r="R290" s="11" t="s">
        <v>994</v>
      </c>
      <c r="S290" s="11" t="s">
        <v>994</v>
      </c>
      <c r="T290" s="11" t="s">
        <v>994</v>
      </c>
      <c r="U290" s="11" t="s">
        <v>994</v>
      </c>
      <c r="V290" s="11" t="s">
        <v>994</v>
      </c>
      <c r="W290" s="11" t="s">
        <v>994</v>
      </c>
      <c r="X290" s="11" t="s">
        <v>994</v>
      </c>
      <c r="Y290" s="11" t="s">
        <v>994</v>
      </c>
      <c r="Z290" s="11" t="s">
        <v>994</v>
      </c>
      <c r="AA290" s="11" t="s">
        <v>994</v>
      </c>
      <c r="AB290" s="11" t="s">
        <v>994</v>
      </c>
      <c r="AC290" s="11" t="s">
        <v>994</v>
      </c>
      <c r="AD290" s="11" t="s">
        <v>994</v>
      </c>
    </row>
    <row r="291">
      <c r="B291" s="12" t="s">
        <v>994</v>
      </c>
      <c r="C291" s="11" t="s">
        <v>994</v>
      </c>
      <c r="D291" s="11" t="s">
        <v>994</v>
      </c>
      <c r="E291" s="12" t="s">
        <v>994</v>
      </c>
      <c r="F291" s="12" t="s">
        <v>994</v>
      </c>
      <c r="G291" s="12" t="s">
        <v>994</v>
      </c>
      <c r="H291" s="12" t="s">
        <v>994</v>
      </c>
      <c r="I291" s="12" t="s">
        <v>994</v>
      </c>
      <c r="J291" s="12" t="s">
        <v>994</v>
      </c>
      <c r="K291" s="12" t="s">
        <v>994</v>
      </c>
      <c r="L291" s="13" t="s">
        <v>994</v>
      </c>
      <c r="M291" s="11" t="s">
        <v>994</v>
      </c>
      <c r="N291" s="11" t="s">
        <v>994</v>
      </c>
      <c r="O291" s="11" t="s">
        <v>994</v>
      </c>
      <c r="P291" s="11" t="s">
        <v>994</v>
      </c>
      <c r="Q291" s="11" t="s">
        <v>994</v>
      </c>
      <c r="R291" s="11" t="s">
        <v>994</v>
      </c>
      <c r="S291" s="11" t="s">
        <v>994</v>
      </c>
      <c r="T291" s="11" t="s">
        <v>994</v>
      </c>
      <c r="U291" s="11" t="s">
        <v>994</v>
      </c>
      <c r="V291" s="11" t="s">
        <v>994</v>
      </c>
      <c r="W291" s="11" t="s">
        <v>994</v>
      </c>
      <c r="X291" s="11" t="s">
        <v>994</v>
      </c>
      <c r="Y291" s="11" t="s">
        <v>994</v>
      </c>
      <c r="Z291" s="11" t="s">
        <v>994</v>
      </c>
      <c r="AA291" s="11" t="s">
        <v>994</v>
      </c>
      <c r="AB291" s="11" t="s">
        <v>994</v>
      </c>
      <c r="AC291" s="11" t="s">
        <v>994</v>
      </c>
      <c r="AD291" s="11" t="s">
        <v>994</v>
      </c>
    </row>
    <row r="292">
      <c r="B292" s="12" t="s">
        <v>994</v>
      </c>
      <c r="C292" s="11" t="s">
        <v>994</v>
      </c>
      <c r="D292" s="11" t="s">
        <v>994</v>
      </c>
      <c r="E292" s="12" t="s">
        <v>994</v>
      </c>
      <c r="F292" s="12" t="s">
        <v>994</v>
      </c>
      <c r="G292" s="12" t="s">
        <v>994</v>
      </c>
      <c r="H292" s="12" t="s">
        <v>994</v>
      </c>
      <c r="I292" s="12" t="s">
        <v>994</v>
      </c>
      <c r="J292" s="12" t="s">
        <v>994</v>
      </c>
      <c r="K292" s="12" t="s">
        <v>994</v>
      </c>
      <c r="L292" s="13" t="s">
        <v>994</v>
      </c>
      <c r="M292" s="11" t="s">
        <v>994</v>
      </c>
      <c r="N292" s="11" t="s">
        <v>994</v>
      </c>
      <c r="O292" s="11" t="s">
        <v>994</v>
      </c>
      <c r="P292" s="11" t="s">
        <v>994</v>
      </c>
      <c r="Q292" s="11" t="s">
        <v>994</v>
      </c>
      <c r="R292" s="11" t="s">
        <v>994</v>
      </c>
      <c r="S292" s="11" t="s">
        <v>994</v>
      </c>
      <c r="T292" s="11" t="s">
        <v>994</v>
      </c>
      <c r="U292" s="11" t="s">
        <v>994</v>
      </c>
      <c r="V292" s="11" t="s">
        <v>994</v>
      </c>
      <c r="W292" s="11" t="s">
        <v>994</v>
      </c>
      <c r="X292" s="11" t="s">
        <v>994</v>
      </c>
      <c r="Y292" s="11" t="s">
        <v>994</v>
      </c>
      <c r="Z292" s="11" t="s">
        <v>994</v>
      </c>
      <c r="AA292" s="11" t="s">
        <v>994</v>
      </c>
      <c r="AB292" s="11" t="s">
        <v>994</v>
      </c>
      <c r="AC292" s="11" t="s">
        <v>994</v>
      </c>
      <c r="AD292" s="11" t="s">
        <v>994</v>
      </c>
    </row>
    <row r="293">
      <c r="B293" s="12" t="s">
        <v>994</v>
      </c>
      <c r="C293" s="11" t="s">
        <v>994</v>
      </c>
      <c r="D293" s="11" t="s">
        <v>994</v>
      </c>
      <c r="E293" s="12" t="s">
        <v>994</v>
      </c>
      <c r="F293" s="12" t="s">
        <v>994</v>
      </c>
      <c r="G293" s="12" t="s">
        <v>994</v>
      </c>
      <c r="H293" s="12" t="s">
        <v>994</v>
      </c>
      <c r="I293" s="12" t="s">
        <v>994</v>
      </c>
      <c r="J293" s="12" t="s">
        <v>994</v>
      </c>
      <c r="K293" s="12" t="s">
        <v>994</v>
      </c>
      <c r="L293" s="13" t="s">
        <v>994</v>
      </c>
      <c r="M293" s="11" t="s">
        <v>994</v>
      </c>
      <c r="N293" s="11" t="s">
        <v>994</v>
      </c>
      <c r="O293" s="11" t="s">
        <v>994</v>
      </c>
      <c r="P293" s="11" t="s">
        <v>994</v>
      </c>
      <c r="Q293" s="11" t="s">
        <v>994</v>
      </c>
      <c r="R293" s="11" t="s">
        <v>994</v>
      </c>
      <c r="S293" s="11" t="s">
        <v>994</v>
      </c>
      <c r="T293" s="11" t="s">
        <v>994</v>
      </c>
      <c r="U293" s="11" t="s">
        <v>994</v>
      </c>
      <c r="V293" s="11" t="s">
        <v>994</v>
      </c>
      <c r="W293" s="11" t="s">
        <v>994</v>
      </c>
      <c r="X293" s="11" t="s">
        <v>994</v>
      </c>
      <c r="Y293" s="11" t="s">
        <v>994</v>
      </c>
      <c r="Z293" s="11" t="s">
        <v>994</v>
      </c>
      <c r="AA293" s="11" t="s">
        <v>994</v>
      </c>
      <c r="AB293" s="11" t="s">
        <v>994</v>
      </c>
      <c r="AC293" s="11" t="s">
        <v>994</v>
      </c>
      <c r="AD293" s="11" t="s">
        <v>994</v>
      </c>
    </row>
    <row r="294">
      <c r="B294" s="12" t="s">
        <v>994</v>
      </c>
      <c r="C294" s="11" t="s">
        <v>994</v>
      </c>
      <c r="D294" s="11" t="s">
        <v>994</v>
      </c>
      <c r="E294" s="12" t="s">
        <v>994</v>
      </c>
      <c r="F294" s="12" t="s">
        <v>994</v>
      </c>
      <c r="G294" s="12" t="s">
        <v>994</v>
      </c>
      <c r="H294" s="12" t="s">
        <v>994</v>
      </c>
      <c r="I294" s="12" t="s">
        <v>994</v>
      </c>
      <c r="J294" s="12" t="s">
        <v>994</v>
      </c>
      <c r="K294" s="12" t="s">
        <v>994</v>
      </c>
      <c r="L294" s="13" t="s">
        <v>994</v>
      </c>
      <c r="M294" s="11" t="s">
        <v>994</v>
      </c>
      <c r="N294" s="11" t="s">
        <v>994</v>
      </c>
      <c r="O294" s="11" t="s">
        <v>994</v>
      </c>
      <c r="P294" s="11" t="s">
        <v>994</v>
      </c>
      <c r="Q294" s="11" t="s">
        <v>994</v>
      </c>
      <c r="R294" s="11" t="s">
        <v>994</v>
      </c>
      <c r="S294" s="11" t="s">
        <v>994</v>
      </c>
      <c r="T294" s="11" t="s">
        <v>994</v>
      </c>
      <c r="U294" s="11" t="s">
        <v>994</v>
      </c>
      <c r="V294" s="11" t="s">
        <v>994</v>
      </c>
      <c r="W294" s="11" t="s">
        <v>994</v>
      </c>
      <c r="X294" s="11" t="s">
        <v>994</v>
      </c>
      <c r="Y294" s="11" t="s">
        <v>994</v>
      </c>
      <c r="Z294" s="11" t="s">
        <v>994</v>
      </c>
      <c r="AA294" s="11" t="s">
        <v>994</v>
      </c>
      <c r="AB294" s="11" t="s">
        <v>994</v>
      </c>
      <c r="AC294" s="11" t="s">
        <v>994</v>
      </c>
      <c r="AD294" s="11" t="s">
        <v>994</v>
      </c>
    </row>
    <row r="295">
      <c r="B295" s="12" t="s">
        <v>994</v>
      </c>
      <c r="C295" s="11" t="s">
        <v>994</v>
      </c>
      <c r="D295" s="11" t="s">
        <v>994</v>
      </c>
      <c r="E295" s="12" t="s">
        <v>994</v>
      </c>
      <c r="F295" s="12" t="s">
        <v>994</v>
      </c>
      <c r="G295" s="12" t="s">
        <v>994</v>
      </c>
      <c r="H295" s="12" t="s">
        <v>994</v>
      </c>
      <c r="I295" s="12" t="s">
        <v>994</v>
      </c>
      <c r="J295" s="12" t="s">
        <v>994</v>
      </c>
      <c r="K295" s="12" t="s">
        <v>994</v>
      </c>
      <c r="L295" s="13" t="s">
        <v>994</v>
      </c>
      <c r="M295" s="11" t="s">
        <v>994</v>
      </c>
      <c r="N295" s="11" t="s">
        <v>994</v>
      </c>
      <c r="O295" s="11" t="s">
        <v>994</v>
      </c>
      <c r="P295" s="11" t="s">
        <v>994</v>
      </c>
      <c r="Q295" s="11" t="s">
        <v>994</v>
      </c>
      <c r="R295" s="11" t="s">
        <v>994</v>
      </c>
      <c r="S295" s="11" t="s">
        <v>994</v>
      </c>
      <c r="T295" s="11" t="s">
        <v>994</v>
      </c>
      <c r="U295" s="11" t="s">
        <v>994</v>
      </c>
      <c r="V295" s="11" t="s">
        <v>994</v>
      </c>
      <c r="W295" s="11" t="s">
        <v>994</v>
      </c>
      <c r="X295" s="11" t="s">
        <v>994</v>
      </c>
      <c r="Y295" s="11" t="s">
        <v>994</v>
      </c>
      <c r="Z295" s="11" t="s">
        <v>994</v>
      </c>
      <c r="AA295" s="11" t="s">
        <v>994</v>
      </c>
      <c r="AB295" s="11" t="s">
        <v>994</v>
      </c>
      <c r="AC295" s="11" t="s">
        <v>994</v>
      </c>
      <c r="AD295" s="11" t="s">
        <v>994</v>
      </c>
    </row>
    <row r="296">
      <c r="B296" s="12" t="s">
        <v>994</v>
      </c>
      <c r="C296" s="11" t="s">
        <v>994</v>
      </c>
      <c r="D296" s="11" t="s">
        <v>994</v>
      </c>
      <c r="E296" s="12" t="s">
        <v>994</v>
      </c>
      <c r="F296" s="12" t="s">
        <v>994</v>
      </c>
      <c r="G296" s="12" t="s">
        <v>994</v>
      </c>
      <c r="H296" s="12" t="s">
        <v>994</v>
      </c>
      <c r="I296" s="12" t="s">
        <v>994</v>
      </c>
      <c r="J296" s="12" t="s">
        <v>994</v>
      </c>
      <c r="K296" s="12" t="s">
        <v>994</v>
      </c>
      <c r="L296" s="13" t="s">
        <v>994</v>
      </c>
      <c r="M296" s="11" t="s">
        <v>994</v>
      </c>
      <c r="N296" s="11" t="s">
        <v>994</v>
      </c>
      <c r="O296" s="11" t="s">
        <v>994</v>
      </c>
      <c r="P296" s="11" t="s">
        <v>994</v>
      </c>
      <c r="Q296" s="11" t="s">
        <v>994</v>
      </c>
      <c r="R296" s="11" t="s">
        <v>994</v>
      </c>
      <c r="S296" s="11" t="s">
        <v>994</v>
      </c>
      <c r="T296" s="11" t="s">
        <v>994</v>
      </c>
      <c r="U296" s="11" t="s">
        <v>994</v>
      </c>
      <c r="V296" s="11" t="s">
        <v>994</v>
      </c>
      <c r="W296" s="11" t="s">
        <v>994</v>
      </c>
      <c r="X296" s="11" t="s">
        <v>994</v>
      </c>
      <c r="Y296" s="11" t="s">
        <v>994</v>
      </c>
      <c r="Z296" s="11" t="s">
        <v>994</v>
      </c>
      <c r="AA296" s="11" t="s">
        <v>994</v>
      </c>
      <c r="AB296" s="11" t="s">
        <v>994</v>
      </c>
      <c r="AC296" s="11" t="s">
        <v>994</v>
      </c>
      <c r="AD296" s="11" t="s">
        <v>994</v>
      </c>
    </row>
    <row r="297">
      <c r="B297" s="12" t="s">
        <v>994</v>
      </c>
      <c r="C297" s="11" t="s">
        <v>994</v>
      </c>
      <c r="D297" s="11" t="s">
        <v>994</v>
      </c>
      <c r="E297" s="12" t="s">
        <v>994</v>
      </c>
      <c r="F297" s="12" t="s">
        <v>994</v>
      </c>
      <c r="G297" s="12" t="s">
        <v>994</v>
      </c>
      <c r="H297" s="12" t="s">
        <v>994</v>
      </c>
      <c r="I297" s="12" t="s">
        <v>994</v>
      </c>
      <c r="J297" s="12" t="s">
        <v>994</v>
      </c>
      <c r="K297" s="12" t="s">
        <v>994</v>
      </c>
      <c r="L297" s="13" t="s">
        <v>994</v>
      </c>
      <c r="M297" s="11" t="s">
        <v>994</v>
      </c>
      <c r="N297" s="11" t="s">
        <v>994</v>
      </c>
      <c r="O297" s="11" t="s">
        <v>994</v>
      </c>
      <c r="P297" s="11" t="s">
        <v>994</v>
      </c>
      <c r="Q297" s="11" t="s">
        <v>994</v>
      </c>
      <c r="R297" s="11" t="s">
        <v>994</v>
      </c>
      <c r="S297" s="11" t="s">
        <v>994</v>
      </c>
      <c r="T297" s="11" t="s">
        <v>994</v>
      </c>
      <c r="U297" s="11" t="s">
        <v>994</v>
      </c>
      <c r="V297" s="11" t="s">
        <v>994</v>
      </c>
      <c r="W297" s="11" t="s">
        <v>994</v>
      </c>
      <c r="X297" s="11" t="s">
        <v>994</v>
      </c>
      <c r="Y297" s="11" t="s">
        <v>994</v>
      </c>
      <c r="Z297" s="11" t="s">
        <v>994</v>
      </c>
      <c r="AA297" s="11" t="s">
        <v>994</v>
      </c>
      <c r="AB297" s="11" t="s">
        <v>994</v>
      </c>
      <c r="AC297" s="11" t="s">
        <v>994</v>
      </c>
      <c r="AD297" s="11" t="s">
        <v>994</v>
      </c>
    </row>
    <row r="298">
      <c r="B298" s="12" t="s">
        <v>994</v>
      </c>
      <c r="C298" s="11" t="s">
        <v>994</v>
      </c>
      <c r="D298" s="11" t="s">
        <v>994</v>
      </c>
      <c r="E298" s="12" t="s">
        <v>994</v>
      </c>
      <c r="F298" s="12" t="s">
        <v>994</v>
      </c>
      <c r="G298" s="12" t="s">
        <v>994</v>
      </c>
      <c r="H298" s="12" t="s">
        <v>994</v>
      </c>
      <c r="I298" s="12" t="s">
        <v>994</v>
      </c>
      <c r="J298" s="12" t="s">
        <v>994</v>
      </c>
      <c r="K298" s="12" t="s">
        <v>994</v>
      </c>
      <c r="L298" s="13" t="s">
        <v>994</v>
      </c>
      <c r="M298" s="11" t="s">
        <v>994</v>
      </c>
      <c r="N298" s="11" t="s">
        <v>994</v>
      </c>
      <c r="O298" s="11" t="s">
        <v>994</v>
      </c>
      <c r="P298" s="11" t="s">
        <v>994</v>
      </c>
      <c r="Q298" s="11" t="s">
        <v>994</v>
      </c>
      <c r="R298" s="11" t="s">
        <v>994</v>
      </c>
      <c r="S298" s="11" t="s">
        <v>994</v>
      </c>
      <c r="T298" s="11" t="s">
        <v>994</v>
      </c>
      <c r="U298" s="11" t="s">
        <v>994</v>
      </c>
      <c r="V298" s="11" t="s">
        <v>994</v>
      </c>
      <c r="W298" s="11" t="s">
        <v>994</v>
      </c>
      <c r="X298" s="11" t="s">
        <v>994</v>
      </c>
      <c r="Y298" s="11" t="s">
        <v>994</v>
      </c>
      <c r="Z298" s="11" t="s">
        <v>994</v>
      </c>
      <c r="AA298" s="11" t="s">
        <v>994</v>
      </c>
      <c r="AB298" s="11" t="s">
        <v>994</v>
      </c>
      <c r="AC298" s="11" t="s">
        <v>994</v>
      </c>
      <c r="AD298" s="11" t="s">
        <v>994</v>
      </c>
    </row>
    <row r="299">
      <c r="B299" s="12" t="s">
        <v>994</v>
      </c>
      <c r="C299" s="11" t="s">
        <v>994</v>
      </c>
      <c r="D299" s="11" t="s">
        <v>994</v>
      </c>
      <c r="E299" s="12" t="s">
        <v>994</v>
      </c>
      <c r="F299" s="12" t="s">
        <v>994</v>
      </c>
      <c r="G299" s="12" t="s">
        <v>994</v>
      </c>
      <c r="H299" s="12" t="s">
        <v>994</v>
      </c>
      <c r="I299" s="12" t="s">
        <v>994</v>
      </c>
      <c r="J299" s="12" t="s">
        <v>994</v>
      </c>
      <c r="K299" s="12" t="s">
        <v>994</v>
      </c>
      <c r="L299" s="13" t="s">
        <v>994</v>
      </c>
      <c r="M299" s="11" t="s">
        <v>994</v>
      </c>
      <c r="N299" s="11" t="s">
        <v>994</v>
      </c>
      <c r="O299" s="11" t="s">
        <v>994</v>
      </c>
      <c r="P299" s="11" t="s">
        <v>994</v>
      </c>
      <c r="Q299" s="11" t="s">
        <v>994</v>
      </c>
      <c r="R299" s="11" t="s">
        <v>994</v>
      </c>
      <c r="S299" s="11" t="s">
        <v>994</v>
      </c>
      <c r="T299" s="11" t="s">
        <v>994</v>
      </c>
      <c r="U299" s="11" t="s">
        <v>994</v>
      </c>
      <c r="V299" s="11" t="s">
        <v>994</v>
      </c>
      <c r="W299" s="11" t="s">
        <v>994</v>
      </c>
      <c r="X299" s="11" t="s">
        <v>994</v>
      </c>
      <c r="Y299" s="11" t="s">
        <v>994</v>
      </c>
      <c r="Z299" s="11" t="s">
        <v>994</v>
      </c>
      <c r="AA299" s="11" t="s">
        <v>994</v>
      </c>
      <c r="AB299" s="11" t="s">
        <v>994</v>
      </c>
      <c r="AC299" s="11" t="s">
        <v>994</v>
      </c>
      <c r="AD299" s="11" t="s">
        <v>994</v>
      </c>
    </row>
    <row r="300">
      <c r="B300" s="12" t="s">
        <v>994</v>
      </c>
      <c r="C300" s="11" t="s">
        <v>994</v>
      </c>
      <c r="D300" s="11" t="s">
        <v>994</v>
      </c>
      <c r="E300" s="12" t="s">
        <v>994</v>
      </c>
      <c r="F300" s="12" t="s">
        <v>994</v>
      </c>
      <c r="G300" s="12" t="s">
        <v>994</v>
      </c>
      <c r="H300" s="12" t="s">
        <v>994</v>
      </c>
      <c r="I300" s="12" t="s">
        <v>994</v>
      </c>
      <c r="J300" s="12" t="s">
        <v>994</v>
      </c>
      <c r="K300" s="12" t="s">
        <v>994</v>
      </c>
      <c r="L300" s="13" t="s">
        <v>994</v>
      </c>
      <c r="M300" s="11" t="s">
        <v>994</v>
      </c>
      <c r="N300" s="11" t="s">
        <v>994</v>
      </c>
      <c r="O300" s="11" t="s">
        <v>994</v>
      </c>
      <c r="P300" s="11" t="s">
        <v>994</v>
      </c>
      <c r="Q300" s="11" t="s">
        <v>994</v>
      </c>
      <c r="R300" s="11" t="s">
        <v>994</v>
      </c>
      <c r="S300" s="11" t="s">
        <v>994</v>
      </c>
      <c r="T300" s="11" t="s">
        <v>994</v>
      </c>
      <c r="U300" s="11" t="s">
        <v>994</v>
      </c>
      <c r="V300" s="11" t="s">
        <v>994</v>
      </c>
      <c r="W300" s="11" t="s">
        <v>994</v>
      </c>
      <c r="X300" s="11" t="s">
        <v>994</v>
      </c>
      <c r="Y300" s="11" t="s">
        <v>994</v>
      </c>
      <c r="Z300" s="11" t="s">
        <v>994</v>
      </c>
      <c r="AA300" s="11" t="s">
        <v>994</v>
      </c>
      <c r="AB300" s="11" t="s">
        <v>994</v>
      </c>
      <c r="AC300" s="11" t="s">
        <v>994</v>
      </c>
      <c r="AD300" s="11" t="s">
        <v>994</v>
      </c>
    </row>
    <row r="301">
      <c r="B301" s="12" t="s">
        <v>994</v>
      </c>
      <c r="C301" s="11" t="s">
        <v>994</v>
      </c>
      <c r="D301" s="11" t="s">
        <v>994</v>
      </c>
      <c r="E301" s="12" t="s">
        <v>994</v>
      </c>
      <c r="F301" s="12" t="s">
        <v>994</v>
      </c>
      <c r="G301" s="12" t="s">
        <v>994</v>
      </c>
      <c r="H301" s="12" t="s">
        <v>994</v>
      </c>
      <c r="I301" s="12" t="s">
        <v>994</v>
      </c>
      <c r="J301" s="12" t="s">
        <v>994</v>
      </c>
      <c r="K301" s="12" t="s">
        <v>994</v>
      </c>
      <c r="L301" s="13" t="s">
        <v>994</v>
      </c>
      <c r="M301" s="11" t="s">
        <v>994</v>
      </c>
      <c r="N301" s="11" t="s">
        <v>994</v>
      </c>
      <c r="O301" s="11" t="s">
        <v>994</v>
      </c>
      <c r="P301" s="11" t="s">
        <v>994</v>
      </c>
      <c r="Q301" s="11" t="s">
        <v>994</v>
      </c>
      <c r="R301" s="11" t="s">
        <v>994</v>
      </c>
      <c r="S301" s="11" t="s">
        <v>994</v>
      </c>
      <c r="T301" s="11" t="s">
        <v>994</v>
      </c>
      <c r="U301" s="11" t="s">
        <v>994</v>
      </c>
      <c r="V301" s="11" t="s">
        <v>994</v>
      </c>
      <c r="W301" s="11" t="s">
        <v>994</v>
      </c>
      <c r="X301" s="11" t="s">
        <v>994</v>
      </c>
      <c r="Y301" s="11" t="s">
        <v>994</v>
      </c>
      <c r="Z301" s="11" t="s">
        <v>994</v>
      </c>
      <c r="AA301" s="11" t="s">
        <v>994</v>
      </c>
      <c r="AB301" s="11" t="s">
        <v>994</v>
      </c>
      <c r="AC301" s="11" t="s">
        <v>994</v>
      </c>
      <c r="AD301" s="11" t="s">
        <v>994</v>
      </c>
    </row>
    <row r="302">
      <c r="B302" s="12" t="s">
        <v>994</v>
      </c>
      <c r="C302" s="11" t="s">
        <v>994</v>
      </c>
      <c r="D302" s="11" t="s">
        <v>994</v>
      </c>
      <c r="E302" s="12" t="s">
        <v>994</v>
      </c>
      <c r="F302" s="12" t="s">
        <v>994</v>
      </c>
      <c r="G302" s="12" t="s">
        <v>994</v>
      </c>
      <c r="H302" s="12" t="s">
        <v>994</v>
      </c>
      <c r="I302" s="12" t="s">
        <v>994</v>
      </c>
      <c r="J302" s="12" t="s">
        <v>994</v>
      </c>
      <c r="K302" s="12" t="s">
        <v>994</v>
      </c>
      <c r="L302" s="13" t="s">
        <v>994</v>
      </c>
      <c r="M302" s="11" t="s">
        <v>994</v>
      </c>
      <c r="N302" s="11" t="s">
        <v>994</v>
      </c>
      <c r="O302" s="11" t="s">
        <v>994</v>
      </c>
      <c r="P302" s="11" t="s">
        <v>994</v>
      </c>
      <c r="Q302" s="11" t="s">
        <v>994</v>
      </c>
      <c r="R302" s="11" t="s">
        <v>994</v>
      </c>
      <c r="S302" s="11" t="s">
        <v>994</v>
      </c>
      <c r="T302" s="11" t="s">
        <v>994</v>
      </c>
      <c r="U302" s="11" t="s">
        <v>994</v>
      </c>
      <c r="V302" s="11" t="s">
        <v>994</v>
      </c>
      <c r="W302" s="11" t="s">
        <v>994</v>
      </c>
      <c r="X302" s="11" t="s">
        <v>994</v>
      </c>
      <c r="Y302" s="11" t="s">
        <v>994</v>
      </c>
      <c r="Z302" s="11" t="s">
        <v>994</v>
      </c>
      <c r="AA302" s="11" t="s">
        <v>994</v>
      </c>
      <c r="AB302" s="11" t="s">
        <v>994</v>
      </c>
      <c r="AC302" s="11" t="s">
        <v>994</v>
      </c>
      <c r="AD302" s="11" t="s">
        <v>994</v>
      </c>
    </row>
    <row r="303">
      <c r="B303" s="12" t="s">
        <v>994</v>
      </c>
      <c r="C303" s="11" t="s">
        <v>994</v>
      </c>
      <c r="D303" s="11" t="s">
        <v>994</v>
      </c>
      <c r="E303" s="12" t="s">
        <v>994</v>
      </c>
      <c r="F303" s="12" t="s">
        <v>994</v>
      </c>
      <c r="G303" s="12" t="s">
        <v>994</v>
      </c>
      <c r="H303" s="12" t="s">
        <v>994</v>
      </c>
      <c r="I303" s="12" t="s">
        <v>994</v>
      </c>
      <c r="J303" s="12" t="s">
        <v>994</v>
      </c>
      <c r="K303" s="12" t="s">
        <v>994</v>
      </c>
      <c r="L303" s="13" t="s">
        <v>994</v>
      </c>
      <c r="M303" s="11" t="s">
        <v>994</v>
      </c>
      <c r="N303" s="11" t="s">
        <v>994</v>
      </c>
      <c r="O303" s="11" t="s">
        <v>994</v>
      </c>
      <c r="P303" s="11" t="s">
        <v>994</v>
      </c>
      <c r="Q303" s="11" t="s">
        <v>994</v>
      </c>
      <c r="R303" s="11" t="s">
        <v>994</v>
      </c>
      <c r="S303" s="11" t="s">
        <v>994</v>
      </c>
      <c r="T303" s="11" t="s">
        <v>994</v>
      </c>
      <c r="U303" s="11" t="s">
        <v>994</v>
      </c>
      <c r="V303" s="11" t="s">
        <v>994</v>
      </c>
      <c r="W303" s="11" t="s">
        <v>994</v>
      </c>
      <c r="X303" s="11" t="s">
        <v>994</v>
      </c>
      <c r="Y303" s="11" t="s">
        <v>994</v>
      </c>
      <c r="Z303" s="11" t="s">
        <v>994</v>
      </c>
      <c r="AA303" s="11" t="s">
        <v>994</v>
      </c>
      <c r="AB303" s="11" t="s">
        <v>994</v>
      </c>
      <c r="AC303" s="11" t="s">
        <v>994</v>
      </c>
      <c r="AD303" s="11" t="s">
        <v>994</v>
      </c>
    </row>
    <row r="304">
      <c r="B304" s="12" t="s">
        <v>994</v>
      </c>
      <c r="C304" s="11" t="s">
        <v>994</v>
      </c>
      <c r="D304" s="11" t="s">
        <v>994</v>
      </c>
      <c r="E304" s="12" t="s">
        <v>994</v>
      </c>
      <c r="F304" s="12" t="s">
        <v>994</v>
      </c>
      <c r="G304" s="12" t="s">
        <v>994</v>
      </c>
      <c r="H304" s="12" t="s">
        <v>994</v>
      </c>
      <c r="I304" s="12" t="s">
        <v>994</v>
      </c>
      <c r="J304" s="12" t="s">
        <v>994</v>
      </c>
      <c r="K304" s="12" t="s">
        <v>994</v>
      </c>
      <c r="L304" s="13" t="s">
        <v>994</v>
      </c>
      <c r="M304" s="11" t="s">
        <v>994</v>
      </c>
      <c r="N304" s="11" t="s">
        <v>994</v>
      </c>
      <c r="O304" s="11" t="s">
        <v>994</v>
      </c>
      <c r="P304" s="11" t="s">
        <v>994</v>
      </c>
      <c r="Q304" s="11" t="s">
        <v>994</v>
      </c>
      <c r="R304" s="11" t="s">
        <v>994</v>
      </c>
      <c r="S304" s="11" t="s">
        <v>994</v>
      </c>
      <c r="T304" s="11" t="s">
        <v>994</v>
      </c>
      <c r="U304" s="11" t="s">
        <v>994</v>
      </c>
      <c r="V304" s="11" t="s">
        <v>994</v>
      </c>
      <c r="W304" s="11" t="s">
        <v>994</v>
      </c>
      <c r="X304" s="11" t="s">
        <v>994</v>
      </c>
      <c r="Y304" s="11" t="s">
        <v>994</v>
      </c>
      <c r="Z304" s="11" t="s">
        <v>994</v>
      </c>
      <c r="AA304" s="11" t="s">
        <v>994</v>
      </c>
      <c r="AB304" s="11" t="s">
        <v>994</v>
      </c>
      <c r="AC304" s="11" t="s">
        <v>994</v>
      </c>
      <c r="AD304" s="11" t="s">
        <v>994</v>
      </c>
    </row>
    <row r="305">
      <c r="B305" s="12" t="s">
        <v>994</v>
      </c>
      <c r="C305" s="11" t="s">
        <v>994</v>
      </c>
      <c r="D305" s="11" t="s">
        <v>994</v>
      </c>
      <c r="E305" s="12" t="s">
        <v>994</v>
      </c>
      <c r="F305" s="12" t="s">
        <v>994</v>
      </c>
      <c r="G305" s="12" t="s">
        <v>994</v>
      </c>
      <c r="H305" s="12" t="s">
        <v>994</v>
      </c>
      <c r="I305" s="12" t="s">
        <v>994</v>
      </c>
      <c r="J305" s="12" t="s">
        <v>994</v>
      </c>
      <c r="K305" s="12" t="s">
        <v>994</v>
      </c>
      <c r="L305" s="13" t="s">
        <v>994</v>
      </c>
      <c r="M305" s="11" t="s">
        <v>994</v>
      </c>
      <c r="N305" s="11" t="s">
        <v>994</v>
      </c>
      <c r="O305" s="11" t="s">
        <v>994</v>
      </c>
      <c r="P305" s="11" t="s">
        <v>994</v>
      </c>
      <c r="Q305" s="11" t="s">
        <v>994</v>
      </c>
      <c r="R305" s="11" t="s">
        <v>994</v>
      </c>
      <c r="S305" s="11" t="s">
        <v>994</v>
      </c>
      <c r="T305" s="11" t="s">
        <v>994</v>
      </c>
      <c r="U305" s="11" t="s">
        <v>994</v>
      </c>
      <c r="V305" s="11" t="s">
        <v>994</v>
      </c>
      <c r="W305" s="11" t="s">
        <v>994</v>
      </c>
      <c r="X305" s="11" t="s">
        <v>994</v>
      </c>
      <c r="Y305" s="11" t="s">
        <v>994</v>
      </c>
      <c r="Z305" s="11" t="s">
        <v>994</v>
      </c>
      <c r="AA305" s="11" t="s">
        <v>994</v>
      </c>
      <c r="AB305" s="11" t="s">
        <v>994</v>
      </c>
      <c r="AC305" s="11" t="s">
        <v>994</v>
      </c>
      <c r="AD305" s="11" t="s">
        <v>994</v>
      </c>
    </row>
    <row r="306">
      <c r="B306" s="12" t="s">
        <v>994</v>
      </c>
      <c r="C306" s="11" t="s">
        <v>994</v>
      </c>
      <c r="D306" s="11" t="s">
        <v>994</v>
      </c>
      <c r="E306" s="12" t="s">
        <v>994</v>
      </c>
      <c r="F306" s="12" t="s">
        <v>994</v>
      </c>
      <c r="G306" s="12" t="s">
        <v>994</v>
      </c>
      <c r="H306" s="12" t="s">
        <v>994</v>
      </c>
      <c r="I306" s="12" t="s">
        <v>994</v>
      </c>
      <c r="J306" s="12" t="s">
        <v>994</v>
      </c>
      <c r="K306" s="12" t="s">
        <v>994</v>
      </c>
      <c r="L306" s="13" t="s">
        <v>994</v>
      </c>
      <c r="M306" s="11" t="s">
        <v>994</v>
      </c>
      <c r="N306" s="11" t="s">
        <v>994</v>
      </c>
      <c r="O306" s="11" t="s">
        <v>994</v>
      </c>
      <c r="P306" s="11" t="s">
        <v>994</v>
      </c>
      <c r="Q306" s="11" t="s">
        <v>994</v>
      </c>
      <c r="R306" s="11" t="s">
        <v>994</v>
      </c>
      <c r="S306" s="11" t="s">
        <v>994</v>
      </c>
      <c r="T306" s="11" t="s">
        <v>994</v>
      </c>
      <c r="U306" s="11" t="s">
        <v>994</v>
      </c>
      <c r="V306" s="11" t="s">
        <v>994</v>
      </c>
      <c r="W306" s="11" t="s">
        <v>994</v>
      </c>
      <c r="X306" s="11" t="s">
        <v>994</v>
      </c>
      <c r="Y306" s="11" t="s">
        <v>994</v>
      </c>
      <c r="Z306" s="11" t="s">
        <v>994</v>
      </c>
      <c r="AA306" s="11" t="s">
        <v>994</v>
      </c>
      <c r="AB306" s="11" t="s">
        <v>994</v>
      </c>
      <c r="AC306" s="11" t="s">
        <v>994</v>
      </c>
      <c r="AD306" s="11" t="s">
        <v>994</v>
      </c>
    </row>
    <row r="307">
      <c r="B307" s="12" t="s">
        <v>994</v>
      </c>
      <c r="C307" s="11" t="s">
        <v>994</v>
      </c>
      <c r="D307" s="11" t="s">
        <v>994</v>
      </c>
      <c r="E307" s="12" t="s">
        <v>994</v>
      </c>
      <c r="F307" s="12" t="s">
        <v>994</v>
      </c>
      <c r="G307" s="12" t="s">
        <v>994</v>
      </c>
      <c r="H307" s="12" t="s">
        <v>994</v>
      </c>
      <c r="I307" s="12" t="s">
        <v>994</v>
      </c>
      <c r="J307" s="12" t="s">
        <v>994</v>
      </c>
      <c r="K307" s="12" t="s">
        <v>994</v>
      </c>
      <c r="L307" s="13" t="s">
        <v>994</v>
      </c>
      <c r="M307" s="11" t="s">
        <v>994</v>
      </c>
      <c r="N307" s="11" t="s">
        <v>994</v>
      </c>
      <c r="O307" s="11" t="s">
        <v>994</v>
      </c>
      <c r="P307" s="11" t="s">
        <v>994</v>
      </c>
      <c r="Q307" s="11" t="s">
        <v>994</v>
      </c>
      <c r="R307" s="11" t="s">
        <v>994</v>
      </c>
      <c r="S307" s="11" t="s">
        <v>994</v>
      </c>
      <c r="T307" s="11" t="s">
        <v>994</v>
      </c>
      <c r="U307" s="11" t="s">
        <v>994</v>
      </c>
      <c r="V307" s="11" t="s">
        <v>994</v>
      </c>
      <c r="W307" s="11" t="s">
        <v>994</v>
      </c>
      <c r="X307" s="11" t="s">
        <v>994</v>
      </c>
      <c r="Y307" s="11" t="s">
        <v>994</v>
      </c>
      <c r="Z307" s="11" t="s">
        <v>994</v>
      </c>
      <c r="AA307" s="11" t="s">
        <v>994</v>
      </c>
      <c r="AB307" s="11" t="s">
        <v>994</v>
      </c>
      <c r="AC307" s="11" t="s">
        <v>994</v>
      </c>
      <c r="AD307" s="11" t="s">
        <v>994</v>
      </c>
    </row>
    <row r="308">
      <c r="B308" s="12" t="s">
        <v>994</v>
      </c>
      <c r="C308" s="11" t="s">
        <v>994</v>
      </c>
      <c r="D308" s="11" t="s">
        <v>994</v>
      </c>
      <c r="E308" s="12" t="s">
        <v>994</v>
      </c>
      <c r="F308" s="12" t="s">
        <v>994</v>
      </c>
      <c r="G308" s="12" t="s">
        <v>994</v>
      </c>
      <c r="H308" s="12" t="s">
        <v>994</v>
      </c>
      <c r="I308" s="12" t="s">
        <v>994</v>
      </c>
      <c r="J308" s="12" t="s">
        <v>994</v>
      </c>
      <c r="K308" s="12" t="s">
        <v>994</v>
      </c>
      <c r="L308" s="13" t="s">
        <v>994</v>
      </c>
      <c r="M308" s="11" t="s">
        <v>994</v>
      </c>
      <c r="N308" s="11" t="s">
        <v>994</v>
      </c>
      <c r="O308" s="11" t="s">
        <v>994</v>
      </c>
      <c r="P308" s="11" t="s">
        <v>994</v>
      </c>
      <c r="Q308" s="11" t="s">
        <v>994</v>
      </c>
      <c r="R308" s="11" t="s">
        <v>994</v>
      </c>
      <c r="S308" s="11" t="s">
        <v>994</v>
      </c>
      <c r="T308" s="11" t="s">
        <v>994</v>
      </c>
      <c r="U308" s="11" t="s">
        <v>994</v>
      </c>
      <c r="V308" s="11" t="s">
        <v>994</v>
      </c>
      <c r="W308" s="11" t="s">
        <v>994</v>
      </c>
      <c r="X308" s="11" t="s">
        <v>994</v>
      </c>
      <c r="Y308" s="11" t="s">
        <v>994</v>
      </c>
      <c r="Z308" s="11" t="s">
        <v>994</v>
      </c>
      <c r="AA308" s="11" t="s">
        <v>994</v>
      </c>
      <c r="AB308" s="11" t="s">
        <v>994</v>
      </c>
      <c r="AC308" s="11" t="s">
        <v>994</v>
      </c>
      <c r="AD308" s="11" t="s">
        <v>994</v>
      </c>
    </row>
    <row r="309">
      <c r="B309" s="12" t="s">
        <v>994</v>
      </c>
      <c r="C309" s="11" t="s">
        <v>994</v>
      </c>
      <c r="D309" s="11" t="s">
        <v>994</v>
      </c>
      <c r="E309" s="12" t="s">
        <v>994</v>
      </c>
      <c r="F309" s="12" t="s">
        <v>994</v>
      </c>
      <c r="G309" s="12" t="s">
        <v>994</v>
      </c>
      <c r="H309" s="12" t="s">
        <v>994</v>
      </c>
      <c r="I309" s="12" t="s">
        <v>994</v>
      </c>
      <c r="J309" s="12" t="s">
        <v>994</v>
      </c>
      <c r="K309" s="12" t="s">
        <v>994</v>
      </c>
      <c r="L309" s="13" t="s">
        <v>994</v>
      </c>
      <c r="M309" s="11" t="s">
        <v>994</v>
      </c>
      <c r="N309" s="11" t="s">
        <v>994</v>
      </c>
      <c r="O309" s="11" t="s">
        <v>994</v>
      </c>
      <c r="P309" s="11" t="s">
        <v>994</v>
      </c>
      <c r="Q309" s="11" t="s">
        <v>994</v>
      </c>
      <c r="R309" s="11" t="s">
        <v>994</v>
      </c>
      <c r="S309" s="11" t="s">
        <v>994</v>
      </c>
      <c r="T309" s="11" t="s">
        <v>994</v>
      </c>
      <c r="U309" s="11" t="s">
        <v>994</v>
      </c>
      <c r="V309" s="11" t="s">
        <v>994</v>
      </c>
      <c r="W309" s="11" t="s">
        <v>994</v>
      </c>
      <c r="X309" s="11" t="s">
        <v>994</v>
      </c>
      <c r="Y309" s="11" t="s">
        <v>994</v>
      </c>
      <c r="Z309" s="11" t="s">
        <v>994</v>
      </c>
      <c r="AA309" s="11" t="s">
        <v>994</v>
      </c>
      <c r="AB309" s="11" t="s">
        <v>994</v>
      </c>
      <c r="AC309" s="11" t="s">
        <v>994</v>
      </c>
      <c r="AD309" s="11" t="s">
        <v>994</v>
      </c>
    </row>
    <row r="310">
      <c r="B310" s="12" t="s">
        <v>994</v>
      </c>
      <c r="C310" s="11" t="s">
        <v>994</v>
      </c>
      <c r="D310" s="11" t="s">
        <v>994</v>
      </c>
      <c r="E310" s="12" t="s">
        <v>994</v>
      </c>
      <c r="F310" s="12" t="s">
        <v>994</v>
      </c>
      <c r="G310" s="12" t="s">
        <v>994</v>
      </c>
      <c r="H310" s="12" t="s">
        <v>994</v>
      </c>
      <c r="I310" s="12" t="s">
        <v>994</v>
      </c>
      <c r="J310" s="12" t="s">
        <v>994</v>
      </c>
      <c r="K310" s="12" t="s">
        <v>994</v>
      </c>
      <c r="L310" s="13" t="s">
        <v>994</v>
      </c>
      <c r="M310" s="11" t="s">
        <v>994</v>
      </c>
      <c r="N310" s="11" t="s">
        <v>994</v>
      </c>
      <c r="O310" s="11" t="s">
        <v>994</v>
      </c>
      <c r="P310" s="11" t="s">
        <v>994</v>
      </c>
      <c r="Q310" s="11" t="s">
        <v>994</v>
      </c>
      <c r="R310" s="11" t="s">
        <v>994</v>
      </c>
      <c r="S310" s="11" t="s">
        <v>994</v>
      </c>
      <c r="T310" s="11" t="s">
        <v>994</v>
      </c>
      <c r="U310" s="11" t="s">
        <v>994</v>
      </c>
      <c r="V310" s="11" t="s">
        <v>994</v>
      </c>
      <c r="W310" s="11" t="s">
        <v>994</v>
      </c>
      <c r="X310" s="11" t="s">
        <v>994</v>
      </c>
      <c r="Y310" s="11" t="s">
        <v>994</v>
      </c>
      <c r="Z310" s="11" t="s">
        <v>994</v>
      </c>
      <c r="AA310" s="11" t="s">
        <v>994</v>
      </c>
      <c r="AB310" s="11" t="s">
        <v>994</v>
      </c>
      <c r="AC310" s="11" t="s">
        <v>994</v>
      </c>
      <c r="AD310" s="11" t="s">
        <v>994</v>
      </c>
    </row>
    <row r="311">
      <c r="B311" s="12" t="s">
        <v>994</v>
      </c>
      <c r="C311" s="11" t="s">
        <v>994</v>
      </c>
      <c r="D311" s="11" t="s">
        <v>994</v>
      </c>
      <c r="E311" s="12" t="s">
        <v>994</v>
      </c>
      <c r="F311" s="12" t="s">
        <v>994</v>
      </c>
      <c r="G311" s="12" t="s">
        <v>994</v>
      </c>
      <c r="H311" s="12" t="s">
        <v>994</v>
      </c>
      <c r="I311" s="12" t="s">
        <v>994</v>
      </c>
      <c r="J311" s="12" t="s">
        <v>994</v>
      </c>
      <c r="K311" s="12" t="s">
        <v>994</v>
      </c>
      <c r="L311" s="13" t="s">
        <v>994</v>
      </c>
      <c r="M311" s="11" t="s">
        <v>994</v>
      </c>
      <c r="N311" s="11" t="s">
        <v>994</v>
      </c>
      <c r="O311" s="11" t="s">
        <v>994</v>
      </c>
      <c r="P311" s="11" t="s">
        <v>994</v>
      </c>
      <c r="Q311" s="11" t="s">
        <v>994</v>
      </c>
      <c r="R311" s="11" t="s">
        <v>994</v>
      </c>
      <c r="S311" s="11" t="s">
        <v>994</v>
      </c>
      <c r="T311" s="11" t="s">
        <v>994</v>
      </c>
      <c r="U311" s="11" t="s">
        <v>994</v>
      </c>
      <c r="V311" s="11" t="s">
        <v>994</v>
      </c>
      <c r="W311" s="11" t="s">
        <v>994</v>
      </c>
      <c r="X311" s="11" t="s">
        <v>994</v>
      </c>
      <c r="Y311" s="11" t="s">
        <v>994</v>
      </c>
      <c r="Z311" s="11" t="s">
        <v>994</v>
      </c>
      <c r="AA311" s="11" t="s">
        <v>994</v>
      </c>
      <c r="AB311" s="11" t="s">
        <v>994</v>
      </c>
      <c r="AC311" s="11" t="s">
        <v>994</v>
      </c>
      <c r="AD311" s="11" t="s">
        <v>994</v>
      </c>
    </row>
    <row r="312">
      <c r="B312" s="12" t="s">
        <v>994</v>
      </c>
      <c r="C312" s="11" t="s">
        <v>994</v>
      </c>
      <c r="D312" s="11" t="s">
        <v>994</v>
      </c>
      <c r="E312" s="12" t="s">
        <v>994</v>
      </c>
      <c r="F312" s="12" t="s">
        <v>994</v>
      </c>
      <c r="G312" s="12" t="s">
        <v>994</v>
      </c>
      <c r="H312" s="12" t="s">
        <v>994</v>
      </c>
      <c r="I312" s="12" t="s">
        <v>994</v>
      </c>
      <c r="J312" s="12" t="s">
        <v>994</v>
      </c>
      <c r="K312" s="12" t="s">
        <v>994</v>
      </c>
      <c r="L312" s="13" t="s">
        <v>994</v>
      </c>
      <c r="M312" s="11" t="s">
        <v>994</v>
      </c>
      <c r="N312" s="11" t="s">
        <v>994</v>
      </c>
      <c r="O312" s="11" t="s">
        <v>994</v>
      </c>
      <c r="P312" s="11" t="s">
        <v>994</v>
      </c>
      <c r="Q312" s="11" t="s">
        <v>994</v>
      </c>
      <c r="R312" s="11" t="s">
        <v>994</v>
      </c>
      <c r="S312" s="11" t="s">
        <v>994</v>
      </c>
      <c r="T312" s="11" t="s">
        <v>994</v>
      </c>
      <c r="U312" s="11" t="s">
        <v>994</v>
      </c>
      <c r="V312" s="11" t="s">
        <v>994</v>
      </c>
      <c r="W312" s="11" t="s">
        <v>994</v>
      </c>
      <c r="X312" s="11" t="s">
        <v>994</v>
      </c>
      <c r="Y312" s="11" t="s">
        <v>994</v>
      </c>
      <c r="Z312" s="11" t="s">
        <v>994</v>
      </c>
      <c r="AA312" s="11" t="s">
        <v>994</v>
      </c>
      <c r="AB312" s="11" t="s">
        <v>994</v>
      </c>
      <c r="AC312" s="11" t="s">
        <v>994</v>
      </c>
      <c r="AD312" s="11" t="s">
        <v>994</v>
      </c>
    </row>
    <row r="313">
      <c r="B313" s="12" t="s">
        <v>994</v>
      </c>
      <c r="C313" s="11" t="s">
        <v>994</v>
      </c>
      <c r="D313" s="11" t="s">
        <v>994</v>
      </c>
      <c r="E313" s="12" t="s">
        <v>994</v>
      </c>
      <c r="F313" s="12" t="s">
        <v>994</v>
      </c>
      <c r="G313" s="12" t="s">
        <v>994</v>
      </c>
      <c r="H313" s="12" t="s">
        <v>994</v>
      </c>
      <c r="I313" s="12" t="s">
        <v>994</v>
      </c>
      <c r="J313" s="12" t="s">
        <v>994</v>
      </c>
      <c r="K313" s="12" t="s">
        <v>994</v>
      </c>
      <c r="L313" s="13" t="s">
        <v>994</v>
      </c>
      <c r="M313" s="11" t="s">
        <v>994</v>
      </c>
      <c r="N313" s="11" t="s">
        <v>994</v>
      </c>
      <c r="O313" s="11" t="s">
        <v>994</v>
      </c>
      <c r="P313" s="11" t="s">
        <v>994</v>
      </c>
      <c r="Q313" s="11" t="s">
        <v>994</v>
      </c>
      <c r="R313" s="11" t="s">
        <v>994</v>
      </c>
      <c r="S313" s="11" t="s">
        <v>994</v>
      </c>
      <c r="T313" s="11" t="s">
        <v>994</v>
      </c>
      <c r="U313" s="11" t="s">
        <v>994</v>
      </c>
      <c r="V313" s="11" t="s">
        <v>994</v>
      </c>
      <c r="W313" s="11" t="s">
        <v>994</v>
      </c>
      <c r="X313" s="11" t="s">
        <v>994</v>
      </c>
      <c r="Y313" s="11" t="s">
        <v>994</v>
      </c>
      <c r="Z313" s="11" t="s">
        <v>994</v>
      </c>
      <c r="AA313" s="11" t="s">
        <v>994</v>
      </c>
      <c r="AB313" s="11" t="s">
        <v>994</v>
      </c>
      <c r="AC313" s="11" t="s">
        <v>994</v>
      </c>
      <c r="AD313" s="11" t="s">
        <v>994</v>
      </c>
    </row>
    <row r="314">
      <c r="B314" s="12" t="s">
        <v>994</v>
      </c>
      <c r="C314" s="11" t="s">
        <v>994</v>
      </c>
      <c r="D314" s="11" t="s">
        <v>994</v>
      </c>
      <c r="E314" s="12" t="s">
        <v>994</v>
      </c>
      <c r="F314" s="12" t="s">
        <v>994</v>
      </c>
      <c r="G314" s="12" t="s">
        <v>994</v>
      </c>
      <c r="H314" s="12" t="s">
        <v>994</v>
      </c>
      <c r="I314" s="12" t="s">
        <v>994</v>
      </c>
      <c r="J314" s="12" t="s">
        <v>994</v>
      </c>
      <c r="K314" s="12" t="s">
        <v>994</v>
      </c>
      <c r="L314" s="13" t="s">
        <v>994</v>
      </c>
      <c r="M314" s="11" t="s">
        <v>994</v>
      </c>
      <c r="N314" s="11" t="s">
        <v>994</v>
      </c>
      <c r="O314" s="11" t="s">
        <v>994</v>
      </c>
      <c r="P314" s="11" t="s">
        <v>994</v>
      </c>
      <c r="Q314" s="11" t="s">
        <v>994</v>
      </c>
      <c r="R314" s="11" t="s">
        <v>994</v>
      </c>
      <c r="S314" s="11" t="s">
        <v>994</v>
      </c>
      <c r="T314" s="11" t="s">
        <v>994</v>
      </c>
      <c r="U314" s="11" t="s">
        <v>994</v>
      </c>
      <c r="V314" s="11" t="s">
        <v>994</v>
      </c>
      <c r="W314" s="11" t="s">
        <v>994</v>
      </c>
      <c r="X314" s="11" t="s">
        <v>994</v>
      </c>
      <c r="Y314" s="11" t="s">
        <v>994</v>
      </c>
      <c r="Z314" s="11" t="s">
        <v>994</v>
      </c>
      <c r="AA314" s="11" t="s">
        <v>994</v>
      </c>
      <c r="AB314" s="11" t="s">
        <v>994</v>
      </c>
      <c r="AC314" s="11" t="s">
        <v>994</v>
      </c>
      <c r="AD314" s="11" t="s">
        <v>994</v>
      </c>
    </row>
    <row r="315">
      <c r="B315" s="12" t="s">
        <v>994</v>
      </c>
      <c r="C315" s="11" t="s">
        <v>994</v>
      </c>
      <c r="D315" s="11" t="s">
        <v>994</v>
      </c>
      <c r="E315" s="12" t="s">
        <v>994</v>
      </c>
      <c r="F315" s="12" t="s">
        <v>994</v>
      </c>
      <c r="G315" s="12" t="s">
        <v>994</v>
      </c>
      <c r="H315" s="12" t="s">
        <v>994</v>
      </c>
      <c r="I315" s="12" t="s">
        <v>994</v>
      </c>
      <c r="J315" s="12" t="s">
        <v>994</v>
      </c>
      <c r="K315" s="12" t="s">
        <v>994</v>
      </c>
      <c r="L315" s="13" t="s">
        <v>994</v>
      </c>
      <c r="M315" s="11" t="s">
        <v>994</v>
      </c>
      <c r="N315" s="11" t="s">
        <v>994</v>
      </c>
      <c r="O315" s="11" t="s">
        <v>994</v>
      </c>
      <c r="P315" s="11" t="s">
        <v>994</v>
      </c>
      <c r="Q315" s="11" t="s">
        <v>994</v>
      </c>
      <c r="R315" s="11" t="s">
        <v>994</v>
      </c>
      <c r="S315" s="11" t="s">
        <v>994</v>
      </c>
      <c r="T315" s="11" t="s">
        <v>994</v>
      </c>
      <c r="U315" s="11" t="s">
        <v>994</v>
      </c>
      <c r="V315" s="11" t="s">
        <v>994</v>
      </c>
      <c r="W315" s="11" t="s">
        <v>994</v>
      </c>
      <c r="X315" s="11" t="s">
        <v>994</v>
      </c>
      <c r="Y315" s="11" t="s">
        <v>994</v>
      </c>
      <c r="Z315" s="11" t="s">
        <v>994</v>
      </c>
      <c r="AA315" s="11" t="s">
        <v>994</v>
      </c>
      <c r="AB315" s="11" t="s">
        <v>994</v>
      </c>
      <c r="AC315" s="11" t="s">
        <v>994</v>
      </c>
      <c r="AD315" s="11" t="s">
        <v>994</v>
      </c>
    </row>
    <row r="316">
      <c r="B316" s="12" t="s">
        <v>994</v>
      </c>
      <c r="C316" s="11" t="s">
        <v>994</v>
      </c>
      <c r="D316" s="11" t="s">
        <v>994</v>
      </c>
      <c r="E316" s="12" t="s">
        <v>994</v>
      </c>
      <c r="F316" s="12" t="s">
        <v>994</v>
      </c>
      <c r="G316" s="12" t="s">
        <v>994</v>
      </c>
      <c r="H316" s="12" t="s">
        <v>994</v>
      </c>
      <c r="I316" s="12" t="s">
        <v>994</v>
      </c>
      <c r="J316" s="12" t="s">
        <v>994</v>
      </c>
      <c r="K316" s="12" t="s">
        <v>994</v>
      </c>
      <c r="L316" s="13" t="s">
        <v>994</v>
      </c>
      <c r="M316" s="11" t="s">
        <v>994</v>
      </c>
      <c r="N316" s="11" t="s">
        <v>994</v>
      </c>
      <c r="O316" s="11" t="s">
        <v>994</v>
      </c>
      <c r="P316" s="11" t="s">
        <v>994</v>
      </c>
      <c r="Q316" s="11" t="s">
        <v>994</v>
      </c>
      <c r="R316" s="11" t="s">
        <v>994</v>
      </c>
      <c r="S316" s="11" t="s">
        <v>994</v>
      </c>
      <c r="T316" s="11" t="s">
        <v>994</v>
      </c>
      <c r="U316" s="11" t="s">
        <v>994</v>
      </c>
      <c r="V316" s="11" t="s">
        <v>994</v>
      </c>
      <c r="W316" s="11" t="s">
        <v>994</v>
      </c>
      <c r="X316" s="11" t="s">
        <v>994</v>
      </c>
      <c r="Y316" s="11" t="s">
        <v>994</v>
      </c>
      <c r="Z316" s="11" t="s">
        <v>994</v>
      </c>
      <c r="AA316" s="11" t="s">
        <v>994</v>
      </c>
      <c r="AB316" s="11" t="s">
        <v>994</v>
      </c>
      <c r="AC316" s="11" t="s">
        <v>994</v>
      </c>
      <c r="AD316" s="11" t="s">
        <v>994</v>
      </c>
    </row>
    <row r="317">
      <c r="B317" s="12" t="s">
        <v>994</v>
      </c>
      <c r="C317" s="11" t="s">
        <v>994</v>
      </c>
      <c r="D317" s="11" t="s">
        <v>994</v>
      </c>
      <c r="E317" s="12" t="s">
        <v>994</v>
      </c>
      <c r="F317" s="12" t="s">
        <v>994</v>
      </c>
      <c r="G317" s="12" t="s">
        <v>994</v>
      </c>
      <c r="H317" s="12" t="s">
        <v>994</v>
      </c>
      <c r="I317" s="12" t="s">
        <v>994</v>
      </c>
      <c r="J317" s="12" t="s">
        <v>994</v>
      </c>
      <c r="K317" s="12" t="s">
        <v>994</v>
      </c>
      <c r="L317" s="13" t="s">
        <v>994</v>
      </c>
      <c r="M317" s="11" t="s">
        <v>994</v>
      </c>
      <c r="N317" s="11" t="s">
        <v>994</v>
      </c>
      <c r="O317" s="11" t="s">
        <v>994</v>
      </c>
      <c r="P317" s="11" t="s">
        <v>994</v>
      </c>
      <c r="Q317" s="11" t="s">
        <v>994</v>
      </c>
      <c r="R317" s="11" t="s">
        <v>994</v>
      </c>
      <c r="S317" s="11" t="s">
        <v>994</v>
      </c>
      <c r="T317" s="11" t="s">
        <v>994</v>
      </c>
      <c r="U317" s="11" t="s">
        <v>994</v>
      </c>
      <c r="V317" s="11" t="s">
        <v>994</v>
      </c>
      <c r="W317" s="11" t="s">
        <v>994</v>
      </c>
      <c r="X317" s="11" t="s">
        <v>994</v>
      </c>
      <c r="Y317" s="11" t="s">
        <v>994</v>
      </c>
      <c r="Z317" s="11" t="s">
        <v>994</v>
      </c>
      <c r="AA317" s="11" t="s">
        <v>994</v>
      </c>
      <c r="AB317" s="11" t="s">
        <v>994</v>
      </c>
      <c r="AC317" s="11" t="s">
        <v>994</v>
      </c>
      <c r="AD317" s="11" t="s">
        <v>994</v>
      </c>
    </row>
    <row r="318">
      <c r="B318" s="12" t="s">
        <v>994</v>
      </c>
      <c r="C318" s="11" t="s">
        <v>994</v>
      </c>
      <c r="D318" s="11" t="s">
        <v>994</v>
      </c>
      <c r="E318" s="12" t="s">
        <v>994</v>
      </c>
      <c r="F318" s="12" t="s">
        <v>994</v>
      </c>
      <c r="G318" s="12" t="s">
        <v>994</v>
      </c>
      <c r="H318" s="12" t="s">
        <v>994</v>
      </c>
      <c r="I318" s="12" t="s">
        <v>994</v>
      </c>
      <c r="J318" s="12" t="s">
        <v>994</v>
      </c>
      <c r="K318" s="12" t="s">
        <v>994</v>
      </c>
      <c r="L318" s="13" t="s">
        <v>994</v>
      </c>
      <c r="M318" s="11" t="s">
        <v>994</v>
      </c>
      <c r="N318" s="11" t="s">
        <v>994</v>
      </c>
      <c r="O318" s="11" t="s">
        <v>994</v>
      </c>
      <c r="P318" s="11" t="s">
        <v>994</v>
      </c>
      <c r="Q318" s="11" t="s">
        <v>994</v>
      </c>
      <c r="R318" s="11" t="s">
        <v>994</v>
      </c>
      <c r="S318" s="11" t="s">
        <v>994</v>
      </c>
      <c r="T318" s="11" t="s">
        <v>994</v>
      </c>
      <c r="U318" s="11" t="s">
        <v>994</v>
      </c>
      <c r="V318" s="11" t="s">
        <v>994</v>
      </c>
      <c r="W318" s="11" t="s">
        <v>994</v>
      </c>
      <c r="X318" s="11" t="s">
        <v>994</v>
      </c>
      <c r="Y318" s="11" t="s">
        <v>994</v>
      </c>
      <c r="Z318" s="11" t="s">
        <v>994</v>
      </c>
      <c r="AA318" s="11" t="s">
        <v>994</v>
      </c>
      <c r="AB318" s="11" t="s">
        <v>994</v>
      </c>
      <c r="AC318" s="11" t="s">
        <v>994</v>
      </c>
      <c r="AD318" s="11" t="s">
        <v>994</v>
      </c>
    </row>
    <row r="319">
      <c r="B319" s="12" t="s">
        <v>994</v>
      </c>
      <c r="C319" s="11" t="s">
        <v>994</v>
      </c>
      <c r="D319" s="11" t="s">
        <v>994</v>
      </c>
      <c r="E319" s="12" t="s">
        <v>994</v>
      </c>
      <c r="F319" s="12" t="s">
        <v>994</v>
      </c>
      <c r="G319" s="12" t="s">
        <v>994</v>
      </c>
      <c r="H319" s="12" t="s">
        <v>994</v>
      </c>
      <c r="I319" s="12" t="s">
        <v>994</v>
      </c>
      <c r="J319" s="12" t="s">
        <v>994</v>
      </c>
      <c r="K319" s="12" t="s">
        <v>994</v>
      </c>
      <c r="L319" s="13" t="s">
        <v>994</v>
      </c>
      <c r="M319" s="11" t="s">
        <v>994</v>
      </c>
      <c r="N319" s="11" t="s">
        <v>994</v>
      </c>
      <c r="O319" s="11" t="s">
        <v>994</v>
      </c>
      <c r="P319" s="11" t="s">
        <v>994</v>
      </c>
      <c r="Q319" s="11" t="s">
        <v>994</v>
      </c>
      <c r="R319" s="11" t="s">
        <v>994</v>
      </c>
      <c r="S319" s="11" t="s">
        <v>994</v>
      </c>
      <c r="T319" s="11" t="s">
        <v>994</v>
      </c>
      <c r="U319" s="11" t="s">
        <v>994</v>
      </c>
      <c r="V319" s="11" t="s">
        <v>994</v>
      </c>
      <c r="W319" s="11" t="s">
        <v>994</v>
      </c>
      <c r="X319" s="11" t="s">
        <v>994</v>
      </c>
      <c r="Y319" s="11" t="s">
        <v>994</v>
      </c>
      <c r="Z319" s="11" t="s">
        <v>994</v>
      </c>
      <c r="AA319" s="11" t="s">
        <v>994</v>
      </c>
      <c r="AB319" s="11" t="s">
        <v>994</v>
      </c>
      <c r="AC319" s="11" t="s">
        <v>994</v>
      </c>
      <c r="AD319" s="11" t="s">
        <v>994</v>
      </c>
    </row>
    <row r="320">
      <c r="B320" s="12" t="s">
        <v>994</v>
      </c>
      <c r="C320" s="11" t="s">
        <v>994</v>
      </c>
      <c r="D320" s="11" t="s">
        <v>994</v>
      </c>
      <c r="E320" s="12" t="s">
        <v>994</v>
      </c>
      <c r="F320" s="12" t="s">
        <v>994</v>
      </c>
      <c r="G320" s="12" t="s">
        <v>994</v>
      </c>
      <c r="H320" s="12" t="s">
        <v>994</v>
      </c>
      <c r="I320" s="12" t="s">
        <v>994</v>
      </c>
      <c r="J320" s="12" t="s">
        <v>994</v>
      </c>
      <c r="K320" s="12" t="s">
        <v>994</v>
      </c>
      <c r="L320" s="13" t="s">
        <v>994</v>
      </c>
      <c r="M320" s="11" t="s">
        <v>994</v>
      </c>
      <c r="N320" s="11" t="s">
        <v>994</v>
      </c>
      <c r="O320" s="11" t="s">
        <v>994</v>
      </c>
      <c r="P320" s="11" t="s">
        <v>994</v>
      </c>
      <c r="Q320" s="11" t="s">
        <v>994</v>
      </c>
      <c r="R320" s="11" t="s">
        <v>994</v>
      </c>
      <c r="S320" s="11" t="s">
        <v>994</v>
      </c>
      <c r="T320" s="11" t="s">
        <v>994</v>
      </c>
      <c r="U320" s="11" t="s">
        <v>994</v>
      </c>
      <c r="V320" s="11" t="s">
        <v>994</v>
      </c>
      <c r="W320" s="11" t="s">
        <v>994</v>
      </c>
      <c r="X320" s="11" t="s">
        <v>994</v>
      </c>
      <c r="Y320" s="11" t="s">
        <v>994</v>
      </c>
      <c r="Z320" s="11" t="s">
        <v>994</v>
      </c>
      <c r="AA320" s="11" t="s">
        <v>994</v>
      </c>
      <c r="AB320" s="11" t="s">
        <v>994</v>
      </c>
      <c r="AC320" s="11" t="s">
        <v>994</v>
      </c>
      <c r="AD320" s="11" t="s">
        <v>994</v>
      </c>
    </row>
    <row r="321">
      <c r="B321" s="12" t="s">
        <v>994</v>
      </c>
      <c r="C321" s="11" t="s">
        <v>994</v>
      </c>
      <c r="D321" s="11" t="s">
        <v>994</v>
      </c>
      <c r="E321" s="12" t="s">
        <v>994</v>
      </c>
      <c r="F321" s="12" t="s">
        <v>994</v>
      </c>
      <c r="G321" s="12" t="s">
        <v>994</v>
      </c>
      <c r="H321" s="12" t="s">
        <v>994</v>
      </c>
      <c r="I321" s="12" t="s">
        <v>994</v>
      </c>
      <c r="J321" s="12" t="s">
        <v>994</v>
      </c>
      <c r="K321" s="12" t="s">
        <v>994</v>
      </c>
      <c r="L321" s="13" t="s">
        <v>994</v>
      </c>
      <c r="M321" s="11" t="s">
        <v>994</v>
      </c>
      <c r="N321" s="11" t="s">
        <v>994</v>
      </c>
      <c r="O321" s="11" t="s">
        <v>994</v>
      </c>
      <c r="P321" s="11" t="s">
        <v>994</v>
      </c>
      <c r="Q321" s="11" t="s">
        <v>994</v>
      </c>
      <c r="R321" s="11" t="s">
        <v>994</v>
      </c>
      <c r="S321" s="11" t="s">
        <v>994</v>
      </c>
      <c r="T321" s="11" t="s">
        <v>994</v>
      </c>
      <c r="U321" s="11" t="s">
        <v>994</v>
      </c>
      <c r="V321" s="11" t="s">
        <v>994</v>
      </c>
      <c r="W321" s="11" t="s">
        <v>994</v>
      </c>
      <c r="X321" s="11" t="s">
        <v>994</v>
      </c>
      <c r="Y321" s="11" t="s">
        <v>994</v>
      </c>
      <c r="Z321" s="11" t="s">
        <v>994</v>
      </c>
      <c r="AA321" s="11" t="s">
        <v>994</v>
      </c>
      <c r="AB321" s="11" t="s">
        <v>994</v>
      </c>
      <c r="AC321" s="11" t="s">
        <v>994</v>
      </c>
      <c r="AD321" s="11" t="s">
        <v>994</v>
      </c>
    </row>
    <row r="322">
      <c r="B322" s="12" t="s">
        <v>994</v>
      </c>
      <c r="C322" s="11" t="s">
        <v>994</v>
      </c>
      <c r="D322" s="11" t="s">
        <v>994</v>
      </c>
      <c r="E322" s="12" t="s">
        <v>994</v>
      </c>
      <c r="F322" s="12" t="s">
        <v>994</v>
      </c>
      <c r="G322" s="12" t="s">
        <v>994</v>
      </c>
      <c r="H322" s="12" t="s">
        <v>994</v>
      </c>
      <c r="I322" s="12" t="s">
        <v>994</v>
      </c>
      <c r="J322" s="12" t="s">
        <v>994</v>
      </c>
      <c r="K322" s="12" t="s">
        <v>994</v>
      </c>
      <c r="L322" s="13" t="s">
        <v>994</v>
      </c>
      <c r="M322" s="11" t="s">
        <v>994</v>
      </c>
      <c r="N322" s="11" t="s">
        <v>994</v>
      </c>
      <c r="O322" s="11" t="s">
        <v>994</v>
      </c>
      <c r="P322" s="11" t="s">
        <v>994</v>
      </c>
      <c r="Q322" s="11" t="s">
        <v>994</v>
      </c>
      <c r="R322" s="11" t="s">
        <v>994</v>
      </c>
      <c r="S322" s="11" t="s">
        <v>994</v>
      </c>
      <c r="T322" s="11" t="s">
        <v>994</v>
      </c>
      <c r="U322" s="11" t="s">
        <v>994</v>
      </c>
      <c r="V322" s="11" t="s">
        <v>994</v>
      </c>
      <c r="W322" s="11" t="s">
        <v>994</v>
      </c>
      <c r="X322" s="11" t="s">
        <v>994</v>
      </c>
      <c r="Y322" s="11" t="s">
        <v>994</v>
      </c>
      <c r="Z322" s="11" t="s">
        <v>994</v>
      </c>
      <c r="AA322" s="11" t="s">
        <v>994</v>
      </c>
      <c r="AB322" s="11" t="s">
        <v>994</v>
      </c>
      <c r="AC322" s="11" t="s">
        <v>994</v>
      </c>
      <c r="AD322" s="11" t="s">
        <v>994</v>
      </c>
    </row>
    <row r="323">
      <c r="B323" s="12" t="s">
        <v>994</v>
      </c>
      <c r="C323" s="11" t="s">
        <v>994</v>
      </c>
      <c r="D323" s="11" t="s">
        <v>994</v>
      </c>
      <c r="E323" s="12" t="s">
        <v>994</v>
      </c>
      <c r="F323" s="12" t="s">
        <v>994</v>
      </c>
      <c r="G323" s="12" t="s">
        <v>994</v>
      </c>
      <c r="H323" s="12" t="s">
        <v>994</v>
      </c>
      <c r="I323" s="12" t="s">
        <v>994</v>
      </c>
      <c r="J323" s="12" t="s">
        <v>994</v>
      </c>
      <c r="K323" s="12" t="s">
        <v>994</v>
      </c>
      <c r="L323" s="13" t="s">
        <v>994</v>
      </c>
      <c r="M323" s="11" t="s">
        <v>994</v>
      </c>
      <c r="N323" s="11" t="s">
        <v>994</v>
      </c>
      <c r="O323" s="11" t="s">
        <v>994</v>
      </c>
      <c r="P323" s="11" t="s">
        <v>994</v>
      </c>
      <c r="Q323" s="11" t="s">
        <v>994</v>
      </c>
      <c r="R323" s="11" t="s">
        <v>994</v>
      </c>
      <c r="S323" s="11" t="s">
        <v>994</v>
      </c>
      <c r="T323" s="11" t="s">
        <v>994</v>
      </c>
      <c r="U323" s="11" t="s">
        <v>994</v>
      </c>
      <c r="V323" s="11" t="s">
        <v>994</v>
      </c>
      <c r="W323" s="11" t="s">
        <v>994</v>
      </c>
      <c r="X323" s="11" t="s">
        <v>994</v>
      </c>
      <c r="Y323" s="11" t="s">
        <v>994</v>
      </c>
      <c r="Z323" s="11" t="s">
        <v>994</v>
      </c>
      <c r="AA323" s="11" t="s">
        <v>994</v>
      </c>
      <c r="AB323" s="11" t="s">
        <v>994</v>
      </c>
      <c r="AC323" s="11" t="s">
        <v>994</v>
      </c>
      <c r="AD323" s="11" t="s">
        <v>994</v>
      </c>
    </row>
    <row r="324">
      <c r="B324" s="12" t="s">
        <v>994</v>
      </c>
      <c r="C324" s="11" t="s">
        <v>994</v>
      </c>
      <c r="D324" s="11" t="s">
        <v>994</v>
      </c>
      <c r="E324" s="12" t="s">
        <v>994</v>
      </c>
      <c r="F324" s="12" t="s">
        <v>994</v>
      </c>
      <c r="G324" s="12" t="s">
        <v>994</v>
      </c>
      <c r="H324" s="12" t="s">
        <v>994</v>
      </c>
      <c r="I324" s="12" t="s">
        <v>994</v>
      </c>
      <c r="J324" s="12" t="s">
        <v>994</v>
      </c>
      <c r="K324" s="12" t="s">
        <v>994</v>
      </c>
      <c r="L324" s="13" t="s">
        <v>994</v>
      </c>
      <c r="M324" s="11" t="s">
        <v>994</v>
      </c>
      <c r="N324" s="11" t="s">
        <v>994</v>
      </c>
      <c r="O324" s="11" t="s">
        <v>994</v>
      </c>
      <c r="P324" s="11" t="s">
        <v>994</v>
      </c>
      <c r="Q324" s="11" t="s">
        <v>994</v>
      </c>
      <c r="R324" s="11" t="s">
        <v>994</v>
      </c>
      <c r="S324" s="11" t="s">
        <v>994</v>
      </c>
      <c r="T324" s="11" t="s">
        <v>994</v>
      </c>
      <c r="U324" s="11" t="s">
        <v>994</v>
      </c>
      <c r="V324" s="11" t="s">
        <v>994</v>
      </c>
      <c r="W324" s="11" t="s">
        <v>994</v>
      </c>
      <c r="X324" s="11" t="s">
        <v>994</v>
      </c>
      <c r="Y324" s="11" t="s">
        <v>994</v>
      </c>
      <c r="Z324" s="11" t="s">
        <v>994</v>
      </c>
      <c r="AA324" s="11" t="s">
        <v>994</v>
      </c>
      <c r="AB324" s="11" t="s">
        <v>994</v>
      </c>
      <c r="AC324" s="11" t="s">
        <v>994</v>
      </c>
      <c r="AD324" s="11" t="s">
        <v>994</v>
      </c>
    </row>
    <row r="325">
      <c r="B325" s="12" t="s">
        <v>994</v>
      </c>
      <c r="C325" s="11" t="s">
        <v>994</v>
      </c>
      <c r="D325" s="11" t="s">
        <v>994</v>
      </c>
      <c r="E325" s="12" t="s">
        <v>994</v>
      </c>
      <c r="F325" s="12" t="s">
        <v>994</v>
      </c>
      <c r="G325" s="12" t="s">
        <v>994</v>
      </c>
      <c r="H325" s="12" t="s">
        <v>994</v>
      </c>
      <c r="I325" s="12" t="s">
        <v>994</v>
      </c>
      <c r="J325" s="12" t="s">
        <v>994</v>
      </c>
      <c r="K325" s="12" t="s">
        <v>994</v>
      </c>
      <c r="L325" s="13" t="s">
        <v>994</v>
      </c>
      <c r="M325" s="11" t="s">
        <v>994</v>
      </c>
      <c r="N325" s="11" t="s">
        <v>994</v>
      </c>
      <c r="O325" s="11" t="s">
        <v>994</v>
      </c>
      <c r="P325" s="11" t="s">
        <v>994</v>
      </c>
      <c r="Q325" s="11" t="s">
        <v>994</v>
      </c>
      <c r="R325" s="11" t="s">
        <v>994</v>
      </c>
      <c r="S325" s="11" t="s">
        <v>994</v>
      </c>
      <c r="T325" s="11" t="s">
        <v>994</v>
      </c>
      <c r="U325" s="11" t="s">
        <v>994</v>
      </c>
      <c r="V325" s="11" t="s">
        <v>994</v>
      </c>
      <c r="W325" s="11" t="s">
        <v>994</v>
      </c>
      <c r="X325" s="11" t="s">
        <v>994</v>
      </c>
      <c r="Y325" s="11" t="s">
        <v>994</v>
      </c>
      <c r="Z325" s="11" t="s">
        <v>994</v>
      </c>
      <c r="AA325" s="11" t="s">
        <v>994</v>
      </c>
      <c r="AB325" s="11" t="s">
        <v>994</v>
      </c>
      <c r="AC325" s="11" t="s">
        <v>994</v>
      </c>
      <c r="AD325" s="11" t="s">
        <v>994</v>
      </c>
    </row>
    <row r="326">
      <c r="B326" s="12" t="s">
        <v>994</v>
      </c>
      <c r="C326" s="11" t="s">
        <v>994</v>
      </c>
      <c r="D326" s="11" t="s">
        <v>994</v>
      </c>
      <c r="E326" s="12" t="s">
        <v>994</v>
      </c>
      <c r="F326" s="12" t="s">
        <v>994</v>
      </c>
      <c r="G326" s="12" t="s">
        <v>994</v>
      </c>
      <c r="H326" s="12" t="s">
        <v>994</v>
      </c>
      <c r="I326" s="12" t="s">
        <v>994</v>
      </c>
      <c r="J326" s="12" t="s">
        <v>994</v>
      </c>
      <c r="K326" s="12" t="s">
        <v>994</v>
      </c>
      <c r="L326" s="13" t="s">
        <v>994</v>
      </c>
      <c r="M326" s="11" t="s">
        <v>994</v>
      </c>
      <c r="N326" s="11" t="s">
        <v>994</v>
      </c>
      <c r="O326" s="11" t="s">
        <v>994</v>
      </c>
      <c r="P326" s="11" t="s">
        <v>994</v>
      </c>
      <c r="Q326" s="11" t="s">
        <v>994</v>
      </c>
      <c r="R326" s="11" t="s">
        <v>994</v>
      </c>
      <c r="S326" s="11" t="s">
        <v>994</v>
      </c>
      <c r="T326" s="11" t="s">
        <v>994</v>
      </c>
      <c r="U326" s="11" t="s">
        <v>994</v>
      </c>
      <c r="V326" s="11" t="s">
        <v>994</v>
      </c>
      <c r="W326" s="11" t="s">
        <v>994</v>
      </c>
      <c r="X326" s="11" t="s">
        <v>994</v>
      </c>
      <c r="Y326" s="11" t="s">
        <v>994</v>
      </c>
      <c r="Z326" s="11" t="s">
        <v>994</v>
      </c>
      <c r="AA326" s="11" t="s">
        <v>994</v>
      </c>
      <c r="AB326" s="11" t="s">
        <v>994</v>
      </c>
      <c r="AC326" s="11" t="s">
        <v>994</v>
      </c>
      <c r="AD326" s="11" t="s">
        <v>994</v>
      </c>
    </row>
    <row r="327">
      <c r="B327" s="12" t="s">
        <v>994</v>
      </c>
      <c r="C327" s="11" t="s">
        <v>994</v>
      </c>
      <c r="D327" s="11" t="s">
        <v>994</v>
      </c>
      <c r="E327" s="12" t="s">
        <v>994</v>
      </c>
      <c r="F327" s="12" t="s">
        <v>994</v>
      </c>
      <c r="G327" s="12" t="s">
        <v>994</v>
      </c>
      <c r="H327" s="12" t="s">
        <v>994</v>
      </c>
      <c r="I327" s="12" t="s">
        <v>994</v>
      </c>
      <c r="J327" s="12" t="s">
        <v>994</v>
      </c>
      <c r="K327" s="12" t="s">
        <v>994</v>
      </c>
      <c r="L327" s="13" t="s">
        <v>994</v>
      </c>
      <c r="M327" s="11" t="s">
        <v>994</v>
      </c>
      <c r="N327" s="11" t="s">
        <v>994</v>
      </c>
      <c r="O327" s="11" t="s">
        <v>994</v>
      </c>
      <c r="P327" s="11" t="s">
        <v>994</v>
      </c>
      <c r="Q327" s="11" t="s">
        <v>994</v>
      </c>
      <c r="R327" s="11" t="s">
        <v>994</v>
      </c>
      <c r="S327" s="11" t="s">
        <v>994</v>
      </c>
      <c r="T327" s="11" t="s">
        <v>994</v>
      </c>
      <c r="U327" s="11" t="s">
        <v>994</v>
      </c>
      <c r="V327" s="11" t="s">
        <v>994</v>
      </c>
      <c r="W327" s="11" t="s">
        <v>994</v>
      </c>
      <c r="X327" s="11" t="s">
        <v>994</v>
      </c>
      <c r="Y327" s="11" t="s">
        <v>994</v>
      </c>
      <c r="Z327" s="11" t="s">
        <v>994</v>
      </c>
      <c r="AA327" s="11" t="s">
        <v>994</v>
      </c>
      <c r="AB327" s="11" t="s">
        <v>994</v>
      </c>
      <c r="AC327" s="11" t="s">
        <v>994</v>
      </c>
      <c r="AD327" s="11" t="s">
        <v>994</v>
      </c>
    </row>
    <row r="328">
      <c r="B328" s="12" t="s">
        <v>994</v>
      </c>
      <c r="C328" s="11" t="s">
        <v>994</v>
      </c>
      <c r="D328" s="11" t="s">
        <v>994</v>
      </c>
      <c r="E328" s="12" t="s">
        <v>994</v>
      </c>
      <c r="F328" s="12" t="s">
        <v>994</v>
      </c>
      <c r="G328" s="12" t="s">
        <v>994</v>
      </c>
      <c r="H328" s="12" t="s">
        <v>994</v>
      </c>
      <c r="I328" s="12" t="s">
        <v>994</v>
      </c>
      <c r="J328" s="12" t="s">
        <v>994</v>
      </c>
      <c r="K328" s="12" t="s">
        <v>994</v>
      </c>
      <c r="L328" s="13" t="s">
        <v>994</v>
      </c>
      <c r="M328" s="11" t="s">
        <v>994</v>
      </c>
      <c r="N328" s="11" t="s">
        <v>994</v>
      </c>
      <c r="O328" s="11" t="s">
        <v>994</v>
      </c>
      <c r="P328" s="11" t="s">
        <v>994</v>
      </c>
      <c r="Q328" s="11" t="s">
        <v>994</v>
      </c>
      <c r="R328" s="11" t="s">
        <v>994</v>
      </c>
      <c r="S328" s="11" t="s">
        <v>994</v>
      </c>
      <c r="T328" s="11" t="s">
        <v>994</v>
      </c>
      <c r="U328" s="11" t="s">
        <v>994</v>
      </c>
      <c r="V328" s="11" t="s">
        <v>994</v>
      </c>
      <c r="W328" s="11" t="s">
        <v>994</v>
      </c>
      <c r="X328" s="11" t="s">
        <v>994</v>
      </c>
      <c r="Y328" s="11" t="s">
        <v>994</v>
      </c>
      <c r="Z328" s="11" t="s">
        <v>994</v>
      </c>
      <c r="AA328" s="11" t="s">
        <v>994</v>
      </c>
      <c r="AB328" s="11" t="s">
        <v>994</v>
      </c>
      <c r="AC328" s="11" t="s">
        <v>994</v>
      </c>
      <c r="AD328" s="11" t="s">
        <v>994</v>
      </c>
    </row>
    <row r="329">
      <c r="B329" s="12" t="s">
        <v>994</v>
      </c>
      <c r="C329" s="11" t="s">
        <v>994</v>
      </c>
      <c r="D329" s="11" t="s">
        <v>994</v>
      </c>
      <c r="E329" s="12" t="s">
        <v>994</v>
      </c>
      <c r="F329" s="12" t="s">
        <v>994</v>
      </c>
      <c r="G329" s="12" t="s">
        <v>994</v>
      </c>
      <c r="H329" s="12" t="s">
        <v>994</v>
      </c>
      <c r="I329" s="12" t="s">
        <v>994</v>
      </c>
      <c r="J329" s="12" t="s">
        <v>994</v>
      </c>
      <c r="K329" s="12" t="s">
        <v>994</v>
      </c>
      <c r="L329" s="13" t="s">
        <v>994</v>
      </c>
      <c r="M329" s="11" t="s">
        <v>994</v>
      </c>
      <c r="N329" s="11" t="s">
        <v>994</v>
      </c>
      <c r="O329" s="11" t="s">
        <v>994</v>
      </c>
      <c r="P329" s="11" t="s">
        <v>994</v>
      </c>
      <c r="Q329" s="11" t="s">
        <v>994</v>
      </c>
      <c r="R329" s="11" t="s">
        <v>994</v>
      </c>
      <c r="S329" s="11" t="s">
        <v>994</v>
      </c>
      <c r="T329" s="11" t="s">
        <v>994</v>
      </c>
      <c r="U329" s="11" t="s">
        <v>994</v>
      </c>
      <c r="V329" s="11" t="s">
        <v>994</v>
      </c>
      <c r="W329" s="11" t="s">
        <v>994</v>
      </c>
      <c r="X329" s="11" t="s">
        <v>994</v>
      </c>
      <c r="Y329" s="11" t="s">
        <v>994</v>
      </c>
      <c r="Z329" s="11" t="s">
        <v>994</v>
      </c>
      <c r="AA329" s="11" t="s">
        <v>994</v>
      </c>
      <c r="AB329" s="11" t="s">
        <v>994</v>
      </c>
      <c r="AC329" s="11" t="s">
        <v>994</v>
      </c>
      <c r="AD329" s="11" t="s">
        <v>994</v>
      </c>
    </row>
    <row r="330">
      <c r="B330" s="12" t="s">
        <v>994</v>
      </c>
      <c r="C330" s="11" t="s">
        <v>994</v>
      </c>
      <c r="D330" s="11" t="s">
        <v>994</v>
      </c>
      <c r="E330" s="12" t="s">
        <v>994</v>
      </c>
      <c r="F330" s="12" t="s">
        <v>994</v>
      </c>
      <c r="G330" s="12" t="s">
        <v>994</v>
      </c>
      <c r="H330" s="12" t="s">
        <v>994</v>
      </c>
      <c r="I330" s="12" t="s">
        <v>994</v>
      </c>
      <c r="J330" s="12" t="s">
        <v>994</v>
      </c>
      <c r="K330" s="12" t="s">
        <v>994</v>
      </c>
      <c r="L330" s="13" t="s">
        <v>994</v>
      </c>
      <c r="M330" s="11" t="s">
        <v>994</v>
      </c>
      <c r="N330" s="11" t="s">
        <v>994</v>
      </c>
      <c r="O330" s="11" t="s">
        <v>994</v>
      </c>
      <c r="P330" s="11" t="s">
        <v>994</v>
      </c>
      <c r="Q330" s="11" t="s">
        <v>994</v>
      </c>
      <c r="R330" s="11" t="s">
        <v>994</v>
      </c>
      <c r="S330" s="11" t="s">
        <v>994</v>
      </c>
      <c r="T330" s="11" t="s">
        <v>994</v>
      </c>
      <c r="U330" s="11" t="s">
        <v>994</v>
      </c>
      <c r="V330" s="11" t="s">
        <v>994</v>
      </c>
      <c r="W330" s="11" t="s">
        <v>994</v>
      </c>
      <c r="X330" s="11" t="s">
        <v>994</v>
      </c>
      <c r="Y330" s="11" t="s">
        <v>994</v>
      </c>
      <c r="Z330" s="11" t="s">
        <v>994</v>
      </c>
      <c r="AA330" s="11" t="s">
        <v>994</v>
      </c>
      <c r="AB330" s="11" t="s">
        <v>994</v>
      </c>
      <c r="AC330" s="11" t="s">
        <v>994</v>
      </c>
      <c r="AD330" s="11" t="s">
        <v>994</v>
      </c>
    </row>
    <row r="331">
      <c r="B331" s="12" t="s">
        <v>994</v>
      </c>
      <c r="C331" s="11" t="s">
        <v>994</v>
      </c>
      <c r="D331" s="11" t="s">
        <v>994</v>
      </c>
      <c r="E331" s="12" t="s">
        <v>994</v>
      </c>
      <c r="F331" s="12" t="s">
        <v>994</v>
      </c>
      <c r="G331" s="12" t="s">
        <v>994</v>
      </c>
      <c r="H331" s="12" t="s">
        <v>994</v>
      </c>
      <c r="I331" s="12" t="s">
        <v>994</v>
      </c>
      <c r="J331" s="12" t="s">
        <v>994</v>
      </c>
      <c r="K331" s="12" t="s">
        <v>994</v>
      </c>
      <c r="L331" s="13" t="s">
        <v>994</v>
      </c>
      <c r="M331" s="11" t="s">
        <v>994</v>
      </c>
      <c r="N331" s="11" t="s">
        <v>994</v>
      </c>
      <c r="O331" s="11" t="s">
        <v>994</v>
      </c>
      <c r="P331" s="11" t="s">
        <v>994</v>
      </c>
      <c r="Q331" s="11" t="s">
        <v>994</v>
      </c>
      <c r="R331" s="11" t="s">
        <v>994</v>
      </c>
      <c r="S331" s="11" t="s">
        <v>994</v>
      </c>
      <c r="T331" s="11" t="s">
        <v>994</v>
      </c>
      <c r="U331" s="11" t="s">
        <v>994</v>
      </c>
      <c r="V331" s="11" t="s">
        <v>994</v>
      </c>
      <c r="W331" s="11" t="s">
        <v>994</v>
      </c>
      <c r="X331" s="11" t="s">
        <v>994</v>
      </c>
      <c r="Y331" s="11" t="s">
        <v>994</v>
      </c>
      <c r="Z331" s="11" t="s">
        <v>994</v>
      </c>
      <c r="AA331" s="11" t="s">
        <v>994</v>
      </c>
      <c r="AB331" s="11" t="s">
        <v>994</v>
      </c>
      <c r="AC331" s="11" t="s">
        <v>994</v>
      </c>
      <c r="AD331" s="11" t="s">
        <v>994</v>
      </c>
    </row>
    <row r="332">
      <c r="B332" s="12" t="s">
        <v>994</v>
      </c>
      <c r="C332" s="11" t="s">
        <v>994</v>
      </c>
      <c r="D332" s="11" t="s">
        <v>994</v>
      </c>
      <c r="E332" s="12" t="s">
        <v>994</v>
      </c>
      <c r="F332" s="12" t="s">
        <v>994</v>
      </c>
      <c r="G332" s="12" t="s">
        <v>994</v>
      </c>
      <c r="H332" s="12" t="s">
        <v>994</v>
      </c>
      <c r="I332" s="12" t="s">
        <v>994</v>
      </c>
      <c r="J332" s="12" t="s">
        <v>994</v>
      </c>
      <c r="K332" s="12" t="s">
        <v>994</v>
      </c>
      <c r="L332" s="13" t="s">
        <v>994</v>
      </c>
      <c r="M332" s="11" t="s">
        <v>994</v>
      </c>
      <c r="N332" s="11" t="s">
        <v>994</v>
      </c>
      <c r="O332" s="11" t="s">
        <v>994</v>
      </c>
      <c r="P332" s="11" t="s">
        <v>994</v>
      </c>
      <c r="Q332" s="11" t="s">
        <v>994</v>
      </c>
      <c r="R332" s="11" t="s">
        <v>994</v>
      </c>
      <c r="S332" s="11" t="s">
        <v>994</v>
      </c>
      <c r="T332" s="11" t="s">
        <v>994</v>
      </c>
      <c r="U332" s="11" t="s">
        <v>994</v>
      </c>
      <c r="V332" s="11" t="s">
        <v>994</v>
      </c>
      <c r="W332" s="11" t="s">
        <v>994</v>
      </c>
      <c r="X332" s="11" t="s">
        <v>994</v>
      </c>
      <c r="Y332" s="11" t="s">
        <v>994</v>
      </c>
      <c r="Z332" s="11" t="s">
        <v>994</v>
      </c>
      <c r="AA332" s="11" t="s">
        <v>994</v>
      </c>
      <c r="AB332" s="11" t="s">
        <v>994</v>
      </c>
      <c r="AC332" s="11" t="s">
        <v>994</v>
      </c>
      <c r="AD332" s="11" t="s">
        <v>994</v>
      </c>
    </row>
    <row r="333">
      <c r="B333" s="12" t="s">
        <v>994</v>
      </c>
      <c r="C333" s="11" t="s">
        <v>994</v>
      </c>
      <c r="D333" s="11" t="s">
        <v>994</v>
      </c>
      <c r="E333" s="12" t="s">
        <v>994</v>
      </c>
      <c r="F333" s="12" t="s">
        <v>994</v>
      </c>
      <c r="G333" s="12" t="s">
        <v>994</v>
      </c>
      <c r="H333" s="12" t="s">
        <v>994</v>
      </c>
      <c r="I333" s="12" t="s">
        <v>994</v>
      </c>
      <c r="J333" s="12" t="s">
        <v>994</v>
      </c>
      <c r="K333" s="12" t="s">
        <v>994</v>
      </c>
      <c r="L333" s="13" t="s">
        <v>994</v>
      </c>
      <c r="M333" s="11" t="s">
        <v>994</v>
      </c>
      <c r="N333" s="11" t="s">
        <v>994</v>
      </c>
      <c r="O333" s="11" t="s">
        <v>994</v>
      </c>
      <c r="P333" s="11" t="s">
        <v>994</v>
      </c>
      <c r="Q333" s="11" t="s">
        <v>994</v>
      </c>
      <c r="R333" s="11" t="s">
        <v>994</v>
      </c>
      <c r="S333" s="11" t="s">
        <v>994</v>
      </c>
      <c r="T333" s="11" t="s">
        <v>994</v>
      </c>
      <c r="U333" s="11" t="s">
        <v>994</v>
      </c>
      <c r="V333" s="11" t="s">
        <v>994</v>
      </c>
      <c r="W333" s="11" t="s">
        <v>994</v>
      </c>
      <c r="X333" s="11" t="s">
        <v>994</v>
      </c>
      <c r="Y333" s="11" t="s">
        <v>994</v>
      </c>
      <c r="Z333" s="11" t="s">
        <v>994</v>
      </c>
      <c r="AA333" s="11" t="s">
        <v>994</v>
      </c>
      <c r="AB333" s="11" t="s">
        <v>994</v>
      </c>
      <c r="AC333" s="11" t="s">
        <v>994</v>
      </c>
      <c r="AD333" s="11" t="s">
        <v>994</v>
      </c>
    </row>
    <row r="334">
      <c r="B334" s="12" t="s">
        <v>994</v>
      </c>
      <c r="C334" s="11" t="s">
        <v>994</v>
      </c>
      <c r="D334" s="11" t="s">
        <v>994</v>
      </c>
      <c r="E334" s="12" t="s">
        <v>994</v>
      </c>
      <c r="F334" s="12" t="s">
        <v>994</v>
      </c>
      <c r="G334" s="12" t="s">
        <v>994</v>
      </c>
      <c r="H334" s="12" t="s">
        <v>994</v>
      </c>
      <c r="I334" s="12" t="s">
        <v>994</v>
      </c>
      <c r="J334" s="12" t="s">
        <v>994</v>
      </c>
      <c r="K334" s="12" t="s">
        <v>994</v>
      </c>
      <c r="L334" s="13" t="s">
        <v>994</v>
      </c>
      <c r="M334" s="11" t="s">
        <v>994</v>
      </c>
      <c r="N334" s="11" t="s">
        <v>994</v>
      </c>
      <c r="O334" s="11" t="s">
        <v>994</v>
      </c>
      <c r="P334" s="11" t="s">
        <v>994</v>
      </c>
      <c r="Q334" s="11" t="s">
        <v>994</v>
      </c>
      <c r="R334" s="11" t="s">
        <v>994</v>
      </c>
      <c r="S334" s="11" t="s">
        <v>994</v>
      </c>
      <c r="T334" s="11" t="s">
        <v>994</v>
      </c>
      <c r="U334" s="11" t="s">
        <v>994</v>
      </c>
      <c r="V334" s="11" t="s">
        <v>994</v>
      </c>
      <c r="W334" s="11" t="s">
        <v>994</v>
      </c>
      <c r="X334" s="11" t="s">
        <v>994</v>
      </c>
      <c r="Y334" s="11" t="s">
        <v>994</v>
      </c>
      <c r="Z334" s="11" t="s">
        <v>994</v>
      </c>
      <c r="AA334" s="11" t="s">
        <v>994</v>
      </c>
      <c r="AB334" s="11" t="s">
        <v>994</v>
      </c>
      <c r="AC334" s="11" t="s">
        <v>994</v>
      </c>
      <c r="AD334" s="11" t="s">
        <v>994</v>
      </c>
    </row>
    <row r="335">
      <c r="B335" s="12" t="s">
        <v>994</v>
      </c>
      <c r="C335" s="11" t="s">
        <v>994</v>
      </c>
      <c r="D335" s="11" t="s">
        <v>994</v>
      </c>
      <c r="E335" s="12" t="s">
        <v>994</v>
      </c>
      <c r="F335" s="12" t="s">
        <v>994</v>
      </c>
      <c r="G335" s="12" t="s">
        <v>994</v>
      </c>
      <c r="H335" s="12" t="s">
        <v>994</v>
      </c>
      <c r="I335" s="12" t="s">
        <v>994</v>
      </c>
      <c r="J335" s="12" t="s">
        <v>994</v>
      </c>
      <c r="K335" s="12" t="s">
        <v>994</v>
      </c>
      <c r="L335" s="13" t="s">
        <v>994</v>
      </c>
      <c r="M335" s="11" t="s">
        <v>994</v>
      </c>
      <c r="N335" s="11" t="s">
        <v>994</v>
      </c>
      <c r="O335" s="11" t="s">
        <v>994</v>
      </c>
      <c r="P335" s="11" t="s">
        <v>994</v>
      </c>
      <c r="Q335" s="11" t="s">
        <v>994</v>
      </c>
      <c r="R335" s="11" t="s">
        <v>994</v>
      </c>
      <c r="S335" s="11" t="s">
        <v>994</v>
      </c>
      <c r="T335" s="11" t="s">
        <v>994</v>
      </c>
      <c r="U335" s="11" t="s">
        <v>994</v>
      </c>
      <c r="V335" s="11" t="s">
        <v>994</v>
      </c>
      <c r="W335" s="11" t="s">
        <v>994</v>
      </c>
      <c r="X335" s="11" t="s">
        <v>994</v>
      </c>
      <c r="Y335" s="11" t="s">
        <v>994</v>
      </c>
      <c r="Z335" s="11" t="s">
        <v>994</v>
      </c>
      <c r="AA335" s="11" t="s">
        <v>994</v>
      </c>
      <c r="AB335" s="11" t="s">
        <v>994</v>
      </c>
      <c r="AC335" s="11" t="s">
        <v>994</v>
      </c>
      <c r="AD335" s="11" t="s">
        <v>994</v>
      </c>
    </row>
    <row r="336">
      <c r="B336" s="12" t="s">
        <v>994</v>
      </c>
      <c r="C336" s="11" t="s">
        <v>994</v>
      </c>
      <c r="D336" s="11" t="s">
        <v>994</v>
      </c>
      <c r="E336" s="12" t="s">
        <v>994</v>
      </c>
      <c r="F336" s="12" t="s">
        <v>994</v>
      </c>
      <c r="G336" s="12" t="s">
        <v>994</v>
      </c>
      <c r="H336" s="12" t="s">
        <v>994</v>
      </c>
      <c r="I336" s="12" t="s">
        <v>994</v>
      </c>
      <c r="J336" s="12" t="s">
        <v>994</v>
      </c>
      <c r="K336" s="12" t="s">
        <v>994</v>
      </c>
      <c r="L336" s="13" t="s">
        <v>994</v>
      </c>
      <c r="M336" s="11" t="s">
        <v>994</v>
      </c>
      <c r="N336" s="11" t="s">
        <v>994</v>
      </c>
      <c r="O336" s="11" t="s">
        <v>994</v>
      </c>
      <c r="P336" s="11" t="s">
        <v>994</v>
      </c>
      <c r="Q336" s="11" t="s">
        <v>994</v>
      </c>
      <c r="R336" s="11" t="s">
        <v>994</v>
      </c>
      <c r="S336" s="11" t="s">
        <v>994</v>
      </c>
      <c r="T336" s="11" t="s">
        <v>994</v>
      </c>
      <c r="U336" s="11" t="s">
        <v>994</v>
      </c>
      <c r="V336" s="11" t="s">
        <v>994</v>
      </c>
      <c r="W336" s="11" t="s">
        <v>994</v>
      </c>
      <c r="X336" s="11" t="s">
        <v>994</v>
      </c>
      <c r="Y336" s="11" t="s">
        <v>994</v>
      </c>
      <c r="Z336" s="11" t="s">
        <v>994</v>
      </c>
      <c r="AA336" s="11" t="s">
        <v>994</v>
      </c>
      <c r="AB336" s="11" t="s">
        <v>994</v>
      </c>
      <c r="AC336" s="11" t="s">
        <v>994</v>
      </c>
      <c r="AD336" s="11" t="s">
        <v>994</v>
      </c>
    </row>
    <row r="337">
      <c r="B337" s="12" t="s">
        <v>994</v>
      </c>
      <c r="C337" s="11" t="s">
        <v>994</v>
      </c>
      <c r="D337" s="11" t="s">
        <v>994</v>
      </c>
      <c r="E337" s="12" t="s">
        <v>994</v>
      </c>
      <c r="F337" s="12" t="s">
        <v>994</v>
      </c>
      <c r="G337" s="12" t="s">
        <v>994</v>
      </c>
      <c r="H337" s="12" t="s">
        <v>994</v>
      </c>
      <c r="I337" s="12" t="s">
        <v>994</v>
      </c>
      <c r="J337" s="12" t="s">
        <v>994</v>
      </c>
      <c r="K337" s="12" t="s">
        <v>994</v>
      </c>
      <c r="L337" s="13" t="s">
        <v>994</v>
      </c>
      <c r="M337" s="11" t="s">
        <v>994</v>
      </c>
      <c r="N337" s="11" t="s">
        <v>994</v>
      </c>
      <c r="O337" s="11" t="s">
        <v>994</v>
      </c>
      <c r="P337" s="11" t="s">
        <v>994</v>
      </c>
      <c r="Q337" s="11" t="s">
        <v>994</v>
      </c>
      <c r="R337" s="11" t="s">
        <v>994</v>
      </c>
      <c r="S337" s="11" t="s">
        <v>994</v>
      </c>
      <c r="T337" s="11" t="s">
        <v>994</v>
      </c>
      <c r="U337" s="11" t="s">
        <v>994</v>
      </c>
      <c r="V337" s="11" t="s">
        <v>994</v>
      </c>
      <c r="W337" s="11" t="s">
        <v>994</v>
      </c>
      <c r="X337" s="11" t="s">
        <v>994</v>
      </c>
      <c r="Y337" s="11" t="s">
        <v>994</v>
      </c>
      <c r="Z337" s="11" t="s">
        <v>994</v>
      </c>
      <c r="AA337" s="11" t="s">
        <v>994</v>
      </c>
      <c r="AB337" s="11" t="s">
        <v>994</v>
      </c>
      <c r="AC337" s="11" t="s">
        <v>994</v>
      </c>
      <c r="AD337" s="11" t="s">
        <v>994</v>
      </c>
    </row>
    <row r="338">
      <c r="B338" s="12" t="s">
        <v>994</v>
      </c>
      <c r="C338" s="11" t="s">
        <v>994</v>
      </c>
      <c r="D338" s="11" t="s">
        <v>994</v>
      </c>
      <c r="E338" s="12" t="s">
        <v>994</v>
      </c>
      <c r="F338" s="12" t="s">
        <v>994</v>
      </c>
      <c r="G338" s="12" t="s">
        <v>994</v>
      </c>
      <c r="H338" s="12" t="s">
        <v>994</v>
      </c>
      <c r="I338" s="12" t="s">
        <v>994</v>
      </c>
      <c r="J338" s="12" t="s">
        <v>994</v>
      </c>
      <c r="K338" s="12" t="s">
        <v>994</v>
      </c>
      <c r="L338" s="13" t="s">
        <v>994</v>
      </c>
      <c r="M338" s="11" t="s">
        <v>994</v>
      </c>
      <c r="N338" s="11" t="s">
        <v>994</v>
      </c>
      <c r="O338" s="11" t="s">
        <v>994</v>
      </c>
      <c r="P338" s="11" t="s">
        <v>994</v>
      </c>
      <c r="Q338" s="11" t="s">
        <v>994</v>
      </c>
      <c r="R338" s="11" t="s">
        <v>994</v>
      </c>
      <c r="S338" s="11" t="s">
        <v>994</v>
      </c>
      <c r="T338" s="11" t="s">
        <v>994</v>
      </c>
      <c r="U338" s="11" t="s">
        <v>994</v>
      </c>
      <c r="V338" s="11" t="s">
        <v>994</v>
      </c>
      <c r="W338" s="11" t="s">
        <v>994</v>
      </c>
      <c r="X338" s="11" t="s">
        <v>994</v>
      </c>
      <c r="Y338" s="11" t="s">
        <v>994</v>
      </c>
      <c r="Z338" s="11" t="s">
        <v>994</v>
      </c>
      <c r="AA338" s="11" t="s">
        <v>994</v>
      </c>
      <c r="AB338" s="11" t="s">
        <v>994</v>
      </c>
      <c r="AC338" s="11" t="s">
        <v>994</v>
      </c>
      <c r="AD338" s="11" t="s">
        <v>994</v>
      </c>
    </row>
    <row r="339">
      <c r="B339" s="12" t="s">
        <v>994</v>
      </c>
      <c r="C339" s="11" t="s">
        <v>994</v>
      </c>
      <c r="D339" s="11" t="s">
        <v>994</v>
      </c>
      <c r="E339" s="12" t="s">
        <v>994</v>
      </c>
      <c r="F339" s="12" t="s">
        <v>994</v>
      </c>
      <c r="G339" s="12" t="s">
        <v>994</v>
      </c>
      <c r="H339" s="12" t="s">
        <v>994</v>
      </c>
      <c r="I339" s="12" t="s">
        <v>994</v>
      </c>
      <c r="J339" s="12" t="s">
        <v>994</v>
      </c>
      <c r="K339" s="12" t="s">
        <v>994</v>
      </c>
      <c r="L339" s="13" t="s">
        <v>994</v>
      </c>
      <c r="M339" s="11" t="s">
        <v>994</v>
      </c>
      <c r="N339" s="11" t="s">
        <v>994</v>
      </c>
      <c r="O339" s="11" t="s">
        <v>994</v>
      </c>
      <c r="P339" s="11" t="s">
        <v>994</v>
      </c>
      <c r="Q339" s="11" t="s">
        <v>994</v>
      </c>
      <c r="R339" s="11" t="s">
        <v>994</v>
      </c>
      <c r="S339" s="11" t="s">
        <v>994</v>
      </c>
      <c r="T339" s="11" t="s">
        <v>994</v>
      </c>
      <c r="U339" s="11" t="s">
        <v>994</v>
      </c>
      <c r="V339" s="11" t="s">
        <v>994</v>
      </c>
      <c r="W339" s="11" t="s">
        <v>994</v>
      </c>
      <c r="X339" s="11" t="s">
        <v>994</v>
      </c>
      <c r="Y339" s="11" t="s">
        <v>994</v>
      </c>
      <c r="Z339" s="11" t="s">
        <v>994</v>
      </c>
      <c r="AA339" s="11" t="s">
        <v>994</v>
      </c>
      <c r="AB339" s="11" t="s">
        <v>994</v>
      </c>
      <c r="AC339" s="11" t="s">
        <v>994</v>
      </c>
      <c r="AD339" s="11" t="s">
        <v>994</v>
      </c>
    </row>
    <row r="340">
      <c r="B340" s="12" t="s">
        <v>994</v>
      </c>
      <c r="C340" s="11" t="s">
        <v>994</v>
      </c>
      <c r="D340" s="11" t="s">
        <v>994</v>
      </c>
      <c r="E340" s="12" t="s">
        <v>994</v>
      </c>
      <c r="F340" s="12" t="s">
        <v>994</v>
      </c>
      <c r="G340" s="12" t="s">
        <v>994</v>
      </c>
      <c r="H340" s="12" t="s">
        <v>994</v>
      </c>
      <c r="I340" s="12" t="s">
        <v>994</v>
      </c>
      <c r="J340" s="12" t="s">
        <v>994</v>
      </c>
      <c r="K340" s="12" t="s">
        <v>994</v>
      </c>
      <c r="L340" s="13" t="s">
        <v>994</v>
      </c>
      <c r="M340" s="11" t="s">
        <v>994</v>
      </c>
      <c r="N340" s="11" t="s">
        <v>994</v>
      </c>
      <c r="O340" s="11" t="s">
        <v>994</v>
      </c>
      <c r="P340" s="11" t="s">
        <v>994</v>
      </c>
      <c r="Q340" s="11" t="s">
        <v>994</v>
      </c>
      <c r="R340" s="11" t="s">
        <v>994</v>
      </c>
      <c r="S340" s="11" t="s">
        <v>994</v>
      </c>
      <c r="T340" s="11" t="s">
        <v>994</v>
      </c>
      <c r="U340" s="11" t="s">
        <v>994</v>
      </c>
      <c r="V340" s="11" t="s">
        <v>994</v>
      </c>
      <c r="W340" s="11" t="s">
        <v>994</v>
      </c>
      <c r="X340" s="11" t="s">
        <v>994</v>
      </c>
      <c r="Y340" s="11" t="s">
        <v>994</v>
      </c>
      <c r="Z340" s="11" t="s">
        <v>994</v>
      </c>
      <c r="AA340" s="11" t="s">
        <v>994</v>
      </c>
      <c r="AB340" s="11" t="s">
        <v>994</v>
      </c>
      <c r="AC340" s="11" t="s">
        <v>994</v>
      </c>
      <c r="AD340" s="11" t="s">
        <v>994</v>
      </c>
    </row>
    <row r="341">
      <c r="B341" s="12" t="s">
        <v>994</v>
      </c>
      <c r="C341" s="11" t="s">
        <v>994</v>
      </c>
      <c r="D341" s="11" t="s">
        <v>994</v>
      </c>
      <c r="E341" s="12" t="s">
        <v>994</v>
      </c>
      <c r="F341" s="12" t="s">
        <v>994</v>
      </c>
      <c r="G341" s="12" t="s">
        <v>994</v>
      </c>
      <c r="H341" s="12" t="s">
        <v>994</v>
      </c>
      <c r="I341" s="12" t="s">
        <v>994</v>
      </c>
      <c r="J341" s="12" t="s">
        <v>994</v>
      </c>
      <c r="K341" s="12" t="s">
        <v>994</v>
      </c>
      <c r="L341" s="13" t="s">
        <v>994</v>
      </c>
      <c r="M341" s="11" t="s">
        <v>994</v>
      </c>
      <c r="N341" s="11" t="s">
        <v>994</v>
      </c>
      <c r="O341" s="11" t="s">
        <v>994</v>
      </c>
      <c r="P341" s="11" t="s">
        <v>994</v>
      </c>
      <c r="Q341" s="11" t="s">
        <v>994</v>
      </c>
      <c r="R341" s="11" t="s">
        <v>994</v>
      </c>
      <c r="S341" s="11" t="s">
        <v>994</v>
      </c>
      <c r="T341" s="11" t="s">
        <v>994</v>
      </c>
      <c r="U341" s="11" t="s">
        <v>994</v>
      </c>
      <c r="V341" s="11" t="s">
        <v>994</v>
      </c>
      <c r="W341" s="11" t="s">
        <v>994</v>
      </c>
      <c r="X341" s="11" t="s">
        <v>994</v>
      </c>
      <c r="Y341" s="11" t="s">
        <v>994</v>
      </c>
      <c r="Z341" s="11" t="s">
        <v>994</v>
      </c>
      <c r="AA341" s="11" t="s">
        <v>994</v>
      </c>
      <c r="AB341" s="11" t="s">
        <v>994</v>
      </c>
      <c r="AC341" s="11" t="s">
        <v>994</v>
      </c>
      <c r="AD341" s="11" t="s">
        <v>994</v>
      </c>
    </row>
    <row r="342">
      <c r="B342" s="12" t="s">
        <v>994</v>
      </c>
      <c r="C342" s="11" t="s">
        <v>994</v>
      </c>
      <c r="D342" s="11" t="s">
        <v>994</v>
      </c>
      <c r="E342" s="12" t="s">
        <v>994</v>
      </c>
      <c r="F342" s="12" t="s">
        <v>994</v>
      </c>
      <c r="G342" s="12" t="s">
        <v>994</v>
      </c>
      <c r="H342" s="12" t="s">
        <v>994</v>
      </c>
      <c r="I342" s="12" t="s">
        <v>994</v>
      </c>
      <c r="J342" s="12" t="s">
        <v>994</v>
      </c>
      <c r="K342" s="12" t="s">
        <v>994</v>
      </c>
      <c r="L342" s="13" t="s">
        <v>994</v>
      </c>
      <c r="M342" s="11" t="s">
        <v>994</v>
      </c>
      <c r="N342" s="11" t="s">
        <v>994</v>
      </c>
      <c r="O342" s="11" t="s">
        <v>994</v>
      </c>
      <c r="P342" s="11" t="s">
        <v>994</v>
      </c>
      <c r="Q342" s="11" t="s">
        <v>994</v>
      </c>
      <c r="R342" s="11" t="s">
        <v>994</v>
      </c>
      <c r="S342" s="11" t="s">
        <v>994</v>
      </c>
      <c r="T342" s="11" t="s">
        <v>994</v>
      </c>
      <c r="U342" s="11" t="s">
        <v>994</v>
      </c>
      <c r="V342" s="11" t="s">
        <v>994</v>
      </c>
      <c r="W342" s="11" t="s">
        <v>994</v>
      </c>
      <c r="X342" s="11" t="s">
        <v>994</v>
      </c>
      <c r="Y342" s="11" t="s">
        <v>994</v>
      </c>
      <c r="Z342" s="11" t="s">
        <v>994</v>
      </c>
      <c r="AA342" s="11" t="s">
        <v>994</v>
      </c>
      <c r="AB342" s="11" t="s">
        <v>994</v>
      </c>
      <c r="AC342" s="11" t="s">
        <v>994</v>
      </c>
      <c r="AD342" s="11" t="s">
        <v>994</v>
      </c>
    </row>
    <row r="343">
      <c r="B343" s="12" t="s">
        <v>994</v>
      </c>
      <c r="C343" s="11" t="s">
        <v>994</v>
      </c>
      <c r="D343" s="11" t="s">
        <v>994</v>
      </c>
      <c r="E343" s="12" t="s">
        <v>994</v>
      </c>
      <c r="F343" s="12" t="s">
        <v>994</v>
      </c>
      <c r="G343" s="12" t="s">
        <v>994</v>
      </c>
      <c r="H343" s="12" t="s">
        <v>994</v>
      </c>
      <c r="I343" s="12" t="s">
        <v>994</v>
      </c>
      <c r="J343" s="12" t="s">
        <v>994</v>
      </c>
      <c r="K343" s="12" t="s">
        <v>994</v>
      </c>
      <c r="L343" s="13" t="s">
        <v>994</v>
      </c>
      <c r="M343" s="11" t="s">
        <v>994</v>
      </c>
      <c r="N343" s="11" t="s">
        <v>994</v>
      </c>
      <c r="O343" s="11" t="s">
        <v>994</v>
      </c>
      <c r="P343" s="11" t="s">
        <v>994</v>
      </c>
      <c r="Q343" s="11" t="s">
        <v>994</v>
      </c>
      <c r="R343" s="11" t="s">
        <v>994</v>
      </c>
      <c r="S343" s="11" t="s">
        <v>994</v>
      </c>
      <c r="T343" s="11" t="s">
        <v>994</v>
      </c>
      <c r="U343" s="11" t="s">
        <v>994</v>
      </c>
      <c r="V343" s="11" t="s">
        <v>994</v>
      </c>
      <c r="W343" s="11" t="s">
        <v>994</v>
      </c>
      <c r="X343" s="11" t="s">
        <v>994</v>
      </c>
      <c r="Y343" s="11" t="s">
        <v>994</v>
      </c>
      <c r="Z343" s="11" t="s">
        <v>994</v>
      </c>
      <c r="AA343" s="11" t="s">
        <v>994</v>
      </c>
      <c r="AB343" s="11" t="s">
        <v>994</v>
      </c>
      <c r="AC343" s="11" t="s">
        <v>994</v>
      </c>
      <c r="AD343" s="11" t="s">
        <v>994</v>
      </c>
    </row>
    <row r="344">
      <c r="B344" s="12" t="s">
        <v>994</v>
      </c>
      <c r="C344" s="11" t="s">
        <v>994</v>
      </c>
      <c r="D344" s="11" t="s">
        <v>994</v>
      </c>
      <c r="E344" s="12" t="s">
        <v>994</v>
      </c>
      <c r="F344" s="12" t="s">
        <v>994</v>
      </c>
      <c r="G344" s="12" t="s">
        <v>994</v>
      </c>
      <c r="H344" s="12" t="s">
        <v>994</v>
      </c>
      <c r="I344" s="12" t="s">
        <v>994</v>
      </c>
      <c r="J344" s="12" t="s">
        <v>994</v>
      </c>
      <c r="K344" s="12" t="s">
        <v>994</v>
      </c>
      <c r="L344" s="13" t="s">
        <v>994</v>
      </c>
      <c r="M344" s="11" t="s">
        <v>994</v>
      </c>
      <c r="N344" s="11" t="s">
        <v>994</v>
      </c>
      <c r="O344" s="11" t="s">
        <v>994</v>
      </c>
      <c r="P344" s="11" t="s">
        <v>994</v>
      </c>
      <c r="Q344" s="11" t="s">
        <v>994</v>
      </c>
      <c r="R344" s="11" t="s">
        <v>994</v>
      </c>
      <c r="S344" s="11" t="s">
        <v>994</v>
      </c>
      <c r="T344" s="11" t="s">
        <v>994</v>
      </c>
      <c r="U344" s="11" t="s">
        <v>994</v>
      </c>
      <c r="V344" s="11" t="s">
        <v>994</v>
      </c>
      <c r="W344" s="11" t="s">
        <v>994</v>
      </c>
      <c r="X344" s="11" t="s">
        <v>994</v>
      </c>
      <c r="Y344" s="11" t="s">
        <v>994</v>
      </c>
      <c r="Z344" s="11" t="s">
        <v>994</v>
      </c>
      <c r="AA344" s="11" t="s">
        <v>994</v>
      </c>
      <c r="AB344" s="11" t="s">
        <v>994</v>
      </c>
      <c r="AC344" s="11" t="s">
        <v>994</v>
      </c>
      <c r="AD344" s="11" t="s">
        <v>994</v>
      </c>
    </row>
    <row r="345">
      <c r="B345" s="12" t="s">
        <v>994</v>
      </c>
      <c r="C345" s="11" t="s">
        <v>994</v>
      </c>
      <c r="D345" s="11" t="s">
        <v>994</v>
      </c>
      <c r="E345" s="12" t="s">
        <v>994</v>
      </c>
      <c r="F345" s="12" t="s">
        <v>994</v>
      </c>
      <c r="G345" s="12" t="s">
        <v>994</v>
      </c>
      <c r="H345" s="12" t="s">
        <v>994</v>
      </c>
      <c r="I345" s="12" t="s">
        <v>994</v>
      </c>
      <c r="J345" s="12" t="s">
        <v>994</v>
      </c>
      <c r="K345" s="12" t="s">
        <v>994</v>
      </c>
      <c r="L345" s="13" t="s">
        <v>994</v>
      </c>
      <c r="M345" s="11" t="s">
        <v>994</v>
      </c>
      <c r="N345" s="11" t="s">
        <v>994</v>
      </c>
      <c r="O345" s="11" t="s">
        <v>994</v>
      </c>
      <c r="P345" s="11" t="s">
        <v>994</v>
      </c>
      <c r="Q345" s="11" t="s">
        <v>994</v>
      </c>
      <c r="R345" s="11" t="s">
        <v>994</v>
      </c>
      <c r="S345" s="11" t="s">
        <v>994</v>
      </c>
      <c r="T345" s="11" t="s">
        <v>994</v>
      </c>
      <c r="U345" s="11" t="s">
        <v>994</v>
      </c>
      <c r="V345" s="11" t="s">
        <v>994</v>
      </c>
      <c r="W345" s="11" t="s">
        <v>994</v>
      </c>
      <c r="X345" s="11" t="s">
        <v>994</v>
      </c>
      <c r="Y345" s="11" t="s">
        <v>994</v>
      </c>
      <c r="Z345" s="11" t="s">
        <v>994</v>
      </c>
      <c r="AA345" s="11" t="s">
        <v>994</v>
      </c>
      <c r="AB345" s="11" t="s">
        <v>994</v>
      </c>
      <c r="AC345" s="11" t="s">
        <v>994</v>
      </c>
      <c r="AD345" s="11" t="s">
        <v>994</v>
      </c>
    </row>
    <row r="346">
      <c r="B346" s="12" t="s">
        <v>994</v>
      </c>
      <c r="C346" s="11" t="s">
        <v>994</v>
      </c>
      <c r="D346" s="11" t="s">
        <v>994</v>
      </c>
      <c r="E346" s="12" t="s">
        <v>994</v>
      </c>
      <c r="F346" s="12" t="s">
        <v>994</v>
      </c>
      <c r="G346" s="12" t="s">
        <v>994</v>
      </c>
      <c r="H346" s="12" t="s">
        <v>994</v>
      </c>
      <c r="I346" s="12" t="s">
        <v>994</v>
      </c>
      <c r="J346" s="12" t="s">
        <v>994</v>
      </c>
      <c r="K346" s="12" t="s">
        <v>994</v>
      </c>
      <c r="L346" s="13" t="s">
        <v>994</v>
      </c>
      <c r="M346" s="11" t="s">
        <v>994</v>
      </c>
      <c r="N346" s="11" t="s">
        <v>994</v>
      </c>
      <c r="O346" s="11" t="s">
        <v>994</v>
      </c>
      <c r="P346" s="11" t="s">
        <v>994</v>
      </c>
      <c r="Q346" s="11" t="s">
        <v>994</v>
      </c>
      <c r="R346" s="11" t="s">
        <v>994</v>
      </c>
      <c r="S346" s="11" t="s">
        <v>994</v>
      </c>
      <c r="T346" s="11" t="s">
        <v>994</v>
      </c>
      <c r="U346" s="11" t="s">
        <v>994</v>
      </c>
      <c r="V346" s="11" t="s">
        <v>994</v>
      </c>
      <c r="W346" s="11" t="s">
        <v>994</v>
      </c>
      <c r="X346" s="11" t="s">
        <v>994</v>
      </c>
      <c r="Y346" s="11" t="s">
        <v>994</v>
      </c>
      <c r="Z346" s="11" t="s">
        <v>994</v>
      </c>
      <c r="AA346" s="11" t="s">
        <v>994</v>
      </c>
      <c r="AB346" s="11" t="s">
        <v>994</v>
      </c>
      <c r="AC346" s="11" t="s">
        <v>994</v>
      </c>
      <c r="AD346" s="11" t="s">
        <v>994</v>
      </c>
    </row>
    <row r="347">
      <c r="B347" s="12" t="s">
        <v>994</v>
      </c>
      <c r="C347" s="11" t="s">
        <v>994</v>
      </c>
      <c r="D347" s="11" t="s">
        <v>994</v>
      </c>
      <c r="E347" s="12" t="s">
        <v>994</v>
      </c>
      <c r="F347" s="12" t="s">
        <v>994</v>
      </c>
      <c r="G347" s="12" t="s">
        <v>994</v>
      </c>
      <c r="H347" s="12" t="s">
        <v>994</v>
      </c>
      <c r="I347" s="12" t="s">
        <v>994</v>
      </c>
      <c r="J347" s="12" t="s">
        <v>994</v>
      </c>
      <c r="K347" s="12" t="s">
        <v>994</v>
      </c>
      <c r="L347" s="13" t="s">
        <v>994</v>
      </c>
      <c r="M347" s="11" t="s">
        <v>994</v>
      </c>
      <c r="N347" s="11" t="s">
        <v>994</v>
      </c>
      <c r="O347" s="11" t="s">
        <v>994</v>
      </c>
      <c r="P347" s="11" t="s">
        <v>994</v>
      </c>
      <c r="Q347" s="11" t="s">
        <v>994</v>
      </c>
      <c r="R347" s="11" t="s">
        <v>994</v>
      </c>
      <c r="S347" s="11" t="s">
        <v>994</v>
      </c>
      <c r="T347" s="11" t="s">
        <v>994</v>
      </c>
      <c r="U347" s="11" t="s">
        <v>994</v>
      </c>
      <c r="V347" s="11" t="s">
        <v>994</v>
      </c>
      <c r="W347" s="11" t="s">
        <v>994</v>
      </c>
      <c r="X347" s="11" t="s">
        <v>994</v>
      </c>
      <c r="Y347" s="11" t="s">
        <v>994</v>
      </c>
      <c r="Z347" s="11" t="s">
        <v>994</v>
      </c>
      <c r="AA347" s="11" t="s">
        <v>994</v>
      </c>
      <c r="AB347" s="11" t="s">
        <v>994</v>
      </c>
      <c r="AC347" s="11" t="s">
        <v>994</v>
      </c>
      <c r="AD347" s="11" t="s">
        <v>994</v>
      </c>
    </row>
    <row r="348">
      <c r="B348" s="12" t="s">
        <v>994</v>
      </c>
      <c r="C348" s="11" t="s">
        <v>994</v>
      </c>
      <c r="D348" s="11" t="s">
        <v>994</v>
      </c>
      <c r="E348" s="12" t="s">
        <v>994</v>
      </c>
      <c r="F348" s="12" t="s">
        <v>994</v>
      </c>
      <c r="G348" s="12" t="s">
        <v>994</v>
      </c>
      <c r="H348" s="12" t="s">
        <v>994</v>
      </c>
      <c r="I348" s="12" t="s">
        <v>994</v>
      </c>
      <c r="J348" s="12" t="s">
        <v>994</v>
      </c>
      <c r="K348" s="12" t="s">
        <v>994</v>
      </c>
      <c r="L348" s="13" t="s">
        <v>994</v>
      </c>
      <c r="M348" s="11" t="s">
        <v>994</v>
      </c>
      <c r="N348" s="11" t="s">
        <v>994</v>
      </c>
      <c r="O348" s="11" t="s">
        <v>994</v>
      </c>
      <c r="P348" s="11" t="s">
        <v>994</v>
      </c>
      <c r="Q348" s="11" t="s">
        <v>994</v>
      </c>
      <c r="R348" s="11" t="s">
        <v>994</v>
      </c>
      <c r="S348" s="11" t="s">
        <v>994</v>
      </c>
      <c r="T348" s="11" t="s">
        <v>994</v>
      </c>
      <c r="U348" s="11" t="s">
        <v>994</v>
      </c>
      <c r="V348" s="11" t="s">
        <v>994</v>
      </c>
      <c r="W348" s="11" t="s">
        <v>994</v>
      </c>
      <c r="X348" s="11" t="s">
        <v>994</v>
      </c>
      <c r="Y348" s="11" t="s">
        <v>994</v>
      </c>
      <c r="Z348" s="11" t="s">
        <v>994</v>
      </c>
      <c r="AA348" s="11" t="s">
        <v>994</v>
      </c>
      <c r="AB348" s="11" t="s">
        <v>994</v>
      </c>
      <c r="AC348" s="11" t="s">
        <v>994</v>
      </c>
      <c r="AD348" s="11" t="s">
        <v>994</v>
      </c>
    </row>
    <row r="349">
      <c r="B349" s="12" t="s">
        <v>994</v>
      </c>
      <c r="C349" s="11" t="s">
        <v>994</v>
      </c>
      <c r="D349" s="11" t="s">
        <v>994</v>
      </c>
      <c r="E349" s="12" t="s">
        <v>994</v>
      </c>
      <c r="F349" s="12" t="s">
        <v>994</v>
      </c>
      <c r="G349" s="12" t="s">
        <v>994</v>
      </c>
      <c r="H349" s="12" t="s">
        <v>994</v>
      </c>
      <c r="I349" s="12" t="s">
        <v>994</v>
      </c>
      <c r="J349" s="12" t="s">
        <v>994</v>
      </c>
      <c r="K349" s="12" t="s">
        <v>994</v>
      </c>
      <c r="L349" s="13" t="s">
        <v>994</v>
      </c>
      <c r="M349" s="11" t="s">
        <v>994</v>
      </c>
      <c r="N349" s="11" t="s">
        <v>994</v>
      </c>
      <c r="O349" s="11" t="s">
        <v>994</v>
      </c>
      <c r="P349" s="11" t="s">
        <v>994</v>
      </c>
      <c r="Q349" s="11" t="s">
        <v>994</v>
      </c>
      <c r="R349" s="11" t="s">
        <v>994</v>
      </c>
      <c r="S349" s="11" t="s">
        <v>994</v>
      </c>
      <c r="T349" s="11" t="s">
        <v>994</v>
      </c>
      <c r="U349" s="11" t="s">
        <v>994</v>
      </c>
      <c r="V349" s="11" t="s">
        <v>994</v>
      </c>
      <c r="W349" s="11" t="s">
        <v>994</v>
      </c>
      <c r="X349" s="11" t="s">
        <v>994</v>
      </c>
      <c r="Y349" s="11" t="s">
        <v>994</v>
      </c>
      <c r="Z349" s="11" t="s">
        <v>994</v>
      </c>
      <c r="AA349" s="11" t="s">
        <v>994</v>
      </c>
      <c r="AB349" s="11" t="s">
        <v>994</v>
      </c>
      <c r="AC349" s="11" t="s">
        <v>994</v>
      </c>
      <c r="AD349" s="11" t="s">
        <v>994</v>
      </c>
    </row>
    <row r="350">
      <c r="B350" s="12" t="s">
        <v>994</v>
      </c>
      <c r="C350" s="11" t="s">
        <v>994</v>
      </c>
      <c r="D350" s="11" t="s">
        <v>994</v>
      </c>
      <c r="E350" s="12" t="s">
        <v>994</v>
      </c>
      <c r="F350" s="12" t="s">
        <v>994</v>
      </c>
      <c r="G350" s="12" t="s">
        <v>994</v>
      </c>
      <c r="H350" s="12" t="s">
        <v>994</v>
      </c>
      <c r="I350" s="12" t="s">
        <v>994</v>
      </c>
      <c r="J350" s="12" t="s">
        <v>994</v>
      </c>
      <c r="K350" s="12" t="s">
        <v>994</v>
      </c>
      <c r="L350" s="13" t="s">
        <v>994</v>
      </c>
      <c r="M350" s="11" t="s">
        <v>994</v>
      </c>
      <c r="N350" s="11" t="s">
        <v>994</v>
      </c>
      <c r="O350" s="11" t="s">
        <v>994</v>
      </c>
      <c r="P350" s="11" t="s">
        <v>994</v>
      </c>
      <c r="Q350" s="11" t="s">
        <v>994</v>
      </c>
      <c r="R350" s="11" t="s">
        <v>994</v>
      </c>
      <c r="S350" s="11" t="s">
        <v>994</v>
      </c>
      <c r="T350" s="11" t="s">
        <v>994</v>
      </c>
      <c r="U350" s="11" t="s">
        <v>994</v>
      </c>
      <c r="V350" s="11" t="s">
        <v>994</v>
      </c>
      <c r="W350" s="11" t="s">
        <v>994</v>
      </c>
      <c r="X350" s="11" t="s">
        <v>994</v>
      </c>
      <c r="Y350" s="11" t="s">
        <v>994</v>
      </c>
      <c r="Z350" s="11" t="s">
        <v>994</v>
      </c>
      <c r="AA350" s="11" t="s">
        <v>994</v>
      </c>
      <c r="AB350" s="11" t="s">
        <v>994</v>
      </c>
      <c r="AC350" s="11" t="s">
        <v>994</v>
      </c>
      <c r="AD350" s="11" t="s">
        <v>994</v>
      </c>
    </row>
    <row r="351">
      <c r="B351" s="12" t="s">
        <v>994</v>
      </c>
      <c r="C351" s="11" t="s">
        <v>994</v>
      </c>
      <c r="D351" s="11" t="s">
        <v>994</v>
      </c>
      <c r="E351" s="12" t="s">
        <v>994</v>
      </c>
      <c r="F351" s="12" t="s">
        <v>994</v>
      </c>
      <c r="G351" s="12" t="s">
        <v>994</v>
      </c>
      <c r="H351" s="12" t="s">
        <v>994</v>
      </c>
      <c r="I351" s="12" t="s">
        <v>994</v>
      </c>
      <c r="J351" s="12" t="s">
        <v>994</v>
      </c>
      <c r="K351" s="12" t="s">
        <v>994</v>
      </c>
      <c r="L351" s="13" t="s">
        <v>994</v>
      </c>
      <c r="M351" s="11" t="s">
        <v>994</v>
      </c>
      <c r="N351" s="11" t="s">
        <v>994</v>
      </c>
      <c r="O351" s="11" t="s">
        <v>994</v>
      </c>
      <c r="P351" s="11" t="s">
        <v>994</v>
      </c>
      <c r="Q351" s="11" t="s">
        <v>994</v>
      </c>
      <c r="R351" s="11" t="s">
        <v>994</v>
      </c>
      <c r="S351" s="11" t="s">
        <v>994</v>
      </c>
      <c r="T351" s="11" t="s">
        <v>994</v>
      </c>
      <c r="U351" s="11" t="s">
        <v>994</v>
      </c>
      <c r="V351" s="11" t="s">
        <v>994</v>
      </c>
      <c r="W351" s="11" t="s">
        <v>994</v>
      </c>
      <c r="X351" s="11" t="s">
        <v>994</v>
      </c>
      <c r="Y351" s="11" t="s">
        <v>994</v>
      </c>
      <c r="Z351" s="11" t="s">
        <v>994</v>
      </c>
      <c r="AA351" s="11" t="s">
        <v>994</v>
      </c>
      <c r="AB351" s="11" t="s">
        <v>994</v>
      </c>
      <c r="AC351" s="11" t="s">
        <v>994</v>
      </c>
      <c r="AD351" s="11" t="s">
        <v>994</v>
      </c>
    </row>
    <row r="352">
      <c r="B352" s="12" t="s">
        <v>994</v>
      </c>
      <c r="C352" s="11" t="s">
        <v>994</v>
      </c>
      <c r="D352" s="11" t="s">
        <v>994</v>
      </c>
      <c r="E352" s="12" t="s">
        <v>994</v>
      </c>
      <c r="F352" s="12" t="s">
        <v>994</v>
      </c>
      <c r="G352" s="12" t="s">
        <v>994</v>
      </c>
      <c r="H352" s="12" t="s">
        <v>994</v>
      </c>
      <c r="I352" s="12" t="s">
        <v>994</v>
      </c>
      <c r="J352" s="12" t="s">
        <v>994</v>
      </c>
      <c r="K352" s="12" t="s">
        <v>994</v>
      </c>
      <c r="L352" s="13" t="s">
        <v>994</v>
      </c>
      <c r="M352" s="11" t="s">
        <v>994</v>
      </c>
      <c r="N352" s="11" t="s">
        <v>994</v>
      </c>
      <c r="O352" s="11" t="s">
        <v>994</v>
      </c>
      <c r="P352" s="11" t="s">
        <v>994</v>
      </c>
      <c r="Q352" s="11" t="s">
        <v>994</v>
      </c>
      <c r="R352" s="11" t="s">
        <v>994</v>
      </c>
      <c r="S352" s="11" t="s">
        <v>994</v>
      </c>
      <c r="T352" s="11" t="s">
        <v>994</v>
      </c>
      <c r="U352" s="11" t="s">
        <v>994</v>
      </c>
      <c r="V352" s="11" t="s">
        <v>994</v>
      </c>
      <c r="W352" s="11" t="s">
        <v>994</v>
      </c>
      <c r="X352" s="11" t="s">
        <v>994</v>
      </c>
      <c r="Y352" s="11" t="s">
        <v>994</v>
      </c>
      <c r="Z352" s="11" t="s">
        <v>994</v>
      </c>
      <c r="AA352" s="11" t="s">
        <v>994</v>
      </c>
      <c r="AB352" s="11" t="s">
        <v>994</v>
      </c>
      <c r="AC352" s="11" t="s">
        <v>994</v>
      </c>
      <c r="AD352" s="11" t="s">
        <v>994</v>
      </c>
    </row>
    <row r="353">
      <c r="B353" s="12" t="s">
        <v>994</v>
      </c>
      <c r="C353" s="11" t="s">
        <v>994</v>
      </c>
      <c r="D353" s="11" t="s">
        <v>994</v>
      </c>
      <c r="E353" s="12" t="s">
        <v>994</v>
      </c>
      <c r="F353" s="12" t="s">
        <v>994</v>
      </c>
      <c r="G353" s="12" t="s">
        <v>994</v>
      </c>
      <c r="H353" s="12" t="s">
        <v>994</v>
      </c>
      <c r="I353" s="12" t="s">
        <v>994</v>
      </c>
      <c r="J353" s="12" t="s">
        <v>994</v>
      </c>
      <c r="K353" s="12" t="s">
        <v>994</v>
      </c>
      <c r="L353" s="13" t="s">
        <v>994</v>
      </c>
      <c r="M353" s="11" t="s">
        <v>994</v>
      </c>
      <c r="N353" s="11" t="s">
        <v>994</v>
      </c>
      <c r="O353" s="11" t="s">
        <v>994</v>
      </c>
      <c r="P353" s="11" t="s">
        <v>994</v>
      </c>
      <c r="Q353" s="11" t="s">
        <v>994</v>
      </c>
      <c r="R353" s="11" t="s">
        <v>994</v>
      </c>
      <c r="S353" s="11" t="s">
        <v>994</v>
      </c>
      <c r="T353" s="11" t="s">
        <v>994</v>
      </c>
      <c r="U353" s="11" t="s">
        <v>994</v>
      </c>
      <c r="V353" s="11" t="s">
        <v>994</v>
      </c>
      <c r="W353" s="11" t="s">
        <v>994</v>
      </c>
      <c r="X353" s="11" t="s">
        <v>994</v>
      </c>
      <c r="Y353" s="11" t="s">
        <v>994</v>
      </c>
      <c r="Z353" s="11" t="s">
        <v>994</v>
      </c>
      <c r="AA353" s="11" t="s">
        <v>994</v>
      </c>
      <c r="AB353" s="11" t="s">
        <v>994</v>
      </c>
      <c r="AC353" s="11" t="s">
        <v>994</v>
      </c>
      <c r="AD353" s="11" t="s">
        <v>994</v>
      </c>
    </row>
    <row r="354">
      <c r="B354" s="12" t="s">
        <v>994</v>
      </c>
      <c r="C354" s="11" t="s">
        <v>994</v>
      </c>
      <c r="D354" s="11" t="s">
        <v>994</v>
      </c>
      <c r="E354" s="12" t="s">
        <v>994</v>
      </c>
      <c r="F354" s="12" t="s">
        <v>994</v>
      </c>
      <c r="G354" s="12" t="s">
        <v>994</v>
      </c>
      <c r="H354" s="12" t="s">
        <v>994</v>
      </c>
      <c r="I354" s="12" t="s">
        <v>994</v>
      </c>
      <c r="J354" s="12" t="s">
        <v>994</v>
      </c>
      <c r="K354" s="12" t="s">
        <v>994</v>
      </c>
      <c r="L354" s="13" t="s">
        <v>994</v>
      </c>
      <c r="M354" s="11" t="s">
        <v>994</v>
      </c>
      <c r="N354" s="11" t="s">
        <v>994</v>
      </c>
      <c r="O354" s="11" t="s">
        <v>994</v>
      </c>
      <c r="P354" s="11" t="s">
        <v>994</v>
      </c>
      <c r="Q354" s="11" t="s">
        <v>994</v>
      </c>
      <c r="R354" s="11" t="s">
        <v>994</v>
      </c>
      <c r="S354" s="11" t="s">
        <v>994</v>
      </c>
      <c r="T354" s="11" t="s">
        <v>994</v>
      </c>
      <c r="U354" s="11" t="s">
        <v>994</v>
      </c>
      <c r="V354" s="11" t="s">
        <v>994</v>
      </c>
      <c r="W354" s="11" t="s">
        <v>994</v>
      </c>
      <c r="X354" s="11" t="s">
        <v>994</v>
      </c>
      <c r="Y354" s="11" t="s">
        <v>994</v>
      </c>
      <c r="Z354" s="11" t="s">
        <v>994</v>
      </c>
      <c r="AA354" s="11" t="s">
        <v>994</v>
      </c>
      <c r="AB354" s="11" t="s">
        <v>994</v>
      </c>
      <c r="AC354" s="11" t="s">
        <v>994</v>
      </c>
      <c r="AD354" s="11" t="s">
        <v>994</v>
      </c>
    </row>
    <row r="355">
      <c r="B355" s="12" t="s">
        <v>994</v>
      </c>
      <c r="C355" s="11" t="s">
        <v>994</v>
      </c>
      <c r="D355" s="11" t="s">
        <v>994</v>
      </c>
      <c r="E355" s="12" t="s">
        <v>994</v>
      </c>
      <c r="F355" s="12" t="s">
        <v>994</v>
      </c>
      <c r="G355" s="12" t="s">
        <v>994</v>
      </c>
      <c r="H355" s="12" t="s">
        <v>994</v>
      </c>
      <c r="I355" s="12" t="s">
        <v>994</v>
      </c>
      <c r="J355" s="12" t="s">
        <v>994</v>
      </c>
      <c r="K355" s="12" t="s">
        <v>994</v>
      </c>
      <c r="L355" s="13" t="s">
        <v>994</v>
      </c>
      <c r="M355" s="11" t="s">
        <v>994</v>
      </c>
      <c r="N355" s="11" t="s">
        <v>994</v>
      </c>
      <c r="O355" s="11" t="s">
        <v>994</v>
      </c>
      <c r="P355" s="11" t="s">
        <v>994</v>
      </c>
      <c r="Q355" s="11" t="s">
        <v>994</v>
      </c>
      <c r="R355" s="11" t="s">
        <v>994</v>
      </c>
      <c r="S355" s="11" t="s">
        <v>994</v>
      </c>
      <c r="T355" s="11" t="s">
        <v>994</v>
      </c>
      <c r="U355" s="11" t="s">
        <v>994</v>
      </c>
      <c r="V355" s="11" t="s">
        <v>994</v>
      </c>
      <c r="W355" s="11" t="s">
        <v>994</v>
      </c>
      <c r="X355" s="11" t="s">
        <v>994</v>
      </c>
      <c r="Y355" s="11" t="s">
        <v>994</v>
      </c>
      <c r="Z355" s="11" t="s">
        <v>994</v>
      </c>
      <c r="AA355" s="11" t="s">
        <v>994</v>
      </c>
      <c r="AB355" s="11" t="s">
        <v>994</v>
      </c>
      <c r="AC355" s="11" t="s">
        <v>994</v>
      </c>
      <c r="AD355" s="11" t="s">
        <v>994</v>
      </c>
    </row>
    <row r="356">
      <c r="B356" s="12" t="s">
        <v>994</v>
      </c>
      <c r="C356" s="11" t="s">
        <v>994</v>
      </c>
      <c r="D356" s="11" t="s">
        <v>994</v>
      </c>
      <c r="E356" s="12" t="s">
        <v>994</v>
      </c>
      <c r="F356" s="12" t="s">
        <v>994</v>
      </c>
      <c r="G356" s="12" t="s">
        <v>994</v>
      </c>
      <c r="H356" s="12" t="s">
        <v>994</v>
      </c>
      <c r="I356" s="12" t="s">
        <v>994</v>
      </c>
      <c r="J356" s="12" t="s">
        <v>994</v>
      </c>
      <c r="K356" s="12" t="s">
        <v>994</v>
      </c>
      <c r="L356" s="13" t="s">
        <v>994</v>
      </c>
      <c r="M356" s="11" t="s">
        <v>994</v>
      </c>
      <c r="N356" s="11" t="s">
        <v>994</v>
      </c>
      <c r="O356" s="11" t="s">
        <v>994</v>
      </c>
      <c r="P356" s="11" t="s">
        <v>994</v>
      </c>
      <c r="Q356" s="11" t="s">
        <v>994</v>
      </c>
      <c r="R356" s="11" t="s">
        <v>994</v>
      </c>
      <c r="S356" s="11" t="s">
        <v>994</v>
      </c>
      <c r="T356" s="11" t="s">
        <v>994</v>
      </c>
      <c r="U356" s="11" t="s">
        <v>994</v>
      </c>
      <c r="V356" s="11" t="s">
        <v>994</v>
      </c>
      <c r="W356" s="11" t="s">
        <v>994</v>
      </c>
      <c r="X356" s="11" t="s">
        <v>994</v>
      </c>
      <c r="Y356" s="11" t="s">
        <v>994</v>
      </c>
      <c r="Z356" s="11" t="s">
        <v>994</v>
      </c>
      <c r="AA356" s="11" t="s">
        <v>994</v>
      </c>
      <c r="AB356" s="11" t="s">
        <v>994</v>
      </c>
      <c r="AC356" s="11" t="s">
        <v>994</v>
      </c>
      <c r="AD356" s="11" t="s">
        <v>994</v>
      </c>
    </row>
    <row r="357">
      <c r="B357" s="12" t="s">
        <v>994</v>
      </c>
      <c r="C357" s="11" t="s">
        <v>994</v>
      </c>
      <c r="D357" s="11" t="s">
        <v>994</v>
      </c>
      <c r="E357" s="12" t="s">
        <v>994</v>
      </c>
      <c r="F357" s="12" t="s">
        <v>994</v>
      </c>
      <c r="G357" s="12" t="s">
        <v>994</v>
      </c>
      <c r="H357" s="12" t="s">
        <v>994</v>
      </c>
      <c r="I357" s="12" t="s">
        <v>994</v>
      </c>
      <c r="J357" s="12" t="s">
        <v>994</v>
      </c>
      <c r="K357" s="12" t="s">
        <v>994</v>
      </c>
      <c r="L357" s="13" t="s">
        <v>994</v>
      </c>
      <c r="M357" s="11" t="s">
        <v>994</v>
      </c>
      <c r="N357" s="11" t="s">
        <v>994</v>
      </c>
      <c r="O357" s="11" t="s">
        <v>994</v>
      </c>
      <c r="P357" s="11" t="s">
        <v>994</v>
      </c>
      <c r="Q357" s="11" t="s">
        <v>994</v>
      </c>
      <c r="R357" s="11" t="s">
        <v>994</v>
      </c>
      <c r="S357" s="11" t="s">
        <v>994</v>
      </c>
      <c r="T357" s="11" t="s">
        <v>994</v>
      </c>
      <c r="U357" s="11" t="s">
        <v>994</v>
      </c>
      <c r="V357" s="11" t="s">
        <v>994</v>
      </c>
      <c r="W357" s="11" t="s">
        <v>994</v>
      </c>
      <c r="X357" s="11" t="s">
        <v>994</v>
      </c>
      <c r="Y357" s="11" t="s">
        <v>994</v>
      </c>
      <c r="Z357" s="11" t="s">
        <v>994</v>
      </c>
      <c r="AA357" s="11" t="s">
        <v>994</v>
      </c>
      <c r="AB357" s="11" t="s">
        <v>994</v>
      </c>
      <c r="AC357" s="11" t="s">
        <v>994</v>
      </c>
      <c r="AD357" s="11" t="s">
        <v>994</v>
      </c>
    </row>
    <row r="358">
      <c r="B358" s="12" t="s">
        <v>994</v>
      </c>
      <c r="C358" s="11" t="s">
        <v>994</v>
      </c>
      <c r="D358" s="11" t="s">
        <v>994</v>
      </c>
      <c r="E358" s="12" t="s">
        <v>994</v>
      </c>
      <c r="F358" s="12" t="s">
        <v>994</v>
      </c>
      <c r="G358" s="12" t="s">
        <v>994</v>
      </c>
      <c r="H358" s="12" t="s">
        <v>994</v>
      </c>
      <c r="I358" s="12" t="s">
        <v>994</v>
      </c>
      <c r="J358" s="12" t="s">
        <v>994</v>
      </c>
      <c r="K358" s="12" t="s">
        <v>994</v>
      </c>
      <c r="L358" s="13" t="s">
        <v>994</v>
      </c>
      <c r="M358" s="11" t="s">
        <v>994</v>
      </c>
      <c r="N358" s="11" t="s">
        <v>994</v>
      </c>
      <c r="O358" s="11" t="s">
        <v>994</v>
      </c>
      <c r="P358" s="11" t="s">
        <v>994</v>
      </c>
      <c r="Q358" s="11" t="s">
        <v>994</v>
      </c>
      <c r="R358" s="11" t="s">
        <v>994</v>
      </c>
      <c r="S358" s="11" t="s">
        <v>994</v>
      </c>
      <c r="T358" s="11" t="s">
        <v>994</v>
      </c>
      <c r="U358" s="11" t="s">
        <v>994</v>
      </c>
      <c r="V358" s="11" t="s">
        <v>994</v>
      </c>
      <c r="W358" s="11" t="s">
        <v>994</v>
      </c>
      <c r="X358" s="11" t="s">
        <v>994</v>
      </c>
      <c r="Y358" s="11" t="s">
        <v>994</v>
      </c>
      <c r="Z358" s="11" t="s">
        <v>994</v>
      </c>
      <c r="AA358" s="11" t="s">
        <v>994</v>
      </c>
      <c r="AB358" s="11" t="s">
        <v>994</v>
      </c>
      <c r="AC358" s="11" t="s">
        <v>994</v>
      </c>
      <c r="AD358" s="11" t="s">
        <v>994</v>
      </c>
    </row>
    <row r="359">
      <c r="B359" s="12" t="s">
        <v>994</v>
      </c>
      <c r="C359" s="11" t="s">
        <v>994</v>
      </c>
      <c r="D359" s="11" t="s">
        <v>994</v>
      </c>
      <c r="E359" s="12" t="s">
        <v>994</v>
      </c>
      <c r="F359" s="12" t="s">
        <v>994</v>
      </c>
      <c r="G359" s="12" t="s">
        <v>994</v>
      </c>
      <c r="H359" s="12" t="s">
        <v>994</v>
      </c>
      <c r="I359" s="12" t="s">
        <v>994</v>
      </c>
      <c r="J359" s="12" t="s">
        <v>994</v>
      </c>
      <c r="K359" s="12" t="s">
        <v>994</v>
      </c>
      <c r="L359" s="13" t="s">
        <v>994</v>
      </c>
      <c r="M359" s="11" t="s">
        <v>994</v>
      </c>
      <c r="N359" s="11" t="s">
        <v>994</v>
      </c>
      <c r="O359" s="11" t="s">
        <v>994</v>
      </c>
      <c r="P359" s="11" t="s">
        <v>994</v>
      </c>
      <c r="Q359" s="11" t="s">
        <v>994</v>
      </c>
      <c r="R359" s="11" t="s">
        <v>994</v>
      </c>
      <c r="S359" s="11" t="s">
        <v>994</v>
      </c>
      <c r="T359" s="11" t="s">
        <v>994</v>
      </c>
      <c r="U359" s="11" t="s">
        <v>994</v>
      </c>
      <c r="V359" s="11" t="s">
        <v>994</v>
      </c>
      <c r="W359" s="11" t="s">
        <v>994</v>
      </c>
      <c r="X359" s="11" t="s">
        <v>994</v>
      </c>
      <c r="Y359" s="11" t="s">
        <v>994</v>
      </c>
      <c r="Z359" s="11" t="s">
        <v>994</v>
      </c>
      <c r="AA359" s="11" t="s">
        <v>994</v>
      </c>
      <c r="AB359" s="11" t="s">
        <v>994</v>
      </c>
      <c r="AC359" s="11" t="s">
        <v>994</v>
      </c>
      <c r="AD359" s="11" t="s">
        <v>994</v>
      </c>
    </row>
    <row r="360">
      <c r="B360" s="12" t="s">
        <v>994</v>
      </c>
      <c r="C360" s="11" t="s">
        <v>994</v>
      </c>
      <c r="D360" s="11" t="s">
        <v>994</v>
      </c>
      <c r="E360" s="12" t="s">
        <v>994</v>
      </c>
      <c r="F360" s="12" t="s">
        <v>994</v>
      </c>
      <c r="G360" s="12" t="s">
        <v>994</v>
      </c>
      <c r="H360" s="12" t="s">
        <v>994</v>
      </c>
      <c r="I360" s="12" t="s">
        <v>994</v>
      </c>
      <c r="J360" s="12" t="s">
        <v>994</v>
      </c>
      <c r="K360" s="12" t="s">
        <v>994</v>
      </c>
      <c r="L360" s="13" t="s">
        <v>994</v>
      </c>
      <c r="M360" s="11" t="s">
        <v>994</v>
      </c>
      <c r="N360" s="11" t="s">
        <v>994</v>
      </c>
      <c r="O360" s="11" t="s">
        <v>994</v>
      </c>
      <c r="P360" s="11" t="s">
        <v>994</v>
      </c>
      <c r="Q360" s="11" t="s">
        <v>994</v>
      </c>
      <c r="R360" s="11" t="s">
        <v>994</v>
      </c>
      <c r="S360" s="11" t="s">
        <v>994</v>
      </c>
      <c r="T360" s="11" t="s">
        <v>994</v>
      </c>
      <c r="U360" s="11" t="s">
        <v>994</v>
      </c>
      <c r="V360" s="11" t="s">
        <v>994</v>
      </c>
      <c r="W360" s="11" t="s">
        <v>994</v>
      </c>
      <c r="X360" s="11" t="s">
        <v>994</v>
      </c>
      <c r="Y360" s="11" t="s">
        <v>994</v>
      </c>
      <c r="Z360" s="11" t="s">
        <v>994</v>
      </c>
      <c r="AA360" s="11" t="s">
        <v>994</v>
      </c>
      <c r="AB360" s="11" t="s">
        <v>994</v>
      </c>
      <c r="AC360" s="11" t="s">
        <v>994</v>
      </c>
      <c r="AD360" s="11" t="s">
        <v>994</v>
      </c>
    </row>
    <row r="361">
      <c r="B361" s="12" t="s">
        <v>994</v>
      </c>
      <c r="C361" s="11" t="s">
        <v>994</v>
      </c>
      <c r="D361" s="11" t="s">
        <v>994</v>
      </c>
      <c r="E361" s="12" t="s">
        <v>994</v>
      </c>
      <c r="F361" s="12" t="s">
        <v>994</v>
      </c>
      <c r="G361" s="12" t="s">
        <v>994</v>
      </c>
      <c r="H361" s="12" t="s">
        <v>994</v>
      </c>
      <c r="I361" s="12" t="s">
        <v>994</v>
      </c>
      <c r="J361" s="12" t="s">
        <v>994</v>
      </c>
      <c r="K361" s="12" t="s">
        <v>994</v>
      </c>
      <c r="L361" s="13" t="s">
        <v>994</v>
      </c>
      <c r="M361" s="11" t="s">
        <v>994</v>
      </c>
      <c r="N361" s="11" t="s">
        <v>994</v>
      </c>
      <c r="O361" s="11" t="s">
        <v>994</v>
      </c>
      <c r="P361" s="11" t="s">
        <v>994</v>
      </c>
      <c r="Q361" s="11" t="s">
        <v>994</v>
      </c>
      <c r="R361" s="11" t="s">
        <v>994</v>
      </c>
      <c r="S361" s="11" t="s">
        <v>994</v>
      </c>
      <c r="T361" s="11" t="s">
        <v>994</v>
      </c>
      <c r="U361" s="11" t="s">
        <v>994</v>
      </c>
      <c r="V361" s="11" t="s">
        <v>994</v>
      </c>
      <c r="W361" s="11" t="s">
        <v>994</v>
      </c>
      <c r="X361" s="11" t="s">
        <v>994</v>
      </c>
      <c r="Y361" s="11" t="s">
        <v>994</v>
      </c>
      <c r="Z361" s="11" t="s">
        <v>994</v>
      </c>
      <c r="AA361" s="11" t="s">
        <v>994</v>
      </c>
      <c r="AB361" s="11" t="s">
        <v>994</v>
      </c>
      <c r="AC361" s="11" t="s">
        <v>994</v>
      </c>
      <c r="AD361" s="11" t="s">
        <v>994</v>
      </c>
    </row>
    <row r="362">
      <c r="B362" s="12" t="s">
        <v>994</v>
      </c>
      <c r="C362" s="11" t="s">
        <v>994</v>
      </c>
      <c r="D362" s="11" t="s">
        <v>994</v>
      </c>
      <c r="E362" s="12" t="s">
        <v>994</v>
      </c>
      <c r="F362" s="12" t="s">
        <v>994</v>
      </c>
      <c r="G362" s="12" t="s">
        <v>994</v>
      </c>
      <c r="H362" s="12" t="s">
        <v>994</v>
      </c>
      <c r="I362" s="12" t="s">
        <v>994</v>
      </c>
      <c r="J362" s="12" t="s">
        <v>994</v>
      </c>
      <c r="K362" s="12" t="s">
        <v>994</v>
      </c>
      <c r="L362" s="13" t="s">
        <v>994</v>
      </c>
      <c r="M362" s="11" t="s">
        <v>994</v>
      </c>
      <c r="N362" s="11" t="s">
        <v>994</v>
      </c>
      <c r="O362" s="11" t="s">
        <v>994</v>
      </c>
      <c r="P362" s="11" t="s">
        <v>994</v>
      </c>
      <c r="Q362" s="11" t="s">
        <v>994</v>
      </c>
      <c r="R362" s="11" t="s">
        <v>994</v>
      </c>
      <c r="S362" s="11" t="s">
        <v>994</v>
      </c>
      <c r="T362" s="11" t="s">
        <v>994</v>
      </c>
      <c r="U362" s="11" t="s">
        <v>994</v>
      </c>
      <c r="V362" s="11" t="s">
        <v>994</v>
      </c>
      <c r="W362" s="11" t="s">
        <v>994</v>
      </c>
      <c r="X362" s="11" t="s">
        <v>994</v>
      </c>
      <c r="Y362" s="11" t="s">
        <v>994</v>
      </c>
      <c r="Z362" s="11" t="s">
        <v>994</v>
      </c>
      <c r="AA362" s="11" t="s">
        <v>994</v>
      </c>
      <c r="AB362" s="11" t="s">
        <v>994</v>
      </c>
      <c r="AC362" s="11" t="s">
        <v>994</v>
      </c>
      <c r="AD362" s="11" t="s">
        <v>994</v>
      </c>
    </row>
    <row r="363">
      <c r="B363" s="12" t="s">
        <v>994</v>
      </c>
      <c r="C363" s="11" t="s">
        <v>994</v>
      </c>
      <c r="D363" s="11" t="s">
        <v>994</v>
      </c>
      <c r="E363" s="12" t="s">
        <v>994</v>
      </c>
      <c r="F363" s="12" t="s">
        <v>994</v>
      </c>
      <c r="G363" s="12" t="s">
        <v>994</v>
      </c>
      <c r="H363" s="12" t="s">
        <v>994</v>
      </c>
      <c r="I363" s="12" t="s">
        <v>994</v>
      </c>
      <c r="J363" s="12" t="s">
        <v>994</v>
      </c>
      <c r="K363" s="12" t="s">
        <v>994</v>
      </c>
      <c r="L363" s="13" t="s">
        <v>994</v>
      </c>
      <c r="M363" s="11" t="s">
        <v>994</v>
      </c>
      <c r="N363" s="11" t="s">
        <v>994</v>
      </c>
      <c r="O363" s="11" t="s">
        <v>994</v>
      </c>
      <c r="P363" s="11" t="s">
        <v>994</v>
      </c>
      <c r="Q363" s="11" t="s">
        <v>994</v>
      </c>
      <c r="R363" s="11" t="s">
        <v>994</v>
      </c>
      <c r="S363" s="11" t="s">
        <v>994</v>
      </c>
      <c r="T363" s="11" t="s">
        <v>994</v>
      </c>
      <c r="U363" s="11" t="s">
        <v>994</v>
      </c>
      <c r="V363" s="11" t="s">
        <v>994</v>
      </c>
      <c r="W363" s="11" t="s">
        <v>994</v>
      </c>
      <c r="X363" s="11" t="s">
        <v>994</v>
      </c>
      <c r="Y363" s="11" t="s">
        <v>994</v>
      </c>
      <c r="Z363" s="11" t="s">
        <v>994</v>
      </c>
      <c r="AA363" s="11" t="s">
        <v>994</v>
      </c>
      <c r="AB363" s="11" t="s">
        <v>994</v>
      </c>
      <c r="AC363" s="11" t="s">
        <v>994</v>
      </c>
      <c r="AD363" s="11" t="s">
        <v>994</v>
      </c>
    </row>
    <row r="364">
      <c r="B364" s="12" t="s">
        <v>994</v>
      </c>
      <c r="C364" s="11" t="s">
        <v>994</v>
      </c>
      <c r="D364" s="11" t="s">
        <v>994</v>
      </c>
      <c r="E364" s="12" t="s">
        <v>994</v>
      </c>
      <c r="F364" s="12" t="s">
        <v>994</v>
      </c>
      <c r="G364" s="12" t="s">
        <v>994</v>
      </c>
      <c r="H364" s="12" t="s">
        <v>994</v>
      </c>
      <c r="I364" s="12" t="s">
        <v>994</v>
      </c>
      <c r="J364" s="12" t="s">
        <v>994</v>
      </c>
      <c r="K364" s="12" t="s">
        <v>994</v>
      </c>
      <c r="L364" s="13" t="s">
        <v>994</v>
      </c>
      <c r="M364" s="11" t="s">
        <v>994</v>
      </c>
      <c r="N364" s="11" t="s">
        <v>994</v>
      </c>
      <c r="O364" s="11" t="s">
        <v>994</v>
      </c>
      <c r="P364" s="11" t="s">
        <v>994</v>
      </c>
      <c r="Q364" s="11" t="s">
        <v>994</v>
      </c>
      <c r="R364" s="11" t="s">
        <v>994</v>
      </c>
      <c r="S364" s="11" t="s">
        <v>994</v>
      </c>
      <c r="T364" s="11" t="s">
        <v>994</v>
      </c>
      <c r="U364" s="11" t="s">
        <v>994</v>
      </c>
      <c r="V364" s="11" t="s">
        <v>994</v>
      </c>
      <c r="W364" s="11" t="s">
        <v>994</v>
      </c>
      <c r="X364" s="11" t="s">
        <v>994</v>
      </c>
      <c r="Y364" s="11" t="s">
        <v>994</v>
      </c>
      <c r="Z364" s="11" t="s">
        <v>994</v>
      </c>
      <c r="AA364" s="11" t="s">
        <v>994</v>
      </c>
      <c r="AB364" s="11" t="s">
        <v>994</v>
      </c>
      <c r="AC364" s="11" t="s">
        <v>994</v>
      </c>
      <c r="AD364" s="11" t="s">
        <v>994</v>
      </c>
    </row>
    <row r="365">
      <c r="B365" s="12" t="s">
        <v>994</v>
      </c>
      <c r="C365" s="11" t="s">
        <v>994</v>
      </c>
      <c r="D365" s="11" t="s">
        <v>994</v>
      </c>
      <c r="E365" s="12" t="s">
        <v>994</v>
      </c>
      <c r="F365" s="12" t="s">
        <v>994</v>
      </c>
      <c r="G365" s="12" t="s">
        <v>994</v>
      </c>
      <c r="H365" s="12" t="s">
        <v>994</v>
      </c>
      <c r="I365" s="12" t="s">
        <v>994</v>
      </c>
      <c r="J365" s="12" t="s">
        <v>994</v>
      </c>
      <c r="K365" s="12" t="s">
        <v>994</v>
      </c>
      <c r="L365" s="13" t="s">
        <v>994</v>
      </c>
      <c r="M365" s="11" t="s">
        <v>994</v>
      </c>
      <c r="N365" s="11" t="s">
        <v>994</v>
      </c>
      <c r="O365" s="11" t="s">
        <v>994</v>
      </c>
      <c r="P365" s="11" t="s">
        <v>994</v>
      </c>
      <c r="Q365" s="11" t="s">
        <v>994</v>
      </c>
      <c r="R365" s="11" t="s">
        <v>994</v>
      </c>
      <c r="S365" s="11" t="s">
        <v>994</v>
      </c>
      <c r="T365" s="11" t="s">
        <v>994</v>
      </c>
      <c r="U365" s="11" t="s">
        <v>994</v>
      </c>
      <c r="V365" s="11" t="s">
        <v>994</v>
      </c>
      <c r="W365" s="11" t="s">
        <v>994</v>
      </c>
      <c r="X365" s="11" t="s">
        <v>994</v>
      </c>
      <c r="Y365" s="11" t="s">
        <v>994</v>
      </c>
      <c r="Z365" s="11" t="s">
        <v>994</v>
      </c>
      <c r="AA365" s="11" t="s">
        <v>994</v>
      </c>
      <c r="AB365" s="11" t="s">
        <v>994</v>
      </c>
      <c r="AC365" s="11" t="s">
        <v>994</v>
      </c>
      <c r="AD365" s="11" t="s">
        <v>994</v>
      </c>
    </row>
    <row r="366">
      <c r="B366" s="12" t="s">
        <v>994</v>
      </c>
      <c r="C366" s="11" t="s">
        <v>994</v>
      </c>
      <c r="D366" s="11" t="s">
        <v>994</v>
      </c>
      <c r="E366" s="12" t="s">
        <v>994</v>
      </c>
      <c r="F366" s="12" t="s">
        <v>994</v>
      </c>
      <c r="G366" s="12" t="s">
        <v>994</v>
      </c>
      <c r="H366" s="12" t="s">
        <v>994</v>
      </c>
      <c r="I366" s="12" t="s">
        <v>994</v>
      </c>
      <c r="J366" s="12" t="s">
        <v>994</v>
      </c>
      <c r="K366" s="12" t="s">
        <v>994</v>
      </c>
      <c r="L366" s="13" t="s">
        <v>994</v>
      </c>
      <c r="M366" s="11" t="s">
        <v>994</v>
      </c>
      <c r="N366" s="11" t="s">
        <v>994</v>
      </c>
      <c r="O366" s="11" t="s">
        <v>994</v>
      </c>
      <c r="P366" s="11" t="s">
        <v>994</v>
      </c>
      <c r="Q366" s="11" t="s">
        <v>994</v>
      </c>
      <c r="R366" s="11" t="s">
        <v>994</v>
      </c>
      <c r="S366" s="11" t="s">
        <v>994</v>
      </c>
      <c r="T366" s="11" t="s">
        <v>994</v>
      </c>
      <c r="U366" s="11" t="s">
        <v>994</v>
      </c>
      <c r="V366" s="11" t="s">
        <v>994</v>
      </c>
      <c r="W366" s="11" t="s">
        <v>994</v>
      </c>
      <c r="X366" s="11" t="s">
        <v>994</v>
      </c>
      <c r="Y366" s="11" t="s">
        <v>994</v>
      </c>
      <c r="Z366" s="11" t="s">
        <v>994</v>
      </c>
      <c r="AA366" s="11" t="s">
        <v>994</v>
      </c>
      <c r="AB366" s="11" t="s">
        <v>994</v>
      </c>
      <c r="AC366" s="11" t="s">
        <v>994</v>
      </c>
      <c r="AD366" s="11" t="s">
        <v>994</v>
      </c>
    </row>
    <row r="367">
      <c r="B367" s="12" t="s">
        <v>994</v>
      </c>
      <c r="C367" s="11" t="s">
        <v>994</v>
      </c>
      <c r="D367" s="11" t="s">
        <v>994</v>
      </c>
      <c r="E367" s="12" t="s">
        <v>994</v>
      </c>
      <c r="F367" s="12" t="s">
        <v>994</v>
      </c>
      <c r="G367" s="12" t="s">
        <v>994</v>
      </c>
      <c r="H367" s="12" t="s">
        <v>994</v>
      </c>
      <c r="I367" s="12" t="s">
        <v>994</v>
      </c>
      <c r="J367" s="12" t="s">
        <v>994</v>
      </c>
      <c r="K367" s="12" t="s">
        <v>994</v>
      </c>
      <c r="L367" s="13" t="s">
        <v>994</v>
      </c>
      <c r="M367" s="11" t="s">
        <v>994</v>
      </c>
      <c r="N367" s="11" t="s">
        <v>994</v>
      </c>
      <c r="O367" s="11" t="s">
        <v>994</v>
      </c>
      <c r="P367" s="11" t="s">
        <v>994</v>
      </c>
      <c r="Q367" s="11" t="s">
        <v>994</v>
      </c>
      <c r="R367" s="11" t="s">
        <v>994</v>
      </c>
      <c r="S367" s="11" t="s">
        <v>994</v>
      </c>
      <c r="T367" s="11" t="s">
        <v>994</v>
      </c>
      <c r="U367" s="11" t="s">
        <v>994</v>
      </c>
      <c r="V367" s="11" t="s">
        <v>994</v>
      </c>
      <c r="W367" s="11" t="s">
        <v>994</v>
      </c>
      <c r="X367" s="11" t="s">
        <v>994</v>
      </c>
      <c r="Y367" s="11" t="s">
        <v>994</v>
      </c>
      <c r="Z367" s="11" t="s">
        <v>994</v>
      </c>
      <c r="AA367" s="11" t="s">
        <v>994</v>
      </c>
      <c r="AB367" s="11" t="s">
        <v>994</v>
      </c>
      <c r="AC367" s="11" t="s">
        <v>994</v>
      </c>
      <c r="AD367" s="11" t="s">
        <v>994</v>
      </c>
    </row>
    <row r="368">
      <c r="B368" s="12" t="s">
        <v>994</v>
      </c>
      <c r="C368" s="11" t="s">
        <v>994</v>
      </c>
      <c r="D368" s="11" t="s">
        <v>994</v>
      </c>
      <c r="E368" s="12" t="s">
        <v>994</v>
      </c>
      <c r="F368" s="12" t="s">
        <v>994</v>
      </c>
      <c r="G368" s="12" t="s">
        <v>994</v>
      </c>
      <c r="H368" s="12" t="s">
        <v>994</v>
      </c>
      <c r="I368" s="12" t="s">
        <v>994</v>
      </c>
      <c r="J368" s="12" t="s">
        <v>994</v>
      </c>
      <c r="K368" s="12" t="s">
        <v>994</v>
      </c>
      <c r="L368" s="13" t="s">
        <v>994</v>
      </c>
      <c r="M368" s="11" t="s">
        <v>994</v>
      </c>
      <c r="N368" s="11" t="s">
        <v>994</v>
      </c>
      <c r="O368" s="11" t="s">
        <v>994</v>
      </c>
      <c r="P368" s="11" t="s">
        <v>994</v>
      </c>
      <c r="Q368" s="11" t="s">
        <v>994</v>
      </c>
      <c r="R368" s="11" t="s">
        <v>994</v>
      </c>
      <c r="S368" s="11" t="s">
        <v>994</v>
      </c>
      <c r="T368" s="11" t="s">
        <v>994</v>
      </c>
      <c r="U368" s="11" t="s">
        <v>994</v>
      </c>
      <c r="V368" s="11" t="s">
        <v>994</v>
      </c>
      <c r="W368" s="11" t="s">
        <v>994</v>
      </c>
      <c r="X368" s="11" t="s">
        <v>994</v>
      </c>
      <c r="Y368" s="11" t="s">
        <v>994</v>
      </c>
      <c r="Z368" s="11" t="s">
        <v>994</v>
      </c>
      <c r="AA368" s="11" t="s">
        <v>994</v>
      </c>
      <c r="AB368" s="11" t="s">
        <v>994</v>
      </c>
      <c r="AC368" s="11" t="s">
        <v>994</v>
      </c>
      <c r="AD368" s="11" t="s">
        <v>994</v>
      </c>
    </row>
    <row r="369">
      <c r="B369" s="12" t="s">
        <v>994</v>
      </c>
      <c r="C369" s="11" t="s">
        <v>994</v>
      </c>
      <c r="D369" s="11" t="s">
        <v>994</v>
      </c>
      <c r="E369" s="12" t="s">
        <v>994</v>
      </c>
      <c r="F369" s="12" t="s">
        <v>994</v>
      </c>
      <c r="G369" s="12" t="s">
        <v>994</v>
      </c>
      <c r="H369" s="12" t="s">
        <v>994</v>
      </c>
      <c r="I369" s="12" t="s">
        <v>994</v>
      </c>
      <c r="J369" s="12" t="s">
        <v>994</v>
      </c>
      <c r="K369" s="12" t="s">
        <v>994</v>
      </c>
      <c r="L369" s="13" t="s">
        <v>994</v>
      </c>
      <c r="M369" s="11" t="s">
        <v>994</v>
      </c>
      <c r="N369" s="11" t="s">
        <v>994</v>
      </c>
      <c r="O369" s="11" t="s">
        <v>994</v>
      </c>
      <c r="P369" s="11" t="s">
        <v>994</v>
      </c>
      <c r="Q369" s="11" t="s">
        <v>994</v>
      </c>
      <c r="R369" s="11" t="s">
        <v>994</v>
      </c>
      <c r="S369" s="11" t="s">
        <v>994</v>
      </c>
      <c r="T369" s="11" t="s">
        <v>994</v>
      </c>
      <c r="U369" s="11" t="s">
        <v>994</v>
      </c>
      <c r="V369" s="11" t="s">
        <v>994</v>
      </c>
      <c r="W369" s="11" t="s">
        <v>994</v>
      </c>
      <c r="X369" s="11" t="s">
        <v>994</v>
      </c>
      <c r="Y369" s="11" t="s">
        <v>994</v>
      </c>
      <c r="Z369" s="11" t="s">
        <v>994</v>
      </c>
      <c r="AA369" s="11" t="s">
        <v>994</v>
      </c>
      <c r="AB369" s="11" t="s">
        <v>994</v>
      </c>
      <c r="AC369" s="11" t="s">
        <v>994</v>
      </c>
      <c r="AD369" s="11" t="s">
        <v>994</v>
      </c>
    </row>
    <row r="370">
      <c r="B370" s="12" t="s">
        <v>994</v>
      </c>
      <c r="C370" s="11" t="s">
        <v>994</v>
      </c>
      <c r="D370" s="11" t="s">
        <v>994</v>
      </c>
      <c r="E370" s="12" t="s">
        <v>994</v>
      </c>
      <c r="F370" s="12" t="s">
        <v>994</v>
      </c>
      <c r="G370" s="12" t="s">
        <v>994</v>
      </c>
      <c r="H370" s="12" t="s">
        <v>994</v>
      </c>
      <c r="I370" s="12" t="s">
        <v>994</v>
      </c>
      <c r="J370" s="12" t="s">
        <v>994</v>
      </c>
      <c r="K370" s="12" t="s">
        <v>994</v>
      </c>
      <c r="L370" s="13" t="s">
        <v>994</v>
      </c>
      <c r="M370" s="11" t="s">
        <v>994</v>
      </c>
      <c r="N370" s="11" t="s">
        <v>994</v>
      </c>
      <c r="O370" s="11" t="s">
        <v>994</v>
      </c>
      <c r="P370" s="11" t="s">
        <v>994</v>
      </c>
      <c r="Q370" s="11" t="s">
        <v>994</v>
      </c>
      <c r="R370" s="11" t="s">
        <v>994</v>
      </c>
      <c r="S370" s="11" t="s">
        <v>994</v>
      </c>
      <c r="T370" s="11" t="s">
        <v>994</v>
      </c>
      <c r="U370" s="11" t="s">
        <v>994</v>
      </c>
      <c r="V370" s="11" t="s">
        <v>994</v>
      </c>
      <c r="W370" s="11" t="s">
        <v>994</v>
      </c>
      <c r="X370" s="11" t="s">
        <v>994</v>
      </c>
      <c r="Y370" s="11" t="s">
        <v>994</v>
      </c>
      <c r="Z370" s="11" t="s">
        <v>994</v>
      </c>
      <c r="AA370" s="11" t="s">
        <v>994</v>
      </c>
      <c r="AB370" s="11" t="s">
        <v>994</v>
      </c>
      <c r="AC370" s="11" t="s">
        <v>994</v>
      </c>
      <c r="AD370" s="11" t="s">
        <v>994</v>
      </c>
    </row>
  </sheetData>
  <autoFilter ref="A6:AD6"/>
  <conditionalFormatting sqref="B7:B20">
    <cfRule type="expression" dxfId="121" priority="396">
      <formula>$G7:$G372="Sí"</formula>
    </cfRule>
    <cfRule type="expression" dxfId="120" priority="395">
      <formula>$P7:$P372="APOYO"</formula>
    </cfRule>
  </conditionalFormatting>
  <conditionalFormatting sqref="B21:B71">
    <cfRule type="expression" dxfId="119" priority="379">
      <formula>$P21:$P385="APOYO"</formula>
    </cfRule>
    <cfRule type="expression" dxfId="118" priority="380">
      <formula>$G21:$G385="Sí"</formula>
    </cfRule>
  </conditionalFormatting>
  <conditionalFormatting sqref="C7:AD8 C9:K9 M9:AD9 C10:AD10 C11:S11 U11:AD11 D12:K12 M12:S12 U12:W12 Y12:AD12 C12:C74">
    <cfRule type="expression" dxfId="117" priority="93">
      <formula>$P7:$P375="APOYO"</formula>
    </cfRule>
    <cfRule type="expression" dxfId="116" priority="94">
      <formula>$G7:$G375="Sí"</formula>
    </cfRule>
  </conditionalFormatting>
  <conditionalFormatting sqref="D72:D74 N72:N74">
    <cfRule type="expression" dxfId="115" priority="97">
      <formula>$G72:$G394="Sí"</formula>
    </cfRule>
    <cfRule type="expression" dxfId="114" priority="98">
      <formula>$Q72:$Q394="APOYO"</formula>
    </cfRule>
  </conditionalFormatting>
  <conditionalFormatting sqref="D51:F51 M51">
    <cfRule type="expression" dxfId="113" priority="89">
      <formula>$Q51:$Q372="APOYO"</formula>
    </cfRule>
    <cfRule type="expression" dxfId="112" priority="90">
      <formula>$G51:$G372="Sí"</formula>
    </cfRule>
  </conditionalFormatting>
  <conditionalFormatting sqref="D58:F59 I58:I59 M58:M71 E60:E71">
    <cfRule type="expression" dxfId="111" priority="95">
      <formula>$Q58:$Q378="APOYO"</formula>
    </cfRule>
    <cfRule type="expression" dxfId="110" priority="96">
      <formula>$G58:$G378="Sí"</formula>
    </cfRule>
  </conditionalFormatting>
  <conditionalFormatting sqref="D33:J33">
    <cfRule type="expression" dxfId="109" priority="82">
      <formula>$G33:$G398="Sí"</formula>
    </cfRule>
    <cfRule type="expression" dxfId="108" priority="81">
      <formula>$P33:$P398="APOYO"</formula>
    </cfRule>
  </conditionalFormatting>
  <conditionalFormatting sqref="D42:AC42 D43:J44 L43:AA44 AC43:AD44 D45:AD45 D46:J47 L46:AA47 AC46:AD47 X48:X49 J49 G49:G52 D50:F50 L50:N50 H50:J51 Q50:W51 Y50:AA51 AC50:AD51 N51 L51:L56 Q52 R53:R56 T61:T62">
    <cfRule type="expression" dxfId="107" priority="78">
      <formula>$G42:$G405="Sí"</formula>
    </cfRule>
    <cfRule type="expression" dxfId="106" priority="77">
      <formula>$P42:$P405="APOYO"</formula>
    </cfRule>
  </conditionalFormatting>
  <conditionalFormatting sqref="D13:AD14 D15:K15 M15:AA15 AC15:AD15 D16:AD21 K25 K32:K33 K40:K41">
    <cfRule type="expression" dxfId="105" priority="55">
      <formula>$P13:$P380="APOYO"</formula>
    </cfRule>
    <cfRule type="expression" dxfId="104" priority="56">
      <formula>$G13:$G380="Sí"</formula>
    </cfRule>
  </conditionalFormatting>
  <conditionalFormatting sqref="D22:AD24 D25:J25 M25:AA25 AC25:AD25 D26:AD29 D30:S30 U30:AA30 AC30:AD31 D31:AA31 D32:F32 I32:J32 L32:AD32">
    <cfRule type="expression" dxfId="103" priority="75">
      <formula>$P22:$P388="APOYO"</formula>
    </cfRule>
    <cfRule type="expression" dxfId="102" priority="76">
      <formula>$G22:$G388="Sí"</formula>
    </cfRule>
  </conditionalFormatting>
  <conditionalFormatting sqref="D39:AD39 D40:J41 L40:AA41 AC40:AD41 D48:W48 Y48:AC49 D49:F49 H49:I49 K49:N49 Q49:W49">
    <cfRule type="expression" dxfId="101" priority="80">
      <formula>$G39:$G403="Sí"</formula>
    </cfRule>
    <cfRule type="expression" dxfId="100" priority="79">
      <formula>$P39:$P403="APOYO"</formula>
    </cfRule>
  </conditionalFormatting>
  <conditionalFormatting sqref="E72:E74 M72:M74">
    <cfRule type="expression" dxfId="99" priority="84">
      <formula>$G72:$G391="Sí"</formula>
    </cfRule>
    <cfRule type="expression" dxfId="98" priority="83">
      <formula>$Q72:$Q391="APOYO"</formula>
    </cfRule>
  </conditionalFormatting>
  <conditionalFormatting sqref="F71">
    <cfRule type="expression" dxfId="97" priority="8">
      <formula>$G71:$G435="Sí"</formula>
    </cfRule>
    <cfRule type="expression" dxfId="96" priority="7">
      <formula>$P71:$P435="APOYO"</formula>
    </cfRule>
  </conditionalFormatting>
  <conditionalFormatting sqref="F60:I60 D60:D71 N60:N71">
    <cfRule type="expression" dxfId="95" priority="88">
      <formula>$Q60:$Q383="APOYO"</formula>
    </cfRule>
    <cfRule type="expression" dxfId="94" priority="87">
      <formula>$G60:$G383="Sí"</formula>
    </cfRule>
  </conditionalFormatting>
  <conditionalFormatting sqref="F72:K74 O72:P74 S72:AD74">
    <cfRule type="expression" dxfId="93" priority="67">
      <formula>$P72:$P432="APOYO"</formula>
    </cfRule>
    <cfRule type="expression" dxfId="92" priority="68">
      <formula>$G72:$G432="Sí"</formula>
    </cfRule>
  </conditionalFormatting>
  <conditionalFormatting sqref="G32:H32">
    <cfRule type="expression" dxfId="91" priority="69">
      <formula>$P32:$P397="APOYO"</formula>
    </cfRule>
    <cfRule type="expression" dxfId="90" priority="70">
      <formula>$G32:$G397="Sí"</formula>
    </cfRule>
  </conditionalFormatting>
  <conditionalFormatting sqref="G61:I61">
    <cfRule type="expression" dxfId="89" priority="66">
      <formula>$G61:$G425="Sí"</formula>
    </cfRule>
    <cfRule type="expression" dxfId="88" priority="65">
      <formula>$P61:$P425="APOYO"</formula>
    </cfRule>
  </conditionalFormatting>
  <conditionalFormatting sqref="K43">
    <cfRule type="expression" dxfId="87" priority="53">
      <formula>$P43:$P409="APOYO"</formula>
    </cfRule>
    <cfRule type="expression" dxfId="86" priority="54">
      <formula>$G43:$G409="Sí"</formula>
    </cfRule>
  </conditionalFormatting>
  <conditionalFormatting sqref="K44">
    <cfRule type="expression" dxfId="85" priority="64">
      <formula>$G44:$G409="Sí"</formula>
    </cfRule>
    <cfRule type="expression" dxfId="84" priority="63">
      <formula>$P44:$P409="APOYO"</formula>
    </cfRule>
  </conditionalFormatting>
  <conditionalFormatting sqref="K46">
    <cfRule type="expression" dxfId="83" priority="62">
      <formula>$G46:$G411="Sí"</formula>
    </cfRule>
    <cfRule type="expression" dxfId="82" priority="61">
      <formula>$P46:$P411="APOYO"</formula>
    </cfRule>
  </conditionalFormatting>
  <conditionalFormatting sqref="K47">
    <cfRule type="expression" dxfId="81" priority="52">
      <formula>$G47:$G413="Sí"</formula>
    </cfRule>
    <cfRule type="expression" dxfId="80" priority="51">
      <formula>$P47:$P413="APOYO"</formula>
    </cfRule>
  </conditionalFormatting>
  <conditionalFormatting sqref="K50">
    <cfRule type="expression" dxfId="79" priority="60">
      <formula>$G50:$G415="Sí"</formula>
    </cfRule>
    <cfRule type="expression" dxfId="78" priority="59">
      <formula>$P50:$P415="APOYO"</formula>
    </cfRule>
  </conditionalFormatting>
  <conditionalFormatting sqref="K51">
    <cfRule type="expression" dxfId="77" priority="50">
      <formula>$G51:$G417="Sí"</formula>
    </cfRule>
    <cfRule type="expression" dxfId="76" priority="49">
      <formula>$P51:$P417="APOYO"</formula>
    </cfRule>
  </conditionalFormatting>
  <conditionalFormatting sqref="K56:K57">
    <cfRule type="expression" dxfId="75" priority="57">
      <formula>$P56:$P422="APOYO"</formula>
    </cfRule>
    <cfRule type="expression" dxfId="74" priority="58">
      <formula>$G56:$G422="Sí"</formula>
    </cfRule>
  </conditionalFormatting>
  <conditionalFormatting sqref="L9">
    <cfRule type="expression" dxfId="73" priority="36">
      <formula>$G9:$G373="Sí"</formula>
    </cfRule>
    <cfRule type="expression" dxfId="72" priority="35">
      <formula>$P9:$P373="APOYO"</formula>
    </cfRule>
  </conditionalFormatting>
  <conditionalFormatting sqref="L12">
    <cfRule type="expression" dxfId="71" priority="30">
      <formula>$G12:$G376="Sí"</formula>
    </cfRule>
    <cfRule type="expression" dxfId="70" priority="29">
      <formula>$P12:$P376="APOYO"</formula>
    </cfRule>
  </conditionalFormatting>
  <conditionalFormatting sqref="L15">
    <cfRule type="expression" dxfId="69" priority="27">
      <formula>$P15:$P379="APOYO"</formula>
    </cfRule>
    <cfRule type="expression" dxfId="68" priority="28">
      <formula>$G15:$G379="Sí"</formula>
    </cfRule>
  </conditionalFormatting>
  <conditionalFormatting sqref="L25">
    <cfRule type="expression" dxfId="67" priority="32">
      <formula>$G25:$G389="Sí"</formula>
    </cfRule>
    <cfRule type="expression" dxfId="66" priority="31">
      <formula>$P25:$P389="APOYO"</formula>
    </cfRule>
  </conditionalFormatting>
  <conditionalFormatting sqref="L71">
    <cfRule type="expression" dxfId="65" priority="33">
      <formula>$P71:$P434="APOYO"</formula>
    </cfRule>
    <cfRule type="expression" dxfId="64" priority="34">
      <formula>$G71:$G434="Sí"</formula>
    </cfRule>
  </conditionalFormatting>
  <conditionalFormatting sqref="L33:AD33 D34:AD37 D38:R38 T38:AD38 AD42 AD48:AD49 K61:K62">
    <cfRule type="expression" dxfId="63" priority="91">
      <formula>$P33:$P398="APOYO"</formula>
    </cfRule>
    <cfRule type="expression" dxfId="62" priority="92">
      <formula>$G33:$G398="Sí"</formula>
    </cfRule>
  </conditionalFormatting>
  <conditionalFormatting sqref="O49:P52 X50:X51 D52:F52 H52:K52 M52:N52 R52:S52 U52:AA52 AC52:AD52 D53:K55 S53:AD55 M53:Q56 D56:J56 U56:W56 Y56:AD56 T56:T57 R57 L57:L70 R59:R71 Q61:Q71">
    <cfRule type="expression" dxfId="61" priority="73">
      <formula>$P49:$P411="APOYO"</formula>
    </cfRule>
    <cfRule type="expression" dxfId="60" priority="74">
      <formula>$G49:$G411="Sí"</formula>
    </cfRule>
  </conditionalFormatting>
  <conditionalFormatting sqref="S38">
    <cfRule type="expression" dxfId="59" priority="48">
      <formula>$G38:$G404="Sí"</formula>
    </cfRule>
    <cfRule type="expression" dxfId="58" priority="47">
      <formula>$P38:$P404="APOYO"</formula>
    </cfRule>
  </conditionalFormatting>
  <conditionalFormatting sqref="S56">
    <cfRule type="expression" dxfId="57" priority="45">
      <formula>$P56:$P421="APOYO"</formula>
    </cfRule>
    <cfRule type="expression" dxfId="56" priority="46">
      <formula>$G56:$G421="Sí"</formula>
    </cfRule>
  </conditionalFormatting>
  <conditionalFormatting sqref="S71">
    <cfRule type="expression" dxfId="55" priority="2">
      <formula>$G71:$G435="Sí"</formula>
    </cfRule>
    <cfRule type="expression" dxfId="54" priority="1">
      <formula>$P71:$P435="APOYO"</formula>
    </cfRule>
  </conditionalFormatting>
  <conditionalFormatting sqref="T11:T12">
    <cfRule type="expression" dxfId="53" priority="42">
      <formula>$G11:$G378="Sí"</formula>
    </cfRule>
    <cfRule type="expression" dxfId="52" priority="41">
      <formula>$P11:$P378="APOYO"</formula>
    </cfRule>
  </conditionalFormatting>
  <conditionalFormatting sqref="T30">
    <cfRule type="expression" dxfId="51" priority="5">
      <formula>$P30:$P394="APOYO"</formula>
    </cfRule>
    <cfRule type="expression" dxfId="50" priority="6">
      <formula>$G30:$G394="Sí"</formula>
    </cfRule>
  </conditionalFormatting>
  <conditionalFormatting sqref="T52">
    <cfRule type="expression" dxfId="49" priority="38">
      <formula>$G52:$G415="Sí"</formula>
    </cfRule>
    <cfRule type="expression" dxfId="48" priority="37">
      <formula>$P52:$P415="APOYO"</formula>
    </cfRule>
  </conditionalFormatting>
  <conditionalFormatting sqref="T65">
    <cfRule type="expression" dxfId="47" priority="71">
      <formula>$P65:$P427="APOYO"</formula>
    </cfRule>
    <cfRule type="expression" dxfId="46" priority="72">
      <formula>$G65:$G427="Sí"</formula>
    </cfRule>
  </conditionalFormatting>
  <conditionalFormatting sqref="T71">
    <cfRule type="expression" dxfId="45" priority="40">
      <formula>$G71:$G433="Sí"</formula>
    </cfRule>
    <cfRule type="expression" dxfId="44" priority="39">
      <formula>$P71:$P433="APOYO"</formula>
    </cfRule>
  </conditionalFormatting>
  <conditionalFormatting sqref="X12">
    <cfRule type="expression" dxfId="43" priority="44">
      <formula>$G12:$G379="Sí"</formula>
    </cfRule>
    <cfRule type="expression" dxfId="42" priority="43">
      <formula>$P12:$P379="APOYO"</formula>
    </cfRule>
  </conditionalFormatting>
  <conditionalFormatting sqref="X56:X57 D57:J57 M57:Q57 S57 U57:W57 Y57:AD57 N58:AD58 G58:H59 J58:K60 N59:Q59 S59:AD60 O60:Q60 J61:J62 S61:S62 U61:AA62 AC61:AD62 F61:F70 O61:P71 G62:I71 S63:AD64 J63:K71 S65 U65:AD65 S66:AD70 U71:AA71 AC71:AD71 L72:L74 Q72:R74">
    <cfRule type="expression" dxfId="41" priority="85">
      <formula>$P56:$P417="APOYO"</formula>
    </cfRule>
    <cfRule type="expression" dxfId="40" priority="86">
      <formula>$G56:$G417="Sí"</formula>
    </cfRule>
  </conditionalFormatting>
  <conditionalFormatting sqref="AB15">
    <cfRule type="expression" dxfId="39" priority="26">
      <formula>$G15:$G383="Sí"</formula>
    </cfRule>
    <cfRule type="expression" dxfId="38" priority="25">
      <formula>$P15:$P383="APOYO"</formula>
    </cfRule>
  </conditionalFormatting>
  <conditionalFormatting sqref="AB25">
    <cfRule type="expression" dxfId="37" priority="24">
      <formula>$G25:$G393="Sí"</formula>
    </cfRule>
    <cfRule type="expression" dxfId="36" priority="23">
      <formula>$P25:$P393="APOYO"</formula>
    </cfRule>
  </conditionalFormatting>
  <conditionalFormatting sqref="AB30:AB31">
    <cfRule type="expression" dxfId="35" priority="4">
      <formula>$G30:$G398="Sí"</formula>
    </cfRule>
    <cfRule type="expression" dxfId="34" priority="3">
      <formula>$P30:$P398="APOYO"</formula>
    </cfRule>
  </conditionalFormatting>
  <conditionalFormatting sqref="AB40:AB41">
    <cfRule type="expression" dxfId="33" priority="19">
      <formula>$P40:$P408="APOYO"</formula>
    </cfRule>
    <cfRule type="expression" dxfId="32" priority="20">
      <formula>$G40:$G408="Sí"</formula>
    </cfRule>
  </conditionalFormatting>
  <conditionalFormatting sqref="AB43:AB44">
    <cfRule type="expression" dxfId="31" priority="18">
      <formula>$G43:$G411="Sí"</formula>
    </cfRule>
    <cfRule type="expression" dxfId="30" priority="17">
      <formula>$P43:$P411="APOYO"</formula>
    </cfRule>
  </conditionalFormatting>
  <conditionalFormatting sqref="AB46:AB47">
    <cfRule type="expression" dxfId="29" priority="16">
      <formula>$G46:$G414="Sí"</formula>
    </cfRule>
    <cfRule type="expression" dxfId="28" priority="15">
      <formula>$P46:$P414="APOYO"</formula>
    </cfRule>
  </conditionalFormatting>
  <conditionalFormatting sqref="AB50:AB52">
    <cfRule type="expression" dxfId="27" priority="14">
      <formula>$G50:$G418="Sí"</formula>
    </cfRule>
    <cfRule type="expression" dxfId="26" priority="13">
      <formula>$P50:$P418="APOYO"</formula>
    </cfRule>
  </conditionalFormatting>
  <conditionalFormatting sqref="AB61:AB62">
    <cfRule type="expression" dxfId="25" priority="12">
      <formula>$G61:$G429="Sí"</formula>
    </cfRule>
    <cfRule type="expression" dxfId="24" priority="11">
      <formula>$P61:$P429="APOYO"</formula>
    </cfRule>
  </conditionalFormatting>
  <conditionalFormatting sqref="AB71">
    <cfRule type="expression" dxfId="23" priority="10">
      <formula>$G71:$G439="Sí"</formula>
    </cfRule>
    <cfRule type="expression" dxfId="22" priority="9">
      <formula>$P71:$P439="APOYO"</formula>
    </cfRule>
  </conditionalFormatting>
  <dataValidations count="1">
    <dataValidation type="date" showInputMessage="true" showErrorMessage="true" sqref="X61:X62 U7:Z51">
      <formula1>46023</formula1>
      <formula2>46387</formula2>
    </dataValidation>
  </dataValidations>
  <hyperlinks>
    <hyperlink ref="M7" r:id="rId1"/>
    <hyperlink ref="M22" r:id="rId2"/>
    <hyperlink ref="M23" r:id="rId3"/>
    <hyperlink ref="M24" r:id="rId4" display="https://www.linkedin.com/in/rosario-cosar-5b3538119/"/>
    <hyperlink ref="M40" r:id="rId5"/>
    <hyperlink ref="N33" r:id="rId6"/>
    <hyperlink ref="M31" r:id="rId7" display="vpomalaya@mpfn.gob.pe; victoriapomalaya@gmail.com"/>
    <hyperlink ref="M18" r:id="rId8"/>
    <hyperlink ref="M20" r:id="rId9"/>
    <hyperlink ref="M25" r:id="rId10"/>
    <hyperlink ref="M26" r:id="rId11"/>
    <hyperlink ref="M27" r:id="rId12"/>
    <hyperlink ref="M28" r:id="rId13"/>
    <hyperlink ref="M29" r:id="rId14"/>
    <hyperlink ref="M30" r:id="rId15"/>
    <hyperlink ref="M39" r:id="rId16"/>
    <hyperlink ref="M47" r:id="rId17"/>
    <hyperlink ref="N50" r:id="rId18"/>
    <hyperlink ref="N17" r:id="rId19"/>
    <hyperlink ref="N57" r:id="rId20"/>
    <hyperlink ref="M53" r:id="rId21"/>
    <hyperlink ref="M54" r:id="rId22"/>
    <hyperlink ref="M55" r:id="rId23"/>
    <hyperlink ref="M58" r:id="rId24"/>
    <hyperlink ref="M59" r:id="rId25"/>
    <hyperlink ref="M21" r:id="rId26"/>
    <hyperlink ref="M56" r:id="rId27"/>
    <hyperlink ref="M71" r:id="rId28"/>
  </hyperlinks>
  <pageMargins left="0.7" right="0.7" top="0.75" bottom="0.75" header="0.3" footer="0.3"/>
  <legacyDrawing r:id="rId29"/>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FD8F-B0F0-40D9-B353-962792A3955A}">
  <dimension ref="B1:S8"/>
  <sheetViews>
    <sheetView tabSelected="true" zoomScale="101" workbookViewId="0">
      <selection activeCell="D6" sqref="D6"/>
    </sheetView>
  </sheetViews>
  <sheetFormatPr baseColWidth="10" defaultRowHeight="14.5" x14ac:dyDescent="0.35"/>
  <cols>
    <col min="1" max="1" width="3.54296875" customWidth="true"/>
    <col min="2" max="2" width="7.26953125" customWidth="true"/>
    <col min="3" max="3" width="26.54296875" bestFit="true" customWidth="true"/>
    <col min="4" max="4" width="24.26953125" bestFit="true" customWidth="true"/>
    <col min="5" max="5" width="17.81640625" bestFit="true" customWidth="true"/>
    <col min="7" max="7" width="13.81640625" bestFit="true" customWidth="true"/>
    <col min="8" max="8" width="10.7265625" bestFit="true" customWidth="true"/>
    <col min="9" max="9" width="24.54296875" bestFit="true" customWidth="true"/>
    <col min="10" max="10" width="26.81640625" bestFit="true" customWidth="true"/>
    <col min="11" max="11" width="24" bestFit="true" customWidth="true"/>
    <col min="12" max="12" width="16.453125" bestFit="true" customWidth="true"/>
    <col min="13" max="13" width="26.54296875" bestFit="true" customWidth="true"/>
    <col min="14" max="14" width="24" bestFit="true" customWidth="true"/>
    <col min="15" max="15" width="10.1796875" bestFit="true" customWidth="true"/>
    <col min="16" max="16" width="19" bestFit="true" customWidth="true"/>
  </cols>
  <sheetData>
    <row r="1">
      <c r="B1" t="s">
        <v>994</v>
      </c>
      <c r="C1" t="s">
        <v>231</v>
      </c>
      <c r="D1" t="s">
        <v>949</v>
      </c>
      <c r="E1" t="s">
        <v>101</v>
      </c>
      <c r="F1" t="s">
        <v>950</v>
      </c>
      <c r="G1" t="s">
        <v>236</v>
      </c>
      <c r="H1" t="s">
        <v>239</v>
      </c>
      <c r="I1" t="s">
        <v>951</v>
      </c>
      <c r="J1" t="s">
        <v>241</v>
      </c>
      <c r="K1" t="s">
        <v>10</v>
      </c>
      <c r="L1" t="s">
        <v>11</v>
      </c>
      <c r="M1" t="s">
        <v>12</v>
      </c>
      <c r="N1" t="s">
        <v>952</v>
      </c>
      <c r="O1" t="s">
        <v>242</v>
      </c>
      <c r="P1" t="s">
        <v>243</v>
      </c>
      <c r="Q1" t="s">
        <v>18</v>
      </c>
      <c r="R1" t="s">
        <v>16</v>
      </c>
      <c r="S1" t="s">
        <v>17</v>
      </c>
    </row>
    <row r="2">
      <c r="B2" t="s">
        <v>49</v>
      </c>
      <c r="C2" t="s">
        <v>995</v>
      </c>
      <c r="D2" t="s">
        <v>1112</v>
      </c>
      <c r="E2" t="s">
        <v>694</v>
      </c>
      <c r="F2" t="s">
        <v>1113</v>
      </c>
      <c r="G2" t="s">
        <v>1117</v>
      </c>
      <c r="H2" t="s">
        <v>994</v>
      </c>
      <c r="I2" t="s">
        <v>126</v>
      </c>
      <c r="J2" t="s">
        <v>29</v>
      </c>
      <c r="K2" t="s">
        <v>994</v>
      </c>
      <c r="L2" t="s">
        <v>994</v>
      </c>
      <c r="M2" t="s">
        <v>994</v>
      </c>
      <c r="N2" t="s">
        <v>994</v>
      </c>
      <c r="O2" t="s">
        <v>994</v>
      </c>
      <c r="P2" t="s">
        <v>994</v>
      </c>
      <c r="Q2" t="s">
        <v>994</v>
      </c>
      <c r="R2" t="s">
        <v>994</v>
      </c>
      <c r="S2" t="s">
        <v>994</v>
      </c>
    </row>
    <row r="3">
      <c r="B3" t="s">
        <v>49</v>
      </c>
      <c r="C3" t="s">
        <v>996</v>
      </c>
      <c r="D3" t="s">
        <v>1112</v>
      </c>
      <c r="E3" t="s">
        <v>694</v>
      </c>
      <c r="F3" t="s">
        <v>1114</v>
      </c>
      <c r="G3" t="s">
        <v>1118</v>
      </c>
      <c r="H3" t="s">
        <v>994</v>
      </c>
      <c r="I3" t="s">
        <v>126</v>
      </c>
      <c r="J3" t="s">
        <v>29</v>
      </c>
      <c r="K3" t="s">
        <v>994</v>
      </c>
      <c r="L3" t="s">
        <v>994</v>
      </c>
      <c r="M3" t="s">
        <v>994</v>
      </c>
      <c r="N3" t="s">
        <v>994</v>
      </c>
      <c r="O3" t="s">
        <v>994</v>
      </c>
      <c r="P3" t="s">
        <v>994</v>
      </c>
      <c r="Q3" t="s">
        <v>994</v>
      </c>
      <c r="R3" t="s">
        <v>994</v>
      </c>
      <c r="S3" t="s">
        <v>994</v>
      </c>
    </row>
    <row r="4">
      <c r="B4" t="s">
        <v>49</v>
      </c>
      <c r="C4" t="s">
        <v>1040</v>
      </c>
      <c r="D4" t="s">
        <v>1112</v>
      </c>
      <c r="E4" t="s">
        <v>694</v>
      </c>
      <c r="F4" t="s">
        <v>1115</v>
      </c>
      <c r="G4" t="s">
        <v>1119</v>
      </c>
      <c r="H4" t="s">
        <v>994</v>
      </c>
      <c r="I4" t="s">
        <v>126</v>
      </c>
      <c r="J4" t="s">
        <v>29</v>
      </c>
      <c r="K4" t="s">
        <v>994</v>
      </c>
      <c r="L4" t="s">
        <v>994</v>
      </c>
      <c r="M4" t="s">
        <v>994</v>
      </c>
      <c r="N4" t="s">
        <v>994</v>
      </c>
      <c r="O4" t="s">
        <v>994</v>
      </c>
      <c r="P4" t="s">
        <v>994</v>
      </c>
      <c r="Q4" t="s">
        <v>994</v>
      </c>
      <c r="R4" t="s">
        <v>994</v>
      </c>
      <c r="S4" t="s">
        <v>994</v>
      </c>
    </row>
    <row r="5">
      <c r="B5" t="s">
        <v>49</v>
      </c>
      <c r="C5" t="s">
        <v>1041</v>
      </c>
      <c r="D5" t="s">
        <v>1112</v>
      </c>
      <c r="E5" t="s">
        <v>694</v>
      </c>
      <c r="F5" t="s">
        <v>1116</v>
      </c>
      <c r="G5" t="s">
        <v>1805</v>
      </c>
      <c r="H5" t="s">
        <v>994</v>
      </c>
      <c r="I5" t="s">
        <v>126</v>
      </c>
      <c r="J5" t="s">
        <v>29</v>
      </c>
      <c r="K5" t="s">
        <v>994</v>
      </c>
      <c r="L5" t="s">
        <v>994</v>
      </c>
      <c r="M5" t="s">
        <v>994</v>
      </c>
      <c r="N5" t="s">
        <v>994</v>
      </c>
      <c r="O5" t="s">
        <v>994</v>
      </c>
      <c r="P5" t="s">
        <v>994</v>
      </c>
      <c r="Q5" t="s">
        <v>994</v>
      </c>
      <c r="R5" t="s">
        <v>994</v>
      </c>
      <c r="S5" t="s">
        <v>994</v>
      </c>
    </row>
    <row r="6">
      <c r="B6" t="s">
        <v>994</v>
      </c>
      <c r="C6" t="s">
        <v>1314</v>
      </c>
      <c r="D6" t="s">
        <v>1401</v>
      </c>
      <c r="E6" t="s">
        <v>278</v>
      </c>
      <c r="F6" t="s">
        <v>994</v>
      </c>
      <c r="G6" t="s">
        <v>994</v>
      </c>
      <c r="H6" t="s">
        <v>143</v>
      </c>
      <c r="I6" t="s">
        <v>125</v>
      </c>
      <c r="J6" t="s">
        <v>1016</v>
      </c>
      <c r="K6" t="s">
        <v>994</v>
      </c>
      <c r="L6" t="s">
        <v>994</v>
      </c>
      <c r="M6" t="s">
        <v>994</v>
      </c>
      <c r="N6" t="s">
        <v>994</v>
      </c>
      <c r="O6" t="s">
        <v>994</v>
      </c>
      <c r="P6" t="s">
        <v>994</v>
      </c>
      <c r="Q6" t="s">
        <v>25</v>
      </c>
      <c r="R6" t="s">
        <v>1016</v>
      </c>
      <c r="S6" t="s">
        <v>994</v>
      </c>
    </row>
    <row r="7">
      <c r="B7" t="s">
        <v>994</v>
      </c>
      <c r="C7" t="s">
        <v>1315</v>
      </c>
      <c r="D7" t="s">
        <v>1402</v>
      </c>
      <c r="E7" t="s">
        <v>278</v>
      </c>
      <c r="F7" t="s">
        <v>994</v>
      </c>
      <c r="G7" t="s">
        <v>994</v>
      </c>
      <c r="H7" t="s">
        <v>143</v>
      </c>
      <c r="I7" t="s">
        <v>125</v>
      </c>
      <c r="J7" t="s">
        <v>1016</v>
      </c>
      <c r="K7" t="s">
        <v>994</v>
      </c>
      <c r="L7" t="s">
        <v>994</v>
      </c>
      <c r="M7" t="s">
        <v>994</v>
      </c>
      <c r="N7" t="s">
        <v>994</v>
      </c>
      <c r="O7" t="s">
        <v>994</v>
      </c>
      <c r="P7" t="s">
        <v>994</v>
      </c>
      <c r="Q7" t="s">
        <v>25</v>
      </c>
      <c r="R7" t="s">
        <v>1016</v>
      </c>
      <c r="S7" t="s">
        <v>994</v>
      </c>
    </row>
    <row r="8">
      <c r="B8" t="s">
        <v>994</v>
      </c>
      <c r="C8" t="s">
        <v>1316</v>
      </c>
      <c r="D8" t="s">
        <v>1403</v>
      </c>
      <c r="E8" t="s">
        <v>278</v>
      </c>
      <c r="F8" t="s">
        <v>994</v>
      </c>
      <c r="G8" t="s">
        <v>994</v>
      </c>
      <c r="H8" t="s">
        <v>143</v>
      </c>
      <c r="I8" t="s">
        <v>125</v>
      </c>
      <c r="J8" t="s">
        <v>1016</v>
      </c>
      <c r="K8" t="s">
        <v>994</v>
      </c>
      <c r="L8" t="s">
        <v>994</v>
      </c>
      <c r="M8" t="s">
        <v>994</v>
      </c>
      <c r="N8" t="s">
        <v>994</v>
      </c>
      <c r="O8" t="s">
        <v>994</v>
      </c>
      <c r="P8" t="s">
        <v>994</v>
      </c>
      <c r="Q8" t="s">
        <v>1411</v>
      </c>
      <c r="R8" t="s">
        <v>1016</v>
      </c>
      <c r="S8" t="s">
        <v>994</v>
      </c>
    </row>
  </sheetData>
  <phoneticPr fontId="6" type="noConversion"/>
  <conditionalFormatting sqref="B9:P17">
    <cfRule type="expression" dxfId="21" priority="27">
      <formula>$F9:$F33="APOYO"</formula>
    </cfRule>
    <cfRule type="expression" dxfId="20" priority="28">
      <formula>#REF!="Sí"</formula>
    </cfRule>
  </conditionalFormatting>
  <conditionalFormatting sqref="E6:H8">
    <cfRule type="expression" dxfId="11" priority="9">
      <formula>$G6:$G7="APOYO"</formula>
    </cfRule>
    <cfRule type="expression" dxfId="10" priority="10">
      <formula>#REF!="Sí"</formula>
    </cfRule>
  </conditionalFormatting>
  <conditionalFormatting sqref="E2:R3 B2:B8">
    <cfRule type="expression" dxfId="9" priority="11">
      <formula>$G2:$G3="APOYO"</formula>
    </cfRule>
    <cfRule type="expression" dxfId="8" priority="12">
      <formula>#REF!="Sí"</formula>
    </cfRule>
  </conditionalFormatting>
  <conditionalFormatting sqref="H4:I5">
    <cfRule type="expression" dxfId="7" priority="1">
      <formula>$G4:$G5="APOYO"</formula>
    </cfRule>
    <cfRule type="expression" dxfId="6" priority="2">
      <formula>#REF!="Sí"</formula>
    </cfRule>
  </conditionalFormatting>
  <conditionalFormatting sqref="I6:I8">
    <cfRule type="expression" dxfId="5" priority="7">
      <formula>$R6:$R321="APOYO"</formula>
    </cfRule>
    <cfRule type="expression" dxfId="4" priority="8">
      <formula>$G6:$G321="Sí"</formula>
    </cfRule>
  </conditionalFormatting>
  <conditionalFormatting sqref="J6:P8 R6:R8">
    <cfRule type="expression" dxfId="3" priority="5">
      <formula>$G6:$G7="APOYO"</formula>
    </cfRule>
    <cfRule type="expression" dxfId="2" priority="6">
      <formula>#REF!="Sí"</formula>
    </cfRule>
  </conditionalFormatting>
  <conditionalFormatting sqref="Q6:Q8">
    <cfRule type="expression" dxfId="1" priority="3">
      <formula>$R6:$R321="APOYO"</formula>
    </cfRule>
    <cfRule type="expression" dxfId="0" priority="4">
      <formula>$G6:$G321="Sí"</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51423-22B2-4D36-8B25-C1049F0DB17F}">
  <dimension ref="A1:Z22"/>
  <sheetViews>
    <sheetView zoomScale="45" zoomScaleNormal="85" workbookViewId="0">
      <pane xSplit="2" ySplit="1" topLeftCell="F2" activePane="bottomRight" state="frozen"/>
      <selection pane="topRight" activeCell="C1" sqref="C1"/>
      <selection pane="bottomLeft" activeCell="A2" sqref="A2"/>
      <selection pane="bottomRight" activeCell="M30" sqref="M30"/>
    </sheetView>
  </sheetViews>
  <sheetFormatPr baseColWidth="10" defaultColWidth="10.81640625" defaultRowHeight="12.75" customHeight="true" outlineLevelCol="1" x14ac:dyDescent="0.25"/>
  <cols>
    <col min="1" max="1" width="11" style="1" bestFit="true" customWidth="true"/>
    <col min="2" max="2" width="37" style="1" customWidth="true"/>
    <col min="3" max="3" width="32.54296875" style="1" customWidth="true"/>
    <col min="4" max="8" width="13.1796875" style="1" bestFit="true" customWidth="true"/>
    <col min="9" max="9" width="13" style="1" bestFit="true" customWidth="true"/>
    <col min="10" max="10" width="13" style="1" customWidth="true"/>
    <col min="11" max="11" width="10.453125" style="1" bestFit="true" customWidth="true"/>
    <col min="12" max="12" width="21.54296875" style="1" bestFit="true" customWidth="true"/>
    <col min="13" max="14" width="23.1796875" style="1" bestFit="true" customWidth="true"/>
    <col min="15" max="15" width="16.81640625" style="1" bestFit="true" customWidth="true"/>
    <col min="16" max="16" width="23.81640625" style="1" bestFit="true" customWidth="true"/>
    <col min="17" max="17" width="21.54296875" style="1" bestFit="true" customWidth="true"/>
    <col min="18" max="18" width="15.54296875" style="1" customWidth="true"/>
    <col min="19" max="20" width="17" style="1" bestFit="true" customWidth="true"/>
    <col min="21" max="22" width="23.81640625" style="1" customWidth="true"/>
    <col min="23" max="24" width="23.81640625" style="1" customWidth="true" outlineLevel="1"/>
    <col min="25" max="25" width="30.81640625" style="1" customWidth="true"/>
    <col min="26" max="26" width="24.1796875" style="1" customWidth="true"/>
    <col min="27" max="16384" width="10.81640625" style="1"/>
  </cols>
  <sheetData>
    <row r="1" ht="12.75" customHeight="true" x14ac:dyDescent="0.3">
      <c r="A1" s="3" t="s">
        <v>0</v>
      </c>
      <c r="B1" s="3" t="s">
        <v>1</v>
      </c>
      <c r="C1" s="3" t="s">
        <v>2</v>
      </c>
      <c r="D1" s="3" t="s">
        <v>3</v>
      </c>
      <c r="E1" s="3" t="s">
        <v>4</v>
      </c>
      <c r="F1" s="3" t="s">
        <v>5</v>
      </c>
      <c r="G1" s="3" t="s">
        <v>6</v>
      </c>
      <c r="H1" s="3" t="s">
        <v>7</v>
      </c>
      <c r="I1" s="3" t="s">
        <v>8</v>
      </c>
      <c r="J1" s="3" t="s">
        <v>141</v>
      </c>
      <c r="K1" s="3" t="s">
        <v>9</v>
      </c>
      <c r="L1" s="3" t="s">
        <v>10</v>
      </c>
      <c r="M1" s="3" t="s">
        <v>11</v>
      </c>
      <c r="N1" s="3" t="s">
        <v>12</v>
      </c>
      <c r="O1" s="3" t="s">
        <v>13</v>
      </c>
      <c r="P1" s="3" t="s">
        <v>14</v>
      </c>
      <c r="Q1" s="3" t="s">
        <v>15</v>
      </c>
      <c r="R1" s="3" t="s">
        <v>16</v>
      </c>
      <c r="S1" s="3" t="s">
        <v>17</v>
      </c>
      <c r="T1" s="3" t="s">
        <v>127</v>
      </c>
      <c r="U1" s="7" t="s">
        <v>116</v>
      </c>
      <c r="V1" s="7" t="s">
        <v>117</v>
      </c>
      <c r="W1" s="3"/>
      <c r="X1" s="3"/>
      <c r="Y1" s="3" t="s">
        <v>120</v>
      </c>
      <c r="Z1" s="3" t="s">
        <v>112</v>
      </c>
    </row>
    <row r="2" ht="12.75" customHeight="true" x14ac:dyDescent="0.35">
      <c r="A2" s="1">
        <v>1</v>
      </c>
      <c r="B2" s="1" t="s">
        <v>142</v>
      </c>
      <c r="C2" s="1" t="s">
        <v>20</v>
      </c>
      <c r="D2" s="8" t="s">
        <v>113</v>
      </c>
      <c r="G2" s="1" t="s">
        <v>21</v>
      </c>
      <c r="H2" s="1" t="s">
        <v>22</v>
      </c>
      <c r="I2" s="1" t="s">
        <v>23</v>
      </c>
      <c r="J2" s="1" t="s">
        <v>143</v>
      </c>
      <c r="K2" s="1" t="s">
        <v>24</v>
      </c>
      <c r="L2" s="2">
        <v>45943</v>
      </c>
      <c r="M2" s="2">
        <v>45945</v>
      </c>
      <c r="N2" s="2">
        <v>45946</v>
      </c>
      <c r="O2" s="1" t="s">
        <v>132</v>
      </c>
      <c r="P2" s="2"/>
      <c r="Q2" s="2"/>
      <c r="R2" s="1" t="s">
        <v>123</v>
      </c>
      <c r="T2" s="1" t="s">
        <v>125</v>
      </c>
      <c r="U2" s="1" t="s">
        <v>25</v>
      </c>
      <c r="Y2" s="1" t="s">
        <v>144</v>
      </c>
    </row>
    <row r="3" ht="12.75" customHeight="true" x14ac:dyDescent="0.25">
      <c r="A3" s="1">
        <f>A2+1</f>
        <v>2</v>
      </c>
      <c r="B3" s="9" t="s">
        <v>26</v>
      </c>
      <c r="C3" s="1" t="s">
        <v>20</v>
      </c>
      <c r="D3" s="5" t="s">
        <v>27</v>
      </c>
      <c r="G3" s="1" t="s">
        <v>21</v>
      </c>
      <c r="H3" s="1" t="s">
        <v>22</v>
      </c>
      <c r="I3" s="1" t="s">
        <v>49</v>
      </c>
      <c r="J3" s="1" t="s">
        <v>143</v>
      </c>
      <c r="K3" s="1" t="s">
        <v>24</v>
      </c>
      <c r="L3" s="2">
        <v>45943</v>
      </c>
      <c r="M3" s="2">
        <v>45946</v>
      </c>
      <c r="N3" s="2">
        <v>45954</v>
      </c>
      <c r="O3" s="1" t="s">
        <v>132</v>
      </c>
      <c r="R3" s="1" t="s">
        <v>123</v>
      </c>
      <c r="T3" s="1" t="s">
        <v>125</v>
      </c>
      <c r="U3" s="1" t="s">
        <v>30</v>
      </c>
      <c r="Y3" s="1" t="s">
        <v>145</v>
      </c>
    </row>
    <row r="4" ht="12.75" customHeight="true" x14ac:dyDescent="0.25">
      <c r="A4" s="1">
        <f t="shared" ref="A4:A22" si="0">A3+1</f>
        <v>3</v>
      </c>
      <c r="B4" s="9" t="s">
        <v>31</v>
      </c>
      <c r="C4" s="1" t="s">
        <v>20</v>
      </c>
      <c r="D4" s="5" t="s">
        <v>32</v>
      </c>
      <c r="G4" s="1" t="s">
        <v>21</v>
      </c>
      <c r="H4" s="1" t="s">
        <v>22</v>
      </c>
      <c r="I4" s="1" t="s">
        <v>49</v>
      </c>
      <c r="J4" s="1" t="s">
        <v>143</v>
      </c>
      <c r="K4" s="1" t="s">
        <v>24</v>
      </c>
      <c r="L4" s="2">
        <v>45943</v>
      </c>
      <c r="M4" s="2">
        <v>45946</v>
      </c>
      <c r="N4" s="2">
        <v>45950</v>
      </c>
      <c r="O4" s="1" t="s">
        <v>38</v>
      </c>
      <c r="R4" s="1" t="s">
        <v>123</v>
      </c>
      <c r="T4" s="1" t="s">
        <v>125</v>
      </c>
      <c r="U4" s="1" t="s">
        <v>33</v>
      </c>
      <c r="Y4" s="1" t="s">
        <v>146</v>
      </c>
    </row>
    <row r="5" ht="12.75" customHeight="true" x14ac:dyDescent="0.25">
      <c r="A5" s="1">
        <f t="shared" si="0"/>
        <v>4</v>
      </c>
      <c r="B5" s="9" t="s">
        <v>34</v>
      </c>
      <c r="C5" s="1" t="s">
        <v>35</v>
      </c>
      <c r="D5" s="5" t="s">
        <v>36</v>
      </c>
      <c r="G5" s="1" t="s">
        <v>21</v>
      </c>
      <c r="H5" s="1" t="s">
        <v>37</v>
      </c>
      <c r="I5" s="1" t="s">
        <v>23</v>
      </c>
      <c r="J5" s="1" t="s">
        <v>143</v>
      </c>
      <c r="K5" s="1" t="s">
        <v>24</v>
      </c>
      <c r="L5" s="2">
        <v>45943</v>
      </c>
      <c r="M5" s="2">
        <v>45945</v>
      </c>
      <c r="N5" s="2">
        <v>45946</v>
      </c>
      <c r="O5" s="1" t="s">
        <v>38</v>
      </c>
      <c r="R5" s="1" t="s">
        <v>123</v>
      </c>
      <c r="T5" s="1" t="s">
        <v>125</v>
      </c>
      <c r="U5" s="1" t="s">
        <v>25</v>
      </c>
      <c r="Y5" s="1" t="s">
        <v>147</v>
      </c>
    </row>
    <row r="6" ht="12.75" customHeight="true" x14ac:dyDescent="0.25">
      <c r="A6" s="1">
        <f>A5+1</f>
        <v>5</v>
      </c>
      <c r="B6" s="1" t="s">
        <v>39</v>
      </c>
      <c r="C6" s="1" t="s">
        <v>35</v>
      </c>
      <c r="D6" s="5" t="s">
        <v>40</v>
      </c>
      <c r="G6" s="1" t="s">
        <v>21</v>
      </c>
      <c r="H6" s="1" t="s">
        <v>37</v>
      </c>
      <c r="I6" s="1" t="s">
        <v>41</v>
      </c>
      <c r="J6" s="1" t="s">
        <v>143</v>
      </c>
      <c r="K6" s="1" t="s">
        <v>24</v>
      </c>
      <c r="L6" s="2">
        <v>45943</v>
      </c>
      <c r="M6" s="2">
        <v>45945</v>
      </c>
      <c r="N6" s="2">
        <v>45946</v>
      </c>
      <c r="O6" s="1" t="s">
        <v>132</v>
      </c>
      <c r="R6" s="1" t="s">
        <v>123</v>
      </c>
      <c r="T6" s="1" t="s">
        <v>125</v>
      </c>
      <c r="U6" s="1" t="s">
        <v>30</v>
      </c>
      <c r="V6" s="1" t="s">
        <v>30</v>
      </c>
      <c r="Y6" s="1" t="s">
        <v>148</v>
      </c>
    </row>
    <row r="7" ht="12.75" customHeight="true" x14ac:dyDescent="0.25">
      <c r="A7" s="1">
        <f>A6+1</f>
        <v>6</v>
      </c>
      <c r="B7" s="1" t="s">
        <v>42</v>
      </c>
      <c r="C7" s="1" t="s">
        <v>35</v>
      </c>
      <c r="D7" s="5" t="s">
        <v>43</v>
      </c>
      <c r="G7" s="1" t="s">
        <v>21</v>
      </c>
      <c r="H7" s="1" t="s">
        <v>37</v>
      </c>
      <c r="I7" s="1" t="s">
        <v>44</v>
      </c>
      <c r="J7" s="1" t="s">
        <v>143</v>
      </c>
      <c r="K7" s="1" t="s">
        <v>24</v>
      </c>
      <c r="L7" s="2">
        <v>45943</v>
      </c>
      <c r="M7" s="2">
        <v>45946</v>
      </c>
      <c r="O7" s="1" t="s">
        <v>149</v>
      </c>
      <c r="P7" s="2">
        <v>45946</v>
      </c>
      <c r="Q7" s="2">
        <v>45946</v>
      </c>
      <c r="R7" s="1" t="s">
        <v>121</v>
      </c>
      <c r="S7" s="1">
        <v>14</v>
      </c>
      <c r="T7" s="1" t="s">
        <v>125</v>
      </c>
      <c r="U7" s="1" t="s">
        <v>33</v>
      </c>
      <c r="V7" s="1" t="s">
        <v>33</v>
      </c>
      <c r="Y7" s="1" t="s">
        <v>45</v>
      </c>
    </row>
    <row r="8" ht="12.75" customHeight="true" x14ac:dyDescent="0.25">
      <c r="A8" s="1">
        <f t="shared" si="0"/>
        <v>7</v>
      </c>
      <c r="B8" s="1" t="s">
        <v>46</v>
      </c>
      <c r="C8" s="1" t="s">
        <v>47</v>
      </c>
      <c r="D8" s="5"/>
      <c r="E8" s="5" t="s">
        <v>48</v>
      </c>
      <c r="G8" s="1" t="s">
        <v>21</v>
      </c>
      <c r="H8" s="1" t="s">
        <v>37</v>
      </c>
      <c r="I8" s="1" t="s">
        <v>49</v>
      </c>
      <c r="J8" s="1" t="s">
        <v>150</v>
      </c>
      <c r="K8" s="1" t="s">
        <v>24</v>
      </c>
      <c r="L8" s="2">
        <v>45943</v>
      </c>
      <c r="O8" s="1" t="s">
        <v>38</v>
      </c>
      <c r="R8" s="1" t="s">
        <v>123</v>
      </c>
      <c r="T8" s="1" t="s">
        <v>125</v>
      </c>
      <c r="U8" s="1" t="s">
        <v>25</v>
      </c>
      <c r="Y8" s="1" t="s">
        <v>115</v>
      </c>
    </row>
    <row r="9" ht="12.75" customHeight="true" x14ac:dyDescent="0.25">
      <c r="A9" s="1">
        <f t="shared" si="0"/>
        <v>8</v>
      </c>
      <c r="B9" s="1" t="s">
        <v>50</v>
      </c>
      <c r="C9" s="1" t="s">
        <v>51</v>
      </c>
      <c r="D9" s="5" t="s">
        <v>52</v>
      </c>
      <c r="G9" s="1" t="s">
        <v>21</v>
      </c>
      <c r="H9" s="1" t="s">
        <v>37</v>
      </c>
      <c r="I9" s="1" t="s">
        <v>49</v>
      </c>
      <c r="J9" s="1" t="s">
        <v>143</v>
      </c>
      <c r="K9" s="1" t="s">
        <v>24</v>
      </c>
      <c r="L9" s="2">
        <v>45943</v>
      </c>
      <c r="O9" s="1" t="s">
        <v>38</v>
      </c>
      <c r="R9" s="1" t="s">
        <v>123</v>
      </c>
      <c r="T9" s="1" t="s">
        <v>125</v>
      </c>
      <c r="U9" s="1" t="s">
        <v>30</v>
      </c>
      <c r="Y9" s="1" t="s">
        <v>151</v>
      </c>
    </row>
    <row r="10" ht="12.75" customHeight="true" x14ac:dyDescent="0.25">
      <c r="A10" s="1">
        <f t="shared" si="0"/>
        <v>9</v>
      </c>
      <c r="B10" s="1" t="s">
        <v>53</v>
      </c>
      <c r="C10" s="1" t="s">
        <v>54</v>
      </c>
      <c r="D10" s="5" t="s">
        <v>55</v>
      </c>
      <c r="G10" s="1" t="s">
        <v>21</v>
      </c>
      <c r="H10" s="1" t="s">
        <v>37</v>
      </c>
      <c r="I10" s="1" t="s">
        <v>56</v>
      </c>
      <c r="J10" s="1" t="s">
        <v>143</v>
      </c>
      <c r="K10" s="1" t="s">
        <v>24</v>
      </c>
      <c r="L10" s="2">
        <v>45943</v>
      </c>
      <c r="M10" s="2">
        <v>45946</v>
      </c>
      <c r="N10" s="2">
        <v>45951</v>
      </c>
      <c r="O10" s="1" t="s">
        <v>149</v>
      </c>
      <c r="P10" s="2">
        <v>45951</v>
      </c>
      <c r="Q10" s="2">
        <v>45951</v>
      </c>
      <c r="R10" s="1" t="s">
        <v>121</v>
      </c>
      <c r="T10" s="1" t="s">
        <v>125</v>
      </c>
      <c r="U10" s="1" t="s">
        <v>33</v>
      </c>
      <c r="V10" s="1" t="s">
        <v>33</v>
      </c>
      <c r="Y10" s="1" t="s">
        <v>114</v>
      </c>
    </row>
    <row r="11" ht="12.75" customHeight="true" x14ac:dyDescent="0.25">
      <c r="A11" s="1">
        <f t="shared" si="0"/>
        <v>10</v>
      </c>
      <c r="B11" s="1" t="s">
        <v>57</v>
      </c>
      <c r="C11" s="1" t="s">
        <v>58</v>
      </c>
      <c r="D11" s="5" t="s">
        <v>59</v>
      </c>
      <c r="G11" s="1" t="s">
        <v>21</v>
      </c>
      <c r="H11" s="1" t="s">
        <v>60</v>
      </c>
      <c r="I11" s="1" t="s">
        <v>61</v>
      </c>
      <c r="J11" s="1" t="s">
        <v>143</v>
      </c>
      <c r="K11" s="1" t="s">
        <v>24</v>
      </c>
      <c r="L11" s="2">
        <v>45943</v>
      </c>
      <c r="M11" s="2">
        <v>45945</v>
      </c>
      <c r="N11" s="2">
        <v>45946</v>
      </c>
      <c r="O11" s="1" t="s">
        <v>149</v>
      </c>
      <c r="P11" s="2">
        <v>45952</v>
      </c>
      <c r="Q11" s="2">
        <v>45952</v>
      </c>
      <c r="R11" s="1" t="s">
        <v>121</v>
      </c>
      <c r="T11" s="1" t="s">
        <v>125</v>
      </c>
      <c r="U11" s="1" t="s">
        <v>25</v>
      </c>
      <c r="V11" s="1" t="s">
        <v>30</v>
      </c>
      <c r="Y11" s="1" t="s">
        <v>152</v>
      </c>
    </row>
    <row r="12" ht="12.75" customHeight="true" x14ac:dyDescent="0.25">
      <c r="A12" s="1">
        <f t="shared" si="0"/>
        <v>11</v>
      </c>
      <c r="B12" s="1" t="s">
        <v>62</v>
      </c>
      <c r="C12" s="1" t="s">
        <v>58</v>
      </c>
      <c r="D12" s="5"/>
      <c r="E12" s="10">
        <v>941526985</v>
      </c>
      <c r="G12" s="1" t="s">
        <v>21</v>
      </c>
      <c r="H12" s="1" t="s">
        <v>60</v>
      </c>
      <c r="I12" s="1" t="s">
        <v>44</v>
      </c>
      <c r="J12" s="1" t="s">
        <v>150</v>
      </c>
      <c r="K12" s="1" t="s">
        <v>24</v>
      </c>
      <c r="L12" s="2">
        <v>45943</v>
      </c>
      <c r="O12" s="1" t="s">
        <v>38</v>
      </c>
      <c r="R12" s="1" t="s">
        <v>123</v>
      </c>
      <c r="T12" s="1" t="s">
        <v>125</v>
      </c>
      <c r="U12" s="1" t="s">
        <v>30</v>
      </c>
      <c r="Y12" s="1" t="s">
        <v>115</v>
      </c>
    </row>
    <row r="13" ht="12.75" customHeight="true" x14ac:dyDescent="0.25">
      <c r="A13" s="1">
        <f t="shared" si="0"/>
        <v>12</v>
      </c>
      <c r="B13" s="1" t="s">
        <v>63</v>
      </c>
      <c r="C13" s="1" t="s">
        <v>58</v>
      </c>
      <c r="D13" s="5" t="s">
        <v>64</v>
      </c>
      <c r="G13" s="1" t="s">
        <v>21</v>
      </c>
      <c r="H13" s="1" t="s">
        <v>60</v>
      </c>
      <c r="I13" s="1" t="s">
        <v>65</v>
      </c>
      <c r="J13" s="1" t="s">
        <v>143</v>
      </c>
      <c r="K13" s="1" t="s">
        <v>24</v>
      </c>
      <c r="L13" s="2">
        <v>45943</v>
      </c>
      <c r="M13" s="2">
        <v>45946</v>
      </c>
      <c r="N13" s="2">
        <v>45947</v>
      </c>
      <c r="O13" s="1" t="s">
        <v>38</v>
      </c>
      <c r="R13" s="1" t="s">
        <v>123</v>
      </c>
      <c r="T13" s="1" t="s">
        <v>125</v>
      </c>
      <c r="U13" s="1" t="s">
        <v>33</v>
      </c>
      <c r="Y13" s="1" t="s">
        <v>153</v>
      </c>
    </row>
    <row r="14" ht="12.75" customHeight="true" x14ac:dyDescent="0.35">
      <c r="A14" s="1">
        <f t="shared" si="0"/>
        <v>13</v>
      </c>
      <c r="B14" s="1" t="s">
        <v>154</v>
      </c>
      <c r="C14" s="1" t="s">
        <v>20</v>
      </c>
      <c r="D14" s="8" t="s">
        <v>45</v>
      </c>
      <c r="E14" s="1" t="s">
        <v>45</v>
      </c>
      <c r="G14" s="1" t="s">
        <v>21</v>
      </c>
      <c r="H14" s="1" t="s">
        <v>22</v>
      </c>
      <c r="I14" s="1" t="s">
        <v>23</v>
      </c>
      <c r="J14" s="1" t="s">
        <v>143</v>
      </c>
      <c r="K14" s="1" t="s">
        <v>24</v>
      </c>
      <c r="L14" s="2"/>
      <c r="M14" s="2"/>
      <c r="N14" s="2"/>
      <c r="O14" s="1" t="s">
        <v>149</v>
      </c>
      <c r="P14" s="2">
        <v>45964</v>
      </c>
      <c r="Q14" s="2">
        <v>45964</v>
      </c>
      <c r="R14" s="1" t="s">
        <v>121</v>
      </c>
      <c r="S14" s="1">
        <v>60</v>
      </c>
      <c r="T14" s="1" t="s">
        <v>126</v>
      </c>
      <c r="U14" s="1" t="s">
        <v>30</v>
      </c>
      <c r="V14" s="1" t="s">
        <v>30</v>
      </c>
      <c r="Y14" s="1" t="s">
        <v>155</v>
      </c>
    </row>
    <row r="15" ht="12.75" customHeight="true" x14ac:dyDescent="0.25">
      <c r="A15" s="1">
        <f t="shared" si="0"/>
        <v>14</v>
      </c>
      <c r="B15" s="9" t="s">
        <v>156</v>
      </c>
      <c r="C15" s="1" t="s">
        <v>35</v>
      </c>
      <c r="D15" s="5"/>
      <c r="G15" s="1" t="s">
        <v>21</v>
      </c>
      <c r="H15" s="1" t="s">
        <v>37</v>
      </c>
      <c r="I15" s="1" t="s">
        <v>23</v>
      </c>
      <c r="J15" s="1" t="s">
        <v>143</v>
      </c>
      <c r="K15" s="1" t="s">
        <v>24</v>
      </c>
      <c r="L15" s="2">
        <v>45950</v>
      </c>
      <c r="M15" s="2">
        <v>45960</v>
      </c>
      <c r="N15" s="2">
        <v>45964</v>
      </c>
      <c r="O15" s="1" t="s">
        <v>149</v>
      </c>
      <c r="P15" s="2">
        <v>45972</v>
      </c>
      <c r="R15" s="1" t="s">
        <v>121</v>
      </c>
      <c r="T15" s="1" t="s">
        <v>126</v>
      </c>
      <c r="U15" s="1" t="s">
        <v>25</v>
      </c>
      <c r="V15" s="1" t="s">
        <v>30</v>
      </c>
    </row>
    <row r="16" ht="12.75" customHeight="true" x14ac:dyDescent="0.25">
      <c r="A16" s="1">
        <f t="shared" si="0"/>
        <v>15</v>
      </c>
      <c r="B16" s="1" t="s">
        <v>157</v>
      </c>
      <c r="C16" s="1" t="s">
        <v>35</v>
      </c>
      <c r="D16" s="5"/>
      <c r="G16" s="1" t="s">
        <v>21</v>
      </c>
      <c r="H16" s="1" t="s">
        <v>37</v>
      </c>
      <c r="I16" s="1" t="s">
        <v>41</v>
      </c>
      <c r="J16" s="1" t="s">
        <v>143</v>
      </c>
      <c r="K16" s="1" t="s">
        <v>24</v>
      </c>
      <c r="L16" s="2">
        <v>45946</v>
      </c>
      <c r="M16" s="2"/>
      <c r="N16" s="2"/>
      <c r="O16" s="1" t="s">
        <v>149</v>
      </c>
      <c r="P16" s="2">
        <v>45953</v>
      </c>
      <c r="Q16" s="2">
        <v>45953</v>
      </c>
      <c r="R16" s="1" t="s">
        <v>121</v>
      </c>
      <c r="S16" s="1">
        <v>60</v>
      </c>
      <c r="T16" s="1" t="s">
        <v>126</v>
      </c>
      <c r="U16" s="1" t="s">
        <v>30</v>
      </c>
      <c r="V16" s="1" t="s">
        <v>30</v>
      </c>
    </row>
    <row r="17" ht="12.75" customHeight="true" x14ac:dyDescent="0.25">
      <c r="A17" s="1">
        <f>A16+1</f>
        <v>16</v>
      </c>
      <c r="B17" s="1" t="s">
        <v>158</v>
      </c>
      <c r="C17" s="1" t="s">
        <v>159</v>
      </c>
      <c r="D17" s="1" t="s">
        <v>159</v>
      </c>
      <c r="E17" s="1" t="s">
        <v>159</v>
      </c>
      <c r="F17" s="1" t="s">
        <v>159</v>
      </c>
      <c r="G17" s="1" t="s">
        <v>160</v>
      </c>
      <c r="H17" s="1" t="s">
        <v>161</v>
      </c>
      <c r="I17" s="1" t="s">
        <v>109</v>
      </c>
      <c r="J17" s="1" t="s">
        <v>150</v>
      </c>
      <c r="K17" s="1" t="s">
        <v>24</v>
      </c>
      <c r="O17" s="1" t="s">
        <v>149</v>
      </c>
      <c r="P17" s="2">
        <v>45951</v>
      </c>
      <c r="Q17" s="2">
        <v>45951</v>
      </c>
      <c r="R17" s="1" t="s">
        <v>121</v>
      </c>
      <c r="T17" s="1" t="s">
        <v>159</v>
      </c>
      <c r="U17" s="1" t="s">
        <v>25</v>
      </c>
      <c r="V17" s="1" t="s">
        <v>25</v>
      </c>
    </row>
    <row r="18" ht="12.75" customHeight="true" x14ac:dyDescent="0.25">
      <c r="A18" s="1">
        <f t="shared" si="0"/>
        <v>17</v>
      </c>
      <c r="B18" s="1" t="s">
        <v>162</v>
      </c>
      <c r="C18" s="1" t="s">
        <v>159</v>
      </c>
      <c r="D18" s="1" t="s">
        <v>159</v>
      </c>
      <c r="E18" s="1" t="s">
        <v>159</v>
      </c>
      <c r="F18" s="1" t="s">
        <v>159</v>
      </c>
      <c r="G18" s="1" t="s">
        <v>160</v>
      </c>
      <c r="H18" s="1" t="s">
        <v>161</v>
      </c>
      <c r="I18" s="1" t="s">
        <v>109</v>
      </c>
      <c r="J18" s="1" t="s">
        <v>150</v>
      </c>
      <c r="K18" s="1" t="s">
        <v>24</v>
      </c>
      <c r="O18" s="1" t="s">
        <v>149</v>
      </c>
      <c r="P18" s="2">
        <v>45951</v>
      </c>
      <c r="Q18" s="2">
        <v>45951</v>
      </c>
      <c r="R18" s="1" t="s">
        <v>121</v>
      </c>
      <c r="T18" s="1" t="s">
        <v>159</v>
      </c>
      <c r="U18" s="1" t="s">
        <v>25</v>
      </c>
      <c r="V18" s="1" t="s">
        <v>25</v>
      </c>
    </row>
    <row r="19" ht="12.75" customHeight="true" x14ac:dyDescent="0.25">
      <c r="A19" s="1">
        <f t="shared" si="0"/>
        <v>18</v>
      </c>
      <c r="B19" s="1" t="s">
        <v>163</v>
      </c>
      <c r="C19" s="1" t="s">
        <v>159</v>
      </c>
      <c r="D19" s="1" t="s">
        <v>159</v>
      </c>
      <c r="E19" s="1" t="s">
        <v>159</v>
      </c>
      <c r="F19" s="1" t="s">
        <v>159</v>
      </c>
      <c r="G19" s="1" t="s">
        <v>160</v>
      </c>
      <c r="H19" s="1" t="s">
        <v>161</v>
      </c>
      <c r="I19" s="1" t="s">
        <v>61</v>
      </c>
      <c r="J19" s="1" t="s">
        <v>150</v>
      </c>
      <c r="K19" s="1" t="s">
        <v>24</v>
      </c>
      <c r="O19" s="1" t="s">
        <v>149</v>
      </c>
      <c r="P19" s="2">
        <v>45958</v>
      </c>
      <c r="Q19" s="2">
        <v>45958</v>
      </c>
      <c r="R19" s="1" t="s">
        <v>121</v>
      </c>
      <c r="T19" s="1" t="s">
        <v>159</v>
      </c>
      <c r="U19" s="1" t="s">
        <v>25</v>
      </c>
      <c r="V19" s="1" t="s">
        <v>25</v>
      </c>
    </row>
    <row r="20" ht="12.75" customHeight="true" x14ac:dyDescent="0.25">
      <c r="A20" s="1">
        <f t="shared" si="0"/>
        <v>19</v>
      </c>
      <c r="B20" s="1" t="s">
        <v>164</v>
      </c>
      <c r="C20" s="1" t="s">
        <v>159</v>
      </c>
      <c r="D20" s="1" t="s">
        <v>159</v>
      </c>
      <c r="E20" s="1" t="s">
        <v>159</v>
      </c>
      <c r="F20" s="1" t="s">
        <v>159</v>
      </c>
      <c r="G20" s="1" t="s">
        <v>160</v>
      </c>
      <c r="H20" s="1" t="s">
        <v>161</v>
      </c>
      <c r="I20" s="1" t="s">
        <v>61</v>
      </c>
      <c r="J20" s="1" t="s">
        <v>150</v>
      </c>
      <c r="K20" s="1" t="s">
        <v>24</v>
      </c>
      <c r="O20" s="1" t="s">
        <v>149</v>
      </c>
      <c r="P20" s="2">
        <v>45958</v>
      </c>
      <c r="Q20" s="2">
        <v>45958</v>
      </c>
      <c r="R20" s="1" t="s">
        <v>121</v>
      </c>
      <c r="T20" s="1" t="s">
        <v>159</v>
      </c>
      <c r="U20" s="1" t="s">
        <v>25</v>
      </c>
      <c r="V20" s="1" t="s">
        <v>25</v>
      </c>
    </row>
    <row r="21" ht="12.75" customHeight="true" x14ac:dyDescent="0.25">
      <c r="A21" s="1">
        <f t="shared" si="0"/>
        <v>20</v>
      </c>
      <c r="B21" s="1" t="s">
        <v>165</v>
      </c>
      <c r="C21" s="1" t="s">
        <v>159</v>
      </c>
      <c r="D21" s="1" t="s">
        <v>159</v>
      </c>
      <c r="E21" s="1" t="s">
        <v>159</v>
      </c>
      <c r="F21" s="1" t="s">
        <v>159</v>
      </c>
      <c r="G21" s="1" t="s">
        <v>160</v>
      </c>
      <c r="H21" s="1" t="s">
        <v>161</v>
      </c>
      <c r="I21" s="1" t="s">
        <v>61</v>
      </c>
      <c r="J21" s="1" t="s">
        <v>150</v>
      </c>
      <c r="K21" s="1" t="s">
        <v>24</v>
      </c>
      <c r="O21" s="1" t="s">
        <v>149</v>
      </c>
      <c r="P21" s="2">
        <v>45958</v>
      </c>
      <c r="Q21" s="2">
        <v>45958</v>
      </c>
      <c r="R21" s="1" t="s">
        <v>121</v>
      </c>
      <c r="T21" s="1" t="s">
        <v>159</v>
      </c>
      <c r="U21" s="1" t="s">
        <v>25</v>
      </c>
      <c r="V21" s="1" t="s">
        <v>25</v>
      </c>
    </row>
    <row r="22" ht="12.75" customHeight="true" x14ac:dyDescent="0.25">
      <c r="A22" s="1">
        <f t="shared" si="0"/>
        <v>21</v>
      </c>
      <c r="B22" s="1" t="s">
        <v>166</v>
      </c>
      <c r="C22" s="1" t="s">
        <v>159</v>
      </c>
      <c r="D22" s="1" t="s">
        <v>159</v>
      </c>
      <c r="E22" s="1" t="s">
        <v>159</v>
      </c>
      <c r="F22" s="1" t="s">
        <v>159</v>
      </c>
      <c r="G22" s="1" t="s">
        <v>160</v>
      </c>
      <c r="H22" s="1" t="s">
        <v>167</v>
      </c>
      <c r="I22" s="1" t="s">
        <v>109</v>
      </c>
      <c r="J22" s="1" t="s">
        <v>150</v>
      </c>
      <c r="K22" s="1" t="s">
        <v>24</v>
      </c>
      <c r="O22" s="1" t="s">
        <v>149</v>
      </c>
      <c r="P22" s="2">
        <v>45951</v>
      </c>
      <c r="Q22" s="2">
        <v>45951</v>
      </c>
      <c r="R22" s="1" t="s">
        <v>121</v>
      </c>
      <c r="T22" s="1" t="s">
        <v>159</v>
      </c>
      <c r="U22" s="1" t="s">
        <v>25</v>
      </c>
      <c r="V22" s="1" t="s">
        <v>25</v>
      </c>
    </row>
  </sheetData>
  <hyperlinks>
    <hyperlink ref="D2" r:id="rId1"/>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CF37-8E14-42C6-99A2-A44FE9B43834}">
  <dimension ref="A1:T31"/>
  <sheetViews>
    <sheetView zoomScale="77" zoomScaleNormal="96" workbookViewId="0">
      <pane xSplit="3" ySplit="1" topLeftCell="N2" activePane="bottomRight" state="frozen"/>
      <selection pane="topRight" activeCell="C1" sqref="C1"/>
      <selection pane="bottomLeft" activeCell="A2" sqref="A2"/>
      <selection pane="bottomRight" activeCell="O17" sqref="O17"/>
    </sheetView>
  </sheetViews>
  <sheetFormatPr baseColWidth="10" defaultColWidth="10.81640625" defaultRowHeight="12.5" x14ac:dyDescent="0.25"/>
  <cols>
    <col min="1" max="1" width="11.54296875" style="1" bestFit="true" customWidth="true"/>
    <col min="2" max="2" width="20.453125" style="1" customWidth="true"/>
    <col min="3" max="3" width="22.26953125" style="1" customWidth="true"/>
    <col min="4" max="5" width="32.81640625" style="1" customWidth="true"/>
    <col min="6" max="7" width="21" style="1" customWidth="true"/>
    <col min="8" max="8" width="22.81640625" style="1" customWidth="true"/>
    <col min="9" max="9" width="13.54296875" style="1" bestFit="true" customWidth="true"/>
    <col min="10" max="11" width="13.54296875" style="1" customWidth="true"/>
    <col min="12" max="12" width="10" style="1" bestFit="true" customWidth="true"/>
    <col min="13" max="13" width="23" style="1" bestFit="true" customWidth="true"/>
    <col min="14" max="14" width="24.81640625" style="1" bestFit="true" customWidth="true"/>
    <col min="15" max="15" width="22.54296875" style="1" bestFit="true" customWidth="true"/>
    <col min="16" max="16" width="18.1796875" style="1" bestFit="true" customWidth="true"/>
    <col min="17" max="18" width="25.54296875" style="1" bestFit="true" customWidth="true"/>
    <col min="19" max="19" width="17.81640625" style="1" bestFit="true" customWidth="true"/>
    <col min="20" max="20" width="20" style="1" customWidth="true"/>
    <col min="21" max="16384" width="10.81640625" style="1"/>
  </cols>
  <sheetData>
    <row r="1" ht="13" x14ac:dyDescent="0.3">
      <c r="A1" s="3" t="s">
        <v>0</v>
      </c>
      <c r="B1" s="3" t="s">
        <v>128</v>
      </c>
      <c r="C1" s="3" t="s">
        <v>1</v>
      </c>
      <c r="D1" s="3" t="s">
        <v>2</v>
      </c>
      <c r="E1" s="3" t="s">
        <v>3</v>
      </c>
      <c r="F1" s="3" t="s">
        <v>4</v>
      </c>
      <c r="G1" s="3" t="s">
        <v>66</v>
      </c>
      <c r="H1" s="3" t="s">
        <v>7</v>
      </c>
      <c r="I1" s="3" t="s">
        <v>8</v>
      </c>
      <c r="J1" s="3" t="s">
        <v>141</v>
      </c>
      <c r="K1" s="3" t="s">
        <v>226</v>
      </c>
      <c r="L1" s="3" t="s">
        <v>9</v>
      </c>
      <c r="M1" s="3" t="s">
        <v>10</v>
      </c>
      <c r="N1" s="3" t="s">
        <v>11</v>
      </c>
      <c r="O1" s="3" t="s">
        <v>12</v>
      </c>
      <c r="P1" s="3" t="s">
        <v>13</v>
      </c>
      <c r="Q1" s="3" t="s">
        <v>119</v>
      </c>
      <c r="R1" s="3" t="s">
        <v>67</v>
      </c>
      <c r="S1" s="3" t="s">
        <v>17</v>
      </c>
      <c r="T1" s="3" t="s">
        <v>19</v>
      </c>
    </row>
    <row r="2" x14ac:dyDescent="0.25">
      <c r="A2" s="1">
        <v>1</v>
      </c>
      <c r="B2" s="1" t="s">
        <v>129</v>
      </c>
      <c r="C2" s="1" t="s">
        <v>68</v>
      </c>
      <c r="D2" s="1" t="s">
        <v>69</v>
      </c>
      <c r="E2" s="1" t="s">
        <v>70</v>
      </c>
      <c r="H2" s="1" t="s">
        <v>71</v>
      </c>
      <c r="I2" s="1" t="s">
        <v>49</v>
      </c>
      <c r="J2" s="1" t="s">
        <v>150</v>
      </c>
      <c r="L2" s="1" t="s">
        <v>24</v>
      </c>
      <c r="M2" s="2">
        <v>45943</v>
      </c>
      <c r="P2" s="1" t="s">
        <v>132</v>
      </c>
      <c r="Q2" s="2">
        <v>45959</v>
      </c>
    </row>
    <row r="3" x14ac:dyDescent="0.25">
      <c r="A3" s="1">
        <f>A2+1</f>
        <v>2</v>
      </c>
      <c r="B3" s="1" t="s">
        <v>129</v>
      </c>
      <c r="C3" s="1" t="s">
        <v>72</v>
      </c>
      <c r="D3" s="1" t="s">
        <v>20</v>
      </c>
      <c r="E3" s="1" t="s">
        <v>73</v>
      </c>
      <c r="H3" s="1" t="s">
        <v>71</v>
      </c>
      <c r="I3" s="1" t="s">
        <v>56</v>
      </c>
      <c r="J3" s="1" t="s">
        <v>143</v>
      </c>
      <c r="L3" s="1" t="s">
        <v>24</v>
      </c>
      <c r="M3" s="2">
        <v>45943</v>
      </c>
      <c r="N3" s="2">
        <v>45947</v>
      </c>
      <c r="O3" s="2">
        <v>45952</v>
      </c>
      <c r="P3" s="1" t="s">
        <v>132</v>
      </c>
      <c r="Q3" s="2">
        <v>45959</v>
      </c>
      <c r="T3" s="1" t="s">
        <v>168</v>
      </c>
    </row>
    <row r="4" ht="14.5" x14ac:dyDescent="0.35">
      <c r="A4" s="1">
        <f t="shared" ref="A4:A31" si="0">A3+1</f>
        <v>3</v>
      </c>
      <c r="B4" s="1" t="s">
        <v>129</v>
      </c>
      <c r="C4" s="1" t="s">
        <v>74</v>
      </c>
      <c r="D4" s="1" t="s">
        <v>75</v>
      </c>
      <c r="E4" s="6" t="s">
        <v>76</v>
      </c>
      <c r="F4" s="1">
        <v>943602599</v>
      </c>
      <c r="H4" s="1" t="s">
        <v>71</v>
      </c>
      <c r="I4" s="1" t="s">
        <v>49</v>
      </c>
      <c r="J4" s="1" t="s">
        <v>143</v>
      </c>
      <c r="L4" s="1" t="s">
        <v>24</v>
      </c>
      <c r="M4" s="2">
        <v>45943</v>
      </c>
      <c r="N4" s="2">
        <v>45946</v>
      </c>
      <c r="P4" s="1" t="s">
        <v>131</v>
      </c>
      <c r="Q4" s="2">
        <v>45951</v>
      </c>
      <c r="R4" s="1" t="s">
        <v>105</v>
      </c>
      <c r="S4" s="1">
        <v>83</v>
      </c>
    </row>
    <row r="5" x14ac:dyDescent="0.25">
      <c r="A5" s="1">
        <f t="shared" si="0"/>
        <v>4</v>
      </c>
      <c r="B5" s="1" t="s">
        <v>129</v>
      </c>
      <c r="C5" s="1" t="s">
        <v>169</v>
      </c>
      <c r="D5" s="1" t="s">
        <v>77</v>
      </c>
      <c r="E5" s="1" t="s">
        <v>78</v>
      </c>
      <c r="H5" s="1" t="s">
        <v>71</v>
      </c>
      <c r="I5" s="1" t="s">
        <v>49</v>
      </c>
      <c r="J5" s="1" t="s">
        <v>143</v>
      </c>
      <c r="L5" s="1" t="s">
        <v>24</v>
      </c>
      <c r="M5" s="2">
        <v>45943</v>
      </c>
      <c r="N5" s="2">
        <v>45947</v>
      </c>
      <c r="P5" s="1" t="s">
        <v>132</v>
      </c>
      <c r="Q5" s="2">
        <v>45959</v>
      </c>
      <c r="T5" s="1" t="s">
        <v>170</v>
      </c>
    </row>
    <row r="6" x14ac:dyDescent="0.25">
      <c r="A6" s="1">
        <f t="shared" si="0"/>
        <v>5</v>
      </c>
      <c r="B6" s="1" t="s">
        <v>129</v>
      </c>
      <c r="C6" s="1" t="s">
        <v>79</v>
      </c>
      <c r="D6" s="1" t="s">
        <v>80</v>
      </c>
      <c r="E6" s="1" t="s">
        <v>81</v>
      </c>
      <c r="H6" s="1" t="s">
        <v>82</v>
      </c>
      <c r="I6" s="1" t="s">
        <v>49</v>
      </c>
      <c r="J6" s="1" t="s">
        <v>143</v>
      </c>
      <c r="L6" s="1" t="s">
        <v>24</v>
      </c>
      <c r="M6" s="2">
        <v>45943</v>
      </c>
      <c r="N6" s="2">
        <v>45946</v>
      </c>
      <c r="P6" s="1" t="s">
        <v>131</v>
      </c>
      <c r="Q6" s="2">
        <v>45951</v>
      </c>
      <c r="R6" s="1" t="s">
        <v>105</v>
      </c>
      <c r="S6" s="1">
        <v>83</v>
      </c>
    </row>
    <row r="7" x14ac:dyDescent="0.25">
      <c r="A7" s="1">
        <f t="shared" si="0"/>
        <v>6</v>
      </c>
      <c r="B7" s="1" t="s">
        <v>129</v>
      </c>
      <c r="C7" s="1" t="s">
        <v>83</v>
      </c>
      <c r="D7" s="1" t="s">
        <v>84</v>
      </c>
      <c r="E7" s="1" t="s">
        <v>85</v>
      </c>
      <c r="H7" s="1" t="s">
        <v>82</v>
      </c>
      <c r="I7" s="1" t="s">
        <v>49</v>
      </c>
      <c r="J7" s="1" t="s">
        <v>143</v>
      </c>
      <c r="L7" s="1" t="s">
        <v>24</v>
      </c>
      <c r="M7" s="2">
        <v>45943</v>
      </c>
      <c r="N7" s="2">
        <v>45946</v>
      </c>
      <c r="O7" s="2">
        <v>45947</v>
      </c>
      <c r="P7" s="1" t="s">
        <v>131</v>
      </c>
      <c r="Q7" s="2">
        <v>45959</v>
      </c>
      <c r="R7" s="1" t="s">
        <v>105</v>
      </c>
      <c r="S7" s="1">
        <v>93</v>
      </c>
      <c r="T7" s="1" t="s">
        <v>171</v>
      </c>
    </row>
    <row r="8" x14ac:dyDescent="0.25">
      <c r="A8" s="1">
        <f t="shared" si="0"/>
        <v>7</v>
      </c>
      <c r="B8" s="1" t="s">
        <v>129</v>
      </c>
      <c r="C8" s="1" t="s">
        <v>86</v>
      </c>
      <c r="D8" s="1" t="s">
        <v>87</v>
      </c>
      <c r="E8" s="1" t="s">
        <v>88</v>
      </c>
      <c r="H8" s="1" t="s">
        <v>82</v>
      </c>
      <c r="I8" s="1" t="s">
        <v>49</v>
      </c>
      <c r="J8" s="1" t="s">
        <v>143</v>
      </c>
      <c r="L8" s="1" t="s">
        <v>24</v>
      </c>
      <c r="M8" s="2">
        <v>45943</v>
      </c>
      <c r="N8" s="2">
        <v>45947</v>
      </c>
      <c r="O8" s="2">
        <v>45954</v>
      </c>
      <c r="P8" s="1" t="s">
        <v>132</v>
      </c>
      <c r="Q8" s="2">
        <v>45959</v>
      </c>
      <c r="T8" s="1" t="s">
        <v>172</v>
      </c>
    </row>
    <row r="9" x14ac:dyDescent="0.25">
      <c r="A9" s="1">
        <f t="shared" si="0"/>
        <v>8</v>
      </c>
      <c r="B9" s="1" t="s">
        <v>129</v>
      </c>
      <c r="C9" s="1" t="s">
        <v>89</v>
      </c>
      <c r="D9" s="1" t="s">
        <v>90</v>
      </c>
      <c r="F9" s="1">
        <v>997588413</v>
      </c>
      <c r="H9" s="1" t="s">
        <v>71</v>
      </c>
      <c r="I9" s="1" t="s">
        <v>49</v>
      </c>
      <c r="J9" s="1" t="s">
        <v>150</v>
      </c>
      <c r="L9" s="1" t="s">
        <v>24</v>
      </c>
      <c r="M9" s="2">
        <v>45943</v>
      </c>
      <c r="P9" s="1" t="s">
        <v>131</v>
      </c>
      <c r="Q9" s="2">
        <v>45951</v>
      </c>
      <c r="R9" s="1" t="s">
        <v>105</v>
      </c>
      <c r="S9" s="1">
        <v>83</v>
      </c>
    </row>
    <row r="10" x14ac:dyDescent="0.25">
      <c r="A10" s="1">
        <f t="shared" si="0"/>
        <v>9</v>
      </c>
      <c r="B10" s="1" t="s">
        <v>129</v>
      </c>
      <c r="C10" s="1" t="s">
        <v>91</v>
      </c>
      <c r="D10" s="1" t="s">
        <v>90</v>
      </c>
      <c r="F10" s="1">
        <v>962723949</v>
      </c>
      <c r="H10" s="1" t="s">
        <v>71</v>
      </c>
      <c r="I10" s="1" t="s">
        <v>49</v>
      </c>
      <c r="J10" s="1" t="s">
        <v>150</v>
      </c>
      <c r="L10" s="1" t="s">
        <v>24</v>
      </c>
      <c r="M10" s="2">
        <v>45943</v>
      </c>
      <c r="P10" s="1" t="s">
        <v>131</v>
      </c>
      <c r="Q10" s="2">
        <v>45959</v>
      </c>
      <c r="R10" s="1" t="s">
        <v>105</v>
      </c>
      <c r="S10" s="1">
        <v>93</v>
      </c>
    </row>
    <row r="11" x14ac:dyDescent="0.25">
      <c r="A11" s="1">
        <f t="shared" si="0"/>
        <v>10</v>
      </c>
      <c r="B11" s="1" t="s">
        <v>129</v>
      </c>
      <c r="C11" s="1" t="s">
        <v>92</v>
      </c>
      <c r="D11" s="1" t="s">
        <v>93</v>
      </c>
      <c r="F11" s="1">
        <v>964863586</v>
      </c>
      <c r="H11" s="1" t="s">
        <v>71</v>
      </c>
      <c r="I11" s="1" t="s">
        <v>49</v>
      </c>
      <c r="J11" s="1" t="s">
        <v>150</v>
      </c>
      <c r="L11" s="1" t="s">
        <v>24</v>
      </c>
      <c r="M11" s="2">
        <v>45943</v>
      </c>
      <c r="P11" s="1" t="s">
        <v>131</v>
      </c>
      <c r="Q11" s="2">
        <v>45951</v>
      </c>
      <c r="R11" s="1" t="s">
        <v>105</v>
      </c>
      <c r="S11" s="1">
        <v>83</v>
      </c>
    </row>
    <row r="12" x14ac:dyDescent="0.25">
      <c r="A12" s="1">
        <f t="shared" si="0"/>
        <v>11</v>
      </c>
      <c r="B12" s="1" t="s">
        <v>129</v>
      </c>
      <c r="C12" s="1" t="s">
        <v>94</v>
      </c>
      <c r="D12" s="1" t="s">
        <v>95</v>
      </c>
      <c r="F12" s="1">
        <v>993819250</v>
      </c>
      <c r="H12" s="1" t="s">
        <v>71</v>
      </c>
      <c r="I12" s="1" t="s">
        <v>49</v>
      </c>
      <c r="J12" s="1" t="s">
        <v>150</v>
      </c>
      <c r="L12" s="1" t="s">
        <v>24</v>
      </c>
      <c r="M12" s="2">
        <v>45943</v>
      </c>
      <c r="P12" s="1" t="s">
        <v>132</v>
      </c>
      <c r="Q12" s="2">
        <v>45959</v>
      </c>
    </row>
    <row r="13" x14ac:dyDescent="0.25">
      <c r="A13" s="1">
        <f t="shared" si="0"/>
        <v>12</v>
      </c>
      <c r="B13" s="1" t="s">
        <v>129</v>
      </c>
      <c r="C13" s="1" t="s">
        <v>96</v>
      </c>
      <c r="D13" s="1" t="s">
        <v>97</v>
      </c>
      <c r="F13" s="1">
        <v>995579501</v>
      </c>
      <c r="H13" s="1" t="s">
        <v>98</v>
      </c>
      <c r="I13" s="1" t="s">
        <v>49</v>
      </c>
      <c r="J13" s="1" t="s">
        <v>150</v>
      </c>
      <c r="L13" s="1" t="s">
        <v>24</v>
      </c>
      <c r="M13" s="2">
        <v>45943</v>
      </c>
      <c r="P13" s="1" t="s">
        <v>132</v>
      </c>
      <c r="Q13" s="2">
        <v>45959</v>
      </c>
    </row>
    <row r="14" x14ac:dyDescent="0.25">
      <c r="A14" s="1">
        <f t="shared" si="0"/>
        <v>13</v>
      </c>
      <c r="B14" s="1" t="s">
        <v>129</v>
      </c>
      <c r="C14" s="1" t="s">
        <v>99</v>
      </c>
      <c r="D14" s="1" t="s">
        <v>35</v>
      </c>
      <c r="F14" s="1">
        <v>3817190</v>
      </c>
      <c r="H14" s="1" t="s">
        <v>71</v>
      </c>
      <c r="I14" s="1" t="s">
        <v>61</v>
      </c>
      <c r="J14" s="1" t="s">
        <v>150</v>
      </c>
      <c r="L14" s="1" t="s">
        <v>24</v>
      </c>
      <c r="M14" s="2">
        <v>45943</v>
      </c>
      <c r="P14" s="1" t="s">
        <v>132</v>
      </c>
      <c r="Q14" s="2">
        <v>45959</v>
      </c>
    </row>
    <row r="15" x14ac:dyDescent="0.25">
      <c r="A15" s="1">
        <f t="shared" si="0"/>
        <v>14</v>
      </c>
      <c r="B15" s="1" t="s">
        <v>174</v>
      </c>
      <c r="C15" s="1" t="s">
        <v>175</v>
      </c>
      <c r="D15" s="1" t="s">
        <v>176</v>
      </c>
      <c r="E15" s="1" t="s">
        <v>177</v>
      </c>
      <c r="H15" s="1" t="s">
        <v>82</v>
      </c>
      <c r="I15" s="1" t="s">
        <v>49</v>
      </c>
      <c r="J15" s="1" t="s">
        <v>150</v>
      </c>
      <c r="K15" s="1" t="s">
        <v>3</v>
      </c>
      <c r="L15" s="1" t="s">
        <v>24</v>
      </c>
      <c r="P15" s="1" t="s">
        <v>38</v>
      </c>
    </row>
    <row r="16" x14ac:dyDescent="0.25">
      <c r="A16" s="1">
        <f t="shared" si="0"/>
        <v>15</v>
      </c>
      <c r="B16" s="1" t="s">
        <v>174</v>
      </c>
      <c r="C16" s="1" t="s">
        <v>178</v>
      </c>
      <c r="D16" s="1" t="s">
        <v>179</v>
      </c>
      <c r="E16" s="1" t="s">
        <v>180</v>
      </c>
      <c r="H16" s="1" t="s">
        <v>82</v>
      </c>
      <c r="I16" s="1" t="s">
        <v>49</v>
      </c>
      <c r="J16" s="1" t="s">
        <v>150</v>
      </c>
      <c r="K16" s="1" t="s">
        <v>3</v>
      </c>
      <c r="L16" s="1" t="s">
        <v>24</v>
      </c>
      <c r="P16" s="1" t="s">
        <v>38</v>
      </c>
    </row>
    <row r="17" x14ac:dyDescent="0.25">
      <c r="A17" s="1">
        <f t="shared" si="0"/>
        <v>16</v>
      </c>
      <c r="B17" s="1" t="s">
        <v>174</v>
      </c>
      <c r="C17" s="1" t="s">
        <v>181</v>
      </c>
      <c r="D17" s="1" t="s">
        <v>182</v>
      </c>
      <c r="F17" s="1">
        <v>953297789</v>
      </c>
      <c r="H17" s="1" t="s">
        <v>98</v>
      </c>
      <c r="I17" s="1" t="s">
        <v>49</v>
      </c>
      <c r="J17" s="1" t="s">
        <v>150</v>
      </c>
      <c r="K17" s="1" t="s">
        <v>183</v>
      </c>
      <c r="L17" s="1" t="s">
        <v>24</v>
      </c>
      <c r="P17" s="1" t="s">
        <v>29</v>
      </c>
      <c r="T17" s="1" t="s">
        <v>184</v>
      </c>
    </row>
    <row r="18" x14ac:dyDescent="0.25">
      <c r="A18" s="1">
        <f t="shared" si="0"/>
        <v>17</v>
      </c>
      <c r="B18" s="1" t="s">
        <v>174</v>
      </c>
      <c r="C18" s="1" t="s">
        <v>185</v>
      </c>
      <c r="D18" s="1" t="s">
        <v>186</v>
      </c>
      <c r="E18" s="1" t="s">
        <v>187</v>
      </c>
      <c r="H18" s="1" t="s">
        <v>98</v>
      </c>
      <c r="I18" s="1" t="s">
        <v>49</v>
      </c>
      <c r="J18" s="1" t="s">
        <v>150</v>
      </c>
      <c r="K18" s="1" t="s">
        <v>188</v>
      </c>
      <c r="L18" s="1" t="s">
        <v>106</v>
      </c>
      <c r="P18" s="1" t="s">
        <v>38</v>
      </c>
    </row>
    <row r="19" x14ac:dyDescent="0.25">
      <c r="A19" s="1">
        <f t="shared" si="0"/>
        <v>18</v>
      </c>
      <c r="B19" s="1" t="s">
        <v>174</v>
      </c>
      <c r="C19" s="1" t="s">
        <v>189</v>
      </c>
      <c r="D19" s="1" t="s">
        <v>51</v>
      </c>
      <c r="E19" s="1" t="s">
        <v>52</v>
      </c>
      <c r="H19" s="1" t="s">
        <v>98</v>
      </c>
      <c r="I19" s="1" t="s">
        <v>61</v>
      </c>
      <c r="J19" s="1" t="s">
        <v>150</v>
      </c>
      <c r="K19" s="1" t="s">
        <v>3</v>
      </c>
      <c r="L19" s="1" t="s">
        <v>24</v>
      </c>
      <c r="P19" s="1" t="s">
        <v>38</v>
      </c>
    </row>
    <row r="20" x14ac:dyDescent="0.25">
      <c r="A20" s="1">
        <f t="shared" si="0"/>
        <v>19</v>
      </c>
      <c r="B20" s="1" t="s">
        <v>174</v>
      </c>
      <c r="C20" s="1" t="s">
        <v>190</v>
      </c>
      <c r="D20" s="1" t="s">
        <v>191</v>
      </c>
      <c r="E20" s="1" t="s">
        <v>192</v>
      </c>
      <c r="H20" s="1" t="s">
        <v>71</v>
      </c>
      <c r="I20" s="1" t="s">
        <v>49</v>
      </c>
      <c r="J20" s="1" t="s">
        <v>150</v>
      </c>
      <c r="K20" s="1" t="s">
        <v>193</v>
      </c>
      <c r="L20" s="1" t="s">
        <v>24</v>
      </c>
      <c r="P20" s="1" t="s">
        <v>38</v>
      </c>
    </row>
    <row r="21" x14ac:dyDescent="0.25">
      <c r="A21" s="1">
        <f t="shared" si="0"/>
        <v>20</v>
      </c>
      <c r="B21" s="1" t="s">
        <v>174</v>
      </c>
      <c r="C21" s="1" t="s">
        <v>194</v>
      </c>
      <c r="D21" s="1" t="s">
        <v>35</v>
      </c>
      <c r="E21" s="1" t="s">
        <v>195</v>
      </c>
      <c r="H21" s="1" t="s">
        <v>71</v>
      </c>
      <c r="I21" s="1" t="s">
        <v>196</v>
      </c>
      <c r="J21" s="1" t="s">
        <v>150</v>
      </c>
      <c r="K21" s="1" t="s">
        <v>3</v>
      </c>
      <c r="L21" s="1" t="s">
        <v>24</v>
      </c>
      <c r="P21" s="1" t="s">
        <v>38</v>
      </c>
    </row>
    <row r="22" x14ac:dyDescent="0.25">
      <c r="A22" s="1">
        <f t="shared" si="0"/>
        <v>21</v>
      </c>
      <c r="B22" s="1" t="s">
        <v>174</v>
      </c>
      <c r="C22" s="1" t="s">
        <v>197</v>
      </c>
      <c r="D22" s="1" t="s">
        <v>58</v>
      </c>
      <c r="E22" s="1" t="s">
        <v>198</v>
      </c>
      <c r="H22" s="1" t="s">
        <v>71</v>
      </c>
      <c r="I22" s="1" t="s">
        <v>61</v>
      </c>
      <c r="J22" s="1" t="s">
        <v>150</v>
      </c>
      <c r="K22" s="1" t="s">
        <v>199</v>
      </c>
      <c r="L22" s="1" t="s">
        <v>24</v>
      </c>
      <c r="P22" s="1" t="s">
        <v>38</v>
      </c>
    </row>
    <row r="23" x14ac:dyDescent="0.25">
      <c r="A23" s="1">
        <f t="shared" si="0"/>
        <v>22</v>
      </c>
      <c r="B23" s="1" t="s">
        <v>174</v>
      </c>
      <c r="C23" s="1" t="s">
        <v>200</v>
      </c>
      <c r="D23" s="1" t="s">
        <v>58</v>
      </c>
      <c r="E23" s="1" t="s">
        <v>201</v>
      </c>
      <c r="H23" s="1" t="s">
        <v>71</v>
      </c>
      <c r="I23" s="1" t="s">
        <v>107</v>
      </c>
      <c r="J23" s="1" t="s">
        <v>150</v>
      </c>
      <c r="K23" s="1" t="s">
        <v>202</v>
      </c>
      <c r="L23" s="1" t="s">
        <v>24</v>
      </c>
      <c r="P23" s="1" t="s">
        <v>131</v>
      </c>
      <c r="Q23" s="1">
        <v>46001</v>
      </c>
      <c r="R23" s="1" t="s">
        <v>105</v>
      </c>
      <c r="S23" s="1">
        <v>120</v>
      </c>
      <c r="T23" s="1" t="s">
        <v>203</v>
      </c>
    </row>
    <row r="24" x14ac:dyDescent="0.25">
      <c r="A24" s="1">
        <f t="shared" si="0"/>
        <v>23</v>
      </c>
      <c r="B24" s="1" t="s">
        <v>174</v>
      </c>
      <c r="C24" s="1" t="s">
        <v>204</v>
      </c>
      <c r="D24" s="1" t="s">
        <v>205</v>
      </c>
      <c r="E24" s="1" t="s">
        <v>206</v>
      </c>
      <c r="H24" s="1" t="s">
        <v>71</v>
      </c>
      <c r="I24" s="1" t="s">
        <v>49</v>
      </c>
      <c r="J24" s="1" t="s">
        <v>150</v>
      </c>
      <c r="K24" s="1" t="s">
        <v>3</v>
      </c>
      <c r="L24" s="1" t="s">
        <v>24</v>
      </c>
      <c r="P24" s="1" t="s">
        <v>38</v>
      </c>
    </row>
    <row r="25" x14ac:dyDescent="0.25">
      <c r="A25" s="1">
        <f t="shared" si="0"/>
        <v>24</v>
      </c>
      <c r="B25" s="1" t="s">
        <v>174</v>
      </c>
      <c r="C25" s="1" t="s">
        <v>207</v>
      </c>
      <c r="D25" s="1" t="s">
        <v>208</v>
      </c>
      <c r="F25" s="1">
        <v>922275280</v>
      </c>
      <c r="H25" s="1" t="s">
        <v>110</v>
      </c>
      <c r="I25" s="1" t="s">
        <v>61</v>
      </c>
      <c r="J25" s="1" t="s">
        <v>150</v>
      </c>
      <c r="K25" s="1" t="s">
        <v>183</v>
      </c>
      <c r="L25" s="1" t="s">
        <v>24</v>
      </c>
      <c r="P25" s="1" t="s">
        <v>131</v>
      </c>
      <c r="Q25" s="1">
        <v>46001</v>
      </c>
      <c r="R25" s="1" t="s">
        <v>108</v>
      </c>
      <c r="T25" s="1" t="s">
        <v>209</v>
      </c>
    </row>
    <row r="26" x14ac:dyDescent="0.25">
      <c r="A26" s="1">
        <f t="shared" si="0"/>
        <v>25</v>
      </c>
      <c r="B26" s="1" t="s">
        <v>174</v>
      </c>
      <c r="C26" s="1" t="s">
        <v>210</v>
      </c>
      <c r="D26" s="1" t="s">
        <v>208</v>
      </c>
      <c r="F26" s="1">
        <v>967806708</v>
      </c>
      <c r="H26" s="1" t="s">
        <v>110</v>
      </c>
      <c r="I26" s="1" t="s">
        <v>211</v>
      </c>
      <c r="J26" s="1" t="s">
        <v>150</v>
      </c>
      <c r="K26" s="1" t="s">
        <v>183</v>
      </c>
      <c r="L26" s="1" t="s">
        <v>24</v>
      </c>
      <c r="P26" s="1" t="s">
        <v>131</v>
      </c>
      <c r="Q26" s="1">
        <v>46001</v>
      </c>
      <c r="R26" s="1" t="s">
        <v>108</v>
      </c>
      <c r="T26" s="1" t="s">
        <v>209</v>
      </c>
    </row>
    <row r="27" x14ac:dyDescent="0.25">
      <c r="A27" s="1">
        <f t="shared" si="0"/>
        <v>26</v>
      </c>
      <c r="B27" s="1" t="s">
        <v>174</v>
      </c>
      <c r="C27" s="1" t="s">
        <v>212</v>
      </c>
      <c r="D27" s="1" t="s">
        <v>213</v>
      </c>
      <c r="E27" s="1" t="s">
        <v>214</v>
      </c>
      <c r="H27" s="1" t="s">
        <v>110</v>
      </c>
      <c r="I27" s="1" t="s">
        <v>211</v>
      </c>
      <c r="J27" s="1" t="s">
        <v>150</v>
      </c>
      <c r="K27" s="1" t="s">
        <v>3</v>
      </c>
      <c r="L27" s="1" t="s">
        <v>24</v>
      </c>
      <c r="P27" s="1" t="s">
        <v>38</v>
      </c>
    </row>
    <row r="28" x14ac:dyDescent="0.25">
      <c r="A28" s="1">
        <f t="shared" si="0"/>
        <v>27</v>
      </c>
      <c r="B28" s="1" t="s">
        <v>174</v>
      </c>
      <c r="C28" s="1" t="s">
        <v>215</v>
      </c>
      <c r="D28" s="1" t="s">
        <v>216</v>
      </c>
      <c r="E28" s="1" t="s">
        <v>217</v>
      </c>
      <c r="F28" s="1">
        <v>976617075</v>
      </c>
      <c r="H28" s="1" t="s">
        <v>110</v>
      </c>
      <c r="I28" s="1" t="s">
        <v>49</v>
      </c>
      <c r="J28" s="1" t="s">
        <v>150</v>
      </c>
      <c r="K28" s="1" t="s">
        <v>3</v>
      </c>
      <c r="L28" s="1" t="s">
        <v>24</v>
      </c>
      <c r="P28" s="1" t="s">
        <v>131</v>
      </c>
      <c r="Q28" s="1">
        <v>46001</v>
      </c>
      <c r="R28" s="1" t="s">
        <v>105</v>
      </c>
      <c r="S28" s="1">
        <v>120</v>
      </c>
      <c r="T28" s="1" t="s">
        <v>209</v>
      </c>
    </row>
    <row r="29" x14ac:dyDescent="0.25">
      <c r="A29" s="1">
        <f t="shared" si="0"/>
        <v>28</v>
      </c>
      <c r="B29" s="1" t="s">
        <v>174</v>
      </c>
      <c r="C29" s="1" t="s">
        <v>218</v>
      </c>
      <c r="D29" s="1" t="s">
        <v>20</v>
      </c>
      <c r="E29" s="1" t="s">
        <v>219</v>
      </c>
      <c r="H29" s="1" t="s">
        <v>71</v>
      </c>
      <c r="I29" s="1" t="s">
        <v>61</v>
      </c>
      <c r="J29" s="1" t="s">
        <v>150</v>
      </c>
      <c r="K29" s="1" t="s">
        <v>3</v>
      </c>
      <c r="L29" s="1" t="s">
        <v>24</v>
      </c>
      <c r="P29" s="1" t="s">
        <v>38</v>
      </c>
    </row>
    <row r="30" x14ac:dyDescent="0.25">
      <c r="A30" s="1">
        <f t="shared" si="0"/>
        <v>29</v>
      </c>
      <c r="B30" s="1" t="s">
        <v>174</v>
      </c>
      <c r="C30" s="1" t="s">
        <v>220</v>
      </c>
      <c r="D30" s="1" t="s">
        <v>221</v>
      </c>
      <c r="E30" s="1" t="s">
        <v>222</v>
      </c>
      <c r="F30" s="1">
        <v>927698304</v>
      </c>
      <c r="H30" s="1" t="s">
        <v>71</v>
      </c>
      <c r="I30" s="1" t="s">
        <v>211</v>
      </c>
      <c r="J30" s="1" t="s">
        <v>150</v>
      </c>
      <c r="K30" s="1" t="s">
        <v>3</v>
      </c>
      <c r="L30" s="1" t="s">
        <v>24</v>
      </c>
      <c r="P30" s="1" t="s">
        <v>131</v>
      </c>
      <c r="Q30" s="1">
        <v>46001</v>
      </c>
      <c r="R30" s="1" t="s">
        <v>105</v>
      </c>
      <c r="S30" s="1">
        <v>120</v>
      </c>
      <c r="T30" s="1" t="s">
        <v>223</v>
      </c>
    </row>
    <row r="31" x14ac:dyDescent="0.25">
      <c r="A31" s="1">
        <f t="shared" si="0"/>
        <v>30</v>
      </c>
      <c r="B31" s="1" t="s">
        <v>174</v>
      </c>
      <c r="C31" s="1" t="s">
        <v>224</v>
      </c>
      <c r="D31" s="1" t="s">
        <v>221</v>
      </c>
      <c r="E31" s="1" t="s">
        <v>225</v>
      </c>
      <c r="F31" s="1">
        <v>994581446</v>
      </c>
      <c r="H31" s="1" t="s">
        <v>71</v>
      </c>
      <c r="I31" s="1" t="s">
        <v>211</v>
      </c>
      <c r="J31" s="1" t="s">
        <v>150</v>
      </c>
      <c r="K31" s="1" t="s">
        <v>3</v>
      </c>
      <c r="L31" s="1" t="s">
        <v>24</v>
      </c>
      <c r="P31" s="1" t="s">
        <v>131</v>
      </c>
      <c r="Q31" s="1">
        <v>46001</v>
      </c>
      <c r="R31" s="1" t="s">
        <v>108</v>
      </c>
      <c r="T31" s="1" t="s">
        <v>223</v>
      </c>
    </row>
  </sheetData>
  <hyperlinks>
    <hyperlink ref="E4"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5CA7-A517-4ACE-A45A-BD28D5098765}">
  <dimension ref="A1:I14"/>
  <sheetViews>
    <sheetView zoomScale="87" workbookViewId="0">
      <selection activeCell="E15" sqref="E15"/>
    </sheetView>
  </sheetViews>
  <sheetFormatPr baseColWidth="10" defaultColWidth="10.81640625" defaultRowHeight="12.5" x14ac:dyDescent="0.25"/>
  <cols>
    <col min="1" max="1" width="20.81640625" style="1" customWidth="true"/>
    <col min="2" max="2" width="10.81640625" style="1"/>
    <col min="3" max="3" width="18.1796875" style="1" customWidth="true"/>
    <col min="4" max="4" width="15.54296875" style="1" customWidth="true"/>
    <col min="5" max="5" width="24.81640625" style="1" customWidth="true"/>
    <col min="6" max="6" width="21.54296875" style="1" customWidth="true"/>
    <col min="7" max="7" width="20.1796875" style="1" customWidth="true"/>
    <col min="8" max="8" width="17" style="1" customWidth="true"/>
    <col min="9" max="9" width="18.453125" style="1" customWidth="true"/>
    <col min="10" max="16384" width="10.81640625" style="1"/>
  </cols>
  <sheetData>
    <row r="1" ht="13" x14ac:dyDescent="0.3">
      <c r="A1" s="4" t="s">
        <v>100</v>
      </c>
      <c r="B1" s="4" t="s">
        <v>9</v>
      </c>
      <c r="C1" s="4" t="s">
        <v>101</v>
      </c>
      <c r="D1" s="4" t="s">
        <v>102</v>
      </c>
      <c r="E1" s="4" t="s">
        <v>103</v>
      </c>
      <c r="F1" s="4" t="s">
        <v>104</v>
      </c>
      <c r="G1" s="4" t="s">
        <v>18</v>
      </c>
      <c r="H1" s="4" t="s">
        <v>16</v>
      </c>
      <c r="I1" s="4" t="s">
        <v>124</v>
      </c>
    </row>
    <row r="2" x14ac:dyDescent="0.25">
      <c r="A2" s="1" t="s">
        <v>131</v>
      </c>
      <c r="B2" s="1" t="s">
        <v>24</v>
      </c>
      <c r="C2" s="1" t="s">
        <v>61</v>
      </c>
      <c r="D2" s="1" t="s">
        <v>105</v>
      </c>
      <c r="E2" s="1" t="s">
        <v>22</v>
      </c>
      <c r="F2" s="1" t="s">
        <v>71</v>
      </c>
      <c r="G2" s="1" t="s">
        <v>25</v>
      </c>
      <c r="H2" s="1" t="s">
        <v>121</v>
      </c>
      <c r="I2" s="1" t="s">
        <v>125</v>
      </c>
    </row>
    <row r="3" x14ac:dyDescent="0.25">
      <c r="A3" s="1" t="s">
        <v>132</v>
      </c>
      <c r="B3" s="1" t="s">
        <v>106</v>
      </c>
      <c r="C3" s="1" t="s">
        <v>107</v>
      </c>
      <c r="D3" s="1" t="s">
        <v>108</v>
      </c>
      <c r="E3" s="1" t="s">
        <v>37</v>
      </c>
      <c r="F3" s="1" t="s">
        <v>82</v>
      </c>
      <c r="G3" s="1" t="s">
        <v>30</v>
      </c>
      <c r="H3" s="1" t="s">
        <v>122</v>
      </c>
      <c r="I3" s="1" t="s">
        <v>126</v>
      </c>
    </row>
    <row r="4" x14ac:dyDescent="0.25">
      <c r="A4" s="1" t="s">
        <v>38</v>
      </c>
      <c r="C4" s="1" t="s">
        <v>109</v>
      </c>
      <c r="D4" s="1" t="s">
        <v>130</v>
      </c>
      <c r="E4" s="1" t="s">
        <v>60</v>
      </c>
      <c r="F4" s="1" t="s">
        <v>98</v>
      </c>
      <c r="G4" s="1" t="s">
        <v>33</v>
      </c>
      <c r="H4" s="1" t="s">
        <v>123</v>
      </c>
    </row>
    <row r="5" x14ac:dyDescent="0.25">
      <c r="A5" s="1" t="s">
        <v>29</v>
      </c>
      <c r="C5" s="1" t="s">
        <v>44</v>
      </c>
      <c r="E5" s="1" t="s">
        <v>82</v>
      </c>
      <c r="F5" s="1" t="s">
        <v>110</v>
      </c>
      <c r="G5" s="1" t="s">
        <v>118</v>
      </c>
    </row>
    <row r="6" x14ac:dyDescent="0.25">
      <c r="C6" s="1" t="s">
        <v>56</v>
      </c>
      <c r="E6" s="1" t="s">
        <v>111</v>
      </c>
      <c r="F6" s="1" t="s">
        <v>28</v>
      </c>
    </row>
    <row r="7" ht="14.5" x14ac:dyDescent="0.35">
      <c r="C7" s="1" t="s">
        <v>65</v>
      </c>
      <c r="E7"/>
      <c r="F7"/>
    </row>
    <row r="8" ht="14.5" x14ac:dyDescent="0.35">
      <c r="C8" s="1" t="s">
        <v>23</v>
      </c>
      <c r="E8"/>
      <c r="F8"/>
    </row>
    <row r="9" ht="14.5" x14ac:dyDescent="0.35">
      <c r="C9" s="1" t="s">
        <v>41</v>
      </c>
      <c r="E9"/>
      <c r="F9"/>
    </row>
    <row r="10" ht="14.5" x14ac:dyDescent="0.35">
      <c r="C10" s="1" t="s">
        <v>49</v>
      </c>
      <c r="E10"/>
      <c r="F10"/>
    </row>
    <row r="11" ht="14.5" x14ac:dyDescent="0.35">
      <c r="E11"/>
      <c r="F11"/>
    </row>
    <row r="12" ht="14.5" x14ac:dyDescent="0.35">
      <c r="E12"/>
      <c r="F12"/>
    </row>
    <row r="13" ht="14.5" x14ac:dyDescent="0.35">
      <c r="E13"/>
      <c r="F13"/>
    </row>
    <row r="14" ht="14.5" x14ac:dyDescent="0.35">
      <c r="F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C6FD-38D4-4914-9845-CCD42EC7261C}">
  <sheetPr>
    <tabColor theme="0" tint="-0.49995422223579"/>
  </sheetPr>
  <dimension ref="A1"/>
  <sheetViews>
    <sheetView view="pageBreakPreview" zoomScale="60" zoomScaleNormal="100" workbookViewId="0">
      <selection activeCell="H19" sqref="H19"/>
    </sheetView>
  </sheetViews>
  <sheetFormatPr baseColWidth="10" defaultRowHeight="14.5" x14ac:dyDescent="0.35"/>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EF4C-67D8-4F46-B1D2-0AB5EC1149C0}">
  <dimension ref="A1:Y22"/>
  <sheetViews>
    <sheetView zoomScale="49" workbookViewId="0">
      <selection activeCell="P31" sqref="P31"/>
    </sheetView>
  </sheetViews>
  <sheetFormatPr baseColWidth="10" defaultRowHeight="14.5" x14ac:dyDescent="0.35"/>
  <cols>
    <col min="1" max="1" width="14.1796875" customWidth="true"/>
    <col min="6" max="6" width="20.1796875" customWidth="true"/>
    <col min="12" max="12" width="21.26953125" customWidth="true"/>
  </cols>
  <sheetData>
    <row r="1" x14ac:dyDescent="0.35">
      <c r="A1" s="3" t="s">
        <v>0</v>
      </c>
      <c r="B1" s="3" t="s">
        <v>1</v>
      </c>
      <c r="C1" s="3" t="s">
        <v>2</v>
      </c>
      <c r="D1" s="3" t="s">
        <v>6</v>
      </c>
      <c r="E1" s="3" t="s">
        <v>173</v>
      </c>
      <c r="F1" s="3" t="s">
        <v>7</v>
      </c>
      <c r="G1" s="3" t="s">
        <v>8</v>
      </c>
      <c r="H1" s="3" t="s">
        <v>141</v>
      </c>
      <c r="I1" s="3" t="s">
        <v>9</v>
      </c>
      <c r="J1" s="3" t="s">
        <v>10</v>
      </c>
      <c r="K1" s="3" t="s">
        <v>11</v>
      </c>
      <c r="L1" s="3" t="s">
        <v>12</v>
      </c>
      <c r="M1" s="3" t="s">
        <v>13</v>
      </c>
      <c r="N1" s="3" t="s">
        <v>14</v>
      </c>
      <c r="O1" s="3" t="s">
        <v>15</v>
      </c>
      <c r="P1" s="3" t="s">
        <v>16</v>
      </c>
      <c r="Q1" s="3" t="s">
        <v>17</v>
      </c>
      <c r="R1" s="3" t="s">
        <v>127</v>
      </c>
      <c r="S1" s="3" t="s">
        <v>116</v>
      </c>
      <c r="T1" s="3" t="s">
        <v>117</v>
      </c>
      <c r="U1" s="3" t="s">
        <v>133</v>
      </c>
      <c r="V1" s="3" t="s">
        <v>134</v>
      </c>
      <c r="W1" s="3" t="s">
        <v>135</v>
      </c>
      <c r="X1" s="3" t="s">
        <v>136</v>
      </c>
      <c r="Y1" s="3" t="s">
        <v>137</v>
      </c>
    </row>
    <row r="2" x14ac:dyDescent="0.35">
      <c r="A2" s="1">
        <f>IF(Entrevistas!A2="","",Entrevistas!A2)</f>
        <v>1</v>
      </c>
      <c r="B2" s="1" t="str">
        <f>IF(Entrevistas!B2="","",Entrevistas!B2)</f>
        <v>Edgar Alfredo Rebaza Vargas</v>
      </c>
      <c r="C2" s="1" t="str">
        <f>IF(Entrevistas!C2="","",Entrevistas!C2)</f>
        <v>Ministerio Público</v>
      </c>
      <c r="D2" s="1" t="str">
        <f>IF(Entrevistas!G2="","",Entrevistas!G2)</f>
        <v>Actores clave</v>
      </c>
      <c r="E2" s="1" t="e">
        <f>+INDEX(Meta!$C$2:$E$6,MATCH(F2,Meta!$C$2:$C$6,0),2)</f>
        <v>#N/A</v>
      </c>
      <c r="F2" s="1" t="str">
        <f>IF(Entrevistas!H2="","",Entrevistas!H2)</f>
        <v>Funcionarios</v>
      </c>
      <c r="G2" s="1" t="str">
        <f>IF(Entrevistas!I2="","",Entrevistas!I2)</f>
        <v>Cajamarca</v>
      </c>
      <c r="H2" s="1" t="str">
        <f>IF(Entrevistas!J2="","",Entrevistas!J2)</f>
        <v>APOYO</v>
      </c>
      <c r="I2" s="2" t="str">
        <f>IF(Entrevistas!K2="","",Entrevistas!K2)</f>
        <v>Contactado</v>
      </c>
      <c r="J2" s="2">
        <f>IF(Entrevistas!L2="","",Entrevistas!L2)</f>
        <v>45943</v>
      </c>
      <c r="K2" s="2">
        <f>IF(Entrevistas!M2="","",Entrevistas!M2)</f>
        <v>45945</v>
      </c>
      <c r="L2" s="2">
        <f>IF(Entrevistas!N2="","",Entrevistas!N2)</f>
        <v>45946</v>
      </c>
      <c r="M2" s="2" t="str">
        <f>IF(Entrevistas!O2="","",Entrevistas!O2)</f>
        <v>Rechazada</v>
      </c>
      <c r="N2" s="2" t="str">
        <f>IF(Entrevistas!P2="","",Entrevistas!P2)</f>
        <v/>
      </c>
      <c r="O2" s="2" t="str">
        <f>IF(Entrevistas!Q2="","",Entrevistas!Q2)</f>
        <v/>
      </c>
      <c r="P2" s="1" t="str">
        <f>IF(Entrevistas!R2="","",Entrevistas!R2)</f>
        <v>No realizada</v>
      </c>
      <c r="Q2" s="1" t="str">
        <f>IF(Entrevistas!S2="","",Entrevistas!S2)</f>
        <v/>
      </c>
      <c r="R2" s="1" t="str">
        <f>IF(Entrevistas!T2="","",Entrevistas!T2)</f>
        <v>Sí</v>
      </c>
      <c r="S2" s="1" t="str">
        <f>IF(Entrevistas!U2="","",Entrevistas!U2)</f>
        <v>Presencial</v>
      </c>
      <c r="T2" s="1" t="str">
        <f>IF(Entrevistas!V2="","",Entrevistas!V2)</f>
        <v/>
      </c>
      <c r="U2">
        <f>IF(I2="Contactado",1,0)</f>
        <v>1</v>
      </c>
      <c r="V2">
        <f>IF(M2="En coordinación",1,0)</f>
        <v>0</v>
      </c>
      <c r="W2">
        <f>IF(M2="Aceptada",1,0)</f>
        <v>0</v>
      </c>
      <c r="X2">
        <f>IF(M2="Realizada",1,0)</f>
        <v>0</v>
      </c>
      <c r="Y2">
        <f>IF(M2="Sin respuesta",1,0)</f>
        <v>0</v>
      </c>
    </row>
    <row r="3" x14ac:dyDescent="0.35">
      <c r="A3" s="1">
        <f>IF(Entrevistas!A3="","",Entrevistas!A3)</f>
        <v>2</v>
      </c>
      <c r="B3" s="1" t="str">
        <f>IF(Entrevistas!B3="","",Entrevistas!B3)</f>
        <v>Carmen Miranda Vidaurre</v>
      </c>
      <c r="C3" s="1" t="str">
        <f>IF(Entrevistas!C3="","",Entrevistas!C3)</f>
        <v>Ministerio Público</v>
      </c>
      <c r="D3" s="1" t="str">
        <f>IF(Entrevistas!G3="","",Entrevistas!G3)</f>
        <v>Actores clave</v>
      </c>
      <c r="E3" s="1" t="e">
        <f>+INDEX(Meta!$C$2:$E$6,MATCH(F3,Meta!$C$2:$C$6,0),2)</f>
        <v>#N/A</v>
      </c>
      <c r="F3" s="1" t="str">
        <f>IF(Entrevistas!H3="","",Entrevistas!H3)</f>
        <v>Funcionarios</v>
      </c>
      <c r="G3" s="1" t="str">
        <f>IF(Entrevistas!I3="","",Entrevistas!I3)</f>
        <v>Nacional</v>
      </c>
      <c r="H3" s="1" t="str">
        <f>IF(Entrevistas!J3="","",Entrevistas!J3)</f>
        <v>APOYO</v>
      </c>
      <c r="I3" s="2" t="str">
        <f>IF(Entrevistas!K3="","",Entrevistas!K3)</f>
        <v>Contactado</v>
      </c>
      <c r="J3" s="2">
        <f>IF(Entrevistas!L3="","",Entrevistas!L3)</f>
        <v>45943</v>
      </c>
      <c r="K3" s="2">
        <f>IF(Entrevistas!M3="","",Entrevistas!M3)</f>
        <v>45946</v>
      </c>
      <c r="L3" s="2">
        <f>IF(Entrevistas!N3="","",Entrevistas!N3)</f>
        <v>45954</v>
      </c>
      <c r="M3" s="2" t="str">
        <f>IF(Entrevistas!O3="","",Entrevistas!O3)</f>
        <v>Rechazada</v>
      </c>
      <c r="N3" s="2" t="str">
        <f>IF(Entrevistas!P3="","",Entrevistas!P3)</f>
        <v/>
      </c>
      <c r="O3" s="2" t="str">
        <f>IF(Entrevistas!Q3="","",Entrevistas!Q3)</f>
        <v/>
      </c>
      <c r="P3" s="1" t="str">
        <f>IF(Entrevistas!R3="","",Entrevistas!R3)</f>
        <v>No realizada</v>
      </c>
      <c r="Q3" s="1" t="str">
        <f>IF(Entrevistas!S3="","",Entrevistas!S3)</f>
        <v/>
      </c>
      <c r="R3" s="1" t="str">
        <f>IF(Entrevistas!T3="","",Entrevistas!T3)</f>
        <v>Sí</v>
      </c>
      <c r="S3" s="1" t="str">
        <f>IF(Entrevistas!U3="","",Entrevistas!U3)</f>
        <v>A distancia asistido</v>
      </c>
      <c r="T3" s="1" t="str">
        <f>IF(Entrevistas!V3="","",Entrevistas!V3)</f>
        <v/>
      </c>
      <c r="U3">
        <f t="shared" ref="U3:U13" si="0">IF(I3="Contactado",1,0)</f>
        <v>1</v>
      </c>
      <c r="V3">
        <f>IF(M3="En coordinación",1,0)</f>
        <v>0</v>
      </c>
      <c r="W3">
        <f t="shared" ref="W3:W13" si="1">IF(M3="Aceptada",1,0)</f>
        <v>0</v>
      </c>
      <c r="X3">
        <f t="shared" ref="X3:X13" si="2">IF(M3="Realizada",1,0)</f>
        <v>0</v>
      </c>
      <c r="Y3">
        <f t="shared" ref="Y3:Y13" si="3">IF(M3="Sin respuesta",1,0)</f>
        <v>0</v>
      </c>
    </row>
    <row r="4" x14ac:dyDescent="0.35">
      <c r="A4" s="1">
        <f>IF(Entrevistas!A4="","",Entrevistas!A4)</f>
        <v>3</v>
      </c>
      <c r="B4" s="1" t="str">
        <f>IF(Entrevistas!B4="","",Entrevistas!B4)</f>
        <v>Marco de la Cruz Espejo</v>
      </c>
      <c r="C4" s="1" t="str">
        <f>IF(Entrevistas!C4="","",Entrevistas!C4)</f>
        <v>Ministerio Público</v>
      </c>
      <c r="D4" s="1" t="str">
        <f>IF(Entrevistas!G4="","",Entrevistas!G4)</f>
        <v>Actores clave</v>
      </c>
      <c r="E4" s="1" t="e">
        <f>+INDEX(Meta!$C$2:$E$6,MATCH(F4,Meta!$C$2:$C$6,0),2)</f>
        <v>#N/A</v>
      </c>
      <c r="F4" s="1" t="str">
        <f>IF(Entrevistas!H4="","",Entrevistas!H4)</f>
        <v>Funcionarios</v>
      </c>
      <c r="G4" s="1" t="str">
        <f>IF(Entrevistas!I4="","",Entrevistas!I4)</f>
        <v>Nacional</v>
      </c>
      <c r="H4" s="1" t="str">
        <f>IF(Entrevistas!J4="","",Entrevistas!J4)</f>
        <v>APOYO</v>
      </c>
      <c r="I4" s="2" t="str">
        <f>IF(Entrevistas!K4="","",Entrevistas!K4)</f>
        <v>Contactado</v>
      </c>
      <c r="J4" s="2">
        <f>IF(Entrevistas!L4="","",Entrevistas!L4)</f>
        <v>45943</v>
      </c>
      <c r="K4" s="2">
        <f>IF(Entrevistas!M4="","",Entrevistas!M4)</f>
        <v>45946</v>
      </c>
      <c r="L4" s="2">
        <f>IF(Entrevistas!N4="","",Entrevistas!N4)</f>
        <v>45950</v>
      </c>
      <c r="M4" s="2" t="str">
        <f>IF(Entrevistas!O4="","",Entrevistas!O4)</f>
        <v>Sin respuesta</v>
      </c>
      <c r="N4" s="2" t="str">
        <f>IF(Entrevistas!P4="","",Entrevistas!P4)</f>
        <v/>
      </c>
      <c r="O4" s="2" t="str">
        <f>IF(Entrevistas!Q4="","",Entrevistas!Q4)</f>
        <v/>
      </c>
      <c r="P4" s="1" t="str">
        <f>IF(Entrevistas!R4="","",Entrevistas!R4)</f>
        <v>No realizada</v>
      </c>
      <c r="Q4" s="1" t="str">
        <f>IF(Entrevistas!S4="","",Entrevistas!S4)</f>
        <v/>
      </c>
      <c r="R4" s="1" t="str">
        <f>IF(Entrevistas!T4="","",Entrevistas!T4)</f>
        <v>Sí</v>
      </c>
      <c r="S4" s="1" t="str">
        <f>IF(Entrevistas!U4="","",Entrevistas!U4)</f>
        <v>Autoadministrado</v>
      </c>
      <c r="T4" s="1" t="str">
        <f>IF(Entrevistas!V4="","",Entrevistas!V4)</f>
        <v/>
      </c>
      <c r="U4">
        <f t="shared" si="0"/>
        <v>1</v>
      </c>
      <c r="V4">
        <f t="shared" ref="V4:V13" si="4">IF(M4="En coordinación",1,0)</f>
        <v>0</v>
      </c>
      <c r="W4">
        <f t="shared" si="1"/>
        <v>0</v>
      </c>
      <c r="X4">
        <f t="shared" si="2"/>
        <v>0</v>
      </c>
      <c r="Y4">
        <f t="shared" si="3"/>
        <v>1</v>
      </c>
    </row>
    <row r="5" x14ac:dyDescent="0.35">
      <c r="A5" s="1">
        <f>IF(Entrevistas!A5="","",Entrevistas!A5)</f>
        <v>4</v>
      </c>
      <c r="B5" s="1" t="str">
        <f>IF(Entrevistas!B5="","",Entrevistas!B5)</f>
        <v>Karen De Los Milagros Ucañan Cachy</v>
      </c>
      <c r="C5" s="1" t="str">
        <f>IF(Entrevistas!C5="","",Entrevistas!C5)</f>
        <v>Centros de Acogida Residencial</v>
      </c>
      <c r="D5" s="1" t="str">
        <f>IF(Entrevistas!G5="","",Entrevistas!G5)</f>
        <v>Actores clave</v>
      </c>
      <c r="E5" s="1" t="e">
        <f>+INDEX(Meta!$C$2:$E$6,MATCH(F5,Meta!$C$2:$C$6,0),2)</f>
        <v>#N/A</v>
      </c>
      <c r="F5" s="1" t="str">
        <f>IF(Entrevistas!H5="","",Entrevistas!H5)</f>
        <v>Actores locales</v>
      </c>
      <c r="G5" s="1" t="str">
        <f>IF(Entrevistas!I5="","",Entrevistas!I5)</f>
        <v>Cajamarca</v>
      </c>
      <c r="H5" s="1" t="str">
        <f>IF(Entrevistas!J5="","",Entrevistas!J5)</f>
        <v>APOYO</v>
      </c>
      <c r="I5" s="2" t="str">
        <f>IF(Entrevistas!K5="","",Entrevistas!K5)</f>
        <v>Contactado</v>
      </c>
      <c r="J5" s="2">
        <f>IF(Entrevistas!L5="","",Entrevistas!L5)</f>
        <v>45943</v>
      </c>
      <c r="K5" s="2">
        <f>IF(Entrevistas!M5="","",Entrevistas!M5)</f>
        <v>45945</v>
      </c>
      <c r="L5" s="2">
        <f>IF(Entrevistas!N5="","",Entrevistas!N5)</f>
        <v>45946</v>
      </c>
      <c r="M5" s="2" t="str">
        <f>IF(Entrevistas!O5="","",Entrevistas!O5)</f>
        <v>Sin respuesta</v>
      </c>
      <c r="N5" s="2" t="str">
        <f>IF(Entrevistas!P5="","",Entrevistas!P5)</f>
        <v/>
      </c>
      <c r="O5" s="2" t="str">
        <f>IF(Entrevistas!Q5="","",Entrevistas!Q5)</f>
        <v/>
      </c>
      <c r="P5" s="1" t="str">
        <f>IF(Entrevistas!R5="","",Entrevistas!R5)</f>
        <v>No realizada</v>
      </c>
      <c r="Q5" s="1" t="str">
        <f>IF(Entrevistas!S5="","",Entrevistas!S5)</f>
        <v/>
      </c>
      <c r="R5" s="1" t="str">
        <f>IF(Entrevistas!T5="","",Entrevistas!T5)</f>
        <v>Sí</v>
      </c>
      <c r="S5" s="1" t="str">
        <f>IF(Entrevistas!U5="","",Entrevistas!U5)</f>
        <v>Presencial</v>
      </c>
      <c r="T5" s="1" t="str">
        <f>IF(Entrevistas!V5="","",Entrevistas!V5)</f>
        <v/>
      </c>
      <c r="U5">
        <f t="shared" si="0"/>
        <v>1</v>
      </c>
      <c r="V5">
        <f t="shared" si="4"/>
        <v>0</v>
      </c>
      <c r="W5">
        <f t="shared" si="1"/>
        <v>0</v>
      </c>
      <c r="X5">
        <f t="shared" si="2"/>
        <v>0</v>
      </c>
      <c r="Y5">
        <f t="shared" si="3"/>
        <v>1</v>
      </c>
    </row>
    <row r="6" x14ac:dyDescent="0.35">
      <c r="A6" s="1">
        <f>IF(Entrevistas!A6="","",Entrevistas!A6)</f>
        <v>5</v>
      </c>
      <c r="B6" s="1" t="str">
        <f>IF(Entrevistas!B6="","",Entrevistas!B6)</f>
        <v>María Barbara Venemans De Wilde</v>
      </c>
      <c r="C6" s="1" t="str">
        <f>IF(Entrevistas!C6="","",Entrevistas!C6)</f>
        <v>Centros de Acogida Residencial</v>
      </c>
      <c r="D6" s="1" t="str">
        <f>IF(Entrevistas!G6="","",Entrevistas!G6)</f>
        <v>Actores clave</v>
      </c>
      <c r="E6" s="1" t="e">
        <f>+INDEX(Meta!$C$2:$E$6,MATCH(F6,Meta!$C$2:$C$6,0),2)</f>
        <v>#N/A</v>
      </c>
      <c r="F6" s="1" t="str">
        <f>IF(Entrevistas!H6="","",Entrevistas!H6)</f>
        <v>Actores locales</v>
      </c>
      <c r="G6" s="1" t="str">
        <f>IF(Entrevistas!I6="","",Entrevistas!I6)</f>
        <v>Ayacucho</v>
      </c>
      <c r="H6" s="1" t="str">
        <f>IF(Entrevistas!J6="","",Entrevistas!J6)</f>
        <v>APOYO</v>
      </c>
      <c r="I6" s="2" t="str">
        <f>IF(Entrevistas!K6="","",Entrevistas!K6)</f>
        <v>Contactado</v>
      </c>
      <c r="J6" s="2">
        <f>IF(Entrevistas!L6="","",Entrevistas!L6)</f>
        <v>45943</v>
      </c>
      <c r="K6" s="2">
        <f>IF(Entrevistas!M6="","",Entrevistas!M6)</f>
        <v>45945</v>
      </c>
      <c r="L6" s="2">
        <f>IF(Entrevistas!N6="","",Entrevistas!N6)</f>
        <v>45946</v>
      </c>
      <c r="M6" s="2" t="str">
        <f>IF(Entrevistas!O6="","",Entrevistas!O6)</f>
        <v>Rechazada</v>
      </c>
      <c r="N6" s="2" t="str">
        <f>IF(Entrevistas!P6="","",Entrevistas!P6)</f>
        <v/>
      </c>
      <c r="O6" s="2" t="str">
        <f>IF(Entrevistas!Q6="","",Entrevistas!Q6)</f>
        <v/>
      </c>
      <c r="P6" s="1" t="str">
        <f>IF(Entrevistas!R6="","",Entrevistas!R6)</f>
        <v>No realizada</v>
      </c>
      <c r="Q6" s="1" t="str">
        <f>IF(Entrevistas!S6="","",Entrevistas!S6)</f>
        <v/>
      </c>
      <c r="R6" s="1" t="str">
        <f>IF(Entrevistas!T6="","",Entrevistas!T6)</f>
        <v>Sí</v>
      </c>
      <c r="S6" s="1" t="str">
        <f>IF(Entrevistas!U6="","",Entrevistas!U6)</f>
        <v>A distancia asistido</v>
      </c>
      <c r="T6" s="1" t="str">
        <f>IF(Entrevistas!V6="","",Entrevistas!V6)</f>
        <v>A distancia asistido</v>
      </c>
      <c r="U6">
        <f t="shared" si="0"/>
        <v>1</v>
      </c>
      <c r="V6">
        <f t="shared" si="4"/>
        <v>0</v>
      </c>
      <c r="W6">
        <f t="shared" si="1"/>
        <v>0</v>
      </c>
      <c r="X6">
        <f t="shared" si="2"/>
        <v>0</v>
      </c>
      <c r="Y6">
        <f t="shared" si="3"/>
        <v>0</v>
      </c>
    </row>
    <row r="7" x14ac:dyDescent="0.35">
      <c r="A7" s="1">
        <f>IF(Entrevistas!A7="","",Entrevistas!A7)</f>
        <v>6</v>
      </c>
      <c r="B7" s="1" t="str">
        <f>IF(Entrevistas!B7="","",Entrevistas!B7)</f>
        <v>María Magdalena Resurrección Valdivia</v>
      </c>
      <c r="C7" s="1" t="str">
        <f>IF(Entrevistas!C7="","",Entrevistas!C7)</f>
        <v>Centros de Acogida Residencial</v>
      </c>
      <c r="D7" s="1" t="str">
        <f>IF(Entrevistas!G7="","",Entrevistas!G7)</f>
        <v>Actores clave</v>
      </c>
      <c r="E7" s="1" t="e">
        <f>+INDEX(Meta!$C$2:$E$6,MATCH(F7,Meta!$C$2:$C$6,0),2)</f>
        <v>#N/A</v>
      </c>
      <c r="F7" s="1" t="str">
        <f>IF(Entrevistas!H7="","",Entrevistas!H7)</f>
        <v>Actores locales</v>
      </c>
      <c r="G7" s="1" t="str">
        <f>IF(Entrevistas!I7="","",Entrevistas!I7)</f>
        <v>Huánuco</v>
      </c>
      <c r="H7" s="1" t="str">
        <f>IF(Entrevistas!J7="","",Entrevistas!J7)</f>
        <v>APOYO</v>
      </c>
      <c r="I7" s="2" t="str">
        <f>IF(Entrevistas!K7="","",Entrevistas!K7)</f>
        <v>Contactado</v>
      </c>
      <c r="J7" s="2">
        <f>IF(Entrevistas!L7="","",Entrevistas!L7)</f>
        <v>45943</v>
      </c>
      <c r="K7" s="2">
        <f>IF(Entrevistas!M7="","",Entrevistas!M7)</f>
        <v>45946</v>
      </c>
      <c r="L7" s="2" t="str">
        <f>IF(Entrevistas!N7="","",Entrevistas!N7)</f>
        <v/>
      </c>
      <c r="M7" s="2" t="str">
        <f>IF(Entrevistas!O7="","",Entrevistas!O7)</f>
        <v>Realizada</v>
      </c>
      <c r="N7" s="2">
        <f>IF(Entrevistas!P7="","",Entrevistas!P7)</f>
        <v>45946</v>
      </c>
      <c r="O7" s="2">
        <f>IF(Entrevistas!Q7="","",Entrevistas!Q7)</f>
        <v>45946</v>
      </c>
      <c r="P7" s="1" t="str">
        <f>IF(Entrevistas!R7="","",Entrevistas!R7)</f>
        <v>Completa</v>
      </c>
      <c r="Q7" s="1">
        <f>IF(Entrevistas!S7="","",Entrevistas!S7)</f>
        <v>14</v>
      </c>
      <c r="R7" s="1" t="str">
        <f>IF(Entrevistas!T7="","",Entrevistas!T7)</f>
        <v>Sí</v>
      </c>
      <c r="S7" s="1" t="str">
        <f>IF(Entrevistas!U7="","",Entrevistas!U7)</f>
        <v>Autoadministrado</v>
      </c>
      <c r="T7" s="1" t="str">
        <f>IF(Entrevistas!V7="","",Entrevistas!V7)</f>
        <v>Autoadministrado</v>
      </c>
      <c r="U7">
        <f t="shared" si="0"/>
        <v>1</v>
      </c>
      <c r="V7">
        <f t="shared" si="4"/>
        <v>0</v>
      </c>
      <c r="W7">
        <f t="shared" si="1"/>
        <v>0</v>
      </c>
      <c r="X7">
        <f t="shared" si="2"/>
        <v>1</v>
      </c>
      <c r="Y7">
        <f t="shared" si="3"/>
        <v>0</v>
      </c>
    </row>
    <row r="8" x14ac:dyDescent="0.35">
      <c r="A8" s="1">
        <f>IF(Entrevistas!A8="","",Entrevistas!A8)</f>
        <v>7</v>
      </c>
      <c r="B8" s="1" t="str">
        <f>IF(Entrevistas!B8="","",Entrevistas!B8)</f>
        <v>Angie Vargas</v>
      </c>
      <c r="C8" s="1" t="str">
        <f>IF(Entrevistas!C8="","",Entrevistas!C8)</f>
        <v>Manuela Ramos</v>
      </c>
      <c r="D8" s="1" t="str">
        <f>IF(Entrevistas!G8="","",Entrevistas!G8)</f>
        <v>Actores clave</v>
      </c>
      <c r="E8" s="1" t="e">
        <f>+INDEX(Meta!$C$2:$E$6,MATCH(F8,Meta!$C$2:$C$6,0),2)</f>
        <v>#N/A</v>
      </c>
      <c r="F8" s="1" t="str">
        <f>IF(Entrevistas!H8="","",Entrevistas!H8)</f>
        <v>Actores locales</v>
      </c>
      <c r="G8" s="1" t="str">
        <f>IF(Entrevistas!I8="","",Entrevistas!I8)</f>
        <v>Nacional</v>
      </c>
      <c r="H8" s="1" t="str">
        <f>IF(Entrevistas!J8="","",Entrevistas!J8)</f>
        <v>IJM</v>
      </c>
      <c r="I8" s="2" t="str">
        <f>IF(Entrevistas!K8="","",Entrevistas!K8)</f>
        <v>Contactado</v>
      </c>
      <c r="J8" s="2">
        <f>IF(Entrevistas!L8="","",Entrevistas!L8)</f>
        <v>45943</v>
      </c>
      <c r="K8" s="2" t="str">
        <f>IF(Entrevistas!M8="","",Entrevistas!M8)</f>
        <v/>
      </c>
      <c r="L8" s="2" t="str">
        <f>IF(Entrevistas!N8="","",Entrevistas!N8)</f>
        <v/>
      </c>
      <c r="M8" s="2" t="str">
        <f>IF(Entrevistas!O8="","",Entrevistas!O8)</f>
        <v>Sin respuesta</v>
      </c>
      <c r="N8" s="2" t="str">
        <f>IF(Entrevistas!P8="","",Entrevistas!P8)</f>
        <v/>
      </c>
      <c r="O8" s="2" t="str">
        <f>IF(Entrevistas!Q8="","",Entrevistas!Q8)</f>
        <v/>
      </c>
      <c r="P8" s="1" t="str">
        <f>IF(Entrevistas!R8="","",Entrevistas!R8)</f>
        <v>No realizada</v>
      </c>
      <c r="Q8" s="1" t="str">
        <f>IF(Entrevistas!S8="","",Entrevistas!S8)</f>
        <v/>
      </c>
      <c r="R8" s="1" t="str">
        <f>IF(Entrevistas!T8="","",Entrevistas!T8)</f>
        <v>Sí</v>
      </c>
      <c r="S8" s="1" t="str">
        <f>IF(Entrevistas!U8="","",Entrevistas!U8)</f>
        <v>Presencial</v>
      </c>
      <c r="T8" s="1" t="str">
        <f>IF(Entrevistas!V8="","",Entrevistas!V8)</f>
        <v/>
      </c>
      <c r="U8">
        <f t="shared" si="0"/>
        <v>1</v>
      </c>
      <c r="V8">
        <f t="shared" si="4"/>
        <v>0</v>
      </c>
      <c r="W8">
        <f t="shared" si="1"/>
        <v>0</v>
      </c>
      <c r="X8">
        <f t="shared" si="2"/>
        <v>0</v>
      </c>
      <c r="Y8">
        <f t="shared" si="3"/>
        <v>1</v>
      </c>
    </row>
    <row r="9" x14ac:dyDescent="0.35">
      <c r="A9" s="1">
        <f>IF(Entrevistas!A9="","",Entrevistas!A9)</f>
        <v>8</v>
      </c>
      <c r="B9" s="1" t="str">
        <f>IF(Entrevistas!B9="","",Entrevistas!B9)</f>
        <v>Intikilla Delgado</v>
      </c>
      <c r="C9" s="1" t="str">
        <f>IF(Entrevistas!C9="","",Entrevistas!C9)</f>
        <v>Asociación Kallpa</v>
      </c>
      <c r="D9" s="1" t="str">
        <f>IF(Entrevistas!G9="","",Entrevistas!G9)</f>
        <v>Actores clave</v>
      </c>
      <c r="E9" s="1" t="e">
        <f>+INDEX(Meta!$C$2:$E$6,MATCH(F9,Meta!$C$2:$C$6,0),2)</f>
        <v>#N/A</v>
      </c>
      <c r="F9" s="1" t="str">
        <f>IF(Entrevistas!H9="","",Entrevistas!H9)</f>
        <v>Actores locales</v>
      </c>
      <c r="G9" s="1" t="str">
        <f>IF(Entrevistas!I9="","",Entrevistas!I9)</f>
        <v>Nacional</v>
      </c>
      <c r="H9" s="1" t="str">
        <f>IF(Entrevistas!J9="","",Entrevistas!J9)</f>
        <v>APOYO</v>
      </c>
      <c r="I9" s="2" t="str">
        <f>IF(Entrevistas!K9="","",Entrevistas!K9)</f>
        <v>Contactado</v>
      </c>
      <c r="J9" s="2">
        <f>IF(Entrevistas!L9="","",Entrevistas!L9)</f>
        <v>45943</v>
      </c>
      <c r="K9" s="2" t="str">
        <f>IF(Entrevistas!M9="","",Entrevistas!M9)</f>
        <v/>
      </c>
      <c r="L9" s="2" t="str">
        <f>IF(Entrevistas!N9="","",Entrevistas!N9)</f>
        <v/>
      </c>
      <c r="M9" s="2" t="str">
        <f>IF(Entrevistas!O9="","",Entrevistas!O9)</f>
        <v>Sin respuesta</v>
      </c>
      <c r="N9" s="2" t="str">
        <f>IF(Entrevistas!P9="","",Entrevistas!P9)</f>
        <v/>
      </c>
      <c r="O9" s="2" t="str">
        <f>IF(Entrevistas!Q9="","",Entrevistas!Q9)</f>
        <v/>
      </c>
      <c r="P9" s="1" t="str">
        <f>IF(Entrevistas!R9="","",Entrevistas!R9)</f>
        <v>No realizada</v>
      </c>
      <c r="Q9" s="1" t="str">
        <f>IF(Entrevistas!S9="","",Entrevistas!S9)</f>
        <v/>
      </c>
      <c r="R9" s="1" t="str">
        <f>IF(Entrevistas!T9="","",Entrevistas!T9)</f>
        <v>Sí</v>
      </c>
      <c r="S9" s="1" t="str">
        <f>IF(Entrevistas!U9="","",Entrevistas!U9)</f>
        <v>A distancia asistido</v>
      </c>
      <c r="T9" s="1" t="str">
        <f>IF(Entrevistas!V9="","",Entrevistas!V9)</f>
        <v/>
      </c>
      <c r="U9">
        <f t="shared" si="0"/>
        <v>1</v>
      </c>
      <c r="V9">
        <f t="shared" si="4"/>
        <v>0</v>
      </c>
      <c r="W9">
        <f t="shared" si="1"/>
        <v>0</v>
      </c>
      <c r="X9">
        <f t="shared" si="2"/>
        <v>0</v>
      </c>
      <c r="Y9">
        <f t="shared" si="3"/>
        <v>1</v>
      </c>
    </row>
    <row r="10" x14ac:dyDescent="0.35">
      <c r="A10" s="1">
        <f>IF(Entrevistas!A10="","",Entrevistas!A10)</f>
        <v>9</v>
      </c>
      <c r="B10" s="1" t="str">
        <f>IF(Entrevistas!B10="","",Entrevistas!B10)</f>
        <v>Rosa Peña</v>
      </c>
      <c r="C10" s="1" t="str">
        <f>IF(Entrevistas!C10="","",Entrevistas!C10)</f>
        <v>Kids Alive</v>
      </c>
      <c r="D10" s="1" t="str">
        <f>IF(Entrevistas!G10="","",Entrevistas!G10)</f>
        <v>Actores clave</v>
      </c>
      <c r="E10" s="1" t="e">
        <f>+INDEX(Meta!$C$2:$E$6,MATCH(F10,Meta!$C$2:$C$6,0),2)</f>
        <v>#N/A</v>
      </c>
      <c r="F10" s="1" t="str">
        <f>IF(Entrevistas!H10="","",Entrevistas!H10)</f>
        <v>Actores locales</v>
      </c>
      <c r="G10" s="1" t="str">
        <f>IF(Entrevistas!I10="","",Entrevistas!I10)</f>
        <v>Ucayali</v>
      </c>
      <c r="H10" s="1" t="str">
        <f>IF(Entrevistas!J10="","",Entrevistas!J10)</f>
        <v>APOYO</v>
      </c>
      <c r="I10" s="2" t="str">
        <f>IF(Entrevistas!K10="","",Entrevistas!K10)</f>
        <v>Contactado</v>
      </c>
      <c r="J10" s="2">
        <f>IF(Entrevistas!L10="","",Entrevistas!L10)</f>
        <v>45943</v>
      </c>
      <c r="K10" s="2">
        <f>IF(Entrevistas!M10="","",Entrevistas!M10)</f>
        <v>45946</v>
      </c>
      <c r="L10" s="2">
        <f>IF(Entrevistas!N10="","",Entrevistas!N10)</f>
        <v>45951</v>
      </c>
      <c r="M10" s="2" t="str">
        <f>IF(Entrevistas!O10="","",Entrevistas!O10)</f>
        <v>Realizada</v>
      </c>
      <c r="N10" s="2">
        <f>IF(Entrevistas!P10="","",Entrevistas!P10)</f>
        <v>45951</v>
      </c>
      <c r="O10" s="2">
        <f>IF(Entrevistas!Q10="","",Entrevistas!Q10)</f>
        <v>45951</v>
      </c>
      <c r="P10" s="1" t="str">
        <f>IF(Entrevistas!R10="","",Entrevistas!R10)</f>
        <v>Completa</v>
      </c>
      <c r="Q10" s="1" t="str">
        <f>IF(Entrevistas!S10="","",Entrevistas!S10)</f>
        <v/>
      </c>
      <c r="R10" s="1" t="str">
        <f>IF(Entrevistas!T10="","",Entrevistas!T10)</f>
        <v>Sí</v>
      </c>
      <c r="S10" s="1" t="str">
        <f>IF(Entrevistas!U10="","",Entrevistas!U10)</f>
        <v>Autoadministrado</v>
      </c>
      <c r="T10" s="1" t="str">
        <f>IF(Entrevistas!V10="","",Entrevistas!V10)</f>
        <v>Autoadministrado</v>
      </c>
      <c r="U10">
        <f t="shared" si="0"/>
        <v>1</v>
      </c>
      <c r="V10">
        <f t="shared" si="4"/>
        <v>0</v>
      </c>
      <c r="W10">
        <f t="shared" si="1"/>
        <v>0</v>
      </c>
      <c r="X10">
        <f t="shared" si="2"/>
        <v>1</v>
      </c>
      <c r="Y10">
        <f t="shared" si="3"/>
        <v>0</v>
      </c>
    </row>
    <row r="11" x14ac:dyDescent="0.35">
      <c r="A11" s="1">
        <f>IF(Entrevistas!A11="","",Entrevistas!A11)</f>
        <v>10</v>
      </c>
      <c r="B11" s="1" t="str">
        <f>IF(Entrevistas!B11="","",Entrevistas!B11)</f>
        <v>Kelly Sopla Rojas</v>
      </c>
      <c r="C11" s="1" t="str">
        <f>IF(Entrevistas!C11="","",Entrevistas!C11)</f>
        <v>CEM</v>
      </c>
      <c r="D11" s="1" t="str">
        <f>IF(Entrevistas!G11="","",Entrevistas!G11)</f>
        <v>Actores clave</v>
      </c>
      <c r="E11" s="1" t="e">
        <f>+INDEX(Meta!$C$2:$E$6,MATCH(F11,Meta!$C$2:$C$6,0),2)</f>
        <v>#N/A</v>
      </c>
      <c r="F11" s="1" t="str">
        <f>IF(Entrevistas!H11="","",Entrevistas!H11)</f>
        <v>Acompañantes</v>
      </c>
      <c r="G11" s="1" t="str">
        <f>IF(Entrevistas!I11="","",Entrevistas!I11)</f>
        <v>Lima Norte</v>
      </c>
      <c r="H11" s="1" t="str">
        <f>IF(Entrevistas!J11="","",Entrevistas!J11)</f>
        <v>APOYO</v>
      </c>
      <c r="I11" s="2" t="str">
        <f>IF(Entrevistas!K11="","",Entrevistas!K11)</f>
        <v>Contactado</v>
      </c>
      <c r="J11" s="2">
        <f>IF(Entrevistas!L11="","",Entrevistas!L11)</f>
        <v>45943</v>
      </c>
      <c r="K11" s="2">
        <f>IF(Entrevistas!M11="","",Entrevistas!M11)</f>
        <v>45945</v>
      </c>
      <c r="L11" s="2">
        <f>IF(Entrevistas!N11="","",Entrevistas!N11)</f>
        <v>45946</v>
      </c>
      <c r="M11" s="2" t="str">
        <f>IF(Entrevistas!O11="","",Entrevistas!O11)</f>
        <v>Realizada</v>
      </c>
      <c r="N11" s="2">
        <f>IF(Entrevistas!P11="","",Entrevistas!P11)</f>
        <v>45952</v>
      </c>
      <c r="O11" s="2">
        <f>IF(Entrevistas!Q11="","",Entrevistas!Q11)</f>
        <v>45952</v>
      </c>
      <c r="P11" s="1" t="str">
        <f>IF(Entrevistas!R11="","",Entrevistas!R11)</f>
        <v>Completa</v>
      </c>
      <c r="Q11" s="1" t="str">
        <f>IF(Entrevistas!S11="","",Entrevistas!S11)</f>
        <v/>
      </c>
      <c r="R11" s="1" t="str">
        <f>IF(Entrevistas!T11="","",Entrevistas!T11)</f>
        <v>Sí</v>
      </c>
      <c r="S11" s="1" t="str">
        <f>IF(Entrevistas!U11="","",Entrevistas!U11)</f>
        <v>Presencial</v>
      </c>
      <c r="T11" s="1" t="str">
        <f>IF(Entrevistas!V11="","",Entrevistas!V11)</f>
        <v>A distancia asistido</v>
      </c>
      <c r="U11">
        <f t="shared" si="0"/>
        <v>1</v>
      </c>
      <c r="V11">
        <f t="shared" si="4"/>
        <v>0</v>
      </c>
      <c r="W11">
        <f t="shared" si="1"/>
        <v>0</v>
      </c>
      <c r="X11">
        <f t="shared" si="2"/>
        <v>1</v>
      </c>
      <c r="Y11">
        <f t="shared" si="3"/>
        <v>0</v>
      </c>
    </row>
    <row r="12" x14ac:dyDescent="0.35">
      <c r="A12" s="1">
        <f>IF(Entrevistas!A12="","",Entrevistas!A12)</f>
        <v>11</v>
      </c>
      <c r="B12" s="1" t="str">
        <f>IF(Entrevistas!B12="","",Entrevistas!B12)</f>
        <v>Felix Dulio Sobrado Chavez</v>
      </c>
      <c r="C12" s="1" t="str">
        <f>IF(Entrevistas!C12="","",Entrevistas!C12)</f>
        <v>CEM</v>
      </c>
      <c r="D12" s="1" t="str">
        <f>IF(Entrevistas!G12="","",Entrevistas!G12)</f>
        <v>Actores clave</v>
      </c>
      <c r="E12" s="1" t="e">
        <f>+INDEX(Meta!$C$2:$E$6,MATCH(F12,Meta!$C$2:$C$6,0),2)</f>
        <v>#N/A</v>
      </c>
      <c r="F12" s="1" t="str">
        <f>IF(Entrevistas!H12="","",Entrevistas!H12)</f>
        <v>Acompañantes</v>
      </c>
      <c r="G12" s="1" t="str">
        <f>IF(Entrevistas!I12="","",Entrevistas!I12)</f>
        <v>Huánuco</v>
      </c>
      <c r="H12" s="1" t="str">
        <f>IF(Entrevistas!J12="","",Entrevistas!J12)</f>
        <v>IJM</v>
      </c>
      <c r="I12" s="2" t="str">
        <f>IF(Entrevistas!K12="","",Entrevistas!K12)</f>
        <v>Contactado</v>
      </c>
      <c r="J12" s="2">
        <f>IF(Entrevistas!L12="","",Entrevistas!L12)</f>
        <v>45943</v>
      </c>
      <c r="K12" s="2" t="str">
        <f>IF(Entrevistas!M12="","",Entrevistas!M12)</f>
        <v/>
      </c>
      <c r="L12" s="2" t="str">
        <f>IF(Entrevistas!N12="","",Entrevistas!N12)</f>
        <v/>
      </c>
      <c r="M12" s="2" t="str">
        <f>IF(Entrevistas!O12="","",Entrevistas!O12)</f>
        <v>Sin respuesta</v>
      </c>
      <c r="N12" s="2" t="str">
        <f>IF(Entrevistas!P12="","",Entrevistas!P12)</f>
        <v/>
      </c>
      <c r="O12" s="2" t="str">
        <f>IF(Entrevistas!Q12="","",Entrevistas!Q12)</f>
        <v/>
      </c>
      <c r="P12" s="1" t="str">
        <f>IF(Entrevistas!R12="","",Entrevistas!R12)</f>
        <v>No realizada</v>
      </c>
      <c r="Q12" s="1" t="str">
        <f>IF(Entrevistas!S12="","",Entrevistas!S12)</f>
        <v/>
      </c>
      <c r="R12" s="1" t="str">
        <f>IF(Entrevistas!T12="","",Entrevistas!T12)</f>
        <v>Sí</v>
      </c>
      <c r="S12" s="1" t="str">
        <f>IF(Entrevistas!U12="","",Entrevistas!U12)</f>
        <v>A distancia asistido</v>
      </c>
      <c r="T12" s="1" t="str">
        <f>IF(Entrevistas!V12="","",Entrevistas!V12)</f>
        <v/>
      </c>
      <c r="U12">
        <f t="shared" si="0"/>
        <v>1</v>
      </c>
      <c r="V12">
        <f t="shared" si="4"/>
        <v>0</v>
      </c>
      <c r="W12">
        <f t="shared" si="1"/>
        <v>0</v>
      </c>
      <c r="X12">
        <f t="shared" si="2"/>
        <v>0</v>
      </c>
      <c r="Y12">
        <f t="shared" si="3"/>
        <v>1</v>
      </c>
    </row>
    <row r="13" x14ac:dyDescent="0.35">
      <c r="A13" s="1">
        <f>IF(Entrevistas!A13="","",Entrevistas!A13)</f>
        <v>12</v>
      </c>
      <c r="B13" s="1" t="str">
        <f>IF(Entrevistas!B13="","",Entrevistas!B13)</f>
        <v>Silvio Mestanza Dominguez</v>
      </c>
      <c r="C13" s="1" t="str">
        <f>IF(Entrevistas!C13="","",Entrevistas!C13)</f>
        <v>CEM</v>
      </c>
      <c r="D13" s="1" t="str">
        <f>IF(Entrevistas!G13="","",Entrevistas!G13)</f>
        <v>Actores clave</v>
      </c>
      <c r="E13" s="1" t="e">
        <f>+INDEX(Meta!$C$2:$E$6,MATCH(F13,Meta!$C$2:$C$6,0),2)</f>
        <v>#N/A</v>
      </c>
      <c r="F13" s="1" t="str">
        <f>IF(Entrevistas!H13="","",Entrevistas!H13)</f>
        <v>Acompañantes</v>
      </c>
      <c r="G13" s="1" t="str">
        <f>IF(Entrevistas!I13="","",Entrevistas!I13)</f>
        <v>Loreto</v>
      </c>
      <c r="H13" s="1" t="str">
        <f>IF(Entrevistas!J13="","",Entrevistas!J13)</f>
        <v>APOYO</v>
      </c>
      <c r="I13" s="2" t="str">
        <f>IF(Entrevistas!K13="","",Entrevistas!K13)</f>
        <v>Contactado</v>
      </c>
      <c r="J13" s="2">
        <f>IF(Entrevistas!L13="","",Entrevistas!L13)</f>
        <v>45943</v>
      </c>
      <c r="K13" s="2">
        <f>IF(Entrevistas!M13="","",Entrevistas!M13)</f>
        <v>45946</v>
      </c>
      <c r="L13" s="2">
        <f>IF(Entrevistas!N13="","",Entrevistas!N13)</f>
        <v>45947</v>
      </c>
      <c r="M13" s="2" t="str">
        <f>IF(Entrevistas!O13="","",Entrevistas!O13)</f>
        <v>Sin respuesta</v>
      </c>
      <c r="N13" s="2" t="str">
        <f>IF(Entrevistas!P13="","",Entrevistas!P13)</f>
        <v/>
      </c>
      <c r="O13" s="2" t="str">
        <f>IF(Entrevistas!Q13="","",Entrevistas!Q13)</f>
        <v/>
      </c>
      <c r="P13" s="1" t="str">
        <f>IF(Entrevistas!R13="","",Entrevistas!R13)</f>
        <v>No realizada</v>
      </c>
      <c r="Q13" s="1" t="str">
        <f>IF(Entrevistas!S13="","",Entrevistas!S13)</f>
        <v/>
      </c>
      <c r="R13" s="1" t="str">
        <f>IF(Entrevistas!T13="","",Entrevistas!T13)</f>
        <v>Sí</v>
      </c>
      <c r="S13" s="1" t="str">
        <f>IF(Entrevistas!U13="","",Entrevistas!U13)</f>
        <v>Autoadministrado</v>
      </c>
      <c r="T13" s="1" t="str">
        <f>IF(Entrevistas!V13="","",Entrevistas!V13)</f>
        <v/>
      </c>
      <c r="U13">
        <f t="shared" si="0"/>
        <v>1</v>
      </c>
      <c r="V13">
        <f t="shared" si="4"/>
        <v>0</v>
      </c>
      <c r="W13">
        <f t="shared" si="1"/>
        <v>0</v>
      </c>
      <c r="X13">
        <f t="shared" si="2"/>
        <v>0</v>
      </c>
      <c r="Y13">
        <f t="shared" si="3"/>
        <v>1</v>
      </c>
    </row>
    <row r="14" x14ac:dyDescent="0.35">
      <c r="A14" s="1">
        <f>IF(Entrevistas!A14="","",Entrevistas!A14)</f>
        <v>13</v>
      </c>
      <c r="B14" s="1" t="str">
        <f>IF(Entrevistas!B14="","",Entrevistas!B14)</f>
        <v>Ana Susana Cercado Silva</v>
      </c>
      <c r="C14" s="1" t="str">
        <f>IF(Entrevistas!C14="","",Entrevistas!C14)</f>
        <v>Ministerio Público</v>
      </c>
      <c r="D14" s="1" t="str">
        <f>IF(Entrevistas!G14="","",Entrevistas!G14)</f>
        <v>Actores clave</v>
      </c>
      <c r="E14" s="1" t="e">
        <f>+INDEX(Meta!$C$2:$E$6,MATCH(F14,Meta!$C$2:$C$6,0),2)</f>
        <v>#N/A</v>
      </c>
      <c r="F14" s="1" t="str">
        <f>IF(Entrevistas!H14="","",Entrevistas!H14)</f>
        <v>Funcionarios</v>
      </c>
      <c r="G14" s="1" t="str">
        <f>IF(Entrevistas!I14="","",Entrevistas!I14)</f>
        <v>Cajamarca</v>
      </c>
      <c r="H14" s="1" t="str">
        <f>IF(Entrevistas!J14="","",Entrevistas!J14)</f>
        <v>APOYO</v>
      </c>
      <c r="I14" s="2" t="str">
        <f>IF(Entrevistas!K14="","",Entrevistas!K14)</f>
        <v>Contactado</v>
      </c>
      <c r="J14" s="2" t="str">
        <f>IF(Entrevistas!L14="","",Entrevistas!L14)</f>
        <v/>
      </c>
      <c r="K14" s="2" t="str">
        <f>IF(Entrevistas!M14="","",Entrevistas!M14)</f>
        <v/>
      </c>
      <c r="L14" s="2" t="str">
        <f>IF(Entrevistas!N14="","",Entrevistas!N14)</f>
        <v/>
      </c>
      <c r="M14" s="2" t="str">
        <f>IF(Entrevistas!O14="","",Entrevistas!O14)</f>
        <v>Realizada</v>
      </c>
      <c r="N14" s="2">
        <f>IF(Entrevistas!P14="","",Entrevistas!P14)</f>
        <v>45964</v>
      </c>
      <c r="O14" s="2">
        <f>IF(Entrevistas!Q14="","",Entrevistas!Q14)</f>
        <v>45964</v>
      </c>
      <c r="P14" s="1" t="str">
        <f>IF(Entrevistas!R14="","",Entrevistas!R14)</f>
        <v>Completa</v>
      </c>
      <c r="Q14" s="1">
        <f>IF(Entrevistas!S14="","",Entrevistas!S14)</f>
        <v>60</v>
      </c>
      <c r="R14" s="1" t="str">
        <f>IF(Entrevistas!T14="","",Entrevistas!T14)</f>
        <v>No</v>
      </c>
      <c r="S14" s="1" t="str">
        <f>IF(Entrevistas!U14="","",Entrevistas!U14)</f>
        <v>A distancia asistido</v>
      </c>
      <c r="T14" s="1" t="str">
        <f>IF(Entrevistas!V14="","",Entrevistas!V14)</f>
        <v>A distancia asistido</v>
      </c>
      <c r="U14">
        <f t="shared" ref="U14:U22" si="5">IF(I14="Contactado",1,0)</f>
        <v>1</v>
      </c>
      <c r="V14">
        <f t="shared" ref="V14:V22" si="6">IF(M14="En coordinación",1,0)</f>
        <v>0</v>
      </c>
      <c r="W14">
        <f t="shared" ref="W14:W22" si="7">IF(M14="Aceptada",1,0)</f>
        <v>0</v>
      </c>
      <c r="X14">
        <f t="shared" ref="X14:X22" si="8">IF(M14="Realizada",1,0)</f>
        <v>1</v>
      </c>
      <c r="Y14">
        <f t="shared" ref="Y14:Y22" si="9">IF(M14="Sin respuesta",1,0)</f>
        <v>0</v>
      </c>
    </row>
    <row r="15" x14ac:dyDescent="0.35">
      <c r="A15" s="1">
        <f>IF(Entrevistas!A15="","",Entrevistas!A15)</f>
        <v>14</v>
      </c>
      <c r="B15" s="1" t="str">
        <f>IF(Entrevistas!B15="","",Entrevistas!B15)</f>
        <v>Luz Esperanza Rumay Cerna</v>
      </c>
      <c r="C15" s="1" t="str">
        <f>IF(Entrevistas!C15="","",Entrevistas!C15)</f>
        <v>Centros de Acogida Residencial</v>
      </c>
      <c r="D15" s="1" t="str">
        <f>IF(Entrevistas!G15="","",Entrevistas!G15)</f>
        <v>Actores clave</v>
      </c>
      <c r="E15" s="1" t="e">
        <f>+INDEX(Meta!$C$2:$E$6,MATCH(F15,Meta!$C$2:$C$6,0),2)</f>
        <v>#N/A</v>
      </c>
      <c r="F15" s="1" t="str">
        <f>IF(Entrevistas!H15="","",Entrevistas!H15)</f>
        <v>Actores locales</v>
      </c>
      <c r="G15" s="1" t="str">
        <f>IF(Entrevistas!I15="","",Entrevistas!I15)</f>
        <v>Cajamarca</v>
      </c>
      <c r="H15" s="1" t="str">
        <f>IF(Entrevistas!J15="","",Entrevistas!J15)</f>
        <v>APOYO</v>
      </c>
      <c r="I15" s="2" t="str">
        <f>IF(Entrevistas!K15="","",Entrevistas!K15)</f>
        <v>Contactado</v>
      </c>
      <c r="J15" s="2">
        <f>IF(Entrevistas!L15="","",Entrevistas!L15)</f>
        <v>45950</v>
      </c>
      <c r="K15" s="2">
        <f>IF(Entrevistas!M15="","",Entrevistas!M15)</f>
        <v>45960</v>
      </c>
      <c r="L15" s="2">
        <f>IF(Entrevistas!N15="","",Entrevistas!N15)</f>
        <v>45964</v>
      </c>
      <c r="M15" s="2" t="str">
        <f>IF(Entrevistas!O15="","",Entrevistas!O15)</f>
        <v>Realizada</v>
      </c>
      <c r="N15" s="2">
        <f>IF(Entrevistas!P15="","",Entrevistas!P15)</f>
        <v>45972</v>
      </c>
      <c r="O15" s="2" t="str">
        <f>IF(Entrevistas!Q15="","",Entrevistas!Q15)</f>
        <v/>
      </c>
      <c r="P15" s="1" t="str">
        <f>IF(Entrevistas!R15="","",Entrevistas!R15)</f>
        <v>Completa</v>
      </c>
      <c r="Q15" s="1" t="str">
        <f>IF(Entrevistas!S15="","",Entrevistas!S15)</f>
        <v/>
      </c>
      <c r="R15" s="1" t="str">
        <f>IF(Entrevistas!T15="","",Entrevistas!T15)</f>
        <v>No</v>
      </c>
      <c r="S15" s="1" t="str">
        <f>IF(Entrevistas!U15="","",Entrevistas!U15)</f>
        <v>Presencial</v>
      </c>
      <c r="T15" s="1" t="str">
        <f>IF(Entrevistas!V15="","",Entrevistas!V15)</f>
        <v>A distancia asistido</v>
      </c>
      <c r="U15">
        <f t="shared" si="5"/>
        <v>1</v>
      </c>
      <c r="V15">
        <f t="shared" si="6"/>
        <v>0</v>
      </c>
      <c r="W15">
        <f t="shared" si="7"/>
        <v>0</v>
      </c>
      <c r="X15">
        <f t="shared" si="8"/>
        <v>1</v>
      </c>
      <c r="Y15">
        <f t="shared" si="9"/>
        <v>0</v>
      </c>
    </row>
    <row r="16" x14ac:dyDescent="0.35">
      <c r="A16" s="1">
        <f>IF(Entrevistas!A16="","",Entrevistas!A16)</f>
        <v>15</v>
      </c>
      <c r="B16" s="1" t="str">
        <f>IF(Entrevistas!B16="","",Entrevistas!B16)</f>
        <v>Delmir</v>
      </c>
      <c r="C16" s="1" t="str">
        <f>IF(Entrevistas!C16="","",Entrevistas!C16)</f>
        <v>Centros de Acogida Residencial</v>
      </c>
      <c r="D16" s="1" t="str">
        <f>IF(Entrevistas!G16="","",Entrevistas!G16)</f>
        <v>Actores clave</v>
      </c>
      <c r="E16" s="1" t="e">
        <f>+INDEX(Meta!$C$2:$E$6,MATCH(F16,Meta!$C$2:$C$6,0),2)</f>
        <v>#N/A</v>
      </c>
      <c r="F16" s="1" t="str">
        <f>IF(Entrevistas!H16="","",Entrevistas!H16)</f>
        <v>Actores locales</v>
      </c>
      <c r="G16" s="1" t="str">
        <f>IF(Entrevistas!I16="","",Entrevistas!I16)</f>
        <v>Ayacucho</v>
      </c>
      <c r="H16" s="1" t="str">
        <f>IF(Entrevistas!J16="","",Entrevistas!J16)</f>
        <v>APOYO</v>
      </c>
      <c r="I16" s="2" t="str">
        <f>IF(Entrevistas!K16="","",Entrevistas!K16)</f>
        <v>Contactado</v>
      </c>
      <c r="J16" s="2">
        <f>IF(Entrevistas!L16="","",Entrevistas!L16)</f>
        <v>45946</v>
      </c>
      <c r="K16" s="2" t="str">
        <f>IF(Entrevistas!M16="","",Entrevistas!M16)</f>
        <v/>
      </c>
      <c r="L16" s="2" t="str">
        <f>IF(Entrevistas!N16="","",Entrevistas!N16)</f>
        <v/>
      </c>
      <c r="M16" s="2" t="str">
        <f>IF(Entrevistas!O16="","",Entrevistas!O16)</f>
        <v>Realizada</v>
      </c>
      <c r="N16" s="2">
        <f>IF(Entrevistas!P16="","",Entrevistas!P16)</f>
        <v>45953</v>
      </c>
      <c r="O16" s="2">
        <f>IF(Entrevistas!Q16="","",Entrevistas!Q16)</f>
        <v>45953</v>
      </c>
      <c r="P16" s="1" t="str">
        <f>IF(Entrevistas!R16="","",Entrevistas!R16)</f>
        <v>Completa</v>
      </c>
      <c r="Q16" s="1">
        <f>IF(Entrevistas!S16="","",Entrevistas!S16)</f>
        <v>60</v>
      </c>
      <c r="R16" s="1" t="str">
        <f>IF(Entrevistas!T16="","",Entrevistas!T16)</f>
        <v>No</v>
      </c>
      <c r="S16" s="1" t="str">
        <f>IF(Entrevistas!U16="","",Entrevistas!U16)</f>
        <v>A distancia asistido</v>
      </c>
      <c r="T16" s="1" t="str">
        <f>IF(Entrevistas!V16="","",Entrevistas!V16)</f>
        <v>A distancia asistido</v>
      </c>
      <c r="U16">
        <f t="shared" si="5"/>
        <v>1</v>
      </c>
      <c r="V16">
        <f t="shared" si="6"/>
        <v>0</v>
      </c>
      <c r="W16">
        <f t="shared" si="7"/>
        <v>0</v>
      </c>
      <c r="X16">
        <f t="shared" si="8"/>
        <v>1</v>
      </c>
      <c r="Y16">
        <f t="shared" si="9"/>
        <v>0</v>
      </c>
    </row>
    <row r="17" x14ac:dyDescent="0.35">
      <c r="A17" s="1">
        <f>IF(Entrevistas!A17="","",Entrevistas!A17)</f>
        <v>16</v>
      </c>
      <c r="B17" s="1" t="str">
        <f>IF(Entrevistas!B17="","",Entrevistas!B17)</f>
        <v>Sobreviviente 1</v>
      </c>
      <c r="C17" s="1" t="str">
        <f>IF(Entrevistas!C17="","",Entrevistas!C17)</f>
        <v>n.a.</v>
      </c>
      <c r="D17" s="1" t="str">
        <f>IF(Entrevistas!G17="","",Entrevistas!G17)</f>
        <v>Sobrevivientes y líderes sobrevivientes</v>
      </c>
      <c r="E17" s="1" t="e">
        <f>+INDEX(Meta!$C$2:$E$6,MATCH(F17,Meta!$C$2:$C$6,0),2)</f>
        <v>#N/A</v>
      </c>
      <c r="F17" s="1" t="str">
        <f>IF(Entrevistas!H17="","",Entrevistas!H17)</f>
        <v>Sobreviviente</v>
      </c>
      <c r="G17" s="1" t="str">
        <f>IF(Entrevistas!I17="","",Entrevistas!I17)</f>
        <v>Apurímac</v>
      </c>
      <c r="H17" s="1" t="str">
        <f>IF(Entrevistas!J17="","",Entrevistas!J17)</f>
        <v>IJM</v>
      </c>
      <c r="I17" s="2" t="str">
        <f>IF(Entrevistas!K17="","",Entrevistas!K17)</f>
        <v>Contactado</v>
      </c>
      <c r="J17" s="2" t="str">
        <f>IF(Entrevistas!L17="","",Entrevistas!L17)</f>
        <v/>
      </c>
      <c r="K17" s="2" t="str">
        <f>IF(Entrevistas!M17="","",Entrevistas!M17)</f>
        <v/>
      </c>
      <c r="L17" s="2" t="str">
        <f>IF(Entrevistas!N17="","",Entrevistas!N17)</f>
        <v/>
      </c>
      <c r="M17" s="2" t="str">
        <f>IF(Entrevistas!O17="","",Entrevistas!O17)</f>
        <v>Realizada</v>
      </c>
      <c r="N17" s="2">
        <f>IF(Entrevistas!P17="","",Entrevistas!P17)</f>
        <v>45951</v>
      </c>
      <c r="O17" s="2">
        <f>IF(Entrevistas!Q17="","",Entrevistas!Q17)</f>
        <v>45951</v>
      </c>
      <c r="P17" s="1" t="str">
        <f>IF(Entrevistas!R17="","",Entrevistas!R17)</f>
        <v>Completa</v>
      </c>
      <c r="Q17" s="1" t="str">
        <f>IF(Entrevistas!S17="","",Entrevistas!S17)</f>
        <v/>
      </c>
      <c r="R17" s="1" t="str">
        <f>IF(Entrevistas!T17="","",Entrevistas!T17)</f>
        <v>n.a.</v>
      </c>
      <c r="S17" s="1" t="str">
        <f>IF(Entrevistas!U17="","",Entrevistas!U17)</f>
        <v>Presencial</v>
      </c>
      <c r="T17" s="1" t="str">
        <f>IF(Entrevistas!V17="","",Entrevistas!V17)</f>
        <v>Presencial</v>
      </c>
      <c r="U17">
        <f t="shared" si="5"/>
        <v>1</v>
      </c>
      <c r="V17">
        <f t="shared" si="6"/>
        <v>0</v>
      </c>
      <c r="W17">
        <f t="shared" si="7"/>
        <v>0</v>
      </c>
      <c r="X17">
        <f t="shared" si="8"/>
        <v>1</v>
      </c>
      <c r="Y17">
        <f t="shared" si="9"/>
        <v>0</v>
      </c>
    </row>
    <row r="18" x14ac:dyDescent="0.35">
      <c r="A18" s="1">
        <f>IF(Entrevistas!A18="","",Entrevistas!A18)</f>
        <v>17</v>
      </c>
      <c r="B18" s="1" t="str">
        <f>IF(Entrevistas!B18="","",Entrevistas!B18)</f>
        <v>Sobreviviente 2</v>
      </c>
      <c r="C18" s="1" t="str">
        <f>IF(Entrevistas!C18="","",Entrevistas!C18)</f>
        <v>n.a.</v>
      </c>
      <c r="D18" s="1" t="str">
        <f>IF(Entrevistas!G18="","",Entrevistas!G18)</f>
        <v>Sobrevivientes y líderes sobrevivientes</v>
      </c>
      <c r="E18" s="1" t="e">
        <f>+INDEX(Meta!$C$2:$E$6,MATCH(F18,Meta!$C$2:$C$6,0),2)</f>
        <v>#N/A</v>
      </c>
      <c r="F18" s="1" t="str">
        <f>IF(Entrevistas!H18="","",Entrevistas!H18)</f>
        <v>Sobreviviente</v>
      </c>
      <c r="G18" s="1" t="str">
        <f>IF(Entrevistas!I18="","",Entrevistas!I18)</f>
        <v>Apurímac</v>
      </c>
      <c r="H18" s="1" t="str">
        <f>IF(Entrevistas!J18="","",Entrevistas!J18)</f>
        <v>IJM</v>
      </c>
      <c r="I18" s="2" t="str">
        <f>IF(Entrevistas!K18="","",Entrevistas!K18)</f>
        <v>Contactado</v>
      </c>
      <c r="J18" s="2" t="str">
        <f>IF(Entrevistas!L18="","",Entrevistas!L18)</f>
        <v/>
      </c>
      <c r="K18" s="2" t="str">
        <f>IF(Entrevistas!M18="","",Entrevistas!M18)</f>
        <v/>
      </c>
      <c r="L18" s="2" t="str">
        <f>IF(Entrevistas!N18="","",Entrevistas!N18)</f>
        <v/>
      </c>
      <c r="M18" s="2" t="str">
        <f>IF(Entrevistas!O18="","",Entrevistas!O18)</f>
        <v>Realizada</v>
      </c>
      <c r="N18" s="2">
        <f>IF(Entrevistas!P18="","",Entrevistas!P18)</f>
        <v>45951</v>
      </c>
      <c r="O18" s="2">
        <f>IF(Entrevistas!Q18="","",Entrevistas!Q18)</f>
        <v>45951</v>
      </c>
      <c r="P18" s="1" t="str">
        <f>IF(Entrevistas!R18="","",Entrevistas!R18)</f>
        <v>Completa</v>
      </c>
      <c r="Q18" s="1" t="str">
        <f>IF(Entrevistas!S18="","",Entrevistas!S18)</f>
        <v/>
      </c>
      <c r="R18" s="1" t="str">
        <f>IF(Entrevistas!T18="","",Entrevistas!T18)</f>
        <v>n.a.</v>
      </c>
      <c r="S18" s="1" t="str">
        <f>IF(Entrevistas!U18="","",Entrevistas!U18)</f>
        <v>Presencial</v>
      </c>
      <c r="T18" s="1" t="str">
        <f>IF(Entrevistas!V18="","",Entrevistas!V18)</f>
        <v>Presencial</v>
      </c>
      <c r="U18">
        <f t="shared" si="5"/>
        <v>1</v>
      </c>
      <c r="V18">
        <f t="shared" si="6"/>
        <v>0</v>
      </c>
      <c r="W18">
        <f t="shared" si="7"/>
        <v>0</v>
      </c>
      <c r="X18">
        <f t="shared" si="8"/>
        <v>1</v>
      </c>
      <c r="Y18">
        <f t="shared" si="9"/>
        <v>0</v>
      </c>
    </row>
    <row r="19" x14ac:dyDescent="0.35">
      <c r="A19" s="1">
        <f>IF(Entrevistas!A19="","",Entrevistas!A19)</f>
        <v>18</v>
      </c>
      <c r="B19" s="1" t="str">
        <f>IF(Entrevistas!B19="","",Entrevistas!B19)</f>
        <v>Sobreviviente 3</v>
      </c>
      <c r="C19" s="1" t="str">
        <f>IF(Entrevistas!C19="","",Entrevistas!C19)</f>
        <v>n.a.</v>
      </c>
      <c r="D19" s="1" t="str">
        <f>IF(Entrevistas!G19="","",Entrevistas!G19)</f>
        <v>Sobrevivientes y líderes sobrevivientes</v>
      </c>
      <c r="E19" s="1" t="e">
        <f>+INDEX(Meta!$C$2:$E$6,MATCH(F19,Meta!$C$2:$C$6,0),2)</f>
        <v>#N/A</v>
      </c>
      <c r="F19" s="1" t="str">
        <f>IF(Entrevistas!H19="","",Entrevistas!H19)</f>
        <v>Sobreviviente</v>
      </c>
      <c r="G19" s="1" t="str">
        <f>IF(Entrevistas!I19="","",Entrevistas!I19)</f>
        <v>Lima Norte</v>
      </c>
      <c r="H19" s="1" t="str">
        <f>IF(Entrevistas!J19="","",Entrevistas!J19)</f>
        <v>IJM</v>
      </c>
      <c r="I19" s="2" t="str">
        <f>IF(Entrevistas!K19="","",Entrevistas!K19)</f>
        <v>Contactado</v>
      </c>
      <c r="J19" s="2" t="str">
        <f>IF(Entrevistas!L19="","",Entrevistas!L19)</f>
        <v/>
      </c>
      <c r="K19" s="2" t="str">
        <f>IF(Entrevistas!M19="","",Entrevistas!M19)</f>
        <v/>
      </c>
      <c r="L19" s="2" t="str">
        <f>IF(Entrevistas!N19="","",Entrevistas!N19)</f>
        <v/>
      </c>
      <c r="M19" s="2" t="str">
        <f>IF(Entrevistas!O19="","",Entrevistas!O19)</f>
        <v>Realizada</v>
      </c>
      <c r="N19" s="2">
        <f>IF(Entrevistas!P19="","",Entrevistas!P19)</f>
        <v>45958</v>
      </c>
      <c r="O19" s="2">
        <f>IF(Entrevistas!Q19="","",Entrevistas!Q19)</f>
        <v>45958</v>
      </c>
      <c r="P19" s="1" t="str">
        <f>IF(Entrevistas!R19="","",Entrevistas!R19)</f>
        <v>Completa</v>
      </c>
      <c r="Q19" s="1" t="str">
        <f>IF(Entrevistas!S19="","",Entrevistas!S19)</f>
        <v/>
      </c>
      <c r="R19" s="1" t="str">
        <f>IF(Entrevistas!T19="","",Entrevistas!T19)</f>
        <v>n.a.</v>
      </c>
      <c r="S19" s="1" t="str">
        <f>IF(Entrevistas!U19="","",Entrevistas!U19)</f>
        <v>Presencial</v>
      </c>
      <c r="T19" s="1" t="str">
        <f>IF(Entrevistas!V19="","",Entrevistas!V19)</f>
        <v>Presencial</v>
      </c>
      <c r="U19">
        <f t="shared" si="5"/>
        <v>1</v>
      </c>
      <c r="V19">
        <f t="shared" si="6"/>
        <v>0</v>
      </c>
      <c r="W19">
        <f t="shared" si="7"/>
        <v>0</v>
      </c>
      <c r="X19">
        <f t="shared" si="8"/>
        <v>1</v>
      </c>
      <c r="Y19">
        <f t="shared" si="9"/>
        <v>0</v>
      </c>
    </row>
    <row r="20" x14ac:dyDescent="0.35">
      <c r="A20" s="1">
        <f>IF(Entrevistas!A20="","",Entrevistas!A20)</f>
        <v>19</v>
      </c>
      <c r="B20" s="1" t="str">
        <f>IF(Entrevistas!B20="","",Entrevistas!B20)</f>
        <v>Sobreviviente 4</v>
      </c>
      <c r="C20" s="1" t="str">
        <f>IF(Entrevistas!C20="","",Entrevistas!C20)</f>
        <v>n.a.</v>
      </c>
      <c r="D20" s="1" t="str">
        <f>IF(Entrevistas!G20="","",Entrevistas!G20)</f>
        <v>Sobrevivientes y líderes sobrevivientes</v>
      </c>
      <c r="E20" s="1" t="e">
        <f>+INDEX(Meta!$C$2:$E$6,MATCH(F20,Meta!$C$2:$C$6,0),2)</f>
        <v>#N/A</v>
      </c>
      <c r="F20" s="1" t="str">
        <f>IF(Entrevistas!H20="","",Entrevistas!H20)</f>
        <v>Sobreviviente</v>
      </c>
      <c r="G20" s="1" t="str">
        <f>IF(Entrevistas!I20="","",Entrevistas!I20)</f>
        <v>Lima Norte</v>
      </c>
      <c r="H20" s="1" t="str">
        <f>IF(Entrevistas!J20="","",Entrevistas!J20)</f>
        <v>IJM</v>
      </c>
      <c r="I20" s="2" t="str">
        <f>IF(Entrevistas!K20="","",Entrevistas!K20)</f>
        <v>Contactado</v>
      </c>
      <c r="J20" s="2" t="str">
        <f>IF(Entrevistas!L20="","",Entrevistas!L20)</f>
        <v/>
      </c>
      <c r="K20" s="2" t="str">
        <f>IF(Entrevistas!M20="","",Entrevistas!M20)</f>
        <v/>
      </c>
      <c r="L20" s="2" t="str">
        <f>IF(Entrevistas!N20="","",Entrevistas!N20)</f>
        <v/>
      </c>
      <c r="M20" s="2" t="str">
        <f>IF(Entrevistas!O20="","",Entrevistas!O20)</f>
        <v>Realizada</v>
      </c>
      <c r="N20" s="2">
        <f>IF(Entrevistas!P20="","",Entrevistas!P20)</f>
        <v>45958</v>
      </c>
      <c r="O20" s="2">
        <f>IF(Entrevistas!Q20="","",Entrevistas!Q20)</f>
        <v>45958</v>
      </c>
      <c r="P20" s="1" t="str">
        <f>IF(Entrevistas!R20="","",Entrevistas!R20)</f>
        <v>Completa</v>
      </c>
      <c r="Q20" s="1" t="str">
        <f>IF(Entrevistas!S20="","",Entrevistas!S20)</f>
        <v/>
      </c>
      <c r="R20" s="1" t="str">
        <f>IF(Entrevistas!T20="","",Entrevistas!T20)</f>
        <v>n.a.</v>
      </c>
      <c r="S20" s="1" t="str">
        <f>IF(Entrevistas!U20="","",Entrevistas!U20)</f>
        <v>Presencial</v>
      </c>
      <c r="T20" s="1" t="str">
        <f>IF(Entrevistas!V20="","",Entrevistas!V20)</f>
        <v>Presencial</v>
      </c>
      <c r="U20">
        <f t="shared" si="5"/>
        <v>1</v>
      </c>
      <c r="V20">
        <f t="shared" si="6"/>
        <v>0</v>
      </c>
      <c r="W20">
        <f t="shared" si="7"/>
        <v>0</v>
      </c>
      <c r="X20">
        <f t="shared" si="8"/>
        <v>1</v>
      </c>
      <c r="Y20">
        <f t="shared" si="9"/>
        <v>0</v>
      </c>
    </row>
    <row r="21" x14ac:dyDescent="0.35">
      <c r="A21" s="1">
        <f>IF(Entrevistas!A21="","",Entrevistas!A21)</f>
        <v>20</v>
      </c>
      <c r="B21" s="1" t="str">
        <f>IF(Entrevistas!B21="","",Entrevistas!B21)</f>
        <v>Sobreviviente 5</v>
      </c>
      <c r="C21" s="1" t="str">
        <f>IF(Entrevistas!C21="","",Entrevistas!C21)</f>
        <v>n.a.</v>
      </c>
      <c r="D21" s="1" t="str">
        <f>IF(Entrevistas!G21="","",Entrevistas!G21)</f>
        <v>Sobrevivientes y líderes sobrevivientes</v>
      </c>
      <c r="E21" s="1" t="e">
        <f>+INDEX(Meta!$C$2:$E$6,MATCH(F21,Meta!$C$2:$C$6,0),2)</f>
        <v>#N/A</v>
      </c>
      <c r="F21" s="1" t="str">
        <f>IF(Entrevistas!H21="","",Entrevistas!H21)</f>
        <v>Sobreviviente</v>
      </c>
      <c r="G21" s="1" t="str">
        <f>IF(Entrevistas!I21="","",Entrevistas!I21)</f>
        <v>Lima Norte</v>
      </c>
      <c r="H21" s="1" t="str">
        <f>IF(Entrevistas!J21="","",Entrevistas!J21)</f>
        <v>IJM</v>
      </c>
      <c r="I21" s="2" t="str">
        <f>IF(Entrevistas!K21="","",Entrevistas!K21)</f>
        <v>Contactado</v>
      </c>
      <c r="J21" s="2" t="str">
        <f>IF(Entrevistas!L21="","",Entrevistas!L21)</f>
        <v/>
      </c>
      <c r="K21" s="2" t="str">
        <f>IF(Entrevistas!M21="","",Entrevistas!M21)</f>
        <v/>
      </c>
      <c r="L21" s="2" t="str">
        <f>IF(Entrevistas!N21="","",Entrevistas!N21)</f>
        <v/>
      </c>
      <c r="M21" s="2" t="str">
        <f>IF(Entrevistas!O21="","",Entrevistas!O21)</f>
        <v>Realizada</v>
      </c>
      <c r="N21" s="2">
        <f>IF(Entrevistas!P21="","",Entrevistas!P21)</f>
        <v>45958</v>
      </c>
      <c r="O21" s="2">
        <f>IF(Entrevistas!Q21="","",Entrevistas!Q21)</f>
        <v>45958</v>
      </c>
      <c r="P21" s="1" t="str">
        <f>IF(Entrevistas!R21="","",Entrevistas!R21)</f>
        <v>Completa</v>
      </c>
      <c r="Q21" s="1" t="str">
        <f>IF(Entrevistas!S21="","",Entrevistas!S21)</f>
        <v/>
      </c>
      <c r="R21" s="1" t="str">
        <f>IF(Entrevistas!T21="","",Entrevistas!T21)</f>
        <v>n.a.</v>
      </c>
      <c r="S21" s="1" t="str">
        <f>IF(Entrevistas!U21="","",Entrevistas!U21)</f>
        <v>Presencial</v>
      </c>
      <c r="T21" s="1" t="str">
        <f>IF(Entrevistas!V21="","",Entrevistas!V21)</f>
        <v>Presencial</v>
      </c>
      <c r="U21">
        <f t="shared" si="5"/>
        <v>1</v>
      </c>
      <c r="V21">
        <f t="shared" si="6"/>
        <v>0</v>
      </c>
      <c r="W21">
        <f t="shared" si="7"/>
        <v>0</v>
      </c>
      <c r="X21">
        <f t="shared" si="8"/>
        <v>1</v>
      </c>
      <c r="Y21">
        <f t="shared" si="9"/>
        <v>0</v>
      </c>
    </row>
    <row r="22" x14ac:dyDescent="0.35">
      <c r="A22" s="1">
        <f>IF(Entrevistas!A22="","",Entrevistas!A22)</f>
        <v>21</v>
      </c>
      <c r="B22" s="1" t="str">
        <f>IF(Entrevistas!B22="","",Entrevistas!B22)</f>
        <v>Líder sobreviviente 1</v>
      </c>
      <c r="C22" s="1" t="str">
        <f>IF(Entrevistas!C22="","",Entrevistas!C22)</f>
        <v>n.a.</v>
      </c>
      <c r="D22" s="1" t="str">
        <f>IF(Entrevistas!G22="","",Entrevistas!G22)</f>
        <v>Sobrevivientes y líderes sobrevivientes</v>
      </c>
      <c r="E22" s="1" t="e">
        <f>+INDEX(Meta!$C$2:$E$6,MATCH(F22,Meta!$C$2:$C$6,0),2)</f>
        <v>#N/A</v>
      </c>
      <c r="F22" s="1" t="str">
        <f>IF(Entrevistas!H22="","",Entrevistas!H22)</f>
        <v>Líder sobreviviente</v>
      </c>
      <c r="G22" s="1" t="str">
        <f>IF(Entrevistas!I22="","",Entrevistas!I22)</f>
        <v>Apurímac</v>
      </c>
      <c r="H22" s="1" t="str">
        <f>IF(Entrevistas!J22="","",Entrevistas!J22)</f>
        <v>IJM</v>
      </c>
      <c r="I22" s="2" t="str">
        <f>IF(Entrevistas!K22="","",Entrevistas!K22)</f>
        <v>Contactado</v>
      </c>
      <c r="J22" s="2" t="str">
        <f>IF(Entrevistas!L22="","",Entrevistas!L22)</f>
        <v/>
      </c>
      <c r="K22" s="2" t="str">
        <f>IF(Entrevistas!M22="","",Entrevistas!M22)</f>
        <v/>
      </c>
      <c r="L22" s="2" t="str">
        <f>IF(Entrevistas!N22="","",Entrevistas!N22)</f>
        <v/>
      </c>
      <c r="M22" s="2" t="str">
        <f>IF(Entrevistas!O22="","",Entrevistas!O22)</f>
        <v>Realizada</v>
      </c>
      <c r="N22" s="2">
        <f>IF(Entrevistas!P22="","",Entrevistas!P22)</f>
        <v>45951</v>
      </c>
      <c r="O22" s="2">
        <f>IF(Entrevistas!Q22="","",Entrevistas!Q22)</f>
        <v>45951</v>
      </c>
      <c r="P22" s="1" t="str">
        <f>IF(Entrevistas!R22="","",Entrevistas!R22)</f>
        <v>Completa</v>
      </c>
      <c r="Q22" s="1" t="str">
        <f>IF(Entrevistas!S22="","",Entrevistas!S22)</f>
        <v/>
      </c>
      <c r="R22" s="1" t="str">
        <f>IF(Entrevistas!T22="","",Entrevistas!T22)</f>
        <v>n.a.</v>
      </c>
      <c r="S22" s="1" t="str">
        <f>IF(Entrevistas!U22="","",Entrevistas!U22)</f>
        <v>Presencial</v>
      </c>
      <c r="T22" s="1" t="str">
        <f>IF(Entrevistas!V22="","",Entrevistas!V22)</f>
        <v>Presencial</v>
      </c>
      <c r="U22">
        <f t="shared" si="5"/>
        <v>1</v>
      </c>
      <c r="V22">
        <f t="shared" si="6"/>
        <v>0</v>
      </c>
      <c r="W22">
        <f t="shared" si="7"/>
        <v>0</v>
      </c>
      <c r="X22">
        <f t="shared" si="8"/>
        <v>1</v>
      </c>
      <c r="Y22">
        <f t="shared" si="9"/>
        <v>0</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86DEF5C-ED34-4C5E-97E0-8B74033167B5}">
          <x14:formula1>
            <xm:f>Listas!$I$2:$I$3</xm:f>
          </x14:formula1>
          <xm:sqref>Q2:T22</xm:sqref>
        </x14:dataValidation>
        <x14:dataValidation type="list" allowBlank="1" showInputMessage="1" showErrorMessage="1" xr:uid="{F27FC9FD-7D5D-4225-B7FD-B0A24329DE4E}">
          <x14:formula1>
            <xm:f>Listas!$H$2:$H$4</xm:f>
          </x14:formula1>
          <xm:sqref>O2:O22</xm:sqref>
        </x14:dataValidation>
        <x14:dataValidation type="list" allowBlank="1" showInputMessage="1" showErrorMessage="1" xr:uid="{434BB7F7-1D13-48EE-B388-37242DBF0D47}">
          <x14:formula1>
            <xm:f>Listas!$E$2:$E$6</xm:f>
          </x14:formula1>
          <xm:sqref>F2:F22</xm:sqref>
        </x14:dataValidation>
        <x14:dataValidation type="list" allowBlank="1" showInputMessage="1" showErrorMessage="1" xr:uid="{21746AEA-2AD8-46CE-8D45-A260E43EF9F9}">
          <x14:formula1>
            <xm:f>Listas!$C$2:$C$10</xm:f>
          </x14:formula1>
          <xm:sqref>G2:G22</xm:sqref>
        </x14:dataValidation>
        <x14:dataValidation type="list" allowBlank="1" showInputMessage="1" showErrorMessage="1" xr:uid="{8D1176F5-259B-41A6-A978-92B241EF405C}">
          <x14:formula1>
            <xm:f>Listas!$B$2:$B$3</xm:f>
          </x14:formula1>
          <xm:sqref>H2:H22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3897-5A7B-46C1-929C-5CB4989F2251}">
  <dimension ref="A1:R31"/>
  <sheetViews>
    <sheetView zoomScale="53" workbookViewId="0">
      <selection activeCell="P16" sqref="P16"/>
    </sheetView>
  </sheetViews>
  <sheetFormatPr baseColWidth="10" defaultRowHeight="14.5" x14ac:dyDescent="0.35"/>
  <cols>
    <col min="3" max="3" width="33" customWidth="true"/>
    <col min="15" max="18" width="14.54296875" customWidth="true"/>
  </cols>
  <sheetData>
    <row r="1" x14ac:dyDescent="0.35">
      <c r="A1" s="3" t="s">
        <v>0</v>
      </c>
      <c r="B1" s="3" t="s">
        <v>1</v>
      </c>
      <c r="C1" s="3" t="s">
        <v>128</v>
      </c>
      <c r="D1" s="3" t="s">
        <v>2</v>
      </c>
      <c r="E1" s="3" t="s">
        <v>7</v>
      </c>
      <c r="F1" s="3" t="s">
        <v>8</v>
      </c>
      <c r="G1" s="3" t="s">
        <v>141</v>
      </c>
      <c r="H1" s="3" t="s">
        <v>9</v>
      </c>
      <c r="I1" s="3" t="s">
        <v>10</v>
      </c>
      <c r="J1" s="3" t="s">
        <v>11</v>
      </c>
      <c r="K1" s="3" t="s">
        <v>12</v>
      </c>
      <c r="L1" s="3" t="s">
        <v>13</v>
      </c>
      <c r="M1" s="3" t="s">
        <v>119</v>
      </c>
      <c r="N1" s="3" t="s">
        <v>67</v>
      </c>
      <c r="O1" s="3" t="s">
        <v>17</v>
      </c>
      <c r="P1" s="3" t="s">
        <v>138</v>
      </c>
      <c r="Q1" s="3" t="s">
        <v>139</v>
      </c>
      <c r="R1" s="3" t="s">
        <v>140</v>
      </c>
    </row>
    <row r="2" x14ac:dyDescent="0.35">
      <c r="A2" s="1">
        <f>IF('Reunión de validación'!A2="","",'Reunión de validación'!A2)</f>
        <v>1</v>
      </c>
      <c r="B2" s="1" t="str">
        <f>IF('Reunión de validación'!C2="","",'Reunión de validación'!C2)</f>
        <v>Milagritos Llontop </v>
      </c>
      <c r="C2" s="1" t="str">
        <f>+'Reunión de validación'!B2</f>
        <v>Reunión de validación</v>
      </c>
      <c r="D2" s="1" t="str">
        <f>IF('Reunión de validación'!D2="","",'Reunión de validación'!D2)</f>
        <v>Defensa Pública</v>
      </c>
      <c r="E2" s="1" t="str">
        <f>IF('Reunión de validación'!H2="","",'Reunión de validación'!H2)</f>
        <v>Instituciones públicas</v>
      </c>
      <c r="F2" s="1" t="str">
        <f>IF('Reunión de validación'!I2="","",'Reunión de validación'!I2)</f>
        <v>Nacional</v>
      </c>
      <c r="G2" s="1" t="str">
        <f>IF('Reunión de validación'!J2="","",'Reunión de validación'!J2)</f>
        <v>IJM</v>
      </c>
      <c r="H2" s="2" t="str">
        <f>IF('Reunión de validación'!L2="","",'Reunión de validación'!L2)</f>
        <v>Contactado</v>
      </c>
      <c r="I2" s="2">
        <f>IF('Reunión de validación'!M2="","",'Reunión de validación'!M2)</f>
        <v>45943</v>
      </c>
      <c r="J2" s="2" t="str">
        <f>IF('Reunión de validación'!N2="","",'Reunión de validación'!N2)</f>
        <v/>
      </c>
      <c r="K2" s="2" t="str">
        <f>IF('Reunión de validación'!O2="","",'Reunión de validación'!O2)</f>
        <v/>
      </c>
      <c r="L2" s="2" t="str">
        <f>IF('Reunión de validación'!P2="","",'Reunión de validación'!P2)</f>
        <v>Rechazada</v>
      </c>
      <c r="M2" s="2">
        <f>IF('Reunión de validación'!Q2="","",'Reunión de validación'!Q2)</f>
        <v>45959</v>
      </c>
      <c r="N2" s="1" t="str">
        <f>IF('Reunión de validación'!R2="","",'Reunión de validación'!R2)</f>
        <v/>
      </c>
      <c r="O2" t="str">
        <f>IF('Reunión de validación'!S2="","",'Reunión de validación'!S2)</f>
        <v/>
      </c>
      <c r="P2">
        <v>1</v>
      </c>
      <c r="Q2">
        <f>IF(N2="Asistió",1,0)</f>
        <v>0</v>
      </c>
      <c r="R2">
        <f>IF(L2="Aceptada",1,0)</f>
        <v>0</v>
      </c>
    </row>
    <row r="3" x14ac:dyDescent="0.35">
      <c r="A3" s="1">
        <f>IF('Reunión de validación'!A3="","",'Reunión de validación'!A3)</f>
        <v>2</v>
      </c>
      <c r="B3" s="1" t="str">
        <f>IF('Reunión de validación'!C3="","",'Reunión de validación'!C3)</f>
        <v>Victoria Pomalaya Trillo </v>
      </c>
      <c r="C3" s="1" t="str">
        <f>+'Reunión de validación'!B3</f>
        <v>Reunión de validación</v>
      </c>
      <c r="D3" s="1" t="str">
        <f>IF('Reunión de validación'!D3="","",'Reunión de validación'!D3)</f>
        <v>Ministerio Público</v>
      </c>
      <c r="E3" s="1" t="str">
        <f>IF('Reunión de validación'!H3="","",'Reunión de validación'!H3)</f>
        <v>Instituciones públicas</v>
      </c>
      <c r="F3" s="1" t="str">
        <f>IF('Reunión de validación'!I3="","",'Reunión de validación'!I3)</f>
        <v>Ucayali</v>
      </c>
      <c r="G3" s="1" t="str">
        <f>IF('Reunión de validación'!J3="","",'Reunión de validación'!J3)</f>
        <v>APOYO</v>
      </c>
      <c r="H3" s="2" t="str">
        <f>IF('Reunión de validación'!L3="","",'Reunión de validación'!L3)</f>
        <v>Contactado</v>
      </c>
      <c r="I3" s="2">
        <f>IF('Reunión de validación'!M3="","",'Reunión de validación'!M3)</f>
        <v>45943</v>
      </c>
      <c r="J3" s="2">
        <f>IF('Reunión de validación'!N3="","",'Reunión de validación'!N3)</f>
        <v>45947</v>
      </c>
      <c r="K3" s="2">
        <f>IF('Reunión de validación'!O3="","",'Reunión de validación'!O3)</f>
        <v>45952</v>
      </c>
      <c r="L3" s="2" t="str">
        <f>IF('Reunión de validación'!P3="","",'Reunión de validación'!P3)</f>
        <v>Rechazada</v>
      </c>
      <c r="M3" s="2">
        <f>IF('Reunión de validación'!Q3="","",'Reunión de validación'!Q3)</f>
        <v>45959</v>
      </c>
      <c r="N3" s="1" t="str">
        <f>IF('Reunión de validación'!R3="","",'Reunión de validación'!R3)</f>
        <v/>
      </c>
      <c r="O3" t="str">
        <f>IF('Reunión de validación'!S3="","",'Reunión de validación'!S3)</f>
        <v/>
      </c>
      <c r="P3">
        <v>1</v>
      </c>
      <c r="Q3">
        <f t="shared" ref="Q3:Q14" si="0">IF(N3="Asistió",1,0)</f>
        <v>0</v>
      </c>
      <c r="R3">
        <f t="shared" ref="R3:R14" si="1">IF(L3="Aceptada",1,0)</f>
        <v>0</v>
      </c>
    </row>
    <row r="4" x14ac:dyDescent="0.35">
      <c r="A4" s="1">
        <f>IF('Reunión de validación'!A4="","",'Reunión de validación'!A4)</f>
        <v>3</v>
      </c>
      <c r="B4" s="1" t="str">
        <f>IF('Reunión de validación'!C4="","",'Reunión de validación'!C4)</f>
        <v>Katherine Olivera Rojas</v>
      </c>
      <c r="C4" s="1" t="str">
        <f>+'Reunión de validación'!B4</f>
        <v>Reunión de validación</v>
      </c>
      <c r="D4" s="1" t="str">
        <f>IF('Reunión de validación'!D4="","",'Reunión de validación'!D4)</f>
        <v>Programa Aurora</v>
      </c>
      <c r="E4" s="1" t="str">
        <f>IF('Reunión de validación'!H4="","",'Reunión de validación'!H4)</f>
        <v>Instituciones públicas</v>
      </c>
      <c r="F4" s="1" t="str">
        <f>IF('Reunión de validación'!I4="","",'Reunión de validación'!I4)</f>
        <v>Nacional</v>
      </c>
      <c r="G4" s="1" t="str">
        <f>IF('Reunión de validación'!J4="","",'Reunión de validación'!J4)</f>
        <v>APOYO</v>
      </c>
      <c r="H4" s="2" t="str">
        <f>IF('Reunión de validación'!L4="","",'Reunión de validación'!L4)</f>
        <v>Contactado</v>
      </c>
      <c r="I4" s="2">
        <f>IF('Reunión de validación'!M4="","",'Reunión de validación'!M4)</f>
        <v>45943</v>
      </c>
      <c r="J4" s="2">
        <f>IF('Reunión de validación'!N4="","",'Reunión de validación'!N4)</f>
        <v>45946</v>
      </c>
      <c r="K4" s="2" t="str">
        <f>IF('Reunión de validación'!O4="","",'Reunión de validación'!O4)</f>
        <v/>
      </c>
      <c r="L4" s="2" t="str">
        <f>IF('Reunión de validación'!P4="","",'Reunión de validación'!P4)</f>
        <v>Aceptada</v>
      </c>
      <c r="M4" s="2">
        <f>IF('Reunión de validación'!Q4="","",'Reunión de validación'!Q4)</f>
        <v>45951</v>
      </c>
      <c r="N4" s="1" t="str">
        <f>IF('Reunión de validación'!R4="","",'Reunión de validación'!R4)</f>
        <v>Asistió</v>
      </c>
      <c r="O4">
        <f>IF('Reunión de validación'!S4="","",'Reunión de validación'!S4)</f>
        <v>83</v>
      </c>
      <c r="P4">
        <v>1</v>
      </c>
      <c r="Q4">
        <f t="shared" si="0"/>
        <v>1</v>
      </c>
      <c r="R4">
        <f t="shared" si="1"/>
        <v>1</v>
      </c>
    </row>
    <row r="5" x14ac:dyDescent="0.35">
      <c r="A5" s="1">
        <f>IF('Reunión de validación'!A5="","",'Reunión de validación'!A5)</f>
        <v>4</v>
      </c>
      <c r="B5" s="1" t="str">
        <f>IF('Reunión de validación'!C5="","",'Reunión de validación'!C5)</f>
        <v>Estela Lozano Reyes</v>
      </c>
      <c r="C5" s="1" t="str">
        <f>+'Reunión de validación'!B5</f>
        <v>Reunión de validación</v>
      </c>
      <c r="D5" s="1" t="str">
        <f>IF('Reunión de validación'!D5="","",'Reunión de validación'!D5)</f>
        <v>Defensoría del Pueblo</v>
      </c>
      <c r="E5" s="1" t="str">
        <f>IF('Reunión de validación'!H5="","",'Reunión de validación'!H5)</f>
        <v>Instituciones públicas</v>
      </c>
      <c r="F5" s="1" t="str">
        <f>IF('Reunión de validación'!I5="","",'Reunión de validación'!I5)</f>
        <v>Nacional</v>
      </c>
      <c r="G5" s="1" t="str">
        <f>IF('Reunión de validación'!J5="","",'Reunión de validación'!J5)</f>
        <v>APOYO</v>
      </c>
      <c r="H5" s="2" t="str">
        <f>IF('Reunión de validación'!L5="","",'Reunión de validación'!L5)</f>
        <v>Contactado</v>
      </c>
      <c r="I5" s="2">
        <f>IF('Reunión de validación'!M5="","",'Reunión de validación'!M5)</f>
        <v>45943</v>
      </c>
      <c r="J5" s="2">
        <f>IF('Reunión de validación'!N5="","",'Reunión de validación'!N5)</f>
        <v>45947</v>
      </c>
      <c r="K5" s="2" t="str">
        <f>IF('Reunión de validación'!O5="","",'Reunión de validación'!O5)</f>
        <v/>
      </c>
      <c r="L5" s="2" t="str">
        <f>IF('Reunión de validación'!P5="","",'Reunión de validación'!P5)</f>
        <v>Rechazada</v>
      </c>
      <c r="M5" s="2">
        <f>IF('Reunión de validación'!Q5="","",'Reunión de validación'!Q5)</f>
        <v>45959</v>
      </c>
      <c r="N5" s="1" t="str">
        <f>IF('Reunión de validación'!R5="","",'Reunión de validación'!R5)</f>
        <v/>
      </c>
      <c r="O5" t="str">
        <f>IF('Reunión de validación'!S5="","",'Reunión de validación'!S5)</f>
        <v/>
      </c>
      <c r="P5">
        <v>1</v>
      </c>
      <c r="Q5">
        <f t="shared" si="0"/>
        <v>0</v>
      </c>
      <c r="R5">
        <f t="shared" si="1"/>
        <v>0</v>
      </c>
    </row>
    <row r="6" x14ac:dyDescent="0.35">
      <c r="A6" s="1">
        <f>IF('Reunión de validación'!A6="","",'Reunión de validación'!A6)</f>
        <v>5</v>
      </c>
      <c r="B6" s="1" t="str">
        <f>IF('Reunión de validación'!C6="","",'Reunión de validación'!C6)</f>
        <v>Beatriz Gamarra </v>
      </c>
      <c r="C6" s="1" t="str">
        <f>+'Reunión de validación'!B6</f>
        <v>Reunión de validación</v>
      </c>
      <c r="D6" s="1" t="str">
        <f>IF('Reunión de validación'!D6="","",'Reunión de validación'!D6)</f>
        <v>UNICEF</v>
      </c>
      <c r="E6" s="1" t="str">
        <f>IF('Reunión de validación'!H6="","",'Reunión de validación'!H6)</f>
        <v>Multilaterales</v>
      </c>
      <c r="F6" s="1" t="str">
        <f>IF('Reunión de validación'!I6="","",'Reunión de validación'!I6)</f>
        <v>Nacional</v>
      </c>
      <c r="G6" s="1" t="str">
        <f>IF('Reunión de validación'!J6="","",'Reunión de validación'!J6)</f>
        <v>APOYO</v>
      </c>
      <c r="H6" s="2" t="str">
        <f>IF('Reunión de validación'!L6="","",'Reunión de validación'!L6)</f>
        <v>Contactado</v>
      </c>
      <c r="I6" s="2">
        <f>IF('Reunión de validación'!M6="","",'Reunión de validación'!M6)</f>
        <v>45943</v>
      </c>
      <c r="J6" s="2">
        <f>IF('Reunión de validación'!N6="","",'Reunión de validación'!N6)</f>
        <v>45946</v>
      </c>
      <c r="K6" s="2" t="str">
        <f>IF('Reunión de validación'!O6="","",'Reunión de validación'!O6)</f>
        <v/>
      </c>
      <c r="L6" s="2" t="str">
        <f>IF('Reunión de validación'!P6="","",'Reunión de validación'!P6)</f>
        <v>Aceptada</v>
      </c>
      <c r="M6" s="2">
        <f>IF('Reunión de validación'!Q6="","",'Reunión de validación'!Q6)</f>
        <v>45951</v>
      </c>
      <c r="N6" s="1" t="str">
        <f>IF('Reunión de validación'!R6="","",'Reunión de validación'!R6)</f>
        <v>Asistió</v>
      </c>
      <c r="O6">
        <f>IF('Reunión de validación'!S6="","",'Reunión de validación'!S6)</f>
        <v>83</v>
      </c>
      <c r="P6">
        <v>1</v>
      </c>
      <c r="Q6">
        <f t="shared" si="0"/>
        <v>1</v>
      </c>
      <c r="R6">
        <f t="shared" si="1"/>
        <v>1</v>
      </c>
    </row>
    <row r="7" x14ac:dyDescent="0.35">
      <c r="A7" s="1">
        <f>IF('Reunión de validación'!A7="","",'Reunión de validación'!A7)</f>
        <v>6</v>
      </c>
      <c r="B7" s="1" t="str">
        <f>IF('Reunión de validación'!C7="","",'Reunión de validación'!C7)</f>
        <v>Amelia Cabrera </v>
      </c>
      <c r="C7" s="1" t="str">
        <f>+'Reunión de validación'!B7</f>
        <v>Reunión de validación</v>
      </c>
      <c r="D7" s="1" t="str">
        <f>IF('Reunión de validación'!D7="","",'Reunión de validación'!D7)</f>
        <v>World Vision Perú</v>
      </c>
      <c r="E7" s="1" t="str">
        <f>IF('Reunión de validación'!H7="","",'Reunión de validación'!H7)</f>
        <v>Multilaterales</v>
      </c>
      <c r="F7" s="1" t="str">
        <f>IF('Reunión de validación'!I7="","",'Reunión de validación'!I7)</f>
        <v>Nacional</v>
      </c>
      <c r="G7" s="1" t="str">
        <f>IF('Reunión de validación'!J7="","",'Reunión de validación'!J7)</f>
        <v>APOYO</v>
      </c>
      <c r="H7" s="2" t="str">
        <f>IF('Reunión de validación'!L7="","",'Reunión de validación'!L7)</f>
        <v>Contactado</v>
      </c>
      <c r="I7" s="2">
        <f>IF('Reunión de validación'!M7="","",'Reunión de validación'!M7)</f>
        <v>45943</v>
      </c>
      <c r="J7" s="2">
        <f>IF('Reunión de validación'!N7="","",'Reunión de validación'!N7)</f>
        <v>45946</v>
      </c>
      <c r="K7" s="2">
        <f>IF('Reunión de validación'!O7="","",'Reunión de validación'!O7)</f>
        <v>45947</v>
      </c>
      <c r="L7" s="2" t="str">
        <f>IF('Reunión de validación'!P7="","",'Reunión de validación'!P7)</f>
        <v>Aceptada</v>
      </c>
      <c r="M7" s="2">
        <f>IF('Reunión de validación'!Q7="","",'Reunión de validación'!Q7)</f>
        <v>45959</v>
      </c>
      <c r="N7" s="1" t="str">
        <f>IF('Reunión de validación'!R7="","",'Reunión de validación'!R7)</f>
        <v>Asistió</v>
      </c>
      <c r="O7">
        <f>IF('Reunión de validación'!S7="","",'Reunión de validación'!S7)</f>
        <v>93</v>
      </c>
      <c r="P7">
        <v>1</v>
      </c>
      <c r="Q7">
        <f t="shared" si="0"/>
        <v>1</v>
      </c>
      <c r="R7">
        <f t="shared" si="1"/>
        <v>1</v>
      </c>
    </row>
    <row r="8" x14ac:dyDescent="0.35">
      <c r="A8" s="1">
        <f>IF('Reunión de validación'!A8="","",'Reunión de validación'!A8)</f>
        <v>7</v>
      </c>
      <c r="B8" s="1" t="str">
        <f>IF('Reunión de validación'!C8="","",'Reunión de validación'!C8)</f>
        <v>Silvia Romero Borda</v>
      </c>
      <c r="C8" s="1" t="str">
        <f>+'Reunión de validación'!B8</f>
        <v>Reunión de validación</v>
      </c>
      <c r="D8" s="1" t="str">
        <f>IF('Reunión de validación'!D8="","",'Reunión de validación'!D8)</f>
        <v>GIZ</v>
      </c>
      <c r="E8" s="1" t="str">
        <f>IF('Reunión de validación'!H8="","",'Reunión de validación'!H8)</f>
        <v>Multilaterales</v>
      </c>
      <c r="F8" s="1" t="str">
        <f>IF('Reunión de validación'!I8="","",'Reunión de validación'!I8)</f>
        <v>Nacional</v>
      </c>
      <c r="G8" s="1" t="str">
        <f>IF('Reunión de validación'!J8="","",'Reunión de validación'!J8)</f>
        <v>APOYO</v>
      </c>
      <c r="H8" s="2" t="str">
        <f>IF('Reunión de validación'!L8="","",'Reunión de validación'!L8)</f>
        <v>Contactado</v>
      </c>
      <c r="I8" s="2">
        <f>IF('Reunión de validación'!M8="","",'Reunión de validación'!M8)</f>
        <v>45943</v>
      </c>
      <c r="J8" s="2">
        <f>IF('Reunión de validación'!N8="","",'Reunión de validación'!N8)</f>
        <v>45947</v>
      </c>
      <c r="K8" s="2">
        <f>IF('Reunión de validación'!O8="","",'Reunión de validación'!O8)</f>
        <v>45954</v>
      </c>
      <c r="L8" s="2" t="str">
        <f>IF('Reunión de validación'!P8="","",'Reunión de validación'!P8)</f>
        <v>Rechazada</v>
      </c>
      <c r="M8" s="2">
        <f>IF('Reunión de validación'!Q8="","",'Reunión de validación'!Q8)</f>
        <v>45959</v>
      </c>
      <c r="N8" s="1" t="str">
        <f>IF('Reunión de validación'!R8="","",'Reunión de validación'!R8)</f>
        <v/>
      </c>
      <c r="O8" t="str">
        <f>IF('Reunión de validación'!S8="","",'Reunión de validación'!S8)</f>
        <v/>
      </c>
      <c r="P8">
        <v>1</v>
      </c>
      <c r="Q8">
        <f t="shared" si="0"/>
        <v>0</v>
      </c>
      <c r="R8">
        <f t="shared" si="1"/>
        <v>0</v>
      </c>
    </row>
    <row r="9" x14ac:dyDescent="0.35">
      <c r="A9" s="1">
        <f>IF('Reunión de validación'!A9="","",'Reunión de validación'!A9)</f>
        <v>8</v>
      </c>
      <c r="B9" s="1" t="str">
        <f>IF('Reunión de validación'!C9="","",'Reunión de validación'!C9)</f>
        <v>Magaly Arenas Astete</v>
      </c>
      <c r="C9" s="1" t="str">
        <f>+'Reunión de validación'!B9</f>
        <v>Reunión de validación</v>
      </c>
      <c r="D9" s="1" t="str">
        <f>IF('Reunión de validación'!D9="","",'Reunión de validación'!D9)</f>
        <v>Policía Nacional del Perú</v>
      </c>
      <c r="E9" s="1" t="str">
        <f>IF('Reunión de validación'!H9="","",'Reunión de validación'!H9)</f>
        <v>Instituciones públicas</v>
      </c>
      <c r="F9" s="1" t="str">
        <f>IF('Reunión de validación'!I9="","",'Reunión de validación'!I9)</f>
        <v>Nacional</v>
      </c>
      <c r="G9" s="1" t="str">
        <f>IF('Reunión de validación'!J9="","",'Reunión de validación'!J9)</f>
        <v>IJM</v>
      </c>
      <c r="H9" s="2" t="str">
        <f>IF('Reunión de validación'!L9="","",'Reunión de validación'!L9)</f>
        <v>Contactado</v>
      </c>
      <c r="I9" s="2">
        <f>IF('Reunión de validación'!M9="","",'Reunión de validación'!M9)</f>
        <v>45943</v>
      </c>
      <c r="J9" s="2" t="str">
        <f>IF('Reunión de validación'!N9="","",'Reunión de validación'!N9)</f>
        <v/>
      </c>
      <c r="K9" s="2" t="str">
        <f>IF('Reunión de validación'!O9="","",'Reunión de validación'!O9)</f>
        <v/>
      </c>
      <c r="L9" s="2" t="str">
        <f>IF('Reunión de validación'!P9="","",'Reunión de validación'!P9)</f>
        <v>Aceptada</v>
      </c>
      <c r="M9" s="2">
        <f>IF('Reunión de validación'!Q9="","",'Reunión de validación'!Q9)</f>
        <v>45951</v>
      </c>
      <c r="N9" s="1" t="str">
        <f>IF('Reunión de validación'!R9="","",'Reunión de validación'!R9)</f>
        <v>Asistió</v>
      </c>
      <c r="O9">
        <f>IF('Reunión de validación'!S9="","",'Reunión de validación'!S9)</f>
        <v>83</v>
      </c>
      <c r="P9">
        <v>1</v>
      </c>
      <c r="Q9">
        <f t="shared" si="0"/>
        <v>1</v>
      </c>
      <c r="R9">
        <f t="shared" si="1"/>
        <v>1</v>
      </c>
    </row>
    <row r="10" x14ac:dyDescent="0.35">
      <c r="A10" s="1">
        <f>IF('Reunión de validación'!A10="","",'Reunión de validación'!A10)</f>
        <v>9</v>
      </c>
      <c r="B10" s="1" t="str">
        <f>IF('Reunión de validación'!C10="","",'Reunión de validación'!C10)</f>
        <v>Eric León </v>
      </c>
      <c r="C10" s="1" t="str">
        <f>+'Reunión de validación'!B10</f>
        <v>Reunión de validación</v>
      </c>
      <c r="D10" s="1" t="str">
        <f>IF('Reunión de validación'!D10="","",'Reunión de validación'!D10)</f>
        <v>Policía Nacional del Perú</v>
      </c>
      <c r="E10" s="1" t="str">
        <f>IF('Reunión de validación'!H10="","",'Reunión de validación'!H10)</f>
        <v>Instituciones públicas</v>
      </c>
      <c r="F10" s="1" t="str">
        <f>IF('Reunión de validación'!I10="","",'Reunión de validación'!I10)</f>
        <v>Nacional</v>
      </c>
      <c r="G10" s="1" t="str">
        <f>IF('Reunión de validación'!J10="","",'Reunión de validación'!J10)</f>
        <v>IJM</v>
      </c>
      <c r="H10" s="2" t="str">
        <f>IF('Reunión de validación'!L10="","",'Reunión de validación'!L10)</f>
        <v>Contactado</v>
      </c>
      <c r="I10" s="2">
        <f>IF('Reunión de validación'!M10="","",'Reunión de validación'!M10)</f>
        <v>45943</v>
      </c>
      <c r="J10" s="2" t="str">
        <f>IF('Reunión de validación'!N10="","",'Reunión de validación'!N10)</f>
        <v/>
      </c>
      <c r="K10" s="2" t="str">
        <f>IF('Reunión de validación'!O10="","",'Reunión de validación'!O10)</f>
        <v/>
      </c>
      <c r="L10" s="2" t="str">
        <f>IF('Reunión de validación'!P10="","",'Reunión de validación'!P10)</f>
        <v>Aceptada</v>
      </c>
      <c r="M10" s="2">
        <f>IF('Reunión de validación'!Q10="","",'Reunión de validación'!Q10)</f>
        <v>45959</v>
      </c>
      <c r="N10" s="1" t="str">
        <f>IF('Reunión de validación'!R10="","",'Reunión de validación'!R10)</f>
        <v>Asistió</v>
      </c>
      <c r="O10">
        <f>IF('Reunión de validación'!S10="","",'Reunión de validación'!S10)</f>
        <v>93</v>
      </c>
      <c r="P10">
        <v>1</v>
      </c>
      <c r="Q10">
        <f t="shared" si="0"/>
        <v>1</v>
      </c>
      <c r="R10">
        <f t="shared" si="1"/>
        <v>1</v>
      </c>
    </row>
    <row r="11" x14ac:dyDescent="0.35">
      <c r="A11" s="1">
        <f>IF('Reunión de validación'!A11="","",'Reunión de validación'!A11)</f>
        <v>10</v>
      </c>
      <c r="B11" s="1" t="str">
        <f>IF('Reunión de validación'!C11="","",'Reunión de validación'!C11)</f>
        <v>Neil Avila </v>
      </c>
      <c r="C11" s="1" t="str">
        <f>+'Reunión de validación'!B11</f>
        <v>Reunión de validación</v>
      </c>
      <c r="D11" s="1" t="str">
        <f>IF('Reunión de validación'!D11="","",'Reunión de validación'!D11)</f>
        <v>Poder Judicial</v>
      </c>
      <c r="E11" s="1" t="str">
        <f>IF('Reunión de validación'!H11="","",'Reunión de validación'!H11)</f>
        <v>Instituciones públicas</v>
      </c>
      <c r="F11" s="1" t="str">
        <f>IF('Reunión de validación'!I11="","",'Reunión de validación'!I11)</f>
        <v>Nacional</v>
      </c>
      <c r="G11" s="1" t="str">
        <f>IF('Reunión de validación'!J11="","",'Reunión de validación'!J11)</f>
        <v>IJM</v>
      </c>
      <c r="H11" s="2" t="str">
        <f>IF('Reunión de validación'!L11="","",'Reunión de validación'!L11)</f>
        <v>Contactado</v>
      </c>
      <c r="I11" s="2">
        <f>IF('Reunión de validación'!M11="","",'Reunión de validación'!M11)</f>
        <v>45943</v>
      </c>
      <c r="J11" s="2" t="str">
        <f>IF('Reunión de validación'!N11="","",'Reunión de validación'!N11)</f>
        <v/>
      </c>
      <c r="K11" s="2" t="str">
        <f>IF('Reunión de validación'!O11="","",'Reunión de validación'!O11)</f>
        <v/>
      </c>
      <c r="L11" s="2" t="str">
        <f>IF('Reunión de validación'!P11="","",'Reunión de validación'!P11)</f>
        <v>Aceptada</v>
      </c>
      <c r="M11" s="2">
        <f>IF('Reunión de validación'!Q11="","",'Reunión de validación'!Q11)</f>
        <v>45951</v>
      </c>
      <c r="N11" s="1" t="str">
        <f>IF('Reunión de validación'!R11="","",'Reunión de validación'!R11)</f>
        <v>Asistió</v>
      </c>
      <c r="O11">
        <f>IF('Reunión de validación'!S11="","",'Reunión de validación'!S11)</f>
        <v>83</v>
      </c>
      <c r="P11">
        <v>1</v>
      </c>
      <c r="Q11">
        <f t="shared" si="0"/>
        <v>1</v>
      </c>
      <c r="R11">
        <f t="shared" si="1"/>
        <v>1</v>
      </c>
    </row>
    <row r="12" x14ac:dyDescent="0.35">
      <c r="A12" s="1">
        <f>IF('Reunión de validación'!A12="","",'Reunión de validación'!A12)</f>
        <v>11</v>
      </c>
      <c r="B12" s="1" t="str">
        <f>IF('Reunión de validación'!C12="","",'Reunión de validación'!C12)</f>
        <v>Norma Rojas </v>
      </c>
      <c r="C12" s="1" t="str">
        <f>+'Reunión de validación'!B12</f>
        <v>Reunión de validación</v>
      </c>
      <c r="D12" s="1" t="str">
        <f>IF('Reunión de validación'!D12="","",'Reunión de validación'!D12)</f>
        <v>Ministerio del Interior</v>
      </c>
      <c r="E12" s="1" t="str">
        <f>IF('Reunión de validación'!H12="","",'Reunión de validación'!H12)</f>
        <v>Instituciones públicas</v>
      </c>
      <c r="F12" s="1" t="str">
        <f>IF('Reunión de validación'!I12="","",'Reunión de validación'!I12)</f>
        <v>Nacional</v>
      </c>
      <c r="G12" s="1" t="str">
        <f>IF('Reunión de validación'!J12="","",'Reunión de validación'!J12)</f>
        <v>IJM</v>
      </c>
      <c r="H12" s="2" t="str">
        <f>IF('Reunión de validación'!L12="","",'Reunión de validación'!L12)</f>
        <v>Contactado</v>
      </c>
      <c r="I12" s="2">
        <f>IF('Reunión de validación'!M12="","",'Reunión de validación'!M12)</f>
        <v>45943</v>
      </c>
      <c r="J12" s="2" t="str">
        <f>IF('Reunión de validación'!N12="","",'Reunión de validación'!N12)</f>
        <v/>
      </c>
      <c r="K12" s="2" t="str">
        <f>IF('Reunión de validación'!O12="","",'Reunión de validación'!O12)</f>
        <v/>
      </c>
      <c r="L12" s="2" t="str">
        <f>IF('Reunión de validación'!P12="","",'Reunión de validación'!P12)</f>
        <v>Rechazada</v>
      </c>
      <c r="M12" s="2">
        <f>IF('Reunión de validación'!Q12="","",'Reunión de validación'!Q12)</f>
        <v>45959</v>
      </c>
      <c r="N12" s="1" t="str">
        <f>IF('Reunión de validación'!R12="","",'Reunión de validación'!R12)</f>
        <v/>
      </c>
      <c r="O12" t="str">
        <f>IF('Reunión de validación'!S12="","",'Reunión de validación'!S12)</f>
        <v/>
      </c>
      <c r="P12">
        <v>1</v>
      </c>
      <c r="Q12">
        <f t="shared" si="0"/>
        <v>0</v>
      </c>
      <c r="R12">
        <f t="shared" si="1"/>
        <v>0</v>
      </c>
    </row>
    <row r="13" x14ac:dyDescent="0.35">
      <c r="A13" s="1">
        <f>IF('Reunión de validación'!A13="","",'Reunión de validación'!A13)</f>
        <v>12</v>
      </c>
      <c r="B13" s="1" t="str">
        <f>IF('Reunión de validación'!C13="","",'Reunión de validación'!C13)</f>
        <v>Lourdes Febres Chirinos </v>
      </c>
      <c r="C13" s="1" t="str">
        <f>+'Reunión de validación'!B13</f>
        <v>Reunión de validación</v>
      </c>
      <c r="D13" s="1" t="str">
        <f>IF('Reunión de validación'!D13="","",'Reunión de validación'!D13)</f>
        <v>Acción Por los niños</v>
      </c>
      <c r="E13" s="1" t="str">
        <f>IF('Reunión de validación'!H13="","",'Reunión de validación'!H13)</f>
        <v>ONG</v>
      </c>
      <c r="F13" s="1" t="str">
        <f>IF('Reunión de validación'!I13="","",'Reunión de validación'!I13)</f>
        <v>Nacional</v>
      </c>
      <c r="G13" s="1" t="str">
        <f>IF('Reunión de validación'!J13="","",'Reunión de validación'!J13)</f>
        <v>IJM</v>
      </c>
      <c r="H13" s="2" t="str">
        <f>IF('Reunión de validación'!L13="","",'Reunión de validación'!L13)</f>
        <v>Contactado</v>
      </c>
      <c r="I13" s="2">
        <f>IF('Reunión de validación'!M13="","",'Reunión de validación'!M13)</f>
        <v>45943</v>
      </c>
      <c r="J13" s="2" t="str">
        <f>IF('Reunión de validación'!N13="","",'Reunión de validación'!N13)</f>
        <v/>
      </c>
      <c r="K13" s="2" t="str">
        <f>IF('Reunión de validación'!O13="","",'Reunión de validación'!O13)</f>
        <v/>
      </c>
      <c r="L13" s="2" t="str">
        <f>IF('Reunión de validación'!P13="","",'Reunión de validación'!P13)</f>
        <v>Rechazada</v>
      </c>
      <c r="M13" s="2">
        <f>IF('Reunión de validación'!Q13="","",'Reunión de validación'!Q13)</f>
        <v>45959</v>
      </c>
      <c r="N13" s="1" t="str">
        <f>IF('Reunión de validación'!R13="","",'Reunión de validación'!R13)</f>
        <v/>
      </c>
      <c r="O13" t="str">
        <f>IF('Reunión de validación'!S13="","",'Reunión de validación'!S13)</f>
        <v/>
      </c>
      <c r="P13">
        <v>1</v>
      </c>
      <c r="Q13">
        <f t="shared" si="0"/>
        <v>0</v>
      </c>
      <c r="R13">
        <f t="shared" si="1"/>
        <v>0</v>
      </c>
    </row>
    <row r="14" x14ac:dyDescent="0.35">
      <c r="A14" s="1">
        <f>IF('Reunión de validación'!A14="","",'Reunión de validación'!A14)</f>
        <v>13</v>
      </c>
      <c r="B14" s="1" t="str">
        <f>IF('Reunión de validación'!C14="","",'Reunión de validación'!C14)</f>
        <v>Maria Elena Bazán </v>
      </c>
      <c r="C14" s="1" t="str">
        <f>+'Reunión de validación'!B14</f>
        <v>Reunión de validación</v>
      </c>
      <c r="D14" s="1" t="str">
        <f>IF('Reunión de validación'!D14="","",'Reunión de validación'!D14)</f>
        <v>Centros de Acogida Residencial</v>
      </c>
      <c r="E14" s="1" t="str">
        <f>IF('Reunión de validación'!H14="","",'Reunión de validación'!H14)</f>
        <v>Instituciones públicas</v>
      </c>
      <c r="F14" s="1" t="str">
        <f>IF('Reunión de validación'!I14="","",'Reunión de validación'!I14)</f>
        <v>Lima Norte</v>
      </c>
      <c r="G14" s="1" t="str">
        <f>IF('Reunión de validación'!J14="","",'Reunión de validación'!J14)</f>
        <v>IJM</v>
      </c>
      <c r="H14" s="2" t="str">
        <f>IF('Reunión de validación'!L14="","",'Reunión de validación'!L14)</f>
        <v>Contactado</v>
      </c>
      <c r="I14" s="2">
        <f>IF('Reunión de validación'!M14="","",'Reunión de validación'!M14)</f>
        <v>45943</v>
      </c>
      <c r="J14" s="2" t="str">
        <f>IF('Reunión de validación'!N14="","",'Reunión de validación'!N14)</f>
        <v/>
      </c>
      <c r="K14" s="2" t="str">
        <f>IF('Reunión de validación'!O14="","",'Reunión de validación'!O14)</f>
        <v/>
      </c>
      <c r="L14" s="2" t="str">
        <f>IF('Reunión de validación'!P14="","",'Reunión de validación'!P14)</f>
        <v>Rechazada</v>
      </c>
      <c r="M14" s="2">
        <f>IF('Reunión de validación'!Q14="","",'Reunión de validación'!Q14)</f>
        <v>45959</v>
      </c>
      <c r="N14" s="1" t="str">
        <f>IF('Reunión de validación'!R14="","",'Reunión de validación'!R14)</f>
        <v/>
      </c>
      <c r="O14" t="str">
        <f>IF('Reunión de validación'!S14="","",'Reunión de validación'!S14)</f>
        <v/>
      </c>
      <c r="P14">
        <v>1</v>
      </c>
      <c r="Q14">
        <f t="shared" si="0"/>
        <v>0</v>
      </c>
      <c r="R14">
        <f t="shared" si="1"/>
        <v>0</v>
      </c>
    </row>
    <row r="15" x14ac:dyDescent="0.35">
      <c r="A15" s="1">
        <f>IF('Reunión de validación'!A15="","",'Reunión de validación'!A15)</f>
        <v>14</v>
      </c>
      <c r="B15" s="1" t="str">
        <f>IF('Reunión de validación'!C15="","",'Reunión de validación'!C15)</f>
        <v>Cinthia Navarro</v>
      </c>
      <c r="C15" s="1" t="str">
        <f>+'Reunión de validación'!B15</f>
        <v>Reconocimiento - 1</v>
      </c>
      <c r="D15" s="1" t="str">
        <f>IF('Reunión de validación'!D15="","",'Reunión de validación'!D15)</f>
        <v>Oxfam</v>
      </c>
      <c r="E15" s="1" t="str">
        <f>IF('Reunión de validación'!H15="","",'Reunión de validación'!H15)</f>
        <v>Multilaterales</v>
      </c>
      <c r="F15" s="1" t="str">
        <f>IF('Reunión de validación'!I15="","",'Reunión de validación'!I15)</f>
        <v>Nacional</v>
      </c>
      <c r="G15" s="1" t="str">
        <f>IF('Reunión de validación'!J15="","",'Reunión de validación'!J15)</f>
        <v>IJM</v>
      </c>
      <c r="H15" s="2" t="str">
        <f>IF('Reunión de validación'!L15="","",'Reunión de validación'!L15)</f>
        <v>Contactado</v>
      </c>
      <c r="I15" s="2" t="str">
        <f>IF('Reunión de validación'!M15="","",'Reunión de validación'!M15)</f>
        <v/>
      </c>
      <c r="J15" s="2" t="str">
        <f>IF('Reunión de validación'!N15="","",'Reunión de validación'!N15)</f>
        <v/>
      </c>
      <c r="K15" s="2" t="str">
        <f>IF('Reunión de validación'!O15="","",'Reunión de validación'!O15)</f>
        <v/>
      </c>
      <c r="L15" s="2" t="str">
        <f>IF('Reunión de validación'!P15="","",'Reunión de validación'!P15)</f>
        <v>Sin respuesta</v>
      </c>
      <c r="M15" s="2" t="str">
        <f>IF('Reunión de validación'!Q15="","",'Reunión de validación'!Q15)</f>
        <v/>
      </c>
      <c r="N15" s="1" t="str">
        <f>IF('Reunión de validación'!R15="","",'Reunión de validación'!R15)</f>
        <v/>
      </c>
      <c r="O15" t="str">
        <f>IF('Reunión de validación'!S15="","",'Reunión de validación'!S15)</f>
        <v/>
      </c>
      <c r="P15">
        <v>2</v>
      </c>
      <c r="Q15">
        <f t="shared" ref="Q15:Q23" si="2">IF(N15="Asistió",1,0)</f>
        <v>0</v>
      </c>
      <c r="R15">
        <f t="shared" ref="R15:R23" si="3">IF(L15="Aceptada",1,0)</f>
        <v>0</v>
      </c>
    </row>
    <row r="16" x14ac:dyDescent="0.35">
      <c r="A16" s="1">
        <f>IF('Reunión de validación'!A16="","",'Reunión de validación'!A16)</f>
        <v>15</v>
      </c>
      <c r="B16" s="1" t="str">
        <f>IF('Reunión de validación'!C16="","",'Reunión de validación'!C16)</f>
        <v>Sofía García</v>
      </c>
      <c r="C16" s="1" t="str">
        <f>+'Reunión de validación'!B16</f>
        <v>Reconocimiento - 1</v>
      </c>
      <c r="D16" s="1" t="str">
        <f>IF('Reunión de validación'!D16="","",'Reunión de validación'!D16)</f>
        <v>IPRODES</v>
      </c>
      <c r="E16" s="1" t="str">
        <f>IF('Reunión de validación'!H16="","",'Reunión de validación'!H16)</f>
        <v>Multilaterales</v>
      </c>
      <c r="F16" s="1" t="str">
        <f>IF('Reunión de validación'!I16="","",'Reunión de validación'!I16)</f>
        <v>Nacional</v>
      </c>
      <c r="G16" s="1" t="str">
        <f>IF('Reunión de validación'!J16="","",'Reunión de validación'!J16)</f>
        <v>IJM</v>
      </c>
      <c r="H16" s="2" t="str">
        <f>IF('Reunión de validación'!L16="","",'Reunión de validación'!L16)</f>
        <v>Contactado</v>
      </c>
      <c r="I16" s="2" t="str">
        <f>IF('Reunión de validación'!M16="","",'Reunión de validación'!M16)</f>
        <v/>
      </c>
      <c r="J16" s="2" t="str">
        <f>IF('Reunión de validación'!N16="","",'Reunión de validación'!N16)</f>
        <v/>
      </c>
      <c r="K16" s="2" t="str">
        <f>IF('Reunión de validación'!O16="","",'Reunión de validación'!O16)</f>
        <v/>
      </c>
      <c r="L16" s="2" t="str">
        <f>IF('Reunión de validación'!P16="","",'Reunión de validación'!P16)</f>
        <v>Sin respuesta</v>
      </c>
      <c r="M16" s="2" t="str">
        <f>IF('Reunión de validación'!Q16="","",'Reunión de validación'!Q16)</f>
        <v/>
      </c>
      <c r="N16" s="1" t="str">
        <f>IF('Reunión de validación'!R16="","",'Reunión de validación'!R16)</f>
        <v/>
      </c>
      <c r="O16" t="str">
        <f>IF('Reunión de validación'!S16="","",'Reunión de validación'!S16)</f>
        <v/>
      </c>
      <c r="P16">
        <v>3</v>
      </c>
      <c r="Q16">
        <f t="shared" si="2"/>
        <v>0</v>
      </c>
      <c r="R16">
        <f t="shared" si="3"/>
        <v>0</v>
      </c>
    </row>
    <row r="17" x14ac:dyDescent="0.35">
      <c r="A17" s="1">
        <f>IF('Reunión de validación'!A17="","",'Reunión de validación'!A17)</f>
        <v>16</v>
      </c>
      <c r="B17" s="1" t="str">
        <f>IF('Reunión de validación'!C17="","",'Reunión de validación'!C17)</f>
        <v>Jenny Dador</v>
      </c>
      <c r="C17" s="1" t="str">
        <f>+'Reunión de validación'!B17</f>
        <v>Reconocimiento - 1</v>
      </c>
      <c r="D17" s="1" t="str">
        <f>IF('Reunión de validación'!D17="","",'Reunión de validación'!D17)</f>
        <v>Coordinadora de Derechos Humanos</v>
      </c>
      <c r="E17" s="1" t="str">
        <f>IF('Reunión de validación'!H17="","",'Reunión de validación'!H17)</f>
        <v>ONG</v>
      </c>
      <c r="F17" s="1" t="str">
        <f>IF('Reunión de validación'!I17="","",'Reunión de validación'!I17)</f>
        <v>Nacional</v>
      </c>
      <c r="G17" s="1" t="str">
        <f>IF('Reunión de validación'!J17="","",'Reunión de validación'!J17)</f>
        <v>IJM</v>
      </c>
      <c r="H17" s="2" t="str">
        <f>IF('Reunión de validación'!L17="","",'Reunión de validación'!L17)</f>
        <v>Contactado</v>
      </c>
      <c r="I17" s="2" t="str">
        <f>IF('Reunión de validación'!M17="","",'Reunión de validación'!M17)</f>
        <v/>
      </c>
      <c r="J17" s="2" t="str">
        <f>IF('Reunión de validación'!N17="","",'Reunión de validación'!N17)</f>
        <v/>
      </c>
      <c r="K17" s="2" t="str">
        <f>IF('Reunión de validación'!O17="","",'Reunión de validación'!O17)</f>
        <v/>
      </c>
      <c r="L17" s="2" t="str">
        <f>IF('Reunión de validación'!P17="","",'Reunión de validación'!P17)</f>
        <v>En coordinación</v>
      </c>
      <c r="M17" s="2" t="str">
        <f>IF('Reunión de validación'!Q17="","",'Reunión de validación'!Q17)</f>
        <v/>
      </c>
      <c r="N17" s="1" t="str">
        <f>IF('Reunión de validación'!R17="","",'Reunión de validación'!R17)</f>
        <v/>
      </c>
      <c r="O17" t="str">
        <f>IF('Reunión de validación'!S17="","",'Reunión de validación'!S17)</f>
        <v/>
      </c>
      <c r="P17">
        <v>4</v>
      </c>
      <c r="Q17">
        <f t="shared" si="2"/>
        <v>0</v>
      </c>
      <c r="R17">
        <f t="shared" si="3"/>
        <v>0</v>
      </c>
    </row>
    <row r="18" x14ac:dyDescent="0.35">
      <c r="A18" s="1">
        <f>IF('Reunión de validación'!A18="","",'Reunión de validación'!A18)</f>
        <v>17</v>
      </c>
      <c r="B18" s="1" t="str">
        <f>IF('Reunión de validación'!C18="","",'Reunión de validación'!C18)</f>
        <v>Carol Tremont</v>
      </c>
      <c r="C18" s="1" t="str">
        <f>+'Reunión de validación'!B18</f>
        <v>Reconocimiento - 1</v>
      </c>
      <c r="D18" s="1" t="str">
        <f>IF('Reunión de validación'!D18="","",'Reunión de validación'!D18)</f>
        <v>Asociación Protección Población Vulnerable</v>
      </c>
      <c r="E18" s="1" t="str">
        <f>IF('Reunión de validación'!H18="","",'Reunión de validación'!H18)</f>
        <v>ONG</v>
      </c>
      <c r="F18" s="1" t="str">
        <f>IF('Reunión de validación'!I18="","",'Reunión de validación'!I18)</f>
        <v>Nacional</v>
      </c>
      <c r="G18" s="1" t="str">
        <f>IF('Reunión de validación'!J18="","",'Reunión de validación'!J18)</f>
        <v>IJM</v>
      </c>
      <c r="H18" s="2" t="str">
        <f>IF('Reunión de validación'!L18="","",'Reunión de validación'!L18)</f>
        <v>No contactado</v>
      </c>
      <c r="I18" s="2" t="str">
        <f>IF('Reunión de validación'!M18="","",'Reunión de validación'!M18)</f>
        <v/>
      </c>
      <c r="J18" s="2" t="str">
        <f>IF('Reunión de validación'!N18="","",'Reunión de validación'!N18)</f>
        <v/>
      </c>
      <c r="K18" s="2" t="str">
        <f>IF('Reunión de validación'!O18="","",'Reunión de validación'!O18)</f>
        <v/>
      </c>
      <c r="L18" s="2" t="str">
        <f>IF('Reunión de validación'!P18="","",'Reunión de validación'!P18)</f>
        <v>Sin respuesta</v>
      </c>
      <c r="M18" s="2" t="str">
        <f>IF('Reunión de validación'!Q18="","",'Reunión de validación'!Q18)</f>
        <v/>
      </c>
      <c r="N18" s="1" t="str">
        <f>IF('Reunión de validación'!R18="","",'Reunión de validación'!R18)</f>
        <v/>
      </c>
      <c r="O18" t="str">
        <f>IF('Reunión de validación'!S18="","",'Reunión de validación'!S18)</f>
        <v/>
      </c>
      <c r="P18">
        <v>5</v>
      </c>
      <c r="Q18">
        <f t="shared" si="2"/>
        <v>0</v>
      </c>
      <c r="R18">
        <f t="shared" si="3"/>
        <v>0</v>
      </c>
    </row>
    <row r="19" x14ac:dyDescent="0.35">
      <c r="A19" s="1">
        <f>IF('Reunión de validación'!A19="","",'Reunión de validación'!A19)</f>
        <v>18</v>
      </c>
      <c r="B19" s="1" t="str">
        <f>IF('Reunión de validación'!C19="","",'Reunión de validación'!C19)</f>
        <v>Rosario Cosar</v>
      </c>
      <c r="C19" s="1" t="str">
        <f>+'Reunión de validación'!B19</f>
        <v>Reconocimiento - 1</v>
      </c>
      <c r="D19" s="1" t="str">
        <f>IF('Reunión de validación'!D19="","",'Reunión de validación'!D19)</f>
        <v>Asociación Kallpa</v>
      </c>
      <c r="E19" s="1" t="str">
        <f>IF('Reunión de validación'!H19="","",'Reunión de validación'!H19)</f>
        <v>ONG</v>
      </c>
      <c r="F19" s="1" t="str">
        <f>IF('Reunión de validación'!I19="","",'Reunión de validación'!I19)</f>
        <v>Lima Norte</v>
      </c>
      <c r="G19" s="1" t="str">
        <f>IF('Reunión de validación'!J19="","",'Reunión de validación'!J19)</f>
        <v>IJM</v>
      </c>
      <c r="H19" s="2" t="str">
        <f>IF('Reunión de validación'!L19="","",'Reunión de validación'!L19)</f>
        <v>Contactado</v>
      </c>
      <c r="I19" s="2" t="str">
        <f>IF('Reunión de validación'!M19="","",'Reunión de validación'!M19)</f>
        <v/>
      </c>
      <c r="J19" s="2" t="str">
        <f>IF('Reunión de validación'!N19="","",'Reunión de validación'!N19)</f>
        <v/>
      </c>
      <c r="K19" s="2" t="str">
        <f>IF('Reunión de validación'!O19="","",'Reunión de validación'!O19)</f>
        <v/>
      </c>
      <c r="L19" s="2" t="str">
        <f>IF('Reunión de validación'!P19="","",'Reunión de validación'!P19)</f>
        <v>Sin respuesta</v>
      </c>
      <c r="M19" s="2" t="str">
        <f>IF('Reunión de validación'!Q19="","",'Reunión de validación'!Q19)</f>
        <v/>
      </c>
      <c r="N19" s="1" t="str">
        <f>IF('Reunión de validación'!R19="","",'Reunión de validación'!R19)</f>
        <v/>
      </c>
      <c r="O19" t="str">
        <f>IF('Reunión de validación'!S19="","",'Reunión de validación'!S19)</f>
        <v/>
      </c>
      <c r="P19">
        <v>6</v>
      </c>
      <c r="Q19">
        <f t="shared" si="2"/>
        <v>0</v>
      </c>
      <c r="R19">
        <f t="shared" si="3"/>
        <v>0</v>
      </c>
    </row>
    <row r="20" x14ac:dyDescent="0.35">
      <c r="A20" s="1">
        <f>IF('Reunión de validación'!A20="","",'Reunión de validación'!A20)</f>
        <v>19</v>
      </c>
      <c r="B20" s="1" t="str">
        <f>IF('Reunión de validación'!C20="","",'Reunión de validación'!C20)</f>
        <v>Oscar Andrés Alva Arías</v>
      </c>
      <c r="C20" s="1" t="str">
        <f>+'Reunión de validación'!B20</f>
        <v>Reconocimiento - 1</v>
      </c>
      <c r="D20" s="1" t="str">
        <f>IF('Reunión de validación'!D20="","",'Reunión de validación'!D20)</f>
        <v>MIMP</v>
      </c>
      <c r="E20" s="1" t="str">
        <f>IF('Reunión de validación'!H20="","",'Reunión de validación'!H20)</f>
        <v>Instituciones públicas</v>
      </c>
      <c r="F20" s="1" t="str">
        <f>IF('Reunión de validación'!I20="","",'Reunión de validación'!I20)</f>
        <v>Nacional</v>
      </c>
      <c r="G20" s="1" t="str">
        <f>IF('Reunión de validación'!J20="","",'Reunión de validación'!J20)</f>
        <v>IJM</v>
      </c>
      <c r="H20" s="2" t="str">
        <f>IF('Reunión de validación'!L20="","",'Reunión de validación'!L20)</f>
        <v>Contactado</v>
      </c>
      <c r="I20" s="2" t="str">
        <f>IF('Reunión de validación'!M20="","",'Reunión de validación'!M20)</f>
        <v/>
      </c>
      <c r="J20" s="2" t="str">
        <f>IF('Reunión de validación'!N20="","",'Reunión de validación'!N20)</f>
        <v/>
      </c>
      <c r="K20" s="2" t="str">
        <f>IF('Reunión de validación'!O20="","",'Reunión de validación'!O20)</f>
        <v/>
      </c>
      <c r="L20" s="2" t="str">
        <f>IF('Reunión de validación'!P20="","",'Reunión de validación'!P20)</f>
        <v>Sin respuesta</v>
      </c>
      <c r="M20" s="2" t="str">
        <f>IF('Reunión de validación'!Q20="","",'Reunión de validación'!Q20)</f>
        <v/>
      </c>
      <c r="N20" s="1" t="str">
        <f>IF('Reunión de validación'!R20="","",'Reunión de validación'!R20)</f>
        <v/>
      </c>
      <c r="O20" t="str">
        <f>IF('Reunión de validación'!S20="","",'Reunión de validación'!S20)</f>
        <v/>
      </c>
      <c r="P20">
        <v>7</v>
      </c>
      <c r="Q20">
        <f t="shared" si="2"/>
        <v>0</v>
      </c>
      <c r="R20">
        <f t="shared" si="3"/>
        <v>0</v>
      </c>
    </row>
    <row r="21" x14ac:dyDescent="0.35">
      <c r="A21" s="1">
        <f>IF('Reunión de validación'!A21="","",'Reunión de validación'!A21)</f>
        <v>20</v>
      </c>
      <c r="B21" s="1" t="str">
        <f>IF('Reunión de validación'!C21="","",'Reunión de validación'!C21)</f>
        <v>Silvia Arteaga</v>
      </c>
      <c r="C21" s="1" t="str">
        <f>+'Reunión de validación'!B21</f>
        <v>Reconocimiento - 1</v>
      </c>
      <c r="D21" s="1" t="str">
        <f>IF('Reunión de validación'!D21="","",'Reunión de validación'!D21)</f>
        <v>Centros de Acogida Residencial</v>
      </c>
      <c r="E21" s="1" t="str">
        <f>IF('Reunión de validación'!H21="","",'Reunión de validación'!H21)</f>
        <v>Instituciones públicas</v>
      </c>
      <c r="F21" s="1" t="str">
        <f>IF('Reunión de validación'!I21="","",'Reunión de validación'!I21)</f>
        <v>Lime Este</v>
      </c>
      <c r="G21" s="1" t="str">
        <f>IF('Reunión de validación'!J21="","",'Reunión de validación'!J21)</f>
        <v>IJM</v>
      </c>
      <c r="H21" s="2" t="str">
        <f>IF('Reunión de validación'!L21="","",'Reunión de validación'!L21)</f>
        <v>Contactado</v>
      </c>
      <c r="I21" s="2" t="str">
        <f>IF('Reunión de validación'!M21="","",'Reunión de validación'!M21)</f>
        <v/>
      </c>
      <c r="J21" s="2" t="str">
        <f>IF('Reunión de validación'!N21="","",'Reunión de validación'!N21)</f>
        <v/>
      </c>
      <c r="K21" s="2" t="str">
        <f>IF('Reunión de validación'!O21="","",'Reunión de validación'!O21)</f>
        <v/>
      </c>
      <c r="L21" s="2" t="str">
        <f>IF('Reunión de validación'!P21="","",'Reunión de validación'!P21)</f>
        <v>Sin respuesta</v>
      </c>
      <c r="M21" s="2" t="str">
        <f>IF('Reunión de validación'!Q21="","",'Reunión de validación'!Q21)</f>
        <v/>
      </c>
      <c r="N21" s="1" t="str">
        <f>IF('Reunión de validación'!R21="","",'Reunión de validación'!R21)</f>
        <v/>
      </c>
      <c r="O21" t="str">
        <f>IF('Reunión de validación'!S21="","",'Reunión de validación'!S21)</f>
        <v/>
      </c>
      <c r="P21">
        <v>8</v>
      </c>
      <c r="Q21">
        <f t="shared" si="2"/>
        <v>0</v>
      </c>
      <c r="R21">
        <f t="shared" si="3"/>
        <v>0</v>
      </c>
    </row>
    <row r="22" x14ac:dyDescent="0.35">
      <c r="A22" s="1">
        <f>IF('Reunión de validación'!A22="","",'Reunión de validación'!A22)</f>
        <v>21</v>
      </c>
      <c r="B22" s="1" t="str">
        <f>IF('Reunión de validación'!C22="","",'Reunión de validación'!C22)</f>
        <v>Angel Grimaldo Palacios Trujillo</v>
      </c>
      <c r="C22" s="1" t="str">
        <f>+'Reunión de validación'!B22</f>
        <v>Reconocimiento - 1</v>
      </c>
      <c r="D22" s="1" t="str">
        <f>IF('Reunión de validación'!D22="","",'Reunión de validación'!D22)</f>
        <v>CEM</v>
      </c>
      <c r="E22" s="1" t="str">
        <f>IF('Reunión de validación'!H22="","",'Reunión de validación'!H22)</f>
        <v>Instituciones públicas</v>
      </c>
      <c r="F22" s="1" t="str">
        <f>IF('Reunión de validación'!I22="","",'Reunión de validación'!I22)</f>
        <v>Lima Norte</v>
      </c>
      <c r="G22" s="1" t="str">
        <f>IF('Reunión de validación'!J22="","",'Reunión de validación'!J22)</f>
        <v>IJM</v>
      </c>
      <c r="H22" s="2" t="str">
        <f>IF('Reunión de validación'!L22="","",'Reunión de validación'!L22)</f>
        <v>Contactado</v>
      </c>
      <c r="I22" s="2" t="str">
        <f>IF('Reunión de validación'!M22="","",'Reunión de validación'!M22)</f>
        <v/>
      </c>
      <c r="J22" s="2" t="str">
        <f>IF('Reunión de validación'!N22="","",'Reunión de validación'!N22)</f>
        <v/>
      </c>
      <c r="K22" s="2" t="str">
        <f>IF('Reunión de validación'!O22="","",'Reunión de validación'!O22)</f>
        <v/>
      </c>
      <c r="L22" s="2" t="str">
        <f>IF('Reunión de validación'!P22="","",'Reunión de validación'!P22)</f>
        <v>Sin respuesta</v>
      </c>
      <c r="M22" s="2" t="str">
        <f>IF('Reunión de validación'!Q22="","",'Reunión de validación'!Q22)</f>
        <v/>
      </c>
      <c r="N22" s="1" t="str">
        <f>IF('Reunión de validación'!R22="","",'Reunión de validación'!R22)</f>
        <v/>
      </c>
      <c r="O22" t="str">
        <f>IF('Reunión de validación'!S22="","",'Reunión de validación'!S22)</f>
        <v/>
      </c>
      <c r="P22">
        <v>9</v>
      </c>
      <c r="Q22">
        <f t="shared" si="2"/>
        <v>0</v>
      </c>
      <c r="R22">
        <f t="shared" si="3"/>
        <v>0</v>
      </c>
    </row>
    <row r="23" x14ac:dyDescent="0.35">
      <c r="A23" s="1">
        <f>IF('Reunión de validación'!A23="","",'Reunión de validación'!A23)</f>
        <v>22</v>
      </c>
      <c r="B23" s="1" t="str">
        <f>IF('Reunión de validación'!C23="","",'Reunión de validación'!C23)</f>
        <v>Helen Arlene Maza Gonzales</v>
      </c>
      <c r="C23" s="1" t="str">
        <f>+'Reunión de validación'!B23</f>
        <v>Reconocimiento - 1</v>
      </c>
      <c r="D23" s="1" t="str">
        <f>IF('Reunión de validación'!D23="","",'Reunión de validación'!D23)</f>
        <v>CEM</v>
      </c>
      <c r="E23" s="1" t="str">
        <f>IF('Reunión de validación'!H23="","",'Reunión de validación'!H23)</f>
        <v>Instituciones públicas</v>
      </c>
      <c r="F23" s="1" t="str">
        <f>IF('Reunión de validación'!I23="","",'Reunión de validación'!I23)</f>
        <v>Puente Piedra - Ventanilla</v>
      </c>
      <c r="G23" s="1" t="str">
        <f>IF('Reunión de validación'!J23="","",'Reunión de validación'!J23)</f>
        <v>IJM</v>
      </c>
      <c r="H23" s="2" t="str">
        <f>IF('Reunión de validación'!L23="","",'Reunión de validación'!L23)</f>
        <v>Contactado</v>
      </c>
      <c r="I23" s="2" t="str">
        <f>IF('Reunión de validación'!M23="","",'Reunión de validación'!M23)</f>
        <v/>
      </c>
      <c r="J23" s="2" t="str">
        <f>IF('Reunión de validación'!N23="","",'Reunión de validación'!N23)</f>
        <v/>
      </c>
      <c r="K23" s="2" t="str">
        <f>IF('Reunión de validación'!O23="","",'Reunión de validación'!O23)</f>
        <v/>
      </c>
      <c r="L23" s="2" t="str">
        <f>IF('Reunión de validación'!P23="","",'Reunión de validación'!P23)</f>
        <v>Aceptada</v>
      </c>
      <c r="M23" s="2">
        <f>IF('Reunión de validación'!Q23="","",'Reunión de validación'!Q23)</f>
        <v>46001</v>
      </c>
      <c r="N23" s="1" t="str">
        <f>IF('Reunión de validación'!R23="","",'Reunión de validación'!R23)</f>
        <v>Asistió</v>
      </c>
      <c r="O23">
        <f>IF('Reunión de validación'!S23="","",'Reunión de validación'!S23)</f>
        <v>120</v>
      </c>
      <c r="P23">
        <v>10</v>
      </c>
      <c r="Q23">
        <f t="shared" si="2"/>
        <v>1</v>
      </c>
      <c r="R23">
        <f t="shared" si="3"/>
        <v>1</v>
      </c>
    </row>
    <row r="24" x14ac:dyDescent="0.35">
      <c r="A24" s="1">
        <f>IF('Reunión de validación'!A24="","",'Reunión de validación'!A24)</f>
        <v>23</v>
      </c>
      <c r="B24" s="1" t="str">
        <f>IF('Reunión de validación'!C24="","",'Reunión de validación'!C24)</f>
        <v>Magaly Blas</v>
      </c>
      <c r="C24" s="1" t="str">
        <f>+'Reunión de validación'!B24</f>
        <v>Reconocimiento - 1</v>
      </c>
      <c r="D24" s="1" t="str">
        <f>IF('Reunión de validación'!D24="","",'Reunión de validación'!D24)</f>
        <v>Colegio Médico del Perú</v>
      </c>
      <c r="E24" s="1" t="str">
        <f>IF('Reunión de validación'!H24="","",'Reunión de validación'!H24)</f>
        <v>Instituciones públicas</v>
      </c>
      <c r="F24" s="1" t="str">
        <f>IF('Reunión de validación'!I24="","",'Reunión de validación'!I24)</f>
        <v>Nacional</v>
      </c>
      <c r="G24" s="1" t="str">
        <f>IF('Reunión de validación'!J24="","",'Reunión de validación'!J24)</f>
        <v>IJM</v>
      </c>
      <c r="H24" s="2" t="str">
        <f>IF('Reunión de validación'!L24="","",'Reunión de validación'!L24)</f>
        <v>Contactado</v>
      </c>
      <c r="I24" s="2" t="str">
        <f>IF('Reunión de validación'!M24="","",'Reunión de validación'!M24)</f>
        <v/>
      </c>
      <c r="J24" s="2" t="str">
        <f>IF('Reunión de validación'!N24="","",'Reunión de validación'!N24)</f>
        <v/>
      </c>
      <c r="K24" s="2" t="str">
        <f>IF('Reunión de validación'!O24="","",'Reunión de validación'!O24)</f>
        <v/>
      </c>
      <c r="L24" s="2" t="str">
        <f>IF('Reunión de validación'!P24="","",'Reunión de validación'!P24)</f>
        <v>Sin respuesta</v>
      </c>
      <c r="M24" s="2" t="str">
        <f>IF('Reunión de validación'!Q24="","",'Reunión de validación'!Q24)</f>
        <v/>
      </c>
      <c r="N24" s="1" t="str">
        <f>IF('Reunión de validación'!R24="","",'Reunión de validación'!R24)</f>
        <v/>
      </c>
      <c r="O24" t="str">
        <f>IF('Reunión de validación'!S24="","",'Reunión de validación'!S24)</f>
        <v/>
      </c>
      <c r="P24">
        <v>11</v>
      </c>
      <c r="Q24">
        <f t="shared" ref="Q24:Q31" si="4">IF(N24="Asistió",1,0)</f>
        <v>0</v>
      </c>
      <c r="R24">
        <f t="shared" ref="R24:R31" si="5">IF(L24="Aceptada",1,0)</f>
        <v>0</v>
      </c>
    </row>
    <row r="25" x14ac:dyDescent="0.35">
      <c r="A25" s="1">
        <f>IF('Reunión de validación'!A25="","",'Reunión de validación'!A25)</f>
        <v>24</v>
      </c>
      <c r="B25" s="1" t="str">
        <f>IF('Reunión de validación'!C25="","",'Reunión de validación'!C25)</f>
        <v>Eutropia Ayllon León de Lima Norte</v>
      </c>
      <c r="C25" s="1" t="str">
        <f>+'Reunión de validación'!B25</f>
        <v>Reconocimiento - 1</v>
      </c>
      <c r="D25" s="1" t="str">
        <f>IF('Reunión de validación'!D25="","",'Reunión de validación'!D25)</f>
        <v>Orientadora Judicial</v>
      </c>
      <c r="E25" s="1" t="str">
        <f>IF('Reunión de validación'!H25="","",'Reunión de validación'!H25)</f>
        <v>Líderes comunitarios</v>
      </c>
      <c r="F25" s="1" t="str">
        <f>IF('Reunión de validación'!I25="","",'Reunión de validación'!I25)</f>
        <v>Lima Norte</v>
      </c>
      <c r="G25" s="1" t="str">
        <f>IF('Reunión de validación'!J25="","",'Reunión de validación'!J25)</f>
        <v>IJM</v>
      </c>
      <c r="H25" s="2" t="str">
        <f>IF('Reunión de validación'!L25="","",'Reunión de validación'!L25)</f>
        <v>Contactado</v>
      </c>
      <c r="I25" s="2" t="str">
        <f>IF('Reunión de validación'!M25="","",'Reunión de validación'!M25)</f>
        <v/>
      </c>
      <c r="J25" s="2" t="str">
        <f>IF('Reunión de validación'!N25="","",'Reunión de validación'!N25)</f>
        <v/>
      </c>
      <c r="K25" s="2" t="str">
        <f>IF('Reunión de validación'!O25="","",'Reunión de validación'!O25)</f>
        <v/>
      </c>
      <c r="L25" s="2" t="str">
        <f>IF('Reunión de validación'!P25="","",'Reunión de validación'!P25)</f>
        <v>Aceptada</v>
      </c>
      <c r="M25" s="2">
        <f>IF('Reunión de validación'!Q25="","",'Reunión de validación'!Q25)</f>
        <v>46001</v>
      </c>
      <c r="N25" s="1" t="str">
        <f>IF('Reunión de validación'!R25="","",'Reunión de validación'!R25)</f>
        <v>No asistió</v>
      </c>
      <c r="O25" t="str">
        <f>IF('Reunión de validación'!S25="","",'Reunión de validación'!S25)</f>
        <v/>
      </c>
      <c r="P25">
        <v>12</v>
      </c>
      <c r="Q25">
        <f t="shared" si="4"/>
        <v>0</v>
      </c>
      <c r="R25">
        <f t="shared" si="5"/>
        <v>1</v>
      </c>
    </row>
    <row r="26" x14ac:dyDescent="0.35">
      <c r="A26" s="1">
        <f>IF('Reunión de validación'!A26="","",'Reunión de validación'!A26)</f>
        <v>25</v>
      </c>
      <c r="B26" s="1" t="str">
        <f>IF('Reunión de validación'!C26="","",'Reunión de validación'!C26)</f>
        <v>Carmen Rosa Villela Vargas</v>
      </c>
      <c r="C26" s="1" t="str">
        <f>+'Reunión de validación'!B26</f>
        <v>Reconocimiento - 1</v>
      </c>
      <c r="D26" s="1" t="str">
        <f>IF('Reunión de validación'!D26="","",'Reunión de validación'!D26)</f>
        <v>Orientadora Judicial</v>
      </c>
      <c r="E26" s="1" t="str">
        <f>IF('Reunión de validación'!H26="","",'Reunión de validación'!H26)</f>
        <v>Líderes comunitarios</v>
      </c>
      <c r="F26" s="1" t="str">
        <f>IF('Reunión de validación'!I26="","",'Reunión de validación'!I26)</f>
        <v>Lima</v>
      </c>
      <c r="G26" s="1" t="str">
        <f>IF('Reunión de validación'!J26="","",'Reunión de validación'!J26)</f>
        <v>IJM</v>
      </c>
      <c r="H26" s="2" t="str">
        <f>IF('Reunión de validación'!L26="","",'Reunión de validación'!L26)</f>
        <v>Contactado</v>
      </c>
      <c r="I26" s="2" t="str">
        <f>IF('Reunión de validación'!M26="","",'Reunión de validación'!M26)</f>
        <v/>
      </c>
      <c r="J26" s="2" t="str">
        <f>IF('Reunión de validación'!N26="","",'Reunión de validación'!N26)</f>
        <v/>
      </c>
      <c r="K26" s="2" t="str">
        <f>IF('Reunión de validación'!O26="","",'Reunión de validación'!O26)</f>
        <v/>
      </c>
      <c r="L26" s="2" t="str">
        <f>IF('Reunión de validación'!P26="","",'Reunión de validación'!P26)</f>
        <v>Aceptada</v>
      </c>
      <c r="M26" s="2">
        <f>IF('Reunión de validación'!Q26="","",'Reunión de validación'!Q26)</f>
        <v>46001</v>
      </c>
      <c r="N26" s="1" t="str">
        <f>IF('Reunión de validación'!R26="","",'Reunión de validación'!R26)</f>
        <v>No asistió</v>
      </c>
      <c r="O26" t="str">
        <f>IF('Reunión de validación'!S26="","",'Reunión de validación'!S26)</f>
        <v/>
      </c>
      <c r="P26">
        <v>13</v>
      </c>
      <c r="Q26">
        <f t="shared" si="4"/>
        <v>0</v>
      </c>
      <c r="R26">
        <f t="shared" si="5"/>
        <v>1</v>
      </c>
    </row>
    <row r="27" x14ac:dyDescent="0.35">
      <c r="A27" s="1">
        <f>IF('Reunión de validación'!A27="","",'Reunión de validación'!A27)</f>
        <v>26</v>
      </c>
      <c r="B27" s="1" t="str">
        <f>IF('Reunión de validación'!C27="","",'Reunión de validación'!C27)</f>
        <v>Arlette Contreras</v>
      </c>
      <c r="C27" s="1" t="str">
        <f>+'Reunión de validación'!B27</f>
        <v>Reconocimiento - 1</v>
      </c>
      <c r="D27" s="1" t="str">
        <f>IF('Reunión de validación'!D27="","",'Reunión de validación'!D27)</f>
        <v>Ni una menos</v>
      </c>
      <c r="E27" s="1" t="str">
        <f>IF('Reunión de validación'!H27="","",'Reunión de validación'!H27)</f>
        <v>Líderes comunitarios</v>
      </c>
      <c r="F27" s="1" t="str">
        <f>IF('Reunión de validación'!I27="","",'Reunión de validación'!I27)</f>
        <v>Lima</v>
      </c>
      <c r="G27" s="1" t="str">
        <f>IF('Reunión de validación'!J27="","",'Reunión de validación'!J27)</f>
        <v>IJM</v>
      </c>
      <c r="H27" s="2" t="str">
        <f>IF('Reunión de validación'!L27="","",'Reunión de validación'!L27)</f>
        <v>Contactado</v>
      </c>
      <c r="I27" s="2" t="str">
        <f>IF('Reunión de validación'!M27="","",'Reunión de validación'!M27)</f>
        <v/>
      </c>
      <c r="J27" s="2" t="str">
        <f>IF('Reunión de validación'!N27="","",'Reunión de validación'!N27)</f>
        <v/>
      </c>
      <c r="K27" s="2" t="str">
        <f>IF('Reunión de validación'!O27="","",'Reunión de validación'!O27)</f>
        <v/>
      </c>
      <c r="L27" s="2" t="str">
        <f>IF('Reunión de validación'!P27="","",'Reunión de validación'!P27)</f>
        <v>Sin respuesta</v>
      </c>
      <c r="M27" s="2" t="str">
        <f>IF('Reunión de validación'!Q27="","",'Reunión de validación'!Q27)</f>
        <v/>
      </c>
      <c r="N27" s="1" t="str">
        <f>IF('Reunión de validación'!R27="","",'Reunión de validación'!R27)</f>
        <v/>
      </c>
      <c r="O27" t="str">
        <f>IF('Reunión de validación'!S27="","",'Reunión de validación'!S27)</f>
        <v/>
      </c>
      <c r="P27">
        <v>14</v>
      </c>
      <c r="Q27">
        <f t="shared" si="4"/>
        <v>0</v>
      </c>
      <c r="R27">
        <f t="shared" si="5"/>
        <v>0</v>
      </c>
    </row>
    <row r="28" x14ac:dyDescent="0.35">
      <c r="A28" s="1">
        <f>IF('Reunión de validación'!A28="","",'Reunión de validación'!A28)</f>
        <v>27</v>
      </c>
      <c r="B28" s="1" t="str">
        <f>IF('Reunión de validación'!C28="","",'Reunión de validación'!C28)</f>
        <v>Katherine Flores Mendoza</v>
      </c>
      <c r="C28" s="1" t="str">
        <f>+'Reunión de validación'!B28</f>
        <v>Reconocimiento - 1</v>
      </c>
      <c r="D28" s="1" t="str">
        <f>IF('Reunión de validación'!D28="","",'Reunión de validación'!D28)</f>
        <v>Familias Unidas Por Justicia: Familiares de Víctimas de Feminicidio</v>
      </c>
      <c r="E28" s="1" t="str">
        <f>IF('Reunión de validación'!H28="","",'Reunión de validación'!H28)</f>
        <v>Líderes comunitarios</v>
      </c>
      <c r="F28" s="1" t="str">
        <f>IF('Reunión de validación'!I28="","",'Reunión de validación'!I28)</f>
        <v>Nacional</v>
      </c>
      <c r="G28" s="1" t="str">
        <f>IF('Reunión de validación'!J28="","",'Reunión de validación'!J28)</f>
        <v>IJM</v>
      </c>
      <c r="H28" s="2" t="str">
        <f>IF('Reunión de validación'!L28="","",'Reunión de validación'!L28)</f>
        <v>Contactado</v>
      </c>
      <c r="I28" s="2" t="str">
        <f>IF('Reunión de validación'!M28="","",'Reunión de validación'!M28)</f>
        <v/>
      </c>
      <c r="J28" s="2" t="str">
        <f>IF('Reunión de validación'!N28="","",'Reunión de validación'!N28)</f>
        <v/>
      </c>
      <c r="K28" s="2" t="str">
        <f>IF('Reunión de validación'!O28="","",'Reunión de validación'!O28)</f>
        <v/>
      </c>
      <c r="L28" s="2" t="str">
        <f>IF('Reunión de validación'!P28="","",'Reunión de validación'!P28)</f>
        <v>Aceptada</v>
      </c>
      <c r="M28" s="2">
        <f>IF('Reunión de validación'!Q28="","",'Reunión de validación'!Q28)</f>
        <v>46001</v>
      </c>
      <c r="N28" s="1" t="str">
        <f>IF('Reunión de validación'!R28="","",'Reunión de validación'!R28)</f>
        <v>Asistió</v>
      </c>
      <c r="O28">
        <f>IF('Reunión de validación'!S28="","",'Reunión de validación'!S28)</f>
        <v>120</v>
      </c>
      <c r="P28">
        <v>15</v>
      </c>
      <c r="Q28">
        <f t="shared" si="4"/>
        <v>1</v>
      </c>
      <c r="R28">
        <f t="shared" si="5"/>
        <v>1</v>
      </c>
    </row>
    <row r="29" x14ac:dyDescent="0.35">
      <c r="A29" s="1">
        <f>IF('Reunión de validación'!A29="","",'Reunión de validación'!A29)</f>
        <v>28</v>
      </c>
      <c r="B29" s="1" t="str">
        <f>IF('Reunión de validación'!C29="","",'Reunión de validación'!C29)</f>
        <v>Judith Gisella Caruhapoma Ortega</v>
      </c>
      <c r="C29" s="1" t="str">
        <f>+'Reunión de validación'!B29</f>
        <v>Reconocimiento - 1</v>
      </c>
      <c r="D29" s="1" t="str">
        <f>IF('Reunión de validación'!D29="","",'Reunión de validación'!D29)</f>
        <v>Ministerio Público</v>
      </c>
      <c r="E29" s="1" t="str">
        <f>IF('Reunión de validación'!H29="","",'Reunión de validación'!H29)</f>
        <v>Instituciones públicas</v>
      </c>
      <c r="F29" s="1" t="str">
        <f>IF('Reunión de validación'!I29="","",'Reunión de validación'!I29)</f>
        <v>Lima Norte</v>
      </c>
      <c r="G29" s="1" t="str">
        <f>IF('Reunión de validación'!J29="","",'Reunión de validación'!J29)</f>
        <v>IJM</v>
      </c>
      <c r="H29" s="2" t="str">
        <f>IF('Reunión de validación'!L29="","",'Reunión de validación'!L29)</f>
        <v>Contactado</v>
      </c>
      <c r="I29" s="2" t="str">
        <f>IF('Reunión de validación'!M29="","",'Reunión de validación'!M29)</f>
        <v/>
      </c>
      <c r="J29" s="2" t="str">
        <f>IF('Reunión de validación'!N29="","",'Reunión de validación'!N29)</f>
        <v/>
      </c>
      <c r="K29" s="2" t="str">
        <f>IF('Reunión de validación'!O29="","",'Reunión de validación'!O29)</f>
        <v/>
      </c>
      <c r="L29" s="2" t="str">
        <f>IF('Reunión de validación'!P29="","",'Reunión de validación'!P29)</f>
        <v>Sin respuesta</v>
      </c>
      <c r="M29" s="2" t="str">
        <f>IF('Reunión de validación'!Q29="","",'Reunión de validación'!Q29)</f>
        <v/>
      </c>
      <c r="N29" s="1" t="str">
        <f>IF('Reunión de validación'!R29="","",'Reunión de validación'!R29)</f>
        <v/>
      </c>
      <c r="O29" t="str">
        <f>IF('Reunión de validación'!S29="","",'Reunión de validación'!S29)</f>
        <v/>
      </c>
      <c r="P29">
        <v>16</v>
      </c>
      <c r="Q29">
        <f t="shared" si="4"/>
        <v>0</v>
      </c>
      <c r="R29">
        <f t="shared" si="5"/>
        <v>0</v>
      </c>
    </row>
    <row r="30" x14ac:dyDescent="0.35">
      <c r="A30" s="1">
        <f>IF('Reunión de validación'!A30="","",'Reunión de validación'!A30)</f>
        <v>29</v>
      </c>
      <c r="B30" s="1" t="str">
        <f>IF('Reunión de validación'!C30="","",'Reunión de validación'!C30)</f>
        <v>Vanessa Díaz</v>
      </c>
      <c r="C30" s="1" t="str">
        <f>+'Reunión de validación'!B30</f>
        <v>Reconocimiento - 1</v>
      </c>
      <c r="D30" s="1" t="str">
        <f>IF('Reunión de validación'!D30="","",'Reunión de validación'!D30)</f>
        <v>Wami Ñan</v>
      </c>
      <c r="E30" s="1" t="str">
        <f>IF('Reunión de validación'!H30="","",'Reunión de validación'!H30)</f>
        <v>Instituciones públicas</v>
      </c>
      <c r="F30" s="1" t="str">
        <f>IF('Reunión de validación'!I30="","",'Reunión de validación'!I30)</f>
        <v>Lima</v>
      </c>
      <c r="G30" s="1" t="str">
        <f>IF('Reunión de validación'!J30="","",'Reunión de validación'!J30)</f>
        <v>IJM</v>
      </c>
      <c r="H30" s="2" t="str">
        <f>IF('Reunión de validación'!L30="","",'Reunión de validación'!L30)</f>
        <v>Contactado</v>
      </c>
      <c r="I30" s="2" t="str">
        <f>IF('Reunión de validación'!M30="","",'Reunión de validación'!M30)</f>
        <v/>
      </c>
      <c r="J30" s="2" t="str">
        <f>IF('Reunión de validación'!N30="","",'Reunión de validación'!N30)</f>
        <v/>
      </c>
      <c r="K30" s="2" t="str">
        <f>IF('Reunión de validación'!O30="","",'Reunión de validación'!O30)</f>
        <v/>
      </c>
      <c r="L30" s="2" t="str">
        <f>IF('Reunión de validación'!P30="","",'Reunión de validación'!P30)</f>
        <v>Aceptada</v>
      </c>
      <c r="M30" s="2">
        <f>IF('Reunión de validación'!Q30="","",'Reunión de validación'!Q30)</f>
        <v>46001</v>
      </c>
      <c r="N30" s="1" t="str">
        <f>IF('Reunión de validación'!R30="","",'Reunión de validación'!R30)</f>
        <v>Asistió</v>
      </c>
      <c r="O30">
        <f>IF('Reunión de validación'!S30="","",'Reunión de validación'!S30)</f>
        <v>120</v>
      </c>
      <c r="P30">
        <v>17</v>
      </c>
      <c r="Q30">
        <f t="shared" si="4"/>
        <v>1</v>
      </c>
      <c r="R30">
        <f t="shared" si="5"/>
        <v>1</v>
      </c>
    </row>
    <row r="31" x14ac:dyDescent="0.35">
      <c r="A31" s="1">
        <f>IF('Reunión de validación'!A31="","",'Reunión de validación'!A31)</f>
        <v>30</v>
      </c>
      <c r="B31" s="1" t="str">
        <f>IF('Reunión de validación'!C31="","",'Reunión de validación'!C31)</f>
        <v>Zoila Cabanillas</v>
      </c>
      <c r="C31" s="1" t="str">
        <f>+'Reunión de validación'!B31</f>
        <v>Reconocimiento - 1</v>
      </c>
      <c r="D31" s="1" t="str">
        <f>IF('Reunión de validación'!D31="","",'Reunión de validación'!D31)</f>
        <v>Wami Ñan</v>
      </c>
      <c r="E31" s="1" t="str">
        <f>IF('Reunión de validación'!H31="","",'Reunión de validación'!H31)</f>
        <v>Instituciones públicas</v>
      </c>
      <c r="F31" s="1" t="str">
        <f>IF('Reunión de validación'!I31="","",'Reunión de validación'!I31)</f>
        <v>Lima</v>
      </c>
      <c r="G31" s="1" t="str">
        <f>IF('Reunión de validación'!J31="","",'Reunión de validación'!J31)</f>
        <v>IJM</v>
      </c>
      <c r="H31" s="2" t="str">
        <f>IF('Reunión de validación'!L31="","",'Reunión de validación'!L31)</f>
        <v>Contactado</v>
      </c>
      <c r="I31" s="2" t="str">
        <f>IF('Reunión de validación'!M31="","",'Reunión de validación'!M31)</f>
        <v/>
      </c>
      <c r="J31" s="2" t="str">
        <f>IF('Reunión de validación'!N31="","",'Reunión de validación'!N31)</f>
        <v/>
      </c>
      <c r="K31" s="2" t="str">
        <f>IF('Reunión de validación'!O31="","",'Reunión de validación'!O31)</f>
        <v/>
      </c>
      <c r="L31" s="2" t="str">
        <f>IF('Reunión de validación'!P31="","",'Reunión de validación'!P31)</f>
        <v>Aceptada</v>
      </c>
      <c r="M31" s="2">
        <f>IF('Reunión de validación'!Q31="","",'Reunión de validación'!Q31)</f>
        <v>46001</v>
      </c>
      <c r="N31" s="1" t="str">
        <f>IF('Reunión de validación'!R31="","",'Reunión de validación'!R31)</f>
        <v>No asistió</v>
      </c>
      <c r="O31" t="str">
        <f>IF('Reunión de validación'!S31="","",'Reunión de validación'!S31)</f>
        <v/>
      </c>
      <c r="P31">
        <v>18</v>
      </c>
      <c r="Q31">
        <f t="shared" si="4"/>
        <v>0</v>
      </c>
      <c r="R31">
        <f t="shared" si="5"/>
        <v>1</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15BC20D-2E4A-497D-8B66-B26C54719CF5}">
          <x14:formula1>
            <xm:f>Listas!$F$2:$F$6</xm:f>
          </x14:formula1>
          <xm:sqref>E2:E31</xm:sqref>
        </x14:dataValidation>
        <x14:dataValidation type="list" allowBlank="1" showInputMessage="1" showErrorMessage="1" xr:uid="{82EDD74C-D938-4831-B379-90ED9B09A50D}">
          <x14:formula1>
            <xm:f>Listas!$D$2:$D$3</xm:f>
          </x14:formula1>
          <xm:sqref>M4 M6 M9 M11</xm:sqref>
        </x14:dataValidation>
        <x14:dataValidation type="list" allowBlank="1" showInputMessage="1" showErrorMessage="1" xr:uid="{A6E20195-8CDB-45DA-A9A6-8B37139D8A76}">
          <x14:formula1>
            <xm:f>Listas!$B$2:$B$3</xm:f>
          </x14:formula1>
          <xm:sqref>G2:G31</xm:sqref>
        </x14:dataValidation>
        <x14:dataValidation type="list" allowBlank="1" showInputMessage="1" showErrorMessage="1" xr:uid="{60D318C5-31D6-4CB9-91BA-031BF8682CA1}">
          <x14:formula1>
            <xm:f>Listas!$C$2:$C$10</xm:f>
          </x14:formula1>
          <xm:sqref>F2:F31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7D16-0BD4-4F0C-B3EB-E142073168C1}">
  <dimension ref="A1:V995"/>
  <sheetViews>
    <sheetView topLeftCell="L1" zoomScale="89" zoomScaleNormal="64" workbookViewId="0">
      <selection activeCell="M3" sqref="M3"/>
    </sheetView>
  </sheetViews>
  <sheetFormatPr baseColWidth="10" defaultColWidth="11.453125" defaultRowHeight="12.5" x14ac:dyDescent="0.25"/>
  <cols>
    <col min="1" max="1" width="28.81640625" style="1" customWidth="true"/>
    <col min="2" max="2" width="31.54296875" style="1" customWidth="true"/>
    <col min="3" max="3" width="60.81640625" style="1" customWidth="true"/>
    <col min="4" max="4" width="32" style="1" customWidth="true"/>
    <col min="5" max="5" width="21.7265625" style="1" bestFit="true" customWidth="true"/>
    <col min="6" max="6" width="40" style="1" customWidth="true"/>
    <col min="7" max="7" width="20" style="1" bestFit="true" customWidth="true"/>
    <col min="8" max="8" width="11.453125" style="1"/>
    <col min="9" max="11" width="21" style="2" bestFit="true" customWidth="true"/>
    <col min="12" max="12" width="23.1796875" style="1" customWidth="true"/>
    <col min="13" max="14" width="21" style="2" bestFit="true" customWidth="true"/>
    <col min="15" max="15" width="21" style="1" customWidth="true"/>
    <col min="16" max="17" width="23.1796875" style="1" customWidth="true"/>
    <col min="18" max="18" width="20.453125" style="1" bestFit="true" customWidth="true"/>
    <col min="19" max="19" width="24.453125" style="1" bestFit="true" customWidth="true"/>
    <col min="20" max="20" width="20" style="1" bestFit="true" customWidth="true"/>
    <col min="21" max="21" width="19.7265625" style="1" bestFit="true" customWidth="true"/>
    <col min="22" max="22" width="24.81640625" style="1" bestFit="true" customWidth="true"/>
    <col min="23" max="16384" width="11.453125" style="1"/>
  </cols>
  <sheetData>
    <row r="1" s="15" customFormat="true" ht="13" x14ac:dyDescent="0.3">
      <c r="A1" s="14" t="s">
        <v>0</v>
      </c>
      <c r="B1" s="14" t="s">
        <v>1</v>
      </c>
      <c r="C1" s="14" t="s">
        <v>2</v>
      </c>
      <c r="D1" s="14" t="s">
        <v>6</v>
      </c>
      <c r="E1" s="14" t="s">
        <v>7</v>
      </c>
      <c r="F1" s="14" t="s">
        <v>8</v>
      </c>
      <c r="G1" s="14" t="s">
        <v>141</v>
      </c>
      <c r="H1" s="14" t="s">
        <v>9</v>
      </c>
      <c r="I1" s="17" t="s">
        <v>10</v>
      </c>
      <c r="J1" s="17" t="s">
        <v>11</v>
      </c>
      <c r="K1" s="17" t="s">
        <v>12</v>
      </c>
      <c r="L1" s="14" t="s">
        <v>13</v>
      </c>
      <c r="M1" s="17" t="s">
        <v>14</v>
      </c>
      <c r="N1" s="17" t="s">
        <v>15</v>
      </c>
      <c r="O1" s="14" t="s">
        <v>16</v>
      </c>
      <c r="P1" s="14" t="s">
        <v>17</v>
      </c>
      <c r="Q1" s="14" t="s">
        <v>18</v>
      </c>
      <c r="R1" s="14" t="s">
        <v>133</v>
      </c>
      <c r="S1" s="14" t="s">
        <v>134</v>
      </c>
      <c r="T1" s="14" t="s">
        <v>135</v>
      </c>
      <c r="U1" s="14" t="s">
        <v>136</v>
      </c>
      <c r="V1" s="14" t="s">
        <v>137</v>
      </c>
    </row>
    <row r="2" x14ac:dyDescent="0.25">
      <c r="A2" s="1" cm="1">
        <f t="array" ref="A2:A995">+IF('Seguimiento entrevistas'!$C$6:$C$999&lt;&gt;"",'Seguimiento entrevistas'!$C$6:$C$999,"")</f>
        <v>1</v>
      </c>
      <c r="B2" s="1" t="str" cm="1">
        <f t="array" ref="B2:B995">+IF('Seguimiento entrevistas'!D6:D999&lt;&gt;"",'Seguimiento entrevistas'!D6:D999,"")</f>
        <v>Guadalupe Hinojosa Valencia</v>
      </c>
      <c r="C2" s="1" t="str" cm="1">
        <f t="array" ref="C2:C995">+IF('Seguimiento entrevistas'!E6:E999&lt;&gt;"",'Seguimiento entrevistas'!E6:E999,"")</f>
        <v>Paz y esperanza </v>
      </c>
      <c r="D2" s="1" t="str" cm="1">
        <f t="array" ref="D2:D995">+IF('Seguimiento entrevistas'!L6:L999&lt;&gt;"",'Seguimiento entrevistas'!L6:L999,"")</f>
        <v>Entrevista de actores clave</v>
      </c>
      <c r="E2" s="1" t="str" cm="1">
        <f t="array" ref="E2:E995">+IF('Seguimiento entrevistas'!I6:I999&lt;&gt;"",'Seguimiento entrevistas'!I6:I999,"")</f>
        <v>Multilaterales</v>
      </c>
      <c r="F2" s="1" t="str" cm="1">
        <f t="array" ref="F2:F995">+IF('Seguimiento entrevistas'!B6:B999&lt;&gt;"",'Seguimiento entrevistas'!B6:B999,"")</f>
        <v>Nacional</v>
      </c>
      <c r="G2" s="1" t="str" cm="1">
        <f t="array" ref="G2:G995">+IF('Seguimiento entrevistas'!R6:R999&lt;&gt;"",'Seguimiento entrevistas'!R6:R999,"")</f>
        <v>IJM</v>
      </c>
      <c r="H2" s="1" t="str" cm="1">
        <f t="array" ref="H2:H995">+IF('Seguimiento entrevistas'!T6:T999&lt;&gt;"",'Seguimiento entrevistas'!T6:T999,"")</f>
        <v>Sí</v>
      </c>
      <c r="I2" s="2" cm="1">
        <f t="array" ref="I2:I995">+IF('Seguimiento entrevistas'!V6:V999&lt;&gt;"",'Seguimiento entrevistas'!V6:V999,"")</f>
        <v>46120</v>
      </c>
      <c r="J2" s="2" cm="1">
        <f t="array" ref="J2:J995">+IF('Seguimiento entrevistas'!W6:W999&lt;&gt;"",'Seguimiento entrevistas'!W6:W999,"")</f>
        <v>46184</v>
      </c>
      <c r="K2" s="2" t="str" cm="1">
        <f t="array" ref="K2:K995">+IF('Seguimiento entrevistas'!X6:X999&lt;&gt;"",'Seguimiento entrevistas'!X6:X999,"")</f>
        <v/>
      </c>
      <c r="L2" s="1" t="str" cm="1">
        <f t="array" ref="L2:L995">+IF('Seguimiento entrevistas'!U6:U999&lt;&gt;"",'Seguimiento entrevistas'!U6:U999,"")</f>
        <v>Realizada completa</v>
      </c>
      <c r="M2" s="2" t="str" cm="1">
        <f t="array" ref="M2:M995">+IF('Seguimiento entrevistas'!Z6:Z999&lt;&gt;"",'Seguimiento entrevistas'!Z6:Z999,"")</f>
        <v/>
      </c>
      <c r="N2" s="2" t="str" cm="1">
        <f t="array" ref="N2:N995">+IF('Seguimiento entrevistas'!AA6:AA999&lt;&gt;"",'Seguimiento entrevistas'!AA6:AA999,"")</f>
        <v/>
      </c>
      <c r="O2" s="1" t="str" cm="1">
        <f t="array" ref="O2:O995">+IF('Seguimiento entrevistas'!U6:U999&lt;&gt;"",'Seguimiento entrevistas'!U6:U999,"")</f>
        <v>Realizada completa</v>
      </c>
      <c r="P2" s="1" t="str" cm="1">
        <f t="array" ref="P2:P995">+IF('Seguimiento entrevistas'!AC6:AC999&lt;&gt;"",'Seguimiento entrevistas'!AC6:AC999,"")</f>
        <v/>
      </c>
      <c r="Q2" s="1" t="str" cm="1">
        <f t="array" ref="Q2:Q995">+IF('Seguimiento entrevistas'!AB6:AB999&lt;&gt;"",'Seguimiento entrevistas'!AB6:AB999,"")</f>
        <v>A distancia asistido</v>
      </c>
      <c r="R2" s="1">
        <f>IF(H2="Sí",1,0)</f>
        <v>1</v>
      </c>
      <c r="S2" s="1">
        <f>IF(L2="En coordinación",1,0)</f>
        <v>0</v>
      </c>
      <c r="T2" s="1">
        <f>IF(L2="Aceptada",1,0)</f>
        <v>0</v>
      </c>
      <c r="U2" s="1">
        <f>IF(OR(L2="Realizada completa",L2="Realizada incompleta"),1,0)</f>
        <v>1</v>
      </c>
      <c r="V2" s="1">
        <f>IF(L2="Sin respuesta",1,0)</f>
        <v>0</v>
      </c>
    </row>
    <row r="3" x14ac:dyDescent="0.25">
      <c r="A3" s="1">
        <v>2</v>
      </c>
      <c r="B3" s="1" t="str">
        <v>Isabel López Meza</v>
      </c>
      <c r="C3" s="1" t="str">
        <v>Paz y esperanza </v>
      </c>
      <c r="D3" s="1" t="str">
        <v>Entrevista de actores clave</v>
      </c>
      <c r="E3" s="1" t="str">
        <v>Multilaterales</v>
      </c>
      <c r="F3" s="1" t="str">
        <v>Nacional</v>
      </c>
      <c r="G3" s="1" t="str">
        <v>IJM</v>
      </c>
      <c r="H3" s="1" t="str">
        <v>No</v>
      </c>
      <c r="I3" s="2" t="str">
        <v/>
      </c>
      <c r="J3" s="2" t="str">
        <v/>
      </c>
      <c r="K3" s="2" t="str">
        <v/>
      </c>
      <c r="L3" s="1" t="str">
        <v>No válida</v>
      </c>
      <c r="M3" s="2" t="str">
        <v/>
      </c>
      <c r="N3" s="2" t="str">
        <v/>
      </c>
      <c r="O3" s="1" t="str">
        <v>No válida</v>
      </c>
      <c r="P3" s="1" t="str">
        <v/>
      </c>
      <c r="Q3" s="1" t="str">
        <v/>
      </c>
      <c r="R3" s="1">
        <f t="shared" ref="R3:R66" si="0">IF(H3="Sí",1,0)</f>
        <v>0</v>
      </c>
      <c r="S3" s="1">
        <f>IF(L3="En coordinación",1,0)</f>
        <v>0</v>
      </c>
      <c r="T3" s="1">
        <f t="shared" ref="T3:T66" si="1">IF(L3="Aceptada",1,0)</f>
        <v>0</v>
      </c>
      <c r="U3" s="1">
        <f t="shared" ref="U3:U66" si="2">IF(OR(L3="Realizada completa",L3="Realizada incompleta"),1,0)</f>
        <v>0</v>
      </c>
      <c r="V3" s="1">
        <f t="shared" ref="V3:V22" si="3">IF(L3="Sin respuesta",1,0)</f>
        <v>0</v>
      </c>
    </row>
    <row r="4" x14ac:dyDescent="0.25">
      <c r="A4" s="1">
        <v>3</v>
      </c>
      <c r="B4" s="1" t="str">
        <v>Víctor García</v>
      </c>
      <c r="C4" s="1" t="str">
        <v>Plan International</v>
      </c>
      <c r="D4" s="1" t="str">
        <v>Entrevista de actores clave</v>
      </c>
      <c r="E4" s="1" t="str">
        <v>Multilaterales</v>
      </c>
      <c r="F4" s="1" t="str">
        <v>Nacional</v>
      </c>
      <c r="G4" s="1" t="str">
        <v>IJM</v>
      </c>
      <c r="H4" s="1" t="str">
        <v>Sí</v>
      </c>
      <c r="I4" s="2">
        <v>46147</v>
      </c>
      <c r="J4" s="2">
        <v>46184</v>
      </c>
      <c r="K4" s="2" t="str">
        <v/>
      </c>
      <c r="L4" s="1" t="str">
        <v>Sin respuesta</v>
      </c>
      <c r="M4" s="2" t="str">
        <v/>
      </c>
      <c r="N4" s="2" t="str">
        <v/>
      </c>
      <c r="O4" s="1" t="str">
        <v>Sin respuesta</v>
      </c>
      <c r="P4" s="1" t="str">
        <v/>
      </c>
      <c r="Q4" s="1" t="str">
        <v/>
      </c>
      <c r="R4" s="1">
        <f t="shared" si="0"/>
        <v>1</v>
      </c>
      <c r="S4" s="1">
        <f t="shared" ref="S4:S33" si="4">IF(L4="En coordinación",1,0)</f>
        <v>0</v>
      </c>
      <c r="T4" s="1">
        <f t="shared" si="1"/>
        <v>0</v>
      </c>
      <c r="U4" s="1">
        <f>IF(OR(L4="Realizada completa",L4="Realizada incompleta"),1,0)</f>
        <v>0</v>
      </c>
      <c r="V4" s="1">
        <f t="shared" si="3"/>
        <v>1</v>
      </c>
    </row>
    <row r="5" x14ac:dyDescent="0.25">
      <c r="A5" s="1">
        <v>4</v>
      </c>
      <c r="B5" s="1" t="str">
        <v>Marlene Molero Suárez</v>
      </c>
      <c r="C5" s="1" t="str">
        <v>Care Perú</v>
      </c>
      <c r="D5" s="1" t="str">
        <v>Entrevista de actores clave</v>
      </c>
      <c r="E5" s="1" t="str">
        <v>Multilaterales</v>
      </c>
      <c r="F5" s="1" t="str">
        <v>Nacional</v>
      </c>
      <c r="G5" s="1" t="str">
        <v>IJM</v>
      </c>
      <c r="H5" s="1" t="str">
        <v>No</v>
      </c>
      <c r="I5" s="2">
        <v>46100</v>
      </c>
      <c r="J5" s="2" t="str">
        <v/>
      </c>
      <c r="K5" s="2" t="str">
        <v/>
      </c>
      <c r="L5" s="1" t="str">
        <v/>
      </c>
      <c r="M5" s="2" t="str">
        <v/>
      </c>
      <c r="N5" s="2" t="str">
        <v/>
      </c>
      <c r="O5" s="1" t="str">
        <v/>
      </c>
      <c r="P5" s="1" t="str">
        <v/>
      </c>
      <c r="Q5" s="1" t="str">
        <v/>
      </c>
      <c r="R5" s="1">
        <f t="shared" si="0"/>
        <v>0</v>
      </c>
      <c r="S5" s="1">
        <f t="shared" si="4"/>
        <v>0</v>
      </c>
      <c r="T5" s="1">
        <f t="shared" si="1"/>
        <v>0</v>
      </c>
      <c r="U5" s="1">
        <f t="shared" si="2"/>
        <v>0</v>
      </c>
      <c r="V5" s="1">
        <f t="shared" si="3"/>
        <v>0</v>
      </c>
    </row>
    <row r="6" x14ac:dyDescent="0.25">
      <c r="A6" s="1">
        <v>5</v>
      </c>
      <c r="B6" s="1" t="str">
        <v>Marilú Martens Cortés</v>
      </c>
      <c r="C6" s="1" t="str">
        <v>Care Perú</v>
      </c>
      <c r="D6" s="1" t="str">
        <v>Entrevista de actores clave</v>
      </c>
      <c r="E6" s="1" t="str">
        <v>Multilaterales</v>
      </c>
      <c r="F6" s="1" t="str">
        <v>Nacional</v>
      </c>
      <c r="G6" s="1" t="str">
        <v>IJM</v>
      </c>
      <c r="H6" s="1" t="str">
        <v>Sí</v>
      </c>
      <c r="I6" s="2">
        <v>46100</v>
      </c>
      <c r="J6" s="2" t="str">
        <v/>
      </c>
      <c r="K6" s="2" t="str">
        <v/>
      </c>
      <c r="L6" s="1" t="str">
        <v>Sin respuesta</v>
      </c>
      <c r="M6" s="2" t="str">
        <v/>
      </c>
      <c r="N6" s="2" t="str">
        <v/>
      </c>
      <c r="O6" s="1" t="str">
        <v>Sin respuesta</v>
      </c>
      <c r="P6" s="1" t="str">
        <v/>
      </c>
      <c r="Q6" s="1" t="str">
        <v/>
      </c>
      <c r="R6" s="1">
        <f t="shared" si="0"/>
        <v>1</v>
      </c>
      <c r="S6" s="1">
        <f t="shared" si="4"/>
        <v>0</v>
      </c>
      <c r="T6" s="1">
        <f t="shared" si="1"/>
        <v>0</v>
      </c>
      <c r="U6" s="1">
        <f t="shared" si="2"/>
        <v>0</v>
      </c>
      <c r="V6" s="1">
        <f t="shared" si="3"/>
        <v>1</v>
      </c>
    </row>
    <row r="7" x14ac:dyDescent="0.25">
      <c r="A7" s="1">
        <v>6</v>
      </c>
      <c r="B7" s="1" t="str">
        <v>Rafael Casas</v>
      </c>
      <c r="C7" s="1" t="str">
        <v>Aldeas Infantiles SOS</v>
      </c>
      <c r="D7" s="1" t="str">
        <v>Entrevista de actores clave</v>
      </c>
      <c r="E7" s="1" t="str">
        <v>Multilaterales</v>
      </c>
      <c r="F7" s="1" t="str">
        <v>Nacional</v>
      </c>
      <c r="G7" s="1" t="str">
        <v>IJM</v>
      </c>
      <c r="H7" s="1" t="str">
        <v>Sí</v>
      </c>
      <c r="I7" s="2">
        <v>46100</v>
      </c>
      <c r="J7" s="2">
        <v>46104</v>
      </c>
      <c r="K7" s="2" t="str">
        <v/>
      </c>
      <c r="L7" s="1" t="str">
        <v>Realizada completa</v>
      </c>
      <c r="M7" s="2">
        <v>46150</v>
      </c>
      <c r="N7" s="2" t="str">
        <v/>
      </c>
      <c r="O7" s="1" t="str">
        <v>Realizada completa</v>
      </c>
      <c r="P7" s="1" t="str">
        <v/>
      </c>
      <c r="Q7" s="1" t="str">
        <v>A distancia asistido</v>
      </c>
      <c r="R7" s="1">
        <f t="shared" si="0"/>
        <v>1</v>
      </c>
      <c r="S7" s="1">
        <f t="shared" si="4"/>
        <v>0</v>
      </c>
      <c r="T7" s="1">
        <f t="shared" si="1"/>
        <v>0</v>
      </c>
      <c r="U7" s="1">
        <f t="shared" si="2"/>
        <v>1</v>
      </c>
      <c r="V7" s="1">
        <f t="shared" si="3"/>
        <v>0</v>
      </c>
    </row>
    <row r="8" x14ac:dyDescent="0.25">
      <c r="A8" s="1">
        <v>7</v>
      </c>
      <c r="B8" s="1" t="str">
        <v>Sonia Gleci Frisancho Pacheco</v>
      </c>
      <c r="C8" s="1" t="str">
        <v>Aldeas Infantiles SOS</v>
      </c>
      <c r="D8" s="1" t="str">
        <v>Entrevista de actores clave</v>
      </c>
      <c r="E8" s="1" t="str">
        <v>Multilaterales</v>
      </c>
      <c r="F8" s="1" t="str">
        <v>Nacional</v>
      </c>
      <c r="G8" s="1" t="str">
        <v>IJM</v>
      </c>
      <c r="H8" s="1" t="str">
        <v>No</v>
      </c>
      <c r="I8" s="2">
        <v>46100</v>
      </c>
      <c r="J8" s="2" t="str">
        <v/>
      </c>
      <c r="K8" s="2" t="str">
        <v/>
      </c>
      <c r="L8" s="1" t="str">
        <v/>
      </c>
      <c r="M8" s="2" t="str">
        <v/>
      </c>
      <c r="N8" s="2" t="str">
        <v/>
      </c>
      <c r="O8" s="1" t="str">
        <v/>
      </c>
      <c r="P8" s="1" t="str">
        <v/>
      </c>
      <c r="Q8" s="1" t="str">
        <v/>
      </c>
      <c r="R8" s="1">
        <f t="shared" si="0"/>
        <v>0</v>
      </c>
      <c r="S8" s="1">
        <f t="shared" si="4"/>
        <v>0</v>
      </c>
      <c r="T8" s="1">
        <f t="shared" si="1"/>
        <v>0</v>
      </c>
      <c r="U8" s="1">
        <f t="shared" si="2"/>
        <v>0</v>
      </c>
      <c r="V8" s="1">
        <f t="shared" si="3"/>
        <v>0</v>
      </c>
    </row>
    <row r="9" x14ac:dyDescent="0.25">
      <c r="A9" s="1">
        <v>8</v>
      </c>
      <c r="B9" s="1" t="str">
        <v>Alejandra Saffon</v>
      </c>
      <c r="C9" s="1" t="str">
        <v>Organización para la Cooperación y el Desarrollo Económico</v>
      </c>
      <c r="D9" s="1" t="str">
        <v>Entrevista de actores clave</v>
      </c>
      <c r="E9" s="1" t="str">
        <v>Multilaterales</v>
      </c>
      <c r="F9" s="1" t="str">
        <v>Nacional</v>
      </c>
      <c r="G9" s="1" t="str">
        <v>IJM</v>
      </c>
      <c r="H9" s="1" t="str">
        <v>No</v>
      </c>
      <c r="I9" s="2">
        <v>46104</v>
      </c>
      <c r="J9" s="2" t="str">
        <v/>
      </c>
      <c r="K9" s="2" t="str">
        <v/>
      </c>
      <c r="L9" s="1" t="str">
        <v/>
      </c>
      <c r="M9" s="2" t="str">
        <v/>
      </c>
      <c r="N9" s="2" t="str">
        <v/>
      </c>
      <c r="O9" s="1" t="str">
        <v/>
      </c>
      <c r="P9" s="1" t="str">
        <v/>
      </c>
      <c r="Q9" s="1" t="str">
        <v/>
      </c>
      <c r="R9" s="1">
        <f t="shared" si="0"/>
        <v>0</v>
      </c>
      <c r="S9" s="1">
        <f t="shared" si="4"/>
        <v>0</v>
      </c>
      <c r="T9" s="1">
        <f t="shared" si="1"/>
        <v>0</v>
      </c>
      <c r="U9" s="1">
        <f t="shared" si="2"/>
        <v>0</v>
      </c>
      <c r="V9" s="1">
        <f t="shared" si="3"/>
        <v>0</v>
      </c>
    </row>
    <row r="10" x14ac:dyDescent="0.25">
      <c r="A10" s="1">
        <v>9</v>
      </c>
      <c r="B10" s="1" t="str">
        <v>Elena Portilla Odlianitskaya</v>
      </c>
      <c r="C10" s="1" t="str">
        <v>Organización para la Cooperación y el Desarrollo Económico</v>
      </c>
      <c r="D10" s="1" t="str">
        <v>Entrevista de actores clave</v>
      </c>
      <c r="E10" s="1" t="str">
        <v>Multilaterales</v>
      </c>
      <c r="F10" s="1" t="str">
        <v>Nacional</v>
      </c>
      <c r="G10" s="1" t="str">
        <v>IJM</v>
      </c>
      <c r="H10" s="1" t="str">
        <v>No</v>
      </c>
      <c r="I10" s="2" t="str">
        <v/>
      </c>
      <c r="J10" s="2" t="str">
        <v/>
      </c>
      <c r="K10" s="2" t="str">
        <v/>
      </c>
      <c r="L10" s="1" t="str">
        <v/>
      </c>
      <c r="M10" s="2" t="str">
        <v/>
      </c>
      <c r="N10" s="2" t="str">
        <v/>
      </c>
      <c r="O10" s="1" t="str">
        <v/>
      </c>
      <c r="P10" s="1" t="str">
        <v/>
      </c>
      <c r="Q10" s="1" t="str">
        <v/>
      </c>
      <c r="R10" s="1">
        <f t="shared" si="0"/>
        <v>0</v>
      </c>
      <c r="S10" s="1">
        <f t="shared" si="4"/>
        <v>0</v>
      </c>
      <c r="T10" s="1">
        <f t="shared" si="1"/>
        <v>0</v>
      </c>
      <c r="U10" s="1">
        <f t="shared" si="2"/>
        <v>0</v>
      </c>
      <c r="V10" s="1">
        <f t="shared" si="3"/>
        <v>0</v>
      </c>
    </row>
    <row r="11" x14ac:dyDescent="0.25">
      <c r="A11" s="1">
        <v>10</v>
      </c>
      <c r="B11" s="1" t="str">
        <v>Alejandra Alayza</v>
      </c>
      <c r="C11" s="1" t="str">
        <v>Oxfam</v>
      </c>
      <c r="D11" s="1" t="str">
        <v>Entrevista de actores clave</v>
      </c>
      <c r="E11" s="1" t="str">
        <v>Multilaterales</v>
      </c>
      <c r="F11" s="1" t="str">
        <v>Nacional</v>
      </c>
      <c r="G11" s="1" t="str">
        <v>IJM</v>
      </c>
      <c r="H11" s="1" t="str">
        <v>No</v>
      </c>
      <c r="I11" s="2" t="str">
        <v/>
      </c>
      <c r="J11" s="2" t="str">
        <v/>
      </c>
      <c r="K11" s="2" t="str">
        <v/>
      </c>
      <c r="L11" s="1" t="str">
        <v/>
      </c>
      <c r="M11" s="2" t="str">
        <v/>
      </c>
      <c r="N11" s="2" t="str">
        <v/>
      </c>
      <c r="O11" s="1" t="str">
        <v/>
      </c>
      <c r="P11" s="1" t="str">
        <v/>
      </c>
      <c r="Q11" s="1" t="str">
        <v/>
      </c>
      <c r="R11" s="1">
        <f t="shared" si="0"/>
        <v>0</v>
      </c>
      <c r="S11" s="1">
        <f t="shared" si="4"/>
        <v>0</v>
      </c>
      <c r="T11" s="1">
        <f t="shared" si="1"/>
        <v>0</v>
      </c>
      <c r="U11" s="1">
        <f t="shared" si="2"/>
        <v>0</v>
      </c>
      <c r="V11" s="1">
        <f t="shared" si="3"/>
        <v>0</v>
      </c>
    </row>
    <row r="12" x14ac:dyDescent="0.25">
      <c r="A12" s="1">
        <v>11</v>
      </c>
      <c r="B12" s="1" t="str">
        <v>Miguel Lévano</v>
      </c>
      <c r="C12" s="1" t="str">
        <v>Oxfam</v>
      </c>
      <c r="D12" s="1" t="str">
        <v>Entrevista de actores clave</v>
      </c>
      <c r="E12" s="1" t="str">
        <v>Multilaterales</v>
      </c>
      <c r="F12" s="1" t="str">
        <v>Nacional</v>
      </c>
      <c r="G12" s="1" t="str">
        <v>IJM</v>
      </c>
      <c r="H12" s="1" t="str">
        <v>No</v>
      </c>
      <c r="I12" s="2" t="str">
        <v/>
      </c>
      <c r="J12" s="2" t="str">
        <v/>
      </c>
      <c r="K12" s="2" t="str">
        <v/>
      </c>
      <c r="L12" s="1" t="str">
        <v/>
      </c>
      <c r="M12" s="2" t="str">
        <v/>
      </c>
      <c r="N12" s="2" t="str">
        <v/>
      </c>
      <c r="O12" s="1" t="str">
        <v/>
      </c>
      <c r="P12" s="1" t="str">
        <v/>
      </c>
      <c r="Q12" s="1" t="str">
        <v/>
      </c>
      <c r="R12" s="1">
        <f t="shared" si="0"/>
        <v>0</v>
      </c>
      <c r="S12" s="1">
        <f t="shared" si="4"/>
        <v>0</v>
      </c>
      <c r="T12" s="1">
        <f t="shared" si="1"/>
        <v>0</v>
      </c>
      <c r="U12" s="1">
        <f t="shared" si="2"/>
        <v>0</v>
      </c>
      <c r="V12" s="1">
        <f t="shared" si="3"/>
        <v>0</v>
      </c>
    </row>
    <row r="13" x14ac:dyDescent="0.25">
      <c r="A13" s="1">
        <v>12</v>
      </c>
      <c r="B13" s="1" t="str">
        <v>Esteban Caballero</v>
      </c>
      <c r="C13" s="1" t="str">
        <v>UNFPA</v>
      </c>
      <c r="D13" s="1" t="str">
        <v>Entrevista de actores clave</v>
      </c>
      <c r="E13" s="1" t="str">
        <v>Multilaterales</v>
      </c>
      <c r="F13" s="1" t="str">
        <v>Distrito Judicial: Ucayali</v>
      </c>
      <c r="G13" s="1" t="str">
        <v>IJM</v>
      </c>
      <c r="H13" s="1" t="str">
        <v>No</v>
      </c>
      <c r="I13" s="2">
        <v>46104</v>
      </c>
      <c r="J13" s="2" t="str">
        <v/>
      </c>
      <c r="K13" s="2" t="str">
        <v/>
      </c>
      <c r="L13" s="1" t="str">
        <v/>
      </c>
      <c r="M13" s="2" t="str">
        <v/>
      </c>
      <c r="N13" s="2" t="str">
        <v/>
      </c>
      <c r="O13" s="1" t="str">
        <v/>
      </c>
      <c r="P13" s="1" t="str">
        <v/>
      </c>
      <c r="Q13" s="1" t="str">
        <v/>
      </c>
      <c r="R13" s="1">
        <f t="shared" si="0"/>
        <v>0</v>
      </c>
      <c r="S13" s="1">
        <f t="shared" si="4"/>
        <v>0</v>
      </c>
      <c r="T13" s="1">
        <f t="shared" si="1"/>
        <v>0</v>
      </c>
      <c r="U13" s="1">
        <f t="shared" si="2"/>
        <v>0</v>
      </c>
      <c r="V13" s="1">
        <f t="shared" si="3"/>
        <v>0</v>
      </c>
    </row>
    <row r="14" x14ac:dyDescent="0.25">
      <c r="A14" s="1">
        <v>13</v>
      </c>
      <c r="B14" s="1" t="str">
        <v>Hugo González Coltrinari</v>
      </c>
      <c r="C14" s="1" t="str">
        <v>UNFPA</v>
      </c>
      <c r="D14" s="1" t="str">
        <v>Entrevista de actores clave</v>
      </c>
      <c r="E14" s="1" t="str">
        <v>Multilaterales</v>
      </c>
      <c r="F14" s="1" t="str">
        <v>Nacional</v>
      </c>
      <c r="G14" s="1" t="str">
        <v>IJM</v>
      </c>
      <c r="H14" s="1" t="str">
        <v>No</v>
      </c>
      <c r="I14" s="2" t="str">
        <v/>
      </c>
      <c r="J14" s="2" t="str">
        <v/>
      </c>
      <c r="K14" s="2" t="str">
        <v/>
      </c>
      <c r="L14" s="1" t="str">
        <v/>
      </c>
      <c r="M14" s="2" t="str">
        <v/>
      </c>
      <c r="N14" s="2" t="str">
        <v/>
      </c>
      <c r="O14" s="1" t="str">
        <v/>
      </c>
      <c r="P14" s="1" t="str">
        <v/>
      </c>
      <c r="Q14" s="1" t="str">
        <v/>
      </c>
      <c r="R14" s="1">
        <f t="shared" si="0"/>
        <v>0</v>
      </c>
      <c r="S14" s="1">
        <f t="shared" si="4"/>
        <v>0</v>
      </c>
      <c r="T14" s="1">
        <f t="shared" si="1"/>
        <v>0</v>
      </c>
      <c r="U14" s="1">
        <f t="shared" si="2"/>
        <v>0</v>
      </c>
      <c r="V14" s="1">
        <f t="shared" si="3"/>
        <v>0</v>
      </c>
    </row>
    <row r="15" x14ac:dyDescent="0.25">
      <c r="A15" s="1">
        <v>14</v>
      </c>
      <c r="B15" s="1" t="str">
        <v>Tomás Lopes-Teixeira</v>
      </c>
      <c r="C15" s="1" t="str">
        <v>Banco Interamericano de Desarrollo</v>
      </c>
      <c r="D15" s="1" t="str">
        <v>Entrevista de actores clave</v>
      </c>
      <c r="E15" s="1" t="str">
        <v>Multilaterales</v>
      </c>
      <c r="F15" s="1" t="str">
        <v>Nacional</v>
      </c>
      <c r="G15" s="1" t="str">
        <v>IJM</v>
      </c>
      <c r="H15" s="1" t="str">
        <v>No</v>
      </c>
      <c r="I15" s="2">
        <v>46104</v>
      </c>
      <c r="J15" s="2" t="str">
        <v/>
      </c>
      <c r="K15" s="2" t="str">
        <v/>
      </c>
      <c r="L15" s="1" t="str">
        <v/>
      </c>
      <c r="M15" s="2" t="str">
        <v/>
      </c>
      <c r="N15" s="2" t="str">
        <v/>
      </c>
      <c r="O15" s="1" t="str">
        <v/>
      </c>
      <c r="P15" s="1" t="str">
        <v/>
      </c>
      <c r="Q15" s="1" t="str">
        <v/>
      </c>
      <c r="R15" s="1">
        <f t="shared" si="0"/>
        <v>0</v>
      </c>
      <c r="S15" s="1">
        <f t="shared" si="4"/>
        <v>0</v>
      </c>
      <c r="T15" s="1">
        <f t="shared" si="1"/>
        <v>0</v>
      </c>
      <c r="U15" s="1">
        <f t="shared" si="2"/>
        <v>0</v>
      </c>
      <c r="V15" s="1">
        <f t="shared" si="3"/>
        <v>0</v>
      </c>
    </row>
    <row r="16" x14ac:dyDescent="0.25">
      <c r="A16" s="1">
        <v>15</v>
      </c>
      <c r="B16" s="1" t="str">
        <v>Issam Abousleiman</v>
      </c>
      <c r="C16" s="1" t="str">
        <v>World Bank</v>
      </c>
      <c r="D16" s="1" t="str">
        <v>Entrevista de actores clave</v>
      </c>
      <c r="E16" s="1" t="str">
        <v>Multilaterales</v>
      </c>
      <c r="F16" s="1" t="str">
        <v>Distrito Judicial: Apurímac</v>
      </c>
      <c r="G16" s="1" t="str">
        <v>IJM</v>
      </c>
      <c r="H16" s="1" t="str">
        <v>No</v>
      </c>
      <c r="I16" s="2" t="str">
        <v/>
      </c>
      <c r="J16" s="2" t="str">
        <v/>
      </c>
      <c r="K16" s="2" t="str">
        <v/>
      </c>
      <c r="L16" s="1" t="str">
        <v/>
      </c>
      <c r="M16" s="2" t="str">
        <v/>
      </c>
      <c r="N16" s="2" t="str">
        <v/>
      </c>
      <c r="O16" s="1" t="str">
        <v/>
      </c>
      <c r="P16" s="1" t="str">
        <v/>
      </c>
      <c r="Q16" s="1" t="str">
        <v/>
      </c>
      <c r="R16" s="1">
        <f t="shared" si="0"/>
        <v>0</v>
      </c>
      <c r="S16" s="1">
        <f t="shared" si="4"/>
        <v>0</v>
      </c>
      <c r="T16" s="1">
        <f t="shared" si="1"/>
        <v>0</v>
      </c>
      <c r="U16" s="1">
        <f t="shared" si="2"/>
        <v>0</v>
      </c>
      <c r="V16" s="1">
        <f t="shared" si="3"/>
        <v>0</v>
      </c>
    </row>
    <row r="17" x14ac:dyDescent="0.25">
      <c r="A17" s="1">
        <v>16</v>
      </c>
      <c r="B17" s="1" t="str">
        <v>Carlos Jesús Vilela</v>
      </c>
      <c r="C17" s="1" t="str">
        <v>Jurado Nacional de Elecciones</v>
      </c>
      <c r="D17" s="1" t="str">
        <v>Entrevista de actores clave</v>
      </c>
      <c r="E17" s="1" t="str">
        <v>Funcionarios del Sistema</v>
      </c>
      <c r="F17" s="1" t="str">
        <v>Nacional</v>
      </c>
      <c r="G17" s="1" t="str">
        <v>IJM</v>
      </c>
      <c r="H17" s="1" t="str">
        <v>Sí</v>
      </c>
      <c r="I17" s="2">
        <v>46101</v>
      </c>
      <c r="J17" s="2">
        <v>46122</v>
      </c>
      <c r="K17" s="2" t="str">
        <v/>
      </c>
      <c r="L17" s="1" t="str">
        <v>Sin respuesta</v>
      </c>
      <c r="M17" s="2" t="str">
        <v/>
      </c>
      <c r="N17" s="2" t="str">
        <v/>
      </c>
      <c r="O17" s="1" t="str">
        <v>Sin respuesta</v>
      </c>
      <c r="P17" s="1" t="str">
        <v/>
      </c>
      <c r="Q17" s="1" t="str">
        <v/>
      </c>
      <c r="R17" s="1">
        <f t="shared" si="0"/>
        <v>1</v>
      </c>
      <c r="S17" s="1">
        <f t="shared" si="4"/>
        <v>0</v>
      </c>
      <c r="T17" s="1">
        <f t="shared" si="1"/>
        <v>0</v>
      </c>
      <c r="U17" s="1">
        <f t="shared" si="2"/>
        <v>0</v>
      </c>
      <c r="V17" s="1">
        <f t="shared" si="3"/>
        <v>1</v>
      </c>
    </row>
    <row r="18" x14ac:dyDescent="0.25">
      <c r="A18" s="1">
        <v>17</v>
      </c>
      <c r="B18" s="1" t="str">
        <v>Mónica Mendez Cabezas</v>
      </c>
      <c r="C18" s="1" t="str">
        <v>Ministerio de la Mujer </v>
      </c>
      <c r="D18" s="1" t="str">
        <v>Entrevista de actores clave</v>
      </c>
      <c r="E18" s="1" t="str">
        <v>Funcionarios del Sistema</v>
      </c>
      <c r="F18" s="1" t="str">
        <v>Distrito Judicial: Loreto</v>
      </c>
      <c r="G18" s="1" t="str">
        <v>IJM</v>
      </c>
      <c r="H18" s="1" t="str">
        <v>Sí</v>
      </c>
      <c r="I18" s="2">
        <v>46147</v>
      </c>
      <c r="J18" s="2" t="str">
        <v/>
      </c>
      <c r="K18" s="2" t="str">
        <v/>
      </c>
      <c r="L18" s="1" t="str">
        <v>Sin respuesta</v>
      </c>
      <c r="M18" s="2" t="str">
        <v/>
      </c>
      <c r="N18" s="2" t="str">
        <v/>
      </c>
      <c r="O18" s="1" t="str">
        <v>Sin respuesta</v>
      </c>
      <c r="P18" s="1" t="str">
        <v/>
      </c>
      <c r="Q18" s="1" t="str">
        <v/>
      </c>
      <c r="R18" s="1">
        <f t="shared" si="0"/>
        <v>1</v>
      </c>
      <c r="S18" s="1">
        <f t="shared" si="4"/>
        <v>0</v>
      </c>
      <c r="T18" s="1">
        <f t="shared" si="1"/>
        <v>0</v>
      </c>
      <c r="U18" s="1">
        <f t="shared" si="2"/>
        <v>0</v>
      </c>
      <c r="V18" s="1">
        <f t="shared" si="3"/>
        <v>1</v>
      </c>
    </row>
    <row r="19" x14ac:dyDescent="0.25">
      <c r="A19" s="1">
        <v>18</v>
      </c>
      <c r="B19" s="1" t="str">
        <v>Kenny Jorge Perez Diaz</v>
      </c>
      <c r="C19" s="1" t="str">
        <v>Ministerio de la Mujer </v>
      </c>
      <c r="D19" s="1" t="str">
        <v>Entrevista de actores clave</v>
      </c>
      <c r="E19" s="1" t="str">
        <v>Funcionarios del Sistema</v>
      </c>
      <c r="F19" s="1" t="str">
        <v>Distrito Judicial: Ayacucho</v>
      </c>
      <c r="G19" s="1" t="str">
        <v>IJM</v>
      </c>
      <c r="H19" s="1" t="str">
        <v>Sí</v>
      </c>
      <c r="I19" s="2">
        <v>46126</v>
      </c>
      <c r="J19" s="2" t="str">
        <v/>
      </c>
      <c r="K19" s="2" t="str">
        <v/>
      </c>
      <c r="L19" s="1" t="str">
        <v>En coordinación</v>
      </c>
      <c r="M19" s="2" t="str">
        <v/>
      </c>
      <c r="N19" s="2" t="str">
        <v/>
      </c>
      <c r="O19" s="1" t="str">
        <v>En coordinación</v>
      </c>
      <c r="P19" s="1" t="str">
        <v/>
      </c>
      <c r="Q19" s="1" t="str">
        <v/>
      </c>
      <c r="R19" s="1">
        <f t="shared" si="0"/>
        <v>1</v>
      </c>
      <c r="S19" s="1">
        <f t="shared" si="4"/>
        <v>1</v>
      </c>
      <c r="T19" s="1">
        <f t="shared" si="1"/>
        <v>0</v>
      </c>
      <c r="U19" s="1">
        <f t="shared" si="2"/>
        <v>0</v>
      </c>
      <c r="V19" s="1">
        <f t="shared" si="3"/>
        <v>0</v>
      </c>
    </row>
    <row r="20" x14ac:dyDescent="0.25">
      <c r="A20" s="1">
        <v>19</v>
      </c>
      <c r="B20" s="1" t="str">
        <v>Laura Esther Agama Fernández</v>
      </c>
      <c r="C20" s="1" t="str">
        <v>Ministerio de la Mujer </v>
      </c>
      <c r="D20" s="1" t="str">
        <v>Entrevista de actores clave</v>
      </c>
      <c r="E20" s="1" t="str">
        <v>Funcionarios del Sistema</v>
      </c>
      <c r="F20" s="1" t="str">
        <v>Distrito Judicial: Ayacucho</v>
      </c>
      <c r="G20" s="1" t="str">
        <v>IJM</v>
      </c>
      <c r="H20" s="1" t="str">
        <v>Sí</v>
      </c>
      <c r="I20" s="2">
        <v>46147</v>
      </c>
      <c r="J20" s="2" t="str">
        <v/>
      </c>
      <c r="K20" s="2" t="str">
        <v/>
      </c>
      <c r="L20" s="1" t="str">
        <v>Sin respuesta</v>
      </c>
      <c r="M20" s="2" t="str">
        <v/>
      </c>
      <c r="N20" s="2" t="str">
        <v/>
      </c>
      <c r="O20" s="1" t="str">
        <v>Sin respuesta</v>
      </c>
      <c r="P20" s="1" t="str">
        <v/>
      </c>
      <c r="Q20" s="1" t="str">
        <v/>
      </c>
      <c r="R20" s="1">
        <f t="shared" si="0"/>
        <v>1</v>
      </c>
      <c r="S20" s="1">
        <f t="shared" si="4"/>
        <v>0</v>
      </c>
      <c r="T20" s="1">
        <f t="shared" si="1"/>
        <v>0</v>
      </c>
      <c r="U20" s="1">
        <f t="shared" si="2"/>
        <v>0</v>
      </c>
      <c r="V20" s="1">
        <f t="shared" si="3"/>
        <v>1</v>
      </c>
    </row>
    <row r="21" x14ac:dyDescent="0.25">
      <c r="A21" s="1">
        <v>20</v>
      </c>
      <c r="B21" s="1" t="str">
        <v>Doris Godoy Cortez</v>
      </c>
      <c r="C21" s="1" t="str">
        <v>Psicólogos</v>
      </c>
      <c r="D21" s="1" t="str">
        <v>Entrevista de actores clave</v>
      </c>
      <c r="E21" s="1" t="str">
        <v>Acompañantes</v>
      </c>
      <c r="F21" s="1" t="str">
        <v>Distrito Judicial: Huánuco</v>
      </c>
      <c r="G21" s="1" t="str">
        <v>IJM</v>
      </c>
      <c r="H21" s="1" t="str">
        <v>Sí</v>
      </c>
      <c r="I21" s="2">
        <v>46101</v>
      </c>
      <c r="J21" s="2" t="str">
        <v/>
      </c>
      <c r="K21" s="2" t="str">
        <v/>
      </c>
      <c r="L21" s="1" t="str">
        <v>Realizada completa</v>
      </c>
      <c r="M21" s="2">
        <v>46112</v>
      </c>
      <c r="N21" s="2">
        <v>46112</v>
      </c>
      <c r="O21" s="1" t="str">
        <v>Realizada completa</v>
      </c>
      <c r="P21" s="1">
        <v>60</v>
      </c>
      <c r="Q21" s="1" t="str">
        <v>A distancia asistido</v>
      </c>
      <c r="R21" s="1">
        <f t="shared" si="0"/>
        <v>1</v>
      </c>
      <c r="S21" s="1">
        <f t="shared" si="4"/>
        <v>0</v>
      </c>
      <c r="T21" s="1">
        <f t="shared" si="1"/>
        <v>0</v>
      </c>
      <c r="U21" s="1">
        <f t="shared" si="2"/>
        <v>1</v>
      </c>
      <c r="V21" s="1">
        <f t="shared" si="3"/>
        <v>0</v>
      </c>
    </row>
    <row r="22" x14ac:dyDescent="0.25">
      <c r="A22" s="1">
        <v>21</v>
      </c>
      <c r="B22" s="1" t="str">
        <v>Rosa Peña</v>
      </c>
      <c r="C22" s="1" t="str">
        <v>Kids Alive</v>
      </c>
      <c r="D22" s="1" t="str">
        <v>Entrevista de actores clave</v>
      </c>
      <c r="E22" s="1" t="str">
        <v>Actores locales</v>
      </c>
      <c r="F22" s="1" t="str">
        <v>Nacional</v>
      </c>
      <c r="G22" s="1" t="str">
        <v>IJM</v>
      </c>
      <c r="H22" s="1" t="str">
        <v>Sí</v>
      </c>
      <c r="I22" s="2">
        <v>46104</v>
      </c>
      <c r="J22" s="2" t="str">
        <v/>
      </c>
      <c r="K22" s="2" t="str">
        <v/>
      </c>
      <c r="L22" s="1" t="str">
        <v>Realizada completa</v>
      </c>
      <c r="M22" s="2">
        <v>46105</v>
      </c>
      <c r="N22" s="2">
        <v>46105</v>
      </c>
      <c r="O22" s="1" t="str">
        <v>Realizada completa</v>
      </c>
      <c r="P22" s="1">
        <v>42</v>
      </c>
      <c r="Q22" s="1" t="str">
        <v>A distancia asistido</v>
      </c>
      <c r="R22" s="1">
        <f t="shared" si="0"/>
        <v>1</v>
      </c>
      <c r="S22" s="1">
        <f t="shared" si="4"/>
        <v>0</v>
      </c>
      <c r="T22" s="1">
        <f t="shared" si="1"/>
        <v>0</v>
      </c>
      <c r="U22" s="1">
        <f t="shared" si="2"/>
        <v>1</v>
      </c>
      <c r="V22" s="1">
        <f t="shared" si="3"/>
        <v>0</v>
      </c>
    </row>
    <row r="23" x14ac:dyDescent="0.25">
      <c r="A23" s="1">
        <v>22</v>
      </c>
      <c r="B23" s="1" t="str">
        <v>Angie Vargas</v>
      </c>
      <c r="C23" s="1" t="str">
        <v>ONG: Movimiento Manuela Ramos</v>
      </c>
      <c r="D23" s="1" t="str">
        <v>Entrevista de actores clave</v>
      </c>
      <c r="E23" s="1" t="str">
        <v>Actores locales</v>
      </c>
      <c r="F23" s="1" t="str">
        <v>Nacional</v>
      </c>
      <c r="G23" s="1" t="str">
        <v>IJM</v>
      </c>
      <c r="H23" s="1" t="str">
        <v>Sí</v>
      </c>
      <c r="I23" s="2">
        <v>46104</v>
      </c>
      <c r="J23" s="2">
        <v>46105</v>
      </c>
      <c r="K23" s="2" t="str">
        <v/>
      </c>
      <c r="L23" s="1" t="str">
        <v>En coordinación</v>
      </c>
      <c r="M23" s="2" t="str">
        <v/>
      </c>
      <c r="N23" s="2" t="str">
        <v/>
      </c>
      <c r="O23" s="1" t="str">
        <v>En coordinación</v>
      </c>
      <c r="P23" s="1" t="str">
        <v/>
      </c>
      <c r="Q23" s="1" t="str">
        <v/>
      </c>
      <c r="R23" s="1">
        <f t="shared" si="0"/>
        <v>1</v>
      </c>
      <c r="S23" s="1">
        <f t="shared" si="4"/>
        <v>1</v>
      </c>
      <c r="T23" s="1">
        <f t="shared" si="1"/>
        <v>0</v>
      </c>
      <c r="U23" s="1">
        <f t="shared" si="2"/>
        <v>0</v>
      </c>
      <c r="V23" s="1">
        <f t="shared" ref="V23:V86" si="5">IF(L23="Sin respuesta",1,0)</f>
        <v>0</v>
      </c>
    </row>
    <row r="24" x14ac:dyDescent="0.25">
      <c r="A24" s="1">
        <v>23</v>
      </c>
      <c r="B24" s="1" t="str">
        <v>Jharith Mogollón Villafuerte</v>
      </c>
      <c r="C24" s="1" t="str">
        <v>Asociación Pro Derechos Humanos (APRODEH)</v>
      </c>
      <c r="D24" s="1" t="str">
        <v>Entrevista de actores clave</v>
      </c>
      <c r="E24" s="1" t="str">
        <v>Acompañantes</v>
      </c>
      <c r="F24" s="1" t="str">
        <v>Distrito Judicial: Apurímac</v>
      </c>
      <c r="G24" s="1" t="str">
        <v>IJM</v>
      </c>
      <c r="H24" s="1" t="str">
        <v>Sí</v>
      </c>
      <c r="I24" s="2">
        <v>46104</v>
      </c>
      <c r="J24" s="2">
        <v>46147</v>
      </c>
      <c r="K24" s="2" t="str">
        <v/>
      </c>
      <c r="L24" s="1" t="str">
        <v>Sin respuesta</v>
      </c>
      <c r="M24" s="2" t="str">
        <v/>
      </c>
      <c r="N24" s="2" t="str">
        <v/>
      </c>
      <c r="O24" s="1" t="str">
        <v>Sin respuesta</v>
      </c>
      <c r="P24" s="1" t="str">
        <v/>
      </c>
      <c r="Q24" s="1" t="str">
        <v/>
      </c>
      <c r="R24" s="1">
        <f t="shared" si="0"/>
        <v>1</v>
      </c>
      <c r="S24" s="1">
        <f t="shared" si="4"/>
        <v>0</v>
      </c>
      <c r="T24" s="1">
        <f t="shared" si="1"/>
        <v>0</v>
      </c>
      <c r="U24" s="1">
        <f t="shared" si="2"/>
        <v>0</v>
      </c>
      <c r="V24" s="1">
        <f t="shared" si="5"/>
        <v>1</v>
      </c>
    </row>
    <row r="25" x14ac:dyDescent="0.25">
      <c r="A25" s="1">
        <v>24</v>
      </c>
      <c r="B25" s="1" t="str">
        <v>Rossina Guerrero</v>
      </c>
      <c r="C25" s="1" t="str">
        <v>Promoción y Defensa de los Derechos Sexuales y Reproductivos (PROMSEX)</v>
      </c>
      <c r="D25" s="1" t="str">
        <v>Entrevista de actores clave</v>
      </c>
      <c r="E25" s="1" t="str">
        <v>Actores locales</v>
      </c>
      <c r="F25" s="1" t="str">
        <v>Nacional</v>
      </c>
      <c r="G25" s="1" t="str">
        <v>IJM</v>
      </c>
      <c r="H25" s="1" t="str">
        <v>Sí</v>
      </c>
      <c r="I25" s="2">
        <v>46104</v>
      </c>
      <c r="J25" s="2" t="str">
        <v/>
      </c>
      <c r="K25" s="2" t="str">
        <v/>
      </c>
      <c r="L25" s="1" t="str">
        <v>Sin respuesta</v>
      </c>
      <c r="M25" s="2" t="str">
        <v/>
      </c>
      <c r="N25" s="2" t="str">
        <v/>
      </c>
      <c r="O25" s="1" t="str">
        <v>Sin respuesta</v>
      </c>
      <c r="P25" s="1" t="str">
        <v/>
      </c>
      <c r="Q25" s="1" t="str">
        <v/>
      </c>
      <c r="R25" s="1">
        <f t="shared" si="0"/>
        <v>1</v>
      </c>
      <c r="S25" s="1">
        <f t="shared" si="4"/>
        <v>0</v>
      </c>
      <c r="T25" s="1">
        <f t="shared" si="1"/>
        <v>0</v>
      </c>
      <c r="U25" s="1">
        <f t="shared" si="2"/>
        <v>0</v>
      </c>
      <c r="V25" s="1">
        <f t="shared" si="5"/>
        <v>1</v>
      </c>
    </row>
    <row r="26" x14ac:dyDescent="0.25">
      <c r="A26" s="1">
        <v>25</v>
      </c>
      <c r="B26" s="1" t="str">
        <v>Augusto Altamirano Vega</v>
      </c>
      <c r="C26" s="1" t="str">
        <v>Centros de Acogida Residencial</v>
      </c>
      <c r="D26" s="1" t="str">
        <v>Entrevista de actores clave</v>
      </c>
      <c r="E26" s="1" t="str">
        <v>Funcionarios del Sistema</v>
      </c>
      <c r="F26" s="1" t="str">
        <v>Distrito Judicial: Lima Norte</v>
      </c>
      <c r="G26" s="1" t="str">
        <v>IJM</v>
      </c>
      <c r="H26" s="1" t="str">
        <v>Sí</v>
      </c>
      <c r="I26" s="2">
        <v>46104</v>
      </c>
      <c r="J26" s="2">
        <v>46147</v>
      </c>
      <c r="K26" s="2">
        <v>46164</v>
      </c>
      <c r="L26" s="1" t="str">
        <v>Rechazada</v>
      </c>
      <c r="M26" s="2" t="str">
        <v/>
      </c>
      <c r="N26" s="2" t="str">
        <v/>
      </c>
      <c r="O26" s="1" t="str">
        <v>Rechazada</v>
      </c>
      <c r="P26" s="1" t="str">
        <v/>
      </c>
      <c r="Q26" s="1" t="str">
        <v/>
      </c>
      <c r="R26" s="1">
        <f t="shared" si="0"/>
        <v>1</v>
      </c>
      <c r="S26" s="1">
        <f t="shared" si="4"/>
        <v>0</v>
      </c>
      <c r="T26" s="1">
        <f t="shared" si="1"/>
        <v>0</v>
      </c>
      <c r="U26" s="1">
        <f t="shared" si="2"/>
        <v>0</v>
      </c>
      <c r="V26" s="1">
        <f t="shared" si="5"/>
        <v>0</v>
      </c>
    </row>
    <row r="27" x14ac:dyDescent="0.25">
      <c r="A27" s="1">
        <v>26</v>
      </c>
      <c r="B27" s="1" t="str">
        <v>María Luci Malpartida Galán</v>
      </c>
      <c r="C27" s="1" t="str">
        <v>Centros de Acogida Residencial</v>
      </c>
      <c r="D27" s="1" t="str">
        <v>Entrevista de actores clave</v>
      </c>
      <c r="E27" s="1" t="str">
        <v>Funcionarios del Sistema</v>
      </c>
      <c r="F27" s="1" t="str">
        <v>Nacional</v>
      </c>
      <c r="G27" s="1" t="str">
        <v>IJM</v>
      </c>
      <c r="H27" s="1" t="str">
        <v>Sí</v>
      </c>
      <c r="I27" s="2">
        <v>46147</v>
      </c>
      <c r="J27" s="2" t="str">
        <v/>
      </c>
      <c r="K27" s="2" t="str">
        <v/>
      </c>
      <c r="L27" s="1" t="str">
        <v>Sin respuesta</v>
      </c>
      <c r="M27" s="2" t="str">
        <v/>
      </c>
      <c r="N27" s="2" t="str">
        <v/>
      </c>
      <c r="O27" s="1" t="str">
        <v>Sin respuesta</v>
      </c>
      <c r="P27" s="1" t="str">
        <v/>
      </c>
      <c r="Q27" s="1" t="str">
        <v/>
      </c>
      <c r="R27" s="1">
        <f t="shared" si="0"/>
        <v>1</v>
      </c>
      <c r="S27" s="1">
        <f t="shared" si="4"/>
        <v>0</v>
      </c>
      <c r="T27" s="1">
        <f t="shared" si="1"/>
        <v>0</v>
      </c>
      <c r="U27" s="1">
        <f t="shared" si="2"/>
        <v>0</v>
      </c>
      <c r="V27" s="1">
        <f t="shared" si="5"/>
        <v>1</v>
      </c>
    </row>
    <row r="28" x14ac:dyDescent="0.25">
      <c r="A28" s="1">
        <v>27</v>
      </c>
      <c r="B28" s="1" t="str">
        <v>Rosa Viviana Ciriaco Marcatinco</v>
      </c>
      <c r="C28" s="1" t="str">
        <v>Centros de Acogida Residencial</v>
      </c>
      <c r="D28" s="1" t="str">
        <v>Entrevista de actores clave</v>
      </c>
      <c r="E28" s="1" t="str">
        <v>Funcionarios del Sistema</v>
      </c>
      <c r="F28" s="1" t="str">
        <v>Distrito Judicial: Ayacucho</v>
      </c>
      <c r="G28" s="1" t="str">
        <v>IJM</v>
      </c>
      <c r="H28" s="1" t="str">
        <v>Sí</v>
      </c>
      <c r="I28" s="2">
        <v>46147</v>
      </c>
      <c r="J28" s="2" t="str">
        <v/>
      </c>
      <c r="K28" s="2" t="str">
        <v/>
      </c>
      <c r="L28" s="1" t="str">
        <v>Realizada completa</v>
      </c>
      <c r="M28" s="2">
        <v>46167</v>
      </c>
      <c r="N28" s="2" t="str">
        <v/>
      </c>
      <c r="O28" s="1" t="str">
        <v>Realizada completa</v>
      </c>
      <c r="P28" s="1" t="str">
        <v/>
      </c>
      <c r="Q28" s="1" t="str">
        <v>A distancia asistido</v>
      </c>
      <c r="R28" s="1">
        <f t="shared" si="0"/>
        <v>1</v>
      </c>
      <c r="S28" s="1">
        <f t="shared" si="4"/>
        <v>0</v>
      </c>
      <c r="T28" s="1">
        <f t="shared" si="1"/>
        <v>0</v>
      </c>
      <c r="U28" s="1">
        <f t="shared" si="2"/>
        <v>1</v>
      </c>
      <c r="V28" s="1">
        <f t="shared" si="5"/>
        <v>0</v>
      </c>
    </row>
    <row r="29" x14ac:dyDescent="0.25">
      <c r="A29" s="1">
        <v>28</v>
      </c>
      <c r="B29" s="1" t="str">
        <v>Karen De Los Milagros Ucañan Cachy</v>
      </c>
      <c r="C29" s="1" t="str">
        <v>Centros de Acogida Residencial</v>
      </c>
      <c r="D29" s="1" t="str">
        <v>Entrevista de actores clave</v>
      </c>
      <c r="E29" s="1" t="str">
        <v>Funcionarios del Sistema</v>
      </c>
      <c r="F29" s="1" t="str">
        <v>Distrito Judicial: Huánuco</v>
      </c>
      <c r="G29" s="1" t="str">
        <v>IJM</v>
      </c>
      <c r="H29" s="1" t="str">
        <v>Sí</v>
      </c>
      <c r="I29" s="2">
        <v>46147</v>
      </c>
      <c r="J29" s="2" t="str">
        <v/>
      </c>
      <c r="K29" s="2" t="str">
        <v/>
      </c>
      <c r="L29" s="1" t="str">
        <v>Sin respuesta</v>
      </c>
      <c r="M29" s="2" t="str">
        <v/>
      </c>
      <c r="N29" s="2" t="str">
        <v/>
      </c>
      <c r="O29" s="1" t="str">
        <v>Sin respuesta</v>
      </c>
      <c r="P29" s="1" t="str">
        <v/>
      </c>
      <c r="Q29" s="1" t="str">
        <v/>
      </c>
      <c r="R29" s="1">
        <f t="shared" si="0"/>
        <v>1</v>
      </c>
      <c r="S29" s="1">
        <f t="shared" si="4"/>
        <v>0</v>
      </c>
      <c r="T29" s="1">
        <f t="shared" si="1"/>
        <v>0</v>
      </c>
      <c r="U29" s="1">
        <f t="shared" si="2"/>
        <v>0</v>
      </c>
      <c r="V29" s="1">
        <f t="shared" si="5"/>
        <v>1</v>
      </c>
    </row>
    <row r="30" x14ac:dyDescent="0.25">
      <c r="A30" s="1">
        <v>29</v>
      </c>
      <c r="B30" s="1" t="str">
        <v>Israel Mendez Miguel</v>
      </c>
      <c r="C30" s="1" t="str">
        <v>Centros de Acogida Residencial</v>
      </c>
      <c r="D30" s="1" t="str">
        <v>Entrevista de actores clave</v>
      </c>
      <c r="E30" s="1" t="str">
        <v>Funcionarios del Sistema</v>
      </c>
      <c r="F30" s="1" t="str">
        <v>Nacional</v>
      </c>
      <c r="G30" s="1" t="str">
        <v>IJM</v>
      </c>
      <c r="H30" s="1" t="str">
        <v>Sí</v>
      </c>
      <c r="I30" s="2">
        <v>46147</v>
      </c>
      <c r="J30" s="2" t="str">
        <v/>
      </c>
      <c r="K30" s="2" t="str">
        <v/>
      </c>
      <c r="L30" s="1" t="str">
        <v>Rechazada</v>
      </c>
      <c r="M30" s="2" t="str">
        <v/>
      </c>
      <c r="N30" s="2" t="str">
        <v/>
      </c>
      <c r="O30" s="1" t="str">
        <v>Rechazada</v>
      </c>
      <c r="P30" s="1" t="str">
        <v/>
      </c>
      <c r="Q30" s="1" t="str">
        <v/>
      </c>
      <c r="R30" s="1">
        <f t="shared" si="0"/>
        <v>1</v>
      </c>
      <c r="S30" s="1">
        <f t="shared" si="4"/>
        <v>0</v>
      </c>
      <c r="T30" s="1">
        <f t="shared" si="1"/>
        <v>0</v>
      </c>
      <c r="U30" s="1">
        <f t="shared" si="2"/>
        <v>0</v>
      </c>
      <c r="V30" s="1">
        <f t="shared" si="5"/>
        <v>0</v>
      </c>
    </row>
    <row r="31" x14ac:dyDescent="0.25">
      <c r="A31" s="1">
        <v>30</v>
      </c>
      <c r="B31" s="1" t="str">
        <v>María Barbara Venemans De Wilde</v>
      </c>
      <c r="C31" s="1" t="str">
        <v>Centros de Acogida Residencial</v>
      </c>
      <c r="D31" s="1" t="str">
        <v>Entrevista de actores clave</v>
      </c>
      <c r="E31" s="1" t="str">
        <v>Funcionarios del Sistema</v>
      </c>
      <c r="F31" s="1" t="str">
        <v>Nacional</v>
      </c>
      <c r="G31" s="1" t="str">
        <v>IJM</v>
      </c>
      <c r="H31" s="1" t="str">
        <v>Sí</v>
      </c>
      <c r="I31" s="2">
        <v>46147</v>
      </c>
      <c r="J31" s="2" t="str">
        <v/>
      </c>
      <c r="K31" s="2" t="str">
        <v/>
      </c>
      <c r="L31" s="1" t="str">
        <v>Sin respuesta</v>
      </c>
      <c r="M31" s="2" t="str">
        <v/>
      </c>
      <c r="N31" s="2" t="str">
        <v/>
      </c>
      <c r="O31" s="1" t="str">
        <v>Sin respuesta</v>
      </c>
      <c r="P31" s="1" t="str">
        <v/>
      </c>
      <c r="Q31" s="1" t="str">
        <v/>
      </c>
      <c r="R31" s="1">
        <f t="shared" si="0"/>
        <v>1</v>
      </c>
      <c r="S31" s="1">
        <f t="shared" si="4"/>
        <v>0</v>
      </c>
      <c r="T31" s="1">
        <f t="shared" si="1"/>
        <v>0</v>
      </c>
      <c r="U31" s="1">
        <f t="shared" si="2"/>
        <v>0</v>
      </c>
      <c r="V31" s="1">
        <f t="shared" si="5"/>
        <v>1</v>
      </c>
    </row>
    <row r="32" x14ac:dyDescent="0.25">
      <c r="A32" s="1">
        <v>31</v>
      </c>
      <c r="B32" s="1" t="str">
        <v>Martha Fernandez Albornett</v>
      </c>
      <c r="C32" s="1" t="str">
        <v>Asociación Protección Población Vulnerable</v>
      </c>
      <c r="D32" s="1" t="str">
        <v>Entrevista de actores clave</v>
      </c>
      <c r="E32" s="1" t="str">
        <v>Actores locales</v>
      </c>
      <c r="F32" s="1" t="str">
        <v>Nacional</v>
      </c>
      <c r="G32" s="1" t="str">
        <v>IJM</v>
      </c>
      <c r="H32" s="1" t="str">
        <v>Sí</v>
      </c>
      <c r="I32" s="2">
        <v>46147</v>
      </c>
      <c r="J32" s="2" t="str">
        <v/>
      </c>
      <c r="K32" s="2" t="str">
        <v/>
      </c>
      <c r="L32" s="1" t="str">
        <v>Sin respuesta</v>
      </c>
      <c r="M32" s="2" t="str">
        <v/>
      </c>
      <c r="N32" s="2" t="str">
        <v/>
      </c>
      <c r="O32" s="1" t="str">
        <v>Sin respuesta</v>
      </c>
      <c r="P32" s="1" t="str">
        <v/>
      </c>
      <c r="Q32" s="1" t="str">
        <v/>
      </c>
      <c r="R32" s="1">
        <f t="shared" si="0"/>
        <v>1</v>
      </c>
      <c r="S32" s="1">
        <f t="shared" si="4"/>
        <v>0</v>
      </c>
      <c r="T32" s="1">
        <f t="shared" si="1"/>
        <v>0</v>
      </c>
      <c r="U32" s="1">
        <f t="shared" si="2"/>
        <v>0</v>
      </c>
      <c r="V32" s="1">
        <f t="shared" si="5"/>
        <v>1</v>
      </c>
    </row>
    <row r="33" x14ac:dyDescent="0.25">
      <c r="A33" s="1">
        <v>32</v>
      </c>
      <c r="B33" s="1" t="str">
        <v>Rocío Roncal Rojas</v>
      </c>
      <c r="C33" s="1" t="str">
        <v>Asociación Kallpa</v>
      </c>
      <c r="D33" s="1" t="str">
        <v>Entrevista de actores clave</v>
      </c>
      <c r="E33" s="1" t="str">
        <v>Actores locales</v>
      </c>
      <c r="F33" s="1" t="str">
        <v>Nacional</v>
      </c>
      <c r="G33" s="1" t="str">
        <v>IJM</v>
      </c>
      <c r="H33" s="1" t="str">
        <v>Sí</v>
      </c>
      <c r="I33" s="2">
        <v>46147</v>
      </c>
      <c r="J33" s="2">
        <v>46162</v>
      </c>
      <c r="K33" s="2" t="str">
        <v/>
      </c>
      <c r="L33" s="1" t="str">
        <v>Sin respuesta</v>
      </c>
      <c r="M33" s="2" t="str">
        <v/>
      </c>
      <c r="N33" s="2" t="str">
        <v/>
      </c>
      <c r="O33" s="1" t="str">
        <v>Sin respuesta</v>
      </c>
      <c r="P33" s="1" t="str">
        <v/>
      </c>
      <c r="Q33" s="1" t="str">
        <v/>
      </c>
      <c r="R33" s="1">
        <f t="shared" si="0"/>
        <v>1</v>
      </c>
      <c r="S33" s="1">
        <f t="shared" si="4"/>
        <v>0</v>
      </c>
      <c r="T33" s="1">
        <f t="shared" si="1"/>
        <v>0</v>
      </c>
      <c r="U33" s="1">
        <f t="shared" si="2"/>
        <v>0</v>
      </c>
      <c r="V33" s="1">
        <f t="shared" si="5"/>
        <v>1</v>
      </c>
    </row>
    <row r="34" x14ac:dyDescent="0.25">
      <c r="A34" s="1">
        <v>33</v>
      </c>
      <c r="B34" s="1" t="str">
        <v>Pascual Benjamín Rivera Montoya</v>
      </c>
      <c r="C34" s="1" t="str">
        <v>Centro de Protección del Menor</v>
      </c>
      <c r="D34" s="1" t="str">
        <v>Entrevista de actores clave</v>
      </c>
      <c r="E34" s="1" t="str">
        <v>Acompañantes</v>
      </c>
      <c r="F34" s="1" t="str">
        <v>Distrito Judicial: Apurímac</v>
      </c>
      <c r="G34" s="1" t="str">
        <v>IJM</v>
      </c>
      <c r="H34" s="1" t="str">
        <v>Sí</v>
      </c>
      <c r="I34" s="2">
        <v>46147</v>
      </c>
      <c r="J34" s="2" t="str">
        <v/>
      </c>
      <c r="K34" s="2" t="str">
        <v/>
      </c>
      <c r="L34" s="1" t="str">
        <v>Sin respuesta</v>
      </c>
      <c r="M34" s="2" t="str">
        <v/>
      </c>
      <c r="N34" s="2" t="str">
        <v/>
      </c>
      <c r="O34" s="1" t="str">
        <v>Sin respuesta</v>
      </c>
      <c r="P34" s="1" t="str">
        <v/>
      </c>
      <c r="Q34" s="1" t="str">
        <v/>
      </c>
      <c r="R34" s="1">
        <f t="shared" si="0"/>
        <v>1</v>
      </c>
      <c r="S34" s="1">
        <f t="shared" ref="S34:S65" si="6">IF(L34="En coordinación",1,0)</f>
        <v>0</v>
      </c>
      <c r="T34" s="1">
        <f t="shared" si="1"/>
        <v>0</v>
      </c>
      <c r="U34" s="1">
        <f t="shared" si="2"/>
        <v>0</v>
      </c>
      <c r="V34" s="1">
        <f t="shared" si="5"/>
        <v>1</v>
      </c>
    </row>
    <row r="35" x14ac:dyDescent="0.25">
      <c r="A35" s="1">
        <v>34</v>
      </c>
      <c r="B35" s="1" t="str">
        <v>Coronel Ernesto Peña</v>
      </c>
      <c r="C35" s="1" t="str">
        <v>Jueces de Paz</v>
      </c>
      <c r="D35" s="1" t="str">
        <v>Entrevista de actores clave</v>
      </c>
      <c r="E35" s="1" t="str">
        <v>Funcionarios del Sistema</v>
      </c>
      <c r="F35" s="1" t="str">
        <v>Nacional</v>
      </c>
      <c r="G35" s="1" t="str">
        <v>IJM</v>
      </c>
      <c r="H35" s="1" t="str">
        <v>Sí</v>
      </c>
      <c r="I35" s="2">
        <v>46104</v>
      </c>
      <c r="J35" s="2">
        <v>46147</v>
      </c>
      <c r="K35" s="2" t="str">
        <v/>
      </c>
      <c r="L35" s="1" t="str">
        <v>Sin respuesta</v>
      </c>
      <c r="M35" s="2" t="str">
        <v/>
      </c>
      <c r="N35" s="2" t="str">
        <v/>
      </c>
      <c r="O35" s="1" t="str">
        <v>Sin respuesta</v>
      </c>
      <c r="P35" s="1" t="str">
        <v/>
      </c>
      <c r="Q35" s="1" t="str">
        <v/>
      </c>
      <c r="R35" s="1">
        <f t="shared" si="0"/>
        <v>1</v>
      </c>
      <c r="S35" s="1">
        <f t="shared" si="6"/>
        <v>0</v>
      </c>
      <c r="T35" s="1">
        <f t="shared" si="1"/>
        <v>0</v>
      </c>
      <c r="U35" s="1">
        <f t="shared" si="2"/>
        <v>0</v>
      </c>
      <c r="V35" s="1">
        <f t="shared" si="5"/>
        <v>1</v>
      </c>
    </row>
    <row r="36" x14ac:dyDescent="0.25">
      <c r="A36" s="1">
        <v>35</v>
      </c>
      <c r="B36" s="1" t="str">
        <v>Fátima Joyo Zaga</v>
      </c>
      <c r="C36" s="1" t="str">
        <v>Jueces de Paz</v>
      </c>
      <c r="D36" s="1" t="str">
        <v>Entrevista de actores clave</v>
      </c>
      <c r="E36" s="1" t="str">
        <v>Funcionarios del Sistema</v>
      </c>
      <c r="F36" s="1" t="str">
        <v>Distrito Judicial: Cajamarca</v>
      </c>
      <c r="G36" s="1" t="str">
        <v>IJM</v>
      </c>
      <c r="H36" s="1" t="str">
        <v>Sí</v>
      </c>
      <c r="I36" s="2">
        <v>46147</v>
      </c>
      <c r="J36" s="2" t="str">
        <v/>
      </c>
      <c r="K36" s="2" t="str">
        <v/>
      </c>
      <c r="L36" s="1" t="str">
        <v>Rechazada</v>
      </c>
      <c r="M36" s="2" t="str">
        <v/>
      </c>
      <c r="N36" s="2" t="str">
        <v/>
      </c>
      <c r="O36" s="1" t="str">
        <v>Rechazada</v>
      </c>
      <c r="P36" s="1" t="str">
        <v/>
      </c>
      <c r="Q36" s="1" t="str">
        <v/>
      </c>
      <c r="R36" s="1">
        <f t="shared" si="0"/>
        <v>1</v>
      </c>
      <c r="S36" s="1">
        <f t="shared" si="6"/>
        <v>0</v>
      </c>
      <c r="T36" s="1">
        <f t="shared" si="1"/>
        <v>0</v>
      </c>
      <c r="U36" s="1">
        <f t="shared" si="2"/>
        <v>0</v>
      </c>
      <c r="V36" s="1">
        <f t="shared" si="5"/>
        <v>0</v>
      </c>
    </row>
    <row r="37" x14ac:dyDescent="0.25">
      <c r="A37" s="1">
        <v>36</v>
      </c>
      <c r="B37" s="1" t="str">
        <v>Epifania Chagua Timoteo</v>
      </c>
      <c r="C37" s="1" t="str">
        <v>Jueces de Paz</v>
      </c>
      <c r="D37" s="1" t="str">
        <v>Entrevista de actores clave</v>
      </c>
      <c r="E37" s="1" t="str">
        <v>Funcionarios del Sistema</v>
      </c>
      <c r="F37" s="1" t="str">
        <v>Distrito Judicial: Apurímac</v>
      </c>
      <c r="G37" s="1" t="str">
        <v>IJM</v>
      </c>
      <c r="H37" s="1" t="str">
        <v>Sí</v>
      </c>
      <c r="I37" s="2">
        <v>46147</v>
      </c>
      <c r="J37" s="2">
        <v>46148</v>
      </c>
      <c r="K37" s="2" t="str">
        <v/>
      </c>
      <c r="L37" s="1" t="str">
        <v>En coordinación</v>
      </c>
      <c r="M37" s="2" t="str">
        <v/>
      </c>
      <c r="N37" s="2" t="str">
        <v/>
      </c>
      <c r="O37" s="1" t="str">
        <v>En coordinación</v>
      </c>
      <c r="P37" s="1" t="str">
        <v/>
      </c>
      <c r="Q37" s="1" t="str">
        <v/>
      </c>
      <c r="R37" s="1">
        <f t="shared" si="0"/>
        <v>1</v>
      </c>
      <c r="S37" s="1">
        <f t="shared" si="6"/>
        <v>1</v>
      </c>
      <c r="T37" s="1">
        <f t="shared" si="1"/>
        <v>0</v>
      </c>
      <c r="U37" s="1">
        <f t="shared" si="2"/>
        <v>0</v>
      </c>
      <c r="V37" s="1">
        <f t="shared" si="5"/>
        <v>0</v>
      </c>
    </row>
    <row r="38" x14ac:dyDescent="0.25">
      <c r="A38" s="1">
        <v>37</v>
      </c>
      <c r="B38" s="1" t="str">
        <v>Banesa Farfan Saravia</v>
      </c>
      <c r="C38" s="1" t="str">
        <v>Asociación Sin Fines de Lucro Ñañaykuna</v>
      </c>
      <c r="D38" s="1" t="str">
        <v>Entrevista de actores clave</v>
      </c>
      <c r="E38" s="1" t="str">
        <v>Actores locales</v>
      </c>
      <c r="F38" s="1" t="str">
        <v>Nacional</v>
      </c>
      <c r="G38" s="1" t="str">
        <v>APOYO</v>
      </c>
      <c r="H38" s="1" t="str">
        <v>Sí</v>
      </c>
      <c r="I38" s="2">
        <v>46105</v>
      </c>
      <c r="J38" s="2" t="str">
        <v/>
      </c>
      <c r="K38" s="2" t="str">
        <v/>
      </c>
      <c r="L38" s="1" t="str">
        <v>Realizada completa</v>
      </c>
      <c r="M38" s="2">
        <v>46112</v>
      </c>
      <c r="N38" s="2">
        <v>46112</v>
      </c>
      <c r="O38" s="1" t="str">
        <v>Realizada completa</v>
      </c>
      <c r="P38" s="1">
        <v>55</v>
      </c>
      <c r="Q38" s="1" t="str">
        <v>A distancia asistido</v>
      </c>
      <c r="R38" s="1">
        <f t="shared" si="0"/>
        <v>1</v>
      </c>
      <c r="S38" s="1">
        <f t="shared" si="6"/>
        <v>0</v>
      </c>
      <c r="T38" s="1">
        <f t="shared" si="1"/>
        <v>0</v>
      </c>
      <c r="U38" s="1">
        <f t="shared" si="2"/>
        <v>1</v>
      </c>
      <c r="V38" s="1">
        <f t="shared" si="5"/>
        <v>0</v>
      </c>
    </row>
    <row r="39" x14ac:dyDescent="0.25">
      <c r="A39" s="1">
        <v>38</v>
      </c>
      <c r="B39" s="1" t="str">
        <v>Rocío Silva Santiesteban</v>
      </c>
      <c r="C39" s="1" t="str">
        <v>DEMUS Estudio para la Defensa de los Derechos de la Mujer</v>
      </c>
      <c r="D39" s="1" t="str">
        <v>Entrevista de actores clave</v>
      </c>
      <c r="E39" s="1" t="str">
        <v>Actores locales</v>
      </c>
      <c r="F39" s="1" t="str">
        <v>Distrito Judicial: Ucayali</v>
      </c>
      <c r="G39" s="1" t="str">
        <v>IJM</v>
      </c>
      <c r="H39" s="1" t="str">
        <v>Sí</v>
      </c>
      <c r="I39" s="2">
        <v>46147</v>
      </c>
      <c r="J39" s="2" t="str">
        <v/>
      </c>
      <c r="K39" s="2" t="str">
        <v/>
      </c>
      <c r="L39" s="1" t="str">
        <v>Rechazada</v>
      </c>
      <c r="M39" s="2" t="str">
        <v/>
      </c>
      <c r="N39" s="2" t="str">
        <v/>
      </c>
      <c r="O39" s="1" t="str">
        <v>Rechazada</v>
      </c>
      <c r="P39" s="1" t="str">
        <v/>
      </c>
      <c r="Q39" s="1" t="str">
        <v/>
      </c>
      <c r="R39" s="1">
        <f t="shared" si="0"/>
        <v>1</v>
      </c>
      <c r="S39" s="1">
        <f t="shared" si="6"/>
        <v>0</v>
      </c>
      <c r="T39" s="1">
        <f t="shared" si="1"/>
        <v>0</v>
      </c>
      <c r="U39" s="1">
        <f t="shared" si="2"/>
        <v>0</v>
      </c>
      <c r="V39" s="1">
        <f t="shared" si="5"/>
        <v>0</v>
      </c>
    </row>
    <row r="40" x14ac:dyDescent="0.25">
      <c r="A40" s="1">
        <v>39</v>
      </c>
      <c r="B40" s="1" t="str">
        <v>Magali Aguilar</v>
      </c>
      <c r="C40" s="1" t="str">
        <v>Asociación Madres Luchando por Justicia</v>
      </c>
      <c r="D40" s="1" t="str">
        <v>Entrevista de actores clave</v>
      </c>
      <c r="E40" s="1" t="str">
        <v>Actores locales</v>
      </c>
      <c r="F40" s="1" t="str">
        <v>Nacional</v>
      </c>
      <c r="G40" s="1" t="str">
        <v>IJM</v>
      </c>
      <c r="H40" s="1" t="str">
        <v>Sí</v>
      </c>
      <c r="I40" s="2">
        <v>46104</v>
      </c>
      <c r="J40" s="2" t="str">
        <v/>
      </c>
      <c r="K40" s="2" t="str">
        <v/>
      </c>
      <c r="L40" s="1" t="str">
        <v>Realizada completa</v>
      </c>
      <c r="M40" s="2">
        <v>46105</v>
      </c>
      <c r="N40" s="2">
        <v>46105</v>
      </c>
      <c r="O40" s="1" t="str">
        <v>Realizada completa</v>
      </c>
      <c r="P40" s="1">
        <v>72</v>
      </c>
      <c r="Q40" s="1" t="str">
        <v>A distancia asistido</v>
      </c>
      <c r="R40" s="1">
        <f t="shared" si="0"/>
        <v>1</v>
      </c>
      <c r="S40" s="1">
        <f t="shared" si="6"/>
        <v>0</v>
      </c>
      <c r="T40" s="1">
        <f t="shared" si="1"/>
        <v>0</v>
      </c>
      <c r="U40" s="1">
        <f t="shared" si="2"/>
        <v>1</v>
      </c>
      <c r="V40" s="1">
        <f t="shared" si="5"/>
        <v>0</v>
      </c>
    </row>
    <row r="41" x14ac:dyDescent="0.25">
      <c r="A41" s="1">
        <v>40</v>
      </c>
      <c r="B41" s="1" t="str">
        <v>Laura Maurtua</v>
      </c>
      <c r="C41" s="1" t="str">
        <v>Mujeres Uniendo Esfuerzos por Alcanzar sus Sueños</v>
      </c>
      <c r="D41" s="1" t="str">
        <v>Entrevista de actores clave</v>
      </c>
      <c r="E41" s="1" t="str">
        <v>Actores locales</v>
      </c>
      <c r="F41" s="1" t="str">
        <v>Nacional</v>
      </c>
      <c r="G41" s="1" t="str">
        <v>IJM</v>
      </c>
      <c r="H41" s="1" t="str">
        <v>No</v>
      </c>
      <c r="I41" s="2" t="str">
        <v/>
      </c>
      <c r="J41" s="2" t="str">
        <v/>
      </c>
      <c r="K41" s="2" t="str">
        <v/>
      </c>
      <c r="L41" s="1" t="str">
        <v/>
      </c>
      <c r="M41" s="2" t="str">
        <v/>
      </c>
      <c r="N41" s="2" t="str">
        <v/>
      </c>
      <c r="O41" s="1" t="str">
        <v/>
      </c>
      <c r="P41" s="1" t="str">
        <v/>
      </c>
      <c r="Q41" s="1" t="str">
        <v/>
      </c>
      <c r="R41" s="1">
        <f t="shared" si="0"/>
        <v>0</v>
      </c>
      <c r="S41" s="1">
        <f t="shared" si="6"/>
        <v>0</v>
      </c>
      <c r="T41" s="1">
        <f t="shared" si="1"/>
        <v>0</v>
      </c>
      <c r="U41" s="1">
        <f t="shared" si="2"/>
        <v>0</v>
      </c>
      <c r="V41" s="1">
        <f t="shared" si="5"/>
        <v>0</v>
      </c>
    </row>
    <row r="42" x14ac:dyDescent="0.25">
      <c r="A42" s="1">
        <v>41</v>
      </c>
      <c r="B42" s="1" t="str">
        <v>Flavia Martinez Tarazona</v>
      </c>
      <c r="C42" s="1" t="str">
        <v>Hablemos sin Tabúes</v>
      </c>
      <c r="D42" s="1" t="str">
        <v>Entrevista de actores clave</v>
      </c>
      <c r="E42" s="1" t="str">
        <v>Actores locales</v>
      </c>
      <c r="F42" s="1" t="str">
        <v>Nacional</v>
      </c>
      <c r="G42" s="1" t="str">
        <v>IJM</v>
      </c>
      <c r="H42" s="1" t="str">
        <v>Sí</v>
      </c>
      <c r="I42" s="2">
        <v>46118</v>
      </c>
      <c r="J42" s="2">
        <v>46147</v>
      </c>
      <c r="K42" s="2" t="str">
        <v/>
      </c>
      <c r="L42" s="1" t="str">
        <v>Sin respuesta</v>
      </c>
      <c r="M42" s="2" t="str">
        <v/>
      </c>
      <c r="N42" s="2" t="str">
        <v/>
      </c>
      <c r="O42" s="1" t="str">
        <v>Sin respuesta</v>
      </c>
      <c r="P42" s="1" t="str">
        <v/>
      </c>
      <c r="Q42" s="1" t="str">
        <v/>
      </c>
      <c r="R42" s="1">
        <f t="shared" si="0"/>
        <v>1</v>
      </c>
      <c r="S42" s="1">
        <f t="shared" si="6"/>
        <v>0</v>
      </c>
      <c r="T42" s="1">
        <f t="shared" si="1"/>
        <v>0</v>
      </c>
      <c r="U42" s="1">
        <f t="shared" si="2"/>
        <v>0</v>
      </c>
      <c r="V42" s="1">
        <f t="shared" si="5"/>
        <v>1</v>
      </c>
    </row>
    <row r="43" x14ac:dyDescent="0.25">
      <c r="A43" s="1">
        <v>42</v>
      </c>
      <c r="B43" s="1" t="str">
        <v>Lorena Farroñan</v>
      </c>
      <c r="C43" s="1" t="str">
        <v>Tukuy Sunquywan Yanapsqayki</v>
      </c>
      <c r="D43" s="1" t="str">
        <v>Entrevista de actores clave</v>
      </c>
      <c r="E43" s="1" t="str">
        <v>Actores locales</v>
      </c>
      <c r="F43" s="1" t="str">
        <v>Nacional</v>
      </c>
      <c r="G43" s="1" t="str">
        <v>IJM</v>
      </c>
      <c r="H43" s="1" t="str">
        <v>Sí</v>
      </c>
      <c r="I43" s="2">
        <v>46104</v>
      </c>
      <c r="J43" s="2">
        <v>46129</v>
      </c>
      <c r="K43" s="2">
        <v>46147</v>
      </c>
      <c r="L43" s="1" t="str">
        <v>Sin respuesta</v>
      </c>
      <c r="M43" s="2" t="str">
        <v/>
      </c>
      <c r="N43" s="2" t="str">
        <v/>
      </c>
      <c r="O43" s="1" t="str">
        <v>Sin respuesta</v>
      </c>
      <c r="P43" s="1" t="str">
        <v/>
      </c>
      <c r="Q43" s="1" t="str">
        <v/>
      </c>
      <c r="R43" s="1">
        <f t="shared" si="0"/>
        <v>1</v>
      </c>
      <c r="S43" s="1">
        <f t="shared" si="6"/>
        <v>0</v>
      </c>
      <c r="T43" s="1">
        <f t="shared" si="1"/>
        <v>0</v>
      </c>
      <c r="U43" s="1">
        <f t="shared" si="2"/>
        <v>0</v>
      </c>
      <c r="V43" s="1">
        <f t="shared" si="5"/>
        <v>1</v>
      </c>
    </row>
    <row r="44" x14ac:dyDescent="0.25">
      <c r="A44" s="1">
        <v>43</v>
      </c>
      <c r="B44" s="1" t="str">
        <v>Cecilia Ancajima</v>
      </c>
      <c r="C44" s="1" t="str">
        <v>Asociación La Casa de la Mujer</v>
      </c>
      <c r="D44" s="1" t="str">
        <v>Entrevista de actores clave</v>
      </c>
      <c r="E44" s="1" t="str">
        <v>Actores locales</v>
      </c>
      <c r="F44" s="1" t="str">
        <v>Nacional</v>
      </c>
      <c r="G44" s="1" t="str">
        <v>IJM</v>
      </c>
      <c r="H44" s="1" t="str">
        <v>Sí</v>
      </c>
      <c r="I44" s="2">
        <v>46147</v>
      </c>
      <c r="J44" s="2" t="str">
        <v/>
      </c>
      <c r="K44" s="2" t="str">
        <v/>
      </c>
      <c r="L44" s="1" t="str">
        <v>Sin respuesta</v>
      </c>
      <c r="M44" s="2" t="str">
        <v/>
      </c>
      <c r="N44" s="2" t="str">
        <v/>
      </c>
      <c r="O44" s="1" t="str">
        <v>Sin respuesta</v>
      </c>
      <c r="P44" s="1" t="str">
        <v/>
      </c>
      <c r="Q44" s="1" t="str">
        <v/>
      </c>
      <c r="R44" s="1">
        <f t="shared" si="0"/>
        <v>1</v>
      </c>
      <c r="S44" s="1">
        <f t="shared" si="6"/>
        <v>0</v>
      </c>
      <c r="T44" s="1">
        <f t="shared" si="1"/>
        <v>0</v>
      </c>
      <c r="U44" s="1">
        <f t="shared" si="2"/>
        <v>0</v>
      </c>
      <c r="V44" s="1">
        <f t="shared" si="5"/>
        <v>1</v>
      </c>
    </row>
    <row r="45" x14ac:dyDescent="0.25">
      <c r="A45" s="1">
        <v>44</v>
      </c>
      <c r="B45" s="1" t="str">
        <v>Estrelia Nizama Ruiz</v>
      </c>
      <c r="C45" s="1" t="str">
        <v>Inppares</v>
      </c>
      <c r="D45" s="1" t="str">
        <v>Entrevista de actores clave</v>
      </c>
      <c r="E45" s="1" t="str">
        <v>Actores locales</v>
      </c>
      <c r="F45" s="1" t="str">
        <v>Nacional</v>
      </c>
      <c r="G45" s="1" t="str">
        <v>IJM</v>
      </c>
      <c r="H45" s="1" t="str">
        <v>Sí</v>
      </c>
      <c r="I45" s="2">
        <v>46129</v>
      </c>
      <c r="J45" s="2">
        <v>46147</v>
      </c>
      <c r="K45" s="2" t="str">
        <v/>
      </c>
      <c r="L45" s="1" t="str">
        <v>Realizada completa</v>
      </c>
      <c r="M45" s="2">
        <v>46163</v>
      </c>
      <c r="N45" s="2" t="str">
        <v/>
      </c>
      <c r="O45" s="1" t="str">
        <v>Realizada completa</v>
      </c>
      <c r="P45" s="1" t="str">
        <v/>
      </c>
      <c r="Q45" s="1" t="str">
        <v>A distancia asistido</v>
      </c>
      <c r="R45" s="1">
        <f t="shared" si="0"/>
        <v>1</v>
      </c>
      <c r="S45" s="1">
        <f t="shared" si="6"/>
        <v>0</v>
      </c>
      <c r="T45" s="1">
        <f t="shared" si="1"/>
        <v>0</v>
      </c>
      <c r="U45" s="1">
        <f t="shared" si="2"/>
        <v>1</v>
      </c>
      <c r="V45" s="1">
        <f t="shared" si="5"/>
        <v>0</v>
      </c>
    </row>
    <row r="46" x14ac:dyDescent="0.25">
      <c r="A46" s="1">
        <v>45</v>
      </c>
      <c r="B46" s="1" t="str">
        <v>Elba Zegarra Vila</v>
      </c>
      <c r="C46" s="1" t="str">
        <v>Mama Alice</v>
      </c>
      <c r="D46" s="1" t="str">
        <v>Entrevista de actores clave</v>
      </c>
      <c r="E46" s="1" t="str">
        <v>Actores locales</v>
      </c>
      <c r="F46" s="1" t="str">
        <v>Distrito Judicial: Ayacucho</v>
      </c>
      <c r="G46" s="1" t="str">
        <v>IJM</v>
      </c>
      <c r="H46" s="1" t="str">
        <v>No</v>
      </c>
      <c r="I46" s="2" t="str">
        <v/>
      </c>
      <c r="J46" s="2" t="str">
        <v/>
      </c>
      <c r="K46" s="2" t="str">
        <v/>
      </c>
      <c r="L46" s="1" t="str">
        <v/>
      </c>
      <c r="M46" s="2" t="str">
        <v/>
      </c>
      <c r="N46" s="2" t="str">
        <v/>
      </c>
      <c r="O46" s="1" t="str">
        <v/>
      </c>
      <c r="P46" s="1" t="str">
        <v/>
      </c>
      <c r="Q46" s="1" t="str">
        <v/>
      </c>
      <c r="R46" s="1">
        <f t="shared" si="0"/>
        <v>0</v>
      </c>
      <c r="S46" s="1">
        <f t="shared" si="6"/>
        <v>0</v>
      </c>
      <c r="T46" s="1">
        <f t="shared" si="1"/>
        <v>0</v>
      </c>
      <c r="U46" s="1">
        <f t="shared" si="2"/>
        <v>0</v>
      </c>
      <c r="V46" s="1">
        <f t="shared" si="5"/>
        <v>0</v>
      </c>
    </row>
    <row r="47" x14ac:dyDescent="0.25">
      <c r="A47" s="1">
        <v>46</v>
      </c>
      <c r="B47" s="1" t="str">
        <v>Flavio Flores Chuquipoma</v>
      </c>
      <c r="C47" s="1" t="str">
        <v>Central Única Nacional de Rondas Campesinas del Perú - CUNARC-P</v>
      </c>
      <c r="D47" s="1" t="str">
        <v>Entrevista de actores clave</v>
      </c>
      <c r="E47" s="1" t="str">
        <v>Actores locales</v>
      </c>
      <c r="F47" s="1" t="str">
        <v>Nacional</v>
      </c>
      <c r="G47" s="1" t="str">
        <v>IJM</v>
      </c>
      <c r="H47" s="1" t="str">
        <v>Sí</v>
      </c>
      <c r="I47" s="2">
        <v>46105</v>
      </c>
      <c r="J47" s="2" t="str">
        <v/>
      </c>
      <c r="K47" s="2" t="str">
        <v/>
      </c>
      <c r="L47" s="1" t="str">
        <v>Realizada completa</v>
      </c>
      <c r="M47" s="2">
        <v>46105</v>
      </c>
      <c r="N47" s="2">
        <v>46105</v>
      </c>
      <c r="O47" s="1" t="str">
        <v>Realizada completa</v>
      </c>
      <c r="P47" s="1">
        <v>43</v>
      </c>
      <c r="Q47" s="1" t="str">
        <v>A distancia asistido</v>
      </c>
      <c r="R47" s="1">
        <f t="shared" si="0"/>
        <v>1</v>
      </c>
      <c r="S47" s="1">
        <f t="shared" si="6"/>
        <v>0</v>
      </c>
      <c r="T47" s="1">
        <f t="shared" si="1"/>
        <v>0</v>
      </c>
      <c r="U47" s="1">
        <f t="shared" si="2"/>
        <v>1</v>
      </c>
      <c r="V47" s="1">
        <f t="shared" si="5"/>
        <v>0</v>
      </c>
    </row>
    <row r="48" x14ac:dyDescent="0.25">
      <c r="A48" s="1">
        <v>47</v>
      </c>
      <c r="B48" s="1" t="str">
        <v>Mendoza Barrantes Mericia</v>
      </c>
      <c r="C48" s="1" t="str">
        <v>Estrategias Rurales </v>
      </c>
      <c r="D48" s="1" t="str">
        <v>Entrevista de actores clave</v>
      </c>
      <c r="E48" s="1" t="str">
        <v>Actores locales</v>
      </c>
      <c r="F48" s="1" t="str">
        <v>Nacional</v>
      </c>
      <c r="G48" s="1" t="str">
        <v>IJM</v>
      </c>
      <c r="H48" s="1" t="str">
        <v>Sí</v>
      </c>
      <c r="I48" s="2">
        <v>46105</v>
      </c>
      <c r="J48" s="2">
        <v>46111</v>
      </c>
      <c r="K48" s="2" t="str">
        <v/>
      </c>
      <c r="L48" s="1" t="str">
        <v>Sin respuesta</v>
      </c>
      <c r="M48" s="2" t="str">
        <v/>
      </c>
      <c r="N48" s="2" t="str">
        <v/>
      </c>
      <c r="O48" s="1" t="str">
        <v>Sin respuesta</v>
      </c>
      <c r="P48" s="1" t="str">
        <v/>
      </c>
      <c r="Q48" s="1" t="str">
        <v/>
      </c>
      <c r="R48" s="1">
        <f t="shared" si="0"/>
        <v>1</v>
      </c>
      <c r="S48" s="1">
        <f t="shared" si="6"/>
        <v>0</v>
      </c>
      <c r="T48" s="1">
        <f t="shared" si="1"/>
        <v>0</v>
      </c>
      <c r="U48" s="1">
        <f t="shared" si="2"/>
        <v>0</v>
      </c>
      <c r="V48" s="1">
        <f t="shared" si="5"/>
        <v>1</v>
      </c>
    </row>
    <row r="49" x14ac:dyDescent="0.25">
      <c r="A49" s="1">
        <v>48</v>
      </c>
      <c r="B49" s="1" t="str">
        <v>Calizaya Cruz Nicanor Efrain</v>
      </c>
      <c r="C49" s="1" t="str">
        <v>Estrategias Rurales </v>
      </c>
      <c r="D49" s="1" t="str">
        <v>Entrevista de actores clave</v>
      </c>
      <c r="E49" s="1" t="str">
        <v>Actores locales</v>
      </c>
      <c r="F49" s="1" t="str">
        <v>Nacional</v>
      </c>
      <c r="G49" s="1" t="str">
        <v>IJM</v>
      </c>
      <c r="H49" s="1" t="str">
        <v>Sí</v>
      </c>
      <c r="I49" s="2">
        <v>46105</v>
      </c>
      <c r="J49" s="2">
        <v>46111</v>
      </c>
      <c r="K49" s="2" t="str">
        <v/>
      </c>
      <c r="L49" s="1" t="str">
        <v>Sin respuesta</v>
      </c>
      <c r="M49" s="2" t="str">
        <v/>
      </c>
      <c r="N49" s="2" t="str">
        <v/>
      </c>
      <c r="O49" s="1" t="str">
        <v>Sin respuesta</v>
      </c>
      <c r="P49" s="1" t="str">
        <v/>
      </c>
      <c r="Q49" s="1" t="str">
        <v/>
      </c>
      <c r="R49" s="1">
        <f t="shared" si="0"/>
        <v>1</v>
      </c>
      <c r="S49" s="1">
        <f t="shared" si="6"/>
        <v>0</v>
      </c>
      <c r="T49" s="1">
        <f t="shared" si="1"/>
        <v>0</v>
      </c>
      <c r="U49" s="1">
        <f t="shared" si="2"/>
        <v>0</v>
      </c>
      <c r="V49" s="1">
        <f t="shared" si="5"/>
        <v>1</v>
      </c>
    </row>
    <row r="50" x14ac:dyDescent="0.25">
      <c r="A50" s="1">
        <v>49</v>
      </c>
      <c r="B50" s="1" t="str">
        <v>Ketty Marcelo López</v>
      </c>
      <c r="C50" s="1" t="str">
        <v>Organización Nacional de Mujeres Indígenas Andinas y Amazónicas del Perú (ONAMIAP)</v>
      </c>
      <c r="D50" s="1" t="str">
        <v>Entrevista de actores clave</v>
      </c>
      <c r="E50" s="1" t="str">
        <v>Actores locales</v>
      </c>
      <c r="F50" s="1" t="str">
        <v>Nacional</v>
      </c>
      <c r="G50" s="1" t="str">
        <v>IJM</v>
      </c>
      <c r="H50" s="1" t="str">
        <v>Sí</v>
      </c>
      <c r="I50" s="2">
        <v>46147</v>
      </c>
      <c r="J50" s="2" t="str">
        <v/>
      </c>
      <c r="K50" s="2" t="str">
        <v/>
      </c>
      <c r="L50" s="1" t="str">
        <v>Sin respuesta</v>
      </c>
      <c r="M50" s="2" t="str">
        <v/>
      </c>
      <c r="N50" s="2" t="str">
        <v/>
      </c>
      <c r="O50" s="1" t="str">
        <v>Sin respuesta</v>
      </c>
      <c r="P50" s="1" t="str">
        <v/>
      </c>
      <c r="Q50" s="1" t="str">
        <v/>
      </c>
      <c r="R50" s="1">
        <f t="shared" si="0"/>
        <v>1</v>
      </c>
      <c r="S50" s="1">
        <f t="shared" si="6"/>
        <v>0</v>
      </c>
      <c r="T50" s="1">
        <f t="shared" si="1"/>
        <v>0</v>
      </c>
      <c r="U50" s="1">
        <f t="shared" si="2"/>
        <v>0</v>
      </c>
      <c r="V50" s="1">
        <f t="shared" si="5"/>
        <v>1</v>
      </c>
    </row>
    <row r="51" x14ac:dyDescent="0.25">
      <c r="A51" s="1">
        <v>50</v>
      </c>
      <c r="B51" s="1" t="str">
        <v>Por definir</v>
      </c>
      <c r="C51" s="1" t="str">
        <v>Federación de Rondas Campesinas de Cajamarca y Norte del Perú (FEROCAFENOP)</v>
      </c>
      <c r="D51" s="1" t="str">
        <v>Entrevista de actores clave</v>
      </c>
      <c r="E51" s="1" t="str">
        <v>Actores locales</v>
      </c>
      <c r="F51" s="1" t="str">
        <v>Nacional</v>
      </c>
      <c r="G51" s="1" t="str">
        <v>IJM</v>
      </c>
      <c r="H51" s="1" t="str">
        <v>No</v>
      </c>
      <c r="I51" s="2" t="str">
        <v/>
      </c>
      <c r="J51" s="2" t="str">
        <v/>
      </c>
      <c r="K51" s="2" t="str">
        <v/>
      </c>
      <c r="L51" s="1" t="str">
        <v/>
      </c>
      <c r="M51" s="2" t="str">
        <v/>
      </c>
      <c r="N51" s="2" t="str">
        <v/>
      </c>
      <c r="O51" s="1" t="str">
        <v/>
      </c>
      <c r="P51" s="1" t="str">
        <v/>
      </c>
      <c r="Q51" s="1" t="str">
        <v/>
      </c>
      <c r="R51" s="1">
        <f t="shared" si="0"/>
        <v>0</v>
      </c>
      <c r="S51" s="1">
        <f t="shared" si="6"/>
        <v>0</v>
      </c>
      <c r="T51" s="1">
        <f t="shared" si="1"/>
        <v>0</v>
      </c>
      <c r="U51" s="1">
        <f t="shared" si="2"/>
        <v>0</v>
      </c>
      <c r="V51" s="1">
        <f t="shared" si="5"/>
        <v>0</v>
      </c>
    </row>
    <row r="52" x14ac:dyDescent="0.25">
      <c r="A52" s="1">
        <v>51</v>
      </c>
      <c r="B52" s="1" t="str">
        <v>Kathia Villar</v>
      </c>
      <c r="C52" s="1" t="str">
        <v>Asociación Amar C</v>
      </c>
      <c r="D52" s="1" t="str">
        <v>Entrevista de actores clave</v>
      </c>
      <c r="E52" s="1" t="str">
        <v>Actores locales</v>
      </c>
      <c r="F52" s="1" t="str">
        <v>Distrito Judicial: Lima Norte</v>
      </c>
      <c r="G52" s="1" t="str">
        <v>IJM</v>
      </c>
      <c r="H52" s="1" t="str">
        <v>Sí</v>
      </c>
      <c r="I52" s="2">
        <v>46105</v>
      </c>
      <c r="J52" s="2">
        <v>46107</v>
      </c>
      <c r="K52" s="2">
        <v>46147</v>
      </c>
      <c r="L52" s="1" t="str">
        <v>Sin respuesta</v>
      </c>
      <c r="M52" s="2" t="str">
        <v/>
      </c>
      <c r="N52" s="2" t="str">
        <v/>
      </c>
      <c r="O52" s="1" t="str">
        <v>Sin respuesta</v>
      </c>
      <c r="P52" s="1" t="str">
        <v/>
      </c>
      <c r="Q52" s="1" t="str">
        <v/>
      </c>
      <c r="R52" s="1">
        <f t="shared" si="0"/>
        <v>1</v>
      </c>
      <c r="S52" s="1">
        <f t="shared" si="6"/>
        <v>0</v>
      </c>
      <c r="T52" s="1">
        <f t="shared" si="1"/>
        <v>0</v>
      </c>
      <c r="U52" s="1">
        <f t="shared" si="2"/>
        <v>0</v>
      </c>
      <c r="V52" s="1">
        <f t="shared" si="5"/>
        <v>1</v>
      </c>
    </row>
    <row r="53" x14ac:dyDescent="0.25">
      <c r="A53" s="1">
        <v>52</v>
      </c>
      <c r="B53" s="1" t="str">
        <v>Silvia Sandobal Gerrero</v>
      </c>
      <c r="C53" s="1" t="str">
        <v>Asociación Igualdad y Desarrollo</v>
      </c>
      <c r="D53" s="1" t="str">
        <v>Entrevista de actores clave</v>
      </c>
      <c r="E53" s="1" t="str">
        <v>Actores locales</v>
      </c>
      <c r="F53" s="1" t="str">
        <v>Distrito Judicial: Loreto</v>
      </c>
      <c r="G53" s="1" t="str">
        <v>IJM</v>
      </c>
      <c r="H53" s="1" t="str">
        <v>Sí</v>
      </c>
      <c r="I53" s="2">
        <v>46105</v>
      </c>
      <c r="J53" s="2">
        <v>46118</v>
      </c>
      <c r="K53" s="2">
        <v>46119</v>
      </c>
      <c r="L53" s="1" t="str">
        <v>Realizada completa</v>
      </c>
      <c r="M53" s="2">
        <v>46119</v>
      </c>
      <c r="N53" s="2">
        <v>46119</v>
      </c>
      <c r="O53" s="1" t="str">
        <v>Realizada completa</v>
      </c>
      <c r="P53" s="1">
        <v>58</v>
      </c>
      <c r="Q53" s="1" t="str">
        <v>A distancia asistido</v>
      </c>
      <c r="R53" s="1">
        <f t="shared" si="0"/>
        <v>1</v>
      </c>
      <c r="S53" s="1">
        <f t="shared" si="6"/>
        <v>0</v>
      </c>
      <c r="T53" s="1">
        <f t="shared" si="1"/>
        <v>0</v>
      </c>
      <c r="U53" s="1">
        <f t="shared" si="2"/>
        <v>1</v>
      </c>
      <c r="V53" s="1">
        <f t="shared" si="5"/>
        <v>0</v>
      </c>
    </row>
    <row r="54" x14ac:dyDescent="0.25">
      <c r="A54" s="1">
        <v>53</v>
      </c>
      <c r="B54" s="1" t="str">
        <v>Alejandra Ballón-Gutiérrez</v>
      </c>
      <c r="C54" s="1" t="str">
        <v>Alfombra Roja</v>
      </c>
      <c r="D54" s="1" t="str">
        <v>Entrevista de actores clave</v>
      </c>
      <c r="E54" s="1" t="str">
        <v>Actores locales</v>
      </c>
      <c r="F54" s="1" t="str">
        <v>Distrito Judicial: Ucayali</v>
      </c>
      <c r="G54" s="1" t="str">
        <v>IJM</v>
      </c>
      <c r="H54" s="1" t="str">
        <v>Sí</v>
      </c>
      <c r="I54" s="2">
        <v>46147</v>
      </c>
      <c r="J54" s="2" t="str">
        <v/>
      </c>
      <c r="K54" s="2" t="str">
        <v/>
      </c>
      <c r="L54" s="1" t="str">
        <v>Sin respuesta</v>
      </c>
      <c r="M54" s="2" t="str">
        <v/>
      </c>
      <c r="N54" s="2" t="str">
        <v/>
      </c>
      <c r="O54" s="1" t="str">
        <v>Sin respuesta</v>
      </c>
      <c r="P54" s="1" t="str">
        <v/>
      </c>
      <c r="Q54" s="1" t="str">
        <v/>
      </c>
      <c r="R54" s="1">
        <f t="shared" si="0"/>
        <v>1</v>
      </c>
      <c r="S54" s="1">
        <f t="shared" si="6"/>
        <v>0</v>
      </c>
      <c r="T54" s="1">
        <f t="shared" si="1"/>
        <v>0</v>
      </c>
      <c r="U54" s="1">
        <f t="shared" si="2"/>
        <v>0</v>
      </c>
      <c r="V54" s="1">
        <f t="shared" si="5"/>
        <v>1</v>
      </c>
    </row>
    <row r="55" x14ac:dyDescent="0.25">
      <c r="A55" s="1">
        <v>54</v>
      </c>
      <c r="B55" s="1" t="str">
        <v>Mercedes Neves Murillo</v>
      </c>
      <c r="C55" s="1" t="str">
        <v>Foro Regional Por Los Derechos Sexuales Y Reproductivos (FORDES)</v>
      </c>
      <c r="D55" s="1" t="str">
        <v>Entrevista de actores clave</v>
      </c>
      <c r="E55" s="1" t="str">
        <v>Actores locales</v>
      </c>
      <c r="F55" s="1" t="str">
        <v>Nacional</v>
      </c>
      <c r="G55" s="1" t="str">
        <v>IJM</v>
      </c>
      <c r="H55" s="1" t="str">
        <v>No</v>
      </c>
      <c r="I55" s="2" t="str">
        <v/>
      </c>
      <c r="J55" s="2" t="str">
        <v/>
      </c>
      <c r="K55" s="2" t="str">
        <v/>
      </c>
      <c r="L55" s="1" t="str">
        <v/>
      </c>
      <c r="M55" s="2" t="str">
        <v/>
      </c>
      <c r="N55" s="2" t="str">
        <v/>
      </c>
      <c r="O55" s="1" t="str">
        <v/>
      </c>
      <c r="P55" s="1" t="str">
        <v/>
      </c>
      <c r="Q55" s="1" t="str">
        <v/>
      </c>
      <c r="R55" s="1">
        <f t="shared" si="0"/>
        <v>0</v>
      </c>
      <c r="S55" s="1">
        <f t="shared" si="6"/>
        <v>0</v>
      </c>
      <c r="T55" s="1">
        <f t="shared" si="1"/>
        <v>0</v>
      </c>
      <c r="U55" s="1">
        <f t="shared" si="2"/>
        <v>0</v>
      </c>
      <c r="V55" s="1">
        <f t="shared" si="5"/>
        <v>0</v>
      </c>
    </row>
    <row r="56" x14ac:dyDescent="0.25">
      <c r="A56" s="1">
        <v>55</v>
      </c>
      <c r="B56" s="1" t="str">
        <v>Rosemary Pioc</v>
      </c>
      <c r="C56" s="1" t="str">
        <v>Consejo de Mujeres Awajún Wampis Umukai Yawi - COMUAWUY</v>
      </c>
      <c r="D56" s="1" t="str">
        <v>Entrevista de actores clave</v>
      </c>
      <c r="E56" s="1" t="str">
        <v>Actores locales</v>
      </c>
      <c r="F56" s="1" t="str">
        <v>Nacional</v>
      </c>
      <c r="G56" s="1" t="str">
        <v>IJM</v>
      </c>
      <c r="H56" s="1" t="str">
        <v>No</v>
      </c>
      <c r="I56" s="2" t="str">
        <v/>
      </c>
      <c r="J56" s="2" t="str">
        <v/>
      </c>
      <c r="K56" s="2" t="str">
        <v/>
      </c>
      <c r="L56" s="1" t="str">
        <v/>
      </c>
      <c r="M56" s="2" t="str">
        <v/>
      </c>
      <c r="N56" s="2" t="str">
        <v/>
      </c>
      <c r="O56" s="1" t="str">
        <v/>
      </c>
      <c r="P56" s="1" t="str">
        <v/>
      </c>
      <c r="Q56" s="1" t="str">
        <v/>
      </c>
      <c r="R56" s="1">
        <f t="shared" si="0"/>
        <v>0</v>
      </c>
      <c r="S56" s="1">
        <f t="shared" si="6"/>
        <v>0</v>
      </c>
      <c r="T56" s="1">
        <f t="shared" si="1"/>
        <v>0</v>
      </c>
      <c r="U56" s="1">
        <f t="shared" si="2"/>
        <v>0</v>
      </c>
      <c r="V56" s="1">
        <f t="shared" si="5"/>
        <v>0</v>
      </c>
    </row>
    <row r="57" x14ac:dyDescent="0.25">
      <c r="A57" s="1">
        <v>56</v>
      </c>
      <c r="B57" s="1" t="str">
        <v>Henry Mercado</v>
      </c>
      <c r="C57" s="1" t="str">
        <v>Abogados</v>
      </c>
      <c r="D57" s="1" t="str">
        <v>Entrevista de actores clave</v>
      </c>
      <c r="E57" s="1" t="str">
        <v>Acompañantes</v>
      </c>
      <c r="F57" s="1" t="str">
        <v>Distrito Judicial: Ayacucho</v>
      </c>
      <c r="G57" s="1" t="str">
        <v>IJM</v>
      </c>
      <c r="H57" s="1" t="str">
        <v>Sí</v>
      </c>
      <c r="I57" s="2">
        <v>46105</v>
      </c>
      <c r="J57" s="2">
        <v>46106</v>
      </c>
      <c r="K57" s="2" t="str">
        <v/>
      </c>
      <c r="L57" s="1" t="str">
        <v>Realizada completa</v>
      </c>
      <c r="M57" s="2">
        <v>46113</v>
      </c>
      <c r="N57" s="2">
        <v>46113</v>
      </c>
      <c r="O57" s="1" t="str">
        <v>Realizada completa</v>
      </c>
      <c r="P57" s="1">
        <v>34</v>
      </c>
      <c r="Q57" s="1" t="str">
        <v>A distancia asistido</v>
      </c>
      <c r="R57" s="1">
        <f t="shared" si="0"/>
        <v>1</v>
      </c>
      <c r="S57" s="1">
        <f t="shared" si="6"/>
        <v>0</v>
      </c>
      <c r="T57" s="1">
        <f t="shared" si="1"/>
        <v>0</v>
      </c>
      <c r="U57" s="1">
        <f t="shared" si="2"/>
        <v>1</v>
      </c>
      <c r="V57" s="1">
        <f t="shared" si="5"/>
        <v>0</v>
      </c>
    </row>
    <row r="58" x14ac:dyDescent="0.25">
      <c r="A58" s="1">
        <v>57</v>
      </c>
      <c r="B58" s="1" t="str">
        <v>Lorena Ruiz</v>
      </c>
      <c r="C58" s="1" t="str">
        <v>Abogados</v>
      </c>
      <c r="D58" s="1" t="str">
        <v>Entrevista de actores clave</v>
      </c>
      <c r="E58" s="1" t="str">
        <v>Actores locales</v>
      </c>
      <c r="F58" s="1" t="str">
        <v>Distrito Judicial: Ucayali</v>
      </c>
      <c r="G58" s="1" t="str">
        <v>IJM</v>
      </c>
      <c r="H58" s="1" t="str">
        <v>Sí</v>
      </c>
      <c r="I58" s="2">
        <v>46106</v>
      </c>
      <c r="J58" s="2" t="str">
        <v/>
      </c>
      <c r="K58" s="2" t="str">
        <v/>
      </c>
      <c r="L58" s="1" t="str">
        <v>Realizada completa</v>
      </c>
      <c r="M58" s="2">
        <v>46136</v>
      </c>
      <c r="N58" s="2" t="str">
        <v/>
      </c>
      <c r="O58" s="1" t="str">
        <v>Realizada completa</v>
      </c>
      <c r="P58" s="1">
        <v>42</v>
      </c>
      <c r="Q58" s="1" t="str">
        <v>A distancia asistido</v>
      </c>
      <c r="R58" s="1">
        <f t="shared" si="0"/>
        <v>1</v>
      </c>
      <c r="S58" s="1">
        <f t="shared" si="6"/>
        <v>0</v>
      </c>
      <c r="T58" s="1">
        <f t="shared" si="1"/>
        <v>0</v>
      </c>
      <c r="U58" s="1">
        <f t="shared" si="2"/>
        <v>1</v>
      </c>
      <c r="V58" s="1">
        <f t="shared" si="5"/>
        <v>0</v>
      </c>
    </row>
    <row r="59" x14ac:dyDescent="0.25">
      <c r="A59" s="1">
        <v>58</v>
      </c>
      <c r="B59" s="1" t="str">
        <v>María Ysabel Cedano</v>
      </c>
      <c r="C59" s="1" t="str">
        <v>Abogados</v>
      </c>
      <c r="D59" s="1" t="str">
        <v>Entrevista de actores clave</v>
      </c>
      <c r="E59" s="1" t="str">
        <v>Actores locales</v>
      </c>
      <c r="F59" s="1" t="str">
        <v>Distrito Judicial: Huánuco</v>
      </c>
      <c r="G59" s="1" t="str">
        <v>IJM</v>
      </c>
      <c r="H59" s="1" t="str">
        <v>Sí</v>
      </c>
      <c r="I59" s="2" t="str">
        <v/>
      </c>
      <c r="J59" s="2" t="str">
        <v/>
      </c>
      <c r="K59" s="2" t="str">
        <v/>
      </c>
      <c r="L59" s="1" t="str">
        <v>Sin respuesta</v>
      </c>
      <c r="M59" s="2" t="str">
        <v/>
      </c>
      <c r="N59" s="2" t="str">
        <v/>
      </c>
      <c r="O59" s="1" t="str">
        <v>Sin respuesta</v>
      </c>
      <c r="P59" s="1" t="str">
        <v/>
      </c>
      <c r="Q59" s="1" t="str">
        <v/>
      </c>
      <c r="R59" s="1">
        <f t="shared" si="0"/>
        <v>1</v>
      </c>
      <c r="S59" s="1">
        <f t="shared" si="6"/>
        <v>0</v>
      </c>
      <c r="T59" s="1">
        <f t="shared" si="1"/>
        <v>0</v>
      </c>
      <c r="U59" s="1">
        <f t="shared" si="2"/>
        <v>0</v>
      </c>
      <c r="V59" s="1">
        <f t="shared" si="5"/>
        <v>1</v>
      </c>
    </row>
    <row r="60" x14ac:dyDescent="0.25">
      <c r="A60" s="1">
        <v>59</v>
      </c>
      <c r="B60" s="1" t="str">
        <v>Rocío Villanueva Flores</v>
      </c>
      <c r="C60" s="1" t="str">
        <v>Abogados</v>
      </c>
      <c r="D60" s="1" t="str">
        <v>Entrevista de actores clave</v>
      </c>
      <c r="E60" s="1" t="str">
        <v>Acompañantes</v>
      </c>
      <c r="F60" s="1" t="str">
        <v>Nacional</v>
      </c>
      <c r="G60" s="1" t="str">
        <v>IJM</v>
      </c>
      <c r="H60" s="1" t="str">
        <v>Sí</v>
      </c>
      <c r="I60" s="2" t="str">
        <v/>
      </c>
      <c r="J60" s="2" t="str">
        <v/>
      </c>
      <c r="K60" s="2" t="str">
        <v/>
      </c>
      <c r="L60" s="1" t="str">
        <v>Sin respuesta</v>
      </c>
      <c r="M60" s="2" t="str">
        <v/>
      </c>
      <c r="N60" s="2" t="str">
        <v/>
      </c>
      <c r="O60" s="1" t="str">
        <v>Sin respuesta</v>
      </c>
      <c r="P60" s="1" t="str">
        <v/>
      </c>
      <c r="Q60" s="1" t="str">
        <v/>
      </c>
      <c r="R60" s="1">
        <f t="shared" si="0"/>
        <v>1</v>
      </c>
      <c r="S60" s="1">
        <f t="shared" si="6"/>
        <v>0</v>
      </c>
      <c r="T60" s="1">
        <f t="shared" si="1"/>
        <v>0</v>
      </c>
      <c r="U60" s="1">
        <f t="shared" si="2"/>
        <v>0</v>
      </c>
      <c r="V60" s="1">
        <f t="shared" si="5"/>
        <v>1</v>
      </c>
    </row>
    <row r="61" x14ac:dyDescent="0.25">
      <c r="A61" s="1">
        <v>60</v>
      </c>
      <c r="B61" s="1" t="str">
        <v>Eliana Revollar Añaños</v>
      </c>
      <c r="C61" s="1" t="str">
        <v>Abogados</v>
      </c>
      <c r="D61" s="1" t="str">
        <v>Entrevista de actores clave</v>
      </c>
      <c r="E61" s="1" t="str">
        <v>Actores locales</v>
      </c>
      <c r="F61" s="1" t="str">
        <v>Distrito Judicial: Lima Norte</v>
      </c>
      <c r="G61" s="1" t="str">
        <v>IJM</v>
      </c>
      <c r="H61" s="1" t="str">
        <v>No</v>
      </c>
      <c r="I61" s="2" t="str">
        <v/>
      </c>
      <c r="J61" s="2" t="str">
        <v/>
      </c>
      <c r="K61" s="2" t="str">
        <v/>
      </c>
      <c r="L61" s="1" t="str">
        <v/>
      </c>
      <c r="M61" s="2" t="str">
        <v/>
      </c>
      <c r="N61" s="2" t="str">
        <v/>
      </c>
      <c r="O61" s="1" t="str">
        <v/>
      </c>
      <c r="P61" s="1" t="str">
        <v/>
      </c>
      <c r="Q61" s="1" t="str">
        <v/>
      </c>
      <c r="R61" s="1">
        <f t="shared" si="0"/>
        <v>0</v>
      </c>
      <c r="S61" s="1">
        <f t="shared" si="6"/>
        <v>0</v>
      </c>
      <c r="T61" s="1">
        <f t="shared" si="1"/>
        <v>0</v>
      </c>
      <c r="U61" s="1">
        <f t="shared" si="2"/>
        <v>0</v>
      </c>
      <c r="V61" s="1">
        <f t="shared" si="5"/>
        <v>0</v>
      </c>
    </row>
    <row r="62" x14ac:dyDescent="0.25">
      <c r="A62" s="1">
        <v>61</v>
      </c>
      <c r="B62" s="1" t="str">
        <v>Jacqueline Julissa Pérez Castañeda</v>
      </c>
      <c r="C62" s="1" t="str">
        <v>Ministerio Público (Fiscalía)</v>
      </c>
      <c r="D62" s="1" t="str">
        <v>Entrevista de actores clave</v>
      </c>
      <c r="E62" s="1" t="str">
        <v>Funcionarios del Sistema</v>
      </c>
      <c r="F62" s="1" t="str">
        <v>Distrito Judicial: Lima Norte</v>
      </c>
      <c r="G62" s="1" t="str">
        <v>IJM</v>
      </c>
      <c r="H62" s="1" t="str">
        <v>Sí</v>
      </c>
      <c r="I62" s="2">
        <v>46105</v>
      </c>
      <c r="J62" s="2">
        <v>46164</v>
      </c>
      <c r="K62" s="2" t="str">
        <v/>
      </c>
      <c r="L62" s="1" t="str">
        <v>Sin respuesta</v>
      </c>
      <c r="M62" s="2" t="str">
        <v/>
      </c>
      <c r="N62" s="2" t="str">
        <v/>
      </c>
      <c r="O62" s="1" t="str">
        <v>Sin respuesta</v>
      </c>
      <c r="P62" s="1" t="str">
        <v/>
      </c>
      <c r="Q62" s="1" t="str">
        <v/>
      </c>
      <c r="R62" s="1">
        <f t="shared" si="0"/>
        <v>1</v>
      </c>
      <c r="S62" s="1">
        <f t="shared" si="6"/>
        <v>0</v>
      </c>
      <c r="T62" s="1">
        <f t="shared" si="1"/>
        <v>0</v>
      </c>
      <c r="U62" s="1">
        <f t="shared" si="2"/>
        <v>0</v>
      </c>
      <c r="V62" s="1">
        <f t="shared" si="5"/>
        <v>1</v>
      </c>
    </row>
    <row r="63" x14ac:dyDescent="0.25">
      <c r="A63" s="1">
        <v>62</v>
      </c>
      <c r="B63" s="1" t="str">
        <v>Delia Milagros Espinoza Valenzuela</v>
      </c>
      <c r="C63" s="1" t="str">
        <v>Ministerio Público (Fiscalía)</v>
      </c>
      <c r="D63" s="1" t="str">
        <v>Entrevista de actores clave</v>
      </c>
      <c r="E63" s="1" t="str">
        <v>Funcionarios del Sistema</v>
      </c>
      <c r="F63" s="1" t="str">
        <v>Nacional</v>
      </c>
      <c r="G63" s="1" t="str">
        <v>IJM</v>
      </c>
      <c r="H63" s="1" t="str">
        <v>Sí</v>
      </c>
      <c r="I63" s="2">
        <v>46147</v>
      </c>
      <c r="J63" s="2" t="str">
        <v/>
      </c>
      <c r="K63" s="2" t="str">
        <v/>
      </c>
      <c r="L63" s="1" t="str">
        <v>Sin respuesta</v>
      </c>
      <c r="M63" s="2" t="str">
        <v/>
      </c>
      <c r="N63" s="2" t="str">
        <v/>
      </c>
      <c r="O63" s="1" t="str">
        <v>Sin respuesta</v>
      </c>
      <c r="P63" s="1" t="str">
        <v/>
      </c>
      <c r="Q63" s="1" t="str">
        <v/>
      </c>
      <c r="R63" s="1">
        <f t="shared" si="0"/>
        <v>1</v>
      </c>
      <c r="S63" s="1">
        <f t="shared" si="6"/>
        <v>0</v>
      </c>
      <c r="T63" s="1">
        <f t="shared" si="1"/>
        <v>0</v>
      </c>
      <c r="U63" s="1">
        <f t="shared" si="2"/>
        <v>0</v>
      </c>
      <c r="V63" s="1">
        <f t="shared" si="5"/>
        <v>1</v>
      </c>
    </row>
    <row r="64" x14ac:dyDescent="0.25">
      <c r="A64" s="1">
        <v>63</v>
      </c>
      <c r="B64" s="1" t="str">
        <v>Judith Gisella Caruhapoma Ortega</v>
      </c>
      <c r="C64" s="1" t="str">
        <v>Ministerio Público (Fiscalía)</v>
      </c>
      <c r="D64" s="1" t="str">
        <v>Entrevista de actores clave</v>
      </c>
      <c r="E64" s="1" t="str">
        <v>Funcionarios del Sistema</v>
      </c>
      <c r="F64" s="1" t="str">
        <v>Distrito Judicial: Ayacucho</v>
      </c>
      <c r="G64" s="1" t="str">
        <v>IJM</v>
      </c>
      <c r="H64" s="1" t="str">
        <v>Sí</v>
      </c>
      <c r="I64" s="2">
        <v>46105</v>
      </c>
      <c r="J64" s="2">
        <v>46147</v>
      </c>
      <c r="K64" s="2" t="str">
        <v/>
      </c>
      <c r="L64" s="1" t="str">
        <v>Sin respuesta</v>
      </c>
      <c r="M64" s="2" t="str">
        <v/>
      </c>
      <c r="N64" s="2" t="str">
        <v/>
      </c>
      <c r="O64" s="1" t="str">
        <v>Sin respuesta</v>
      </c>
      <c r="P64" s="1" t="str">
        <v/>
      </c>
      <c r="Q64" s="1" t="str">
        <v/>
      </c>
      <c r="R64" s="1">
        <f t="shared" si="0"/>
        <v>1</v>
      </c>
      <c r="S64" s="1">
        <f t="shared" si="6"/>
        <v>0</v>
      </c>
      <c r="T64" s="1">
        <f t="shared" si="1"/>
        <v>0</v>
      </c>
      <c r="U64" s="1">
        <f t="shared" si="2"/>
        <v>0</v>
      </c>
      <c r="V64" s="1">
        <f t="shared" si="5"/>
        <v>1</v>
      </c>
    </row>
    <row r="65" x14ac:dyDescent="0.25">
      <c r="A65" s="1">
        <v>64</v>
      </c>
      <c r="B65" s="1" t="str">
        <v>Ingrid Carola Chumbe Rodriguez</v>
      </c>
      <c r="C65" s="1" t="str">
        <v>Ministerio Público (Fiscalía)</v>
      </c>
      <c r="D65" s="1" t="str">
        <v>Entrevista de actores clave</v>
      </c>
      <c r="E65" s="1" t="str">
        <v>Funcionarios del Sistema</v>
      </c>
      <c r="F65" s="1" t="str">
        <v>Nacional</v>
      </c>
      <c r="G65" s="1" t="str">
        <v>IJM</v>
      </c>
      <c r="H65" s="1" t="str">
        <v>Sí</v>
      </c>
      <c r="I65" s="2">
        <v>46101</v>
      </c>
      <c r="J65" s="2">
        <v>46105</v>
      </c>
      <c r="K65" s="2" t="str">
        <v/>
      </c>
      <c r="L65" s="1" t="str">
        <v>En coordinación</v>
      </c>
      <c r="M65" s="2" t="str">
        <v/>
      </c>
      <c r="N65" s="2" t="str">
        <v/>
      </c>
      <c r="O65" s="1" t="str">
        <v>En coordinación</v>
      </c>
      <c r="P65" s="1" t="str">
        <v/>
      </c>
      <c r="Q65" s="1" t="str">
        <v/>
      </c>
      <c r="R65" s="1">
        <f t="shared" si="0"/>
        <v>1</v>
      </c>
      <c r="S65" s="1">
        <f t="shared" si="6"/>
        <v>1</v>
      </c>
      <c r="T65" s="1">
        <f t="shared" si="1"/>
        <v>0</v>
      </c>
      <c r="U65" s="1">
        <f t="shared" si="2"/>
        <v>0</v>
      </c>
      <c r="V65" s="1">
        <f t="shared" si="5"/>
        <v>0</v>
      </c>
    </row>
    <row r="66" x14ac:dyDescent="0.25">
      <c r="A66" s="1">
        <v>65</v>
      </c>
      <c r="B66" s="1" t="str">
        <v>Juan Carlos Villena Campana</v>
      </c>
      <c r="C66" s="1" t="str">
        <v>Ministerio Público (Fiscalía)</v>
      </c>
      <c r="D66" s="1" t="str">
        <v>Entrevista de actores clave</v>
      </c>
      <c r="E66" s="1" t="str">
        <v>Funcionarios del Sistema</v>
      </c>
      <c r="F66" s="1" t="str">
        <v>Nacional</v>
      </c>
      <c r="G66" s="1" t="str">
        <v>IJM</v>
      </c>
      <c r="H66" s="1" t="str">
        <v>Sí</v>
      </c>
      <c r="I66" s="2">
        <v>46147</v>
      </c>
      <c r="J66" s="2" t="str">
        <v/>
      </c>
      <c r="K66" s="2" t="str">
        <v/>
      </c>
      <c r="L66" s="1" t="str">
        <v>Sin respuesta</v>
      </c>
      <c r="M66" s="2" t="str">
        <v/>
      </c>
      <c r="N66" s="2" t="str">
        <v/>
      </c>
      <c r="O66" s="1" t="str">
        <v>Sin respuesta</v>
      </c>
      <c r="P66" s="1" t="str">
        <v/>
      </c>
      <c r="Q66" s="1" t="str">
        <v/>
      </c>
      <c r="R66" s="1">
        <f t="shared" si="0"/>
        <v>1</v>
      </c>
      <c r="S66" s="1">
        <f t="shared" ref="S66:S129" si="7">IF(L66="En coordinación",1,0)</f>
        <v>0</v>
      </c>
      <c r="T66" s="1">
        <f t="shared" si="1"/>
        <v>0</v>
      </c>
      <c r="U66" s="1">
        <f t="shared" si="2"/>
        <v>0</v>
      </c>
      <c r="V66" s="1">
        <f t="shared" si="5"/>
        <v>1</v>
      </c>
    </row>
    <row r="67" x14ac:dyDescent="0.25">
      <c r="A67" s="1">
        <v>66</v>
      </c>
      <c r="B67" s="1" t="str">
        <v>Sebastian Ticona Flores</v>
      </c>
      <c r="C67" s="1" t="str">
        <v>Ministerio Público (Fiscalía)</v>
      </c>
      <c r="D67" s="1" t="str">
        <v>Entrevista de actores clave</v>
      </c>
      <c r="E67" s="1" t="str">
        <v>Funcionarios del Sistema</v>
      </c>
      <c r="F67" s="1" t="str">
        <v>Distrito Judicial: Cajamarca</v>
      </c>
      <c r="G67" s="1" t="str">
        <v>IJM</v>
      </c>
      <c r="H67" s="1" t="str">
        <v>Sí</v>
      </c>
      <c r="I67" s="2">
        <v>46147</v>
      </c>
      <c r="J67" s="2">
        <v>46162</v>
      </c>
      <c r="K67" s="2" t="str">
        <v/>
      </c>
      <c r="L67" s="1" t="str">
        <v>Sin respuesta</v>
      </c>
      <c r="M67" s="2" t="str">
        <v/>
      </c>
      <c r="N67" s="2" t="str">
        <v/>
      </c>
      <c r="O67" s="1" t="str">
        <v>Sin respuesta</v>
      </c>
      <c r="P67" s="1" t="str">
        <v/>
      </c>
      <c r="Q67" s="1" t="str">
        <v/>
      </c>
      <c r="R67" s="1">
        <f t="shared" ref="R67:R130" si="8">IF(H67="Sí",1,0)</f>
        <v>1</v>
      </c>
      <c r="S67" s="1">
        <f t="shared" si="7"/>
        <v>0</v>
      </c>
      <c r="T67" s="1">
        <f t="shared" ref="T67:T130" si="9">IF(L67="Aceptada",1,0)</f>
        <v>0</v>
      </c>
      <c r="U67" s="1">
        <f t="shared" ref="U67:U130" si="10">IF(OR(L67="Realizada completa",L67="Realizada incompleta"),1,0)</f>
        <v>0</v>
      </c>
      <c r="V67" s="1">
        <f t="shared" si="5"/>
        <v>1</v>
      </c>
    </row>
    <row r="68" x14ac:dyDescent="0.25">
      <c r="A68" s="1">
        <v>67</v>
      </c>
      <c r="B68" s="1" t="str">
        <v>Griselda Venero De Monteagudo</v>
      </c>
      <c r="C68" s="1" t="str">
        <v>Ministerio Público (Fiscalía)</v>
      </c>
      <c r="D68" s="1" t="str">
        <v>Entrevista de actores clave</v>
      </c>
      <c r="E68" s="1" t="str">
        <v>Funcionarios del Sistema</v>
      </c>
      <c r="F68" s="1" t="str">
        <v>Nacional</v>
      </c>
      <c r="G68" s="1" t="str">
        <v>IJM</v>
      </c>
      <c r="H68" s="1" t="str">
        <v>Sí</v>
      </c>
      <c r="I68" s="2">
        <v>46147</v>
      </c>
      <c r="J68" s="2">
        <v>46162</v>
      </c>
      <c r="K68" s="2" t="str">
        <v/>
      </c>
      <c r="L68" s="1" t="str">
        <v>Sin respuesta</v>
      </c>
      <c r="M68" s="2" t="str">
        <v/>
      </c>
      <c r="N68" s="2" t="str">
        <v/>
      </c>
      <c r="O68" s="1" t="str">
        <v>Sin respuesta</v>
      </c>
      <c r="P68" s="1" t="str">
        <v/>
      </c>
      <c r="Q68" s="1" t="str">
        <v/>
      </c>
      <c r="R68" s="1">
        <f t="shared" si="8"/>
        <v>1</v>
      </c>
      <c r="S68" s="1">
        <f t="shared" si="7"/>
        <v>0</v>
      </c>
      <c r="T68" s="1">
        <f t="shared" si="9"/>
        <v>0</v>
      </c>
      <c r="U68" s="1">
        <f t="shared" si="10"/>
        <v>0</v>
      </c>
      <c r="V68" s="1">
        <f t="shared" si="5"/>
        <v>1</v>
      </c>
    </row>
    <row r="69" x14ac:dyDescent="0.25">
      <c r="A69" s="1">
        <v>68</v>
      </c>
      <c r="B69" s="1" t="str">
        <v>Sofia Milla Meza</v>
      </c>
      <c r="C69" s="1" t="str">
        <v>Ministerio Público (Fiscalía)</v>
      </c>
      <c r="D69" s="1" t="str">
        <v>Entrevista de actores clave</v>
      </c>
      <c r="E69" s="1" t="str">
        <v>Funcionarios del Sistema</v>
      </c>
      <c r="F69" s="1" t="str">
        <v>Nacional</v>
      </c>
      <c r="G69" s="1" t="str">
        <v>IJM</v>
      </c>
      <c r="H69" s="1" t="str">
        <v>Sí</v>
      </c>
      <c r="I69" s="2">
        <v>46147</v>
      </c>
      <c r="J69" s="2">
        <v>46162</v>
      </c>
      <c r="K69" s="2" t="str">
        <v/>
      </c>
      <c r="L69" s="1" t="str">
        <v>Sin respuesta</v>
      </c>
      <c r="M69" s="2" t="str">
        <v/>
      </c>
      <c r="N69" s="2" t="str">
        <v/>
      </c>
      <c r="O69" s="1" t="str">
        <v>Sin respuesta</v>
      </c>
      <c r="P69" s="1" t="str">
        <v/>
      </c>
      <c r="Q69" s="1" t="str">
        <v/>
      </c>
      <c r="R69" s="1">
        <f t="shared" si="8"/>
        <v>1</v>
      </c>
      <c r="S69" s="1">
        <f t="shared" si="7"/>
        <v>0</v>
      </c>
      <c r="T69" s="1">
        <f t="shared" si="9"/>
        <v>0</v>
      </c>
      <c r="U69" s="1">
        <f t="shared" si="10"/>
        <v>0</v>
      </c>
      <c r="V69" s="1">
        <f t="shared" si="5"/>
        <v>1</v>
      </c>
    </row>
    <row r="70" x14ac:dyDescent="0.25">
      <c r="A70" s="1">
        <v>69</v>
      </c>
      <c r="B70" s="1" t="str">
        <v>Jhonny Ruelas Roque</v>
      </c>
      <c r="C70" s="1" t="str">
        <v>Ministerio Público (Fiscalía)</v>
      </c>
      <c r="D70" s="1" t="str">
        <v>Entrevista de actores clave</v>
      </c>
      <c r="E70" s="1" t="str">
        <v>Funcionarios del Sistema</v>
      </c>
      <c r="F70" s="1" t="str">
        <v>Distrito Judicial: Apurímac</v>
      </c>
      <c r="G70" s="1" t="str">
        <v>IJM</v>
      </c>
      <c r="H70" s="1" t="str">
        <v>Sí</v>
      </c>
      <c r="I70" s="2">
        <v>46147</v>
      </c>
      <c r="J70" s="2">
        <v>46162</v>
      </c>
      <c r="K70" s="2" t="str">
        <v/>
      </c>
      <c r="L70" s="1" t="str">
        <v>Sin respuesta</v>
      </c>
      <c r="M70" s="2" t="str">
        <v/>
      </c>
      <c r="N70" s="2" t="str">
        <v/>
      </c>
      <c r="O70" s="1" t="str">
        <v>Sin respuesta</v>
      </c>
      <c r="P70" s="1" t="str">
        <v/>
      </c>
      <c r="Q70" s="1" t="str">
        <v/>
      </c>
      <c r="R70" s="1">
        <f t="shared" si="8"/>
        <v>1</v>
      </c>
      <c r="S70" s="1">
        <f t="shared" si="7"/>
        <v>0</v>
      </c>
      <c r="T70" s="1">
        <f t="shared" si="9"/>
        <v>0</v>
      </c>
      <c r="U70" s="1">
        <f t="shared" si="10"/>
        <v>0</v>
      </c>
      <c r="V70" s="1">
        <f t="shared" si="5"/>
        <v>1</v>
      </c>
    </row>
    <row r="71" x14ac:dyDescent="0.25">
      <c r="A71" s="1">
        <v>70</v>
      </c>
      <c r="B71" s="1" t="str">
        <v>Gilder Zapana Mayta</v>
      </c>
      <c r="C71" s="1" t="str">
        <v>Ministerio Público (Fiscalía)</v>
      </c>
      <c r="D71" s="1" t="str">
        <v>Entrevista de actores clave</v>
      </c>
      <c r="E71" s="1" t="str">
        <v>Funcionarios del Sistema</v>
      </c>
      <c r="F71" s="1" t="str">
        <v>Distrito Judicial: Apurímac</v>
      </c>
      <c r="G71" s="1" t="str">
        <v>IJM</v>
      </c>
      <c r="H71" s="1" t="str">
        <v>Sí</v>
      </c>
      <c r="I71" s="2">
        <v>46147</v>
      </c>
      <c r="J71" s="2" t="str">
        <v/>
      </c>
      <c r="K71" s="2" t="str">
        <v/>
      </c>
      <c r="L71" s="1" t="str">
        <v>Sin respuesta</v>
      </c>
      <c r="M71" s="2" t="str">
        <v/>
      </c>
      <c r="N71" s="2" t="str">
        <v/>
      </c>
      <c r="O71" s="1" t="str">
        <v>Sin respuesta</v>
      </c>
      <c r="P71" s="1" t="str">
        <v/>
      </c>
      <c r="Q71" s="1" t="str">
        <v/>
      </c>
      <c r="R71" s="1">
        <f t="shared" si="8"/>
        <v>1</v>
      </c>
      <c r="S71" s="1">
        <f t="shared" si="7"/>
        <v>0</v>
      </c>
      <c r="T71" s="1">
        <f t="shared" si="9"/>
        <v>0</v>
      </c>
      <c r="U71" s="1">
        <f t="shared" si="10"/>
        <v>0</v>
      </c>
      <c r="V71" s="1">
        <f t="shared" si="5"/>
        <v>1</v>
      </c>
    </row>
    <row r="72" x14ac:dyDescent="0.25">
      <c r="A72" s="1">
        <v>71</v>
      </c>
      <c r="B72" s="1" t="str">
        <v>Helem Retamozo Meza</v>
      </c>
      <c r="C72" s="1" t="str">
        <v>Ministerio Público (Fiscalía)</v>
      </c>
      <c r="D72" s="1" t="str">
        <v>Entrevista de actores clave</v>
      </c>
      <c r="E72" s="1" t="str">
        <v>Funcionarios del Sistema</v>
      </c>
      <c r="F72" s="1" t="str">
        <v>Distrito Judicial: Apurímac</v>
      </c>
      <c r="G72" s="1" t="str">
        <v>IJM</v>
      </c>
      <c r="H72" s="1" t="str">
        <v>Sí</v>
      </c>
      <c r="I72" s="2">
        <v>46147</v>
      </c>
      <c r="J72" s="2" t="str">
        <v/>
      </c>
      <c r="K72" s="2" t="str">
        <v/>
      </c>
      <c r="L72" s="1" t="str">
        <v>Sin respuesta</v>
      </c>
      <c r="M72" s="2" t="str">
        <v/>
      </c>
      <c r="N72" s="2" t="str">
        <v/>
      </c>
      <c r="O72" s="1" t="str">
        <v>Sin respuesta</v>
      </c>
      <c r="P72" s="1" t="str">
        <v/>
      </c>
      <c r="Q72" s="1" t="str">
        <v/>
      </c>
      <c r="R72" s="1">
        <f t="shared" si="8"/>
        <v>1</v>
      </c>
      <c r="S72" s="1">
        <f t="shared" si="7"/>
        <v>0</v>
      </c>
      <c r="T72" s="1">
        <f t="shared" si="9"/>
        <v>0</v>
      </c>
      <c r="U72" s="1">
        <f t="shared" si="10"/>
        <v>0</v>
      </c>
      <c r="V72" s="1">
        <f t="shared" si="5"/>
        <v>1</v>
      </c>
    </row>
    <row r="73" x14ac:dyDescent="0.25">
      <c r="A73" s="1">
        <v>72</v>
      </c>
      <c r="B73" s="1" t="str">
        <v>Diana Ildaura Suquilanda Zavalaga</v>
      </c>
      <c r="C73" s="1" t="str">
        <v>Ministerio Público (Fiscalía)</v>
      </c>
      <c r="D73" s="1" t="str">
        <v>Entrevista de actores clave</v>
      </c>
      <c r="E73" s="1" t="str">
        <v>Funcionarios del Sistema</v>
      </c>
      <c r="F73" s="1" t="str">
        <v>Distrito Judicial: Apurímac</v>
      </c>
      <c r="G73" s="1" t="str">
        <v>IJM</v>
      </c>
      <c r="H73" s="1" t="str">
        <v>Sí</v>
      </c>
      <c r="I73" s="2">
        <v>46101</v>
      </c>
      <c r="J73" s="2">
        <v>46147</v>
      </c>
      <c r="K73" s="2" t="str">
        <v/>
      </c>
      <c r="L73" s="1" t="str">
        <v>Sin respuesta</v>
      </c>
      <c r="M73" s="2" t="str">
        <v/>
      </c>
      <c r="N73" s="2" t="str">
        <v/>
      </c>
      <c r="O73" s="1" t="str">
        <v>Sin respuesta</v>
      </c>
      <c r="P73" s="1" t="str">
        <v/>
      </c>
      <c r="Q73" s="1" t="str">
        <v/>
      </c>
      <c r="R73" s="1">
        <f t="shared" si="8"/>
        <v>1</v>
      </c>
      <c r="S73" s="1">
        <f t="shared" si="7"/>
        <v>0</v>
      </c>
      <c r="T73" s="1">
        <f t="shared" si="9"/>
        <v>0</v>
      </c>
      <c r="U73" s="1">
        <f t="shared" si="10"/>
        <v>0</v>
      </c>
      <c r="V73" s="1">
        <f t="shared" si="5"/>
        <v>1</v>
      </c>
    </row>
    <row r="74" x14ac:dyDescent="0.25">
      <c r="A74" s="1">
        <v>73</v>
      </c>
      <c r="B74" s="1" t="str">
        <v>Pedro Luza Chullo</v>
      </c>
      <c r="C74" s="1" t="str">
        <v>Ministerio Público (Fiscalía)</v>
      </c>
      <c r="D74" s="1" t="str">
        <v>Entrevista de actores clave</v>
      </c>
      <c r="E74" s="1" t="str">
        <v>Funcionarios del Sistema</v>
      </c>
      <c r="F74" s="1" t="str">
        <v>Distrito Judicial: Huánuco</v>
      </c>
      <c r="G74" s="1" t="str">
        <v>IJM</v>
      </c>
      <c r="H74" s="1" t="str">
        <v>Sí</v>
      </c>
      <c r="I74" s="2">
        <v>46147</v>
      </c>
      <c r="J74" s="2" t="str">
        <v/>
      </c>
      <c r="K74" s="2" t="str">
        <v/>
      </c>
      <c r="L74" s="1" t="str">
        <v>Sin respuesta</v>
      </c>
      <c r="M74" s="2" t="str">
        <v/>
      </c>
      <c r="N74" s="2" t="str">
        <v/>
      </c>
      <c r="O74" s="1" t="str">
        <v>Sin respuesta</v>
      </c>
      <c r="P74" s="1" t="str">
        <v/>
      </c>
      <c r="Q74" s="1" t="str">
        <v/>
      </c>
      <c r="R74" s="1">
        <f t="shared" si="8"/>
        <v>1</v>
      </c>
      <c r="S74" s="1">
        <f t="shared" si="7"/>
        <v>0</v>
      </c>
      <c r="T74" s="1">
        <f t="shared" si="9"/>
        <v>0</v>
      </c>
      <c r="U74" s="1">
        <f t="shared" si="10"/>
        <v>0</v>
      </c>
      <c r="V74" s="1">
        <f t="shared" si="5"/>
        <v>1</v>
      </c>
    </row>
    <row r="75" x14ac:dyDescent="0.25">
      <c r="A75" s="1">
        <v>74</v>
      </c>
      <c r="B75" s="1" t="str">
        <v>Mirco Coz Berrospi</v>
      </c>
      <c r="C75" s="1" t="str">
        <v>Ministerio Público (Fiscalía)</v>
      </c>
      <c r="D75" s="1" t="str">
        <v>Entrevista de actores clave</v>
      </c>
      <c r="E75" s="1" t="str">
        <v>Funcionarios del Sistema</v>
      </c>
      <c r="F75" s="1" t="str">
        <v>Distrito Judicial: Huánuco</v>
      </c>
      <c r="G75" s="1" t="str">
        <v>IJM</v>
      </c>
      <c r="H75" s="1" t="str">
        <v>Sí</v>
      </c>
      <c r="I75" s="2">
        <v>46147</v>
      </c>
      <c r="J75" s="2" t="str">
        <v/>
      </c>
      <c r="K75" s="2" t="str">
        <v/>
      </c>
      <c r="L75" s="1" t="str">
        <v>Sin respuesta</v>
      </c>
      <c r="M75" s="2" t="str">
        <v/>
      </c>
      <c r="N75" s="2" t="str">
        <v/>
      </c>
      <c r="O75" s="1" t="str">
        <v>Sin respuesta</v>
      </c>
      <c r="P75" s="1" t="str">
        <v/>
      </c>
      <c r="Q75" s="1" t="str">
        <v/>
      </c>
      <c r="R75" s="1">
        <f t="shared" si="8"/>
        <v>1</v>
      </c>
      <c r="S75" s="1">
        <f t="shared" si="7"/>
        <v>0</v>
      </c>
      <c r="T75" s="1">
        <f t="shared" si="9"/>
        <v>0</v>
      </c>
      <c r="U75" s="1">
        <f t="shared" si="10"/>
        <v>0</v>
      </c>
      <c r="V75" s="1">
        <f t="shared" si="5"/>
        <v>1</v>
      </c>
    </row>
    <row r="76" x14ac:dyDescent="0.25">
      <c r="A76" s="1">
        <v>75</v>
      </c>
      <c r="B76" s="1" t="str">
        <v>Maria Elena Tores Quispe</v>
      </c>
      <c r="C76" s="1" t="str">
        <v>Ministerio Público (Fiscalía)</v>
      </c>
      <c r="D76" s="1" t="str">
        <v>Entrevista de actores clave</v>
      </c>
      <c r="E76" s="1" t="str">
        <v>Funcionarios del Sistema</v>
      </c>
      <c r="F76" s="1" t="str">
        <v>Distrito Judicial: Huánuco</v>
      </c>
      <c r="G76" s="1" t="str">
        <v>IJM</v>
      </c>
      <c r="H76" s="1" t="str">
        <v>No</v>
      </c>
      <c r="I76" s="2" t="str">
        <v/>
      </c>
      <c r="J76" s="2" t="str">
        <v/>
      </c>
      <c r="K76" s="2" t="str">
        <v/>
      </c>
      <c r="L76" s="1" t="str">
        <v/>
      </c>
      <c r="M76" s="2" t="str">
        <v/>
      </c>
      <c r="N76" s="2" t="str">
        <v/>
      </c>
      <c r="O76" s="1" t="str">
        <v/>
      </c>
      <c r="P76" s="1" t="str">
        <v/>
      </c>
      <c r="Q76" s="1" t="str">
        <v/>
      </c>
      <c r="R76" s="1">
        <f t="shared" si="8"/>
        <v>0</v>
      </c>
      <c r="S76" s="1">
        <f t="shared" si="7"/>
        <v>0</v>
      </c>
      <c r="T76" s="1">
        <f t="shared" si="9"/>
        <v>0</v>
      </c>
      <c r="U76" s="1">
        <f t="shared" si="10"/>
        <v>0</v>
      </c>
      <c r="V76" s="1">
        <f t="shared" si="5"/>
        <v>0</v>
      </c>
    </row>
    <row r="77" x14ac:dyDescent="0.25">
      <c r="A77" s="1">
        <v>76</v>
      </c>
      <c r="B77" s="1" t="str">
        <v>Claudia Belinda Chirito Cano</v>
      </c>
      <c r="C77" s="1" t="str">
        <v>Ministerio Público (Fiscalía)</v>
      </c>
      <c r="D77" s="1" t="str">
        <v>Entrevista de actores clave</v>
      </c>
      <c r="E77" s="1" t="str">
        <v>Funcionarios del Sistema</v>
      </c>
      <c r="F77" s="1" t="str">
        <v>Distrito Judicial: Ucayali</v>
      </c>
      <c r="G77" s="1" t="str">
        <v>IJM</v>
      </c>
      <c r="H77" s="1" t="str">
        <v>Sí</v>
      </c>
      <c r="I77" s="2">
        <v>46106</v>
      </c>
      <c r="J77" s="2">
        <v>46147</v>
      </c>
      <c r="K77" s="2" t="str">
        <v/>
      </c>
      <c r="L77" s="1" t="str">
        <v>Sin respuesta</v>
      </c>
      <c r="M77" s="2" t="str">
        <v/>
      </c>
      <c r="N77" s="2" t="str">
        <v/>
      </c>
      <c r="O77" s="1" t="str">
        <v>Sin respuesta</v>
      </c>
      <c r="P77" s="1" t="str">
        <v/>
      </c>
      <c r="Q77" s="1" t="str">
        <v/>
      </c>
      <c r="R77" s="1">
        <f t="shared" si="8"/>
        <v>1</v>
      </c>
      <c r="S77" s="1">
        <f t="shared" si="7"/>
        <v>0</v>
      </c>
      <c r="T77" s="1">
        <f t="shared" si="9"/>
        <v>0</v>
      </c>
      <c r="U77" s="1">
        <f t="shared" si="10"/>
        <v>0</v>
      </c>
      <c r="V77" s="1">
        <f t="shared" si="5"/>
        <v>1</v>
      </c>
    </row>
    <row r="78" x14ac:dyDescent="0.25">
      <c r="A78" s="1">
        <v>77</v>
      </c>
      <c r="B78" s="1" t="str">
        <v>Marco Antonio Yaipen Zapata</v>
      </c>
      <c r="C78" s="1" t="str">
        <v>Ministerio Público (Fiscalía)</v>
      </c>
      <c r="D78" s="1" t="str">
        <v>Entrevista de actores clave</v>
      </c>
      <c r="E78" s="1" t="str">
        <v>Funcionarios del Sistema</v>
      </c>
      <c r="F78" s="1" t="str">
        <v>Distrito Judicial: Ucayali</v>
      </c>
      <c r="G78" s="1" t="str">
        <v>IJM</v>
      </c>
      <c r="H78" s="1" t="str">
        <v>Sí</v>
      </c>
      <c r="I78" s="2">
        <v>46147</v>
      </c>
      <c r="J78" s="2" t="str">
        <v/>
      </c>
      <c r="K78" s="2" t="str">
        <v/>
      </c>
      <c r="L78" s="1" t="str">
        <v>Sin respuesta</v>
      </c>
      <c r="M78" s="2" t="str">
        <v/>
      </c>
      <c r="N78" s="2" t="str">
        <v/>
      </c>
      <c r="O78" s="1" t="str">
        <v>Sin respuesta</v>
      </c>
      <c r="P78" s="1" t="str">
        <v/>
      </c>
      <c r="Q78" s="1" t="str">
        <v/>
      </c>
      <c r="R78" s="1">
        <f t="shared" si="8"/>
        <v>1</v>
      </c>
      <c r="S78" s="1">
        <f t="shared" si="7"/>
        <v>0</v>
      </c>
      <c r="T78" s="1">
        <f t="shared" si="9"/>
        <v>0</v>
      </c>
      <c r="U78" s="1">
        <f t="shared" si="10"/>
        <v>0</v>
      </c>
      <c r="V78" s="1">
        <f t="shared" si="5"/>
        <v>1</v>
      </c>
    </row>
    <row r="79" x14ac:dyDescent="0.25">
      <c r="A79" s="1">
        <v>78</v>
      </c>
      <c r="B79" s="1" t="str">
        <v>Gladys Pendola Arviza</v>
      </c>
      <c r="C79" s="1" t="str">
        <v>Ministerio Público (Fiscalía)</v>
      </c>
      <c r="D79" s="1" t="str">
        <v>Entrevista de actores clave</v>
      </c>
      <c r="E79" s="1" t="str">
        <v>Funcionarios del Sistema</v>
      </c>
      <c r="F79" s="1" t="str">
        <v>Distrito Judicial: Ucayali</v>
      </c>
      <c r="G79" s="1" t="str">
        <v>IJM</v>
      </c>
      <c r="H79" s="1" t="str">
        <v>Sí</v>
      </c>
      <c r="I79" s="2">
        <v>46147</v>
      </c>
      <c r="J79" s="2" t="str">
        <v/>
      </c>
      <c r="K79" s="2" t="str">
        <v/>
      </c>
      <c r="L79" s="1" t="str">
        <v>Sin respuesta</v>
      </c>
      <c r="M79" s="2" t="str">
        <v/>
      </c>
      <c r="N79" s="2" t="str">
        <v/>
      </c>
      <c r="O79" s="1" t="str">
        <v>Sin respuesta</v>
      </c>
      <c r="P79" s="1" t="str">
        <v/>
      </c>
      <c r="Q79" s="1" t="str">
        <v/>
      </c>
      <c r="R79" s="1">
        <f t="shared" si="8"/>
        <v>1</v>
      </c>
      <c r="S79" s="1">
        <f t="shared" si="7"/>
        <v>0</v>
      </c>
      <c r="T79" s="1">
        <f t="shared" si="9"/>
        <v>0</v>
      </c>
      <c r="U79" s="1">
        <f t="shared" si="10"/>
        <v>0</v>
      </c>
      <c r="V79" s="1">
        <f t="shared" si="5"/>
        <v>1</v>
      </c>
    </row>
    <row r="80" x14ac:dyDescent="0.25">
      <c r="A80" s="1">
        <v>79</v>
      </c>
      <c r="B80" s="1" t="str">
        <v>Fritz Elias Espinoza</v>
      </c>
      <c r="C80" s="1" t="str">
        <v>Ministerio Público (Fiscalía)</v>
      </c>
      <c r="D80" s="1" t="str">
        <v>Entrevista de actores clave</v>
      </c>
      <c r="E80" s="1" t="str">
        <v>Funcionarios del Sistema</v>
      </c>
      <c r="F80" s="1" t="str">
        <v>Distrito Judicial: Puente Piedra-Ventanilla</v>
      </c>
      <c r="G80" s="1" t="str">
        <v>IJM</v>
      </c>
      <c r="H80" s="1" t="str">
        <v>Sí</v>
      </c>
      <c r="I80" s="2">
        <v>46147</v>
      </c>
      <c r="J80" s="2" t="str">
        <v/>
      </c>
      <c r="K80" s="2" t="str">
        <v/>
      </c>
      <c r="L80" s="1" t="str">
        <v>Sin respuesta</v>
      </c>
      <c r="M80" s="2" t="str">
        <v/>
      </c>
      <c r="N80" s="2" t="str">
        <v/>
      </c>
      <c r="O80" s="1" t="str">
        <v>Sin respuesta</v>
      </c>
      <c r="P80" s="1" t="str">
        <v/>
      </c>
      <c r="Q80" s="1" t="str">
        <v/>
      </c>
      <c r="R80" s="1">
        <f t="shared" si="8"/>
        <v>1</v>
      </c>
      <c r="S80" s="1">
        <f t="shared" si="7"/>
        <v>0</v>
      </c>
      <c r="T80" s="1">
        <f t="shared" si="9"/>
        <v>0</v>
      </c>
      <c r="U80" s="1">
        <f t="shared" si="10"/>
        <v>0</v>
      </c>
      <c r="V80" s="1">
        <f t="shared" si="5"/>
        <v>1</v>
      </c>
    </row>
    <row r="81" x14ac:dyDescent="0.25">
      <c r="A81" s="1">
        <v>80</v>
      </c>
      <c r="B81" s="1" t="str">
        <v>Raúl Solórzano Cosar</v>
      </c>
      <c r="C81" s="1" t="str">
        <v>Ministerio Público (Fiscalía)</v>
      </c>
      <c r="D81" s="1" t="str">
        <v>Entrevista de actores clave</v>
      </c>
      <c r="E81" s="1" t="str">
        <v>Funcionarios del Sistema</v>
      </c>
      <c r="F81" s="1" t="str">
        <v>Distrito Judicial: Puente Piedra-Ventanilla</v>
      </c>
      <c r="G81" s="1" t="str">
        <v>IJM</v>
      </c>
      <c r="H81" s="1" t="str">
        <v>No</v>
      </c>
      <c r="I81" s="2" t="str">
        <v/>
      </c>
      <c r="J81" s="2" t="str">
        <v/>
      </c>
      <c r="K81" s="2" t="str">
        <v/>
      </c>
      <c r="L81" s="1" t="str">
        <v/>
      </c>
      <c r="M81" s="2" t="str">
        <v/>
      </c>
      <c r="N81" s="2" t="str">
        <v/>
      </c>
      <c r="O81" s="1" t="str">
        <v/>
      </c>
      <c r="P81" s="1" t="str">
        <v/>
      </c>
      <c r="Q81" s="1" t="str">
        <v/>
      </c>
      <c r="R81" s="1">
        <f t="shared" si="8"/>
        <v>0</v>
      </c>
      <c r="S81" s="1">
        <f t="shared" si="7"/>
        <v>0</v>
      </c>
      <c r="T81" s="1">
        <f t="shared" si="9"/>
        <v>0</v>
      </c>
      <c r="U81" s="1">
        <f t="shared" si="10"/>
        <v>0</v>
      </c>
      <c r="V81" s="1">
        <f t="shared" si="5"/>
        <v>0</v>
      </c>
    </row>
    <row r="82" x14ac:dyDescent="0.25">
      <c r="A82" s="1">
        <v>81</v>
      </c>
      <c r="B82" s="1" t="str">
        <v>Marco Leopoldo De La Cruz Espejo</v>
      </c>
      <c r="C82" s="1" t="str">
        <v>Ministerio Público (Fiscalía)</v>
      </c>
      <c r="D82" s="1" t="str">
        <v>Entrevista de actores clave</v>
      </c>
      <c r="E82" s="1" t="str">
        <v>Funcionarios del Sistema</v>
      </c>
      <c r="F82" s="1" t="str">
        <v>Distrito Judicial: Puente Piedra-Ventanilla</v>
      </c>
      <c r="G82" s="1" t="str">
        <v>IJM</v>
      </c>
      <c r="H82" s="1" t="str">
        <v>No</v>
      </c>
      <c r="I82" s="2" t="str">
        <v/>
      </c>
      <c r="J82" s="2" t="str">
        <v/>
      </c>
      <c r="K82" s="2" t="str">
        <v/>
      </c>
      <c r="L82" s="1" t="str">
        <v/>
      </c>
      <c r="M82" s="2" t="str">
        <v/>
      </c>
      <c r="N82" s="2" t="str">
        <v/>
      </c>
      <c r="O82" s="1" t="str">
        <v/>
      </c>
      <c r="P82" s="1" t="str">
        <v/>
      </c>
      <c r="Q82" s="1" t="str">
        <v/>
      </c>
      <c r="R82" s="1">
        <f t="shared" si="8"/>
        <v>0</v>
      </c>
      <c r="S82" s="1">
        <f t="shared" si="7"/>
        <v>0</v>
      </c>
      <c r="T82" s="1">
        <f t="shared" si="9"/>
        <v>0</v>
      </c>
      <c r="U82" s="1">
        <f t="shared" si="10"/>
        <v>0</v>
      </c>
      <c r="V82" s="1">
        <f t="shared" si="5"/>
        <v>0</v>
      </c>
    </row>
    <row r="83" x14ac:dyDescent="0.25">
      <c r="A83" s="1">
        <v>82</v>
      </c>
      <c r="B83" s="1" t="str">
        <v>Cristian Araujo Morales</v>
      </c>
      <c r="C83" s="1" t="str">
        <v>Ministerio Público (Fiscalía)</v>
      </c>
      <c r="D83" s="1" t="str">
        <v>Entrevista de actores clave</v>
      </c>
      <c r="E83" s="1" t="str">
        <v>Funcionarios del Sistema</v>
      </c>
      <c r="F83" s="1" t="str">
        <v>Distrito Judicial: Ayacucho</v>
      </c>
      <c r="G83" s="1" t="str">
        <v>IJM</v>
      </c>
      <c r="H83" s="1" t="str">
        <v>Sí</v>
      </c>
      <c r="I83" s="2">
        <v>46107</v>
      </c>
      <c r="J83" s="2">
        <v>46147</v>
      </c>
      <c r="K83" s="2" t="str">
        <v/>
      </c>
      <c r="L83" s="1" t="str">
        <v>Sin respuesta</v>
      </c>
      <c r="M83" s="2" t="str">
        <v/>
      </c>
      <c r="N83" s="2" t="str">
        <v/>
      </c>
      <c r="O83" s="1" t="str">
        <v>Sin respuesta</v>
      </c>
      <c r="P83" s="1" t="str">
        <v/>
      </c>
      <c r="Q83" s="1" t="str">
        <v/>
      </c>
      <c r="R83" s="1">
        <f t="shared" si="8"/>
        <v>1</v>
      </c>
      <c r="S83" s="1">
        <f t="shared" si="7"/>
        <v>0</v>
      </c>
      <c r="T83" s="1">
        <f t="shared" si="9"/>
        <v>0</v>
      </c>
      <c r="U83" s="1">
        <f t="shared" si="10"/>
        <v>0</v>
      </c>
      <c r="V83" s="1">
        <f t="shared" si="5"/>
        <v>1</v>
      </c>
    </row>
    <row r="84" x14ac:dyDescent="0.25">
      <c r="A84" s="1">
        <v>83</v>
      </c>
      <c r="B84" s="1" t="str">
        <v>Luis Antonio Tejada Llerena</v>
      </c>
      <c r="C84" s="1" t="str">
        <v>Ministerio Público (Fiscalía)</v>
      </c>
      <c r="D84" s="1" t="str">
        <v>Entrevista de actores clave</v>
      </c>
      <c r="E84" s="1" t="str">
        <v>Funcionarios del Sistema</v>
      </c>
      <c r="F84" s="1" t="str">
        <v>Distrito Judicial: Ayacucho</v>
      </c>
      <c r="G84" s="1" t="str">
        <v>IJM</v>
      </c>
      <c r="H84" s="1" t="str">
        <v>Sí</v>
      </c>
      <c r="I84" s="2">
        <v>46147</v>
      </c>
      <c r="J84" s="2" t="str">
        <v/>
      </c>
      <c r="K84" s="2" t="str">
        <v/>
      </c>
      <c r="L84" s="1" t="str">
        <v>Sin respuesta</v>
      </c>
      <c r="M84" s="2" t="str">
        <v/>
      </c>
      <c r="N84" s="2" t="str">
        <v/>
      </c>
      <c r="O84" s="1" t="str">
        <v>Sin respuesta</v>
      </c>
      <c r="P84" s="1" t="str">
        <v/>
      </c>
      <c r="Q84" s="1" t="str">
        <v/>
      </c>
      <c r="R84" s="1">
        <f t="shared" si="8"/>
        <v>1</v>
      </c>
      <c r="S84" s="1">
        <f t="shared" si="7"/>
        <v>0</v>
      </c>
      <c r="T84" s="1">
        <f t="shared" si="9"/>
        <v>0</v>
      </c>
      <c r="U84" s="1">
        <f t="shared" si="10"/>
        <v>0</v>
      </c>
      <c r="V84" s="1">
        <f t="shared" si="5"/>
        <v>1</v>
      </c>
    </row>
    <row r="85" x14ac:dyDescent="0.25">
      <c r="A85" s="1">
        <v>84</v>
      </c>
      <c r="B85" s="1" t="str">
        <v>Miguel Angel Villalobos Caballero</v>
      </c>
      <c r="C85" s="1" t="str">
        <v>Ministerio Público (Fiscalía)</v>
      </c>
      <c r="D85" s="1" t="str">
        <v>Entrevista de actores clave</v>
      </c>
      <c r="E85" s="1" t="str">
        <v>Funcionarios del Sistema</v>
      </c>
      <c r="F85" s="1" t="str">
        <v>Distrito Judicial: Lima Norte</v>
      </c>
      <c r="G85" s="1" t="str">
        <v>IJM</v>
      </c>
      <c r="H85" s="1" t="str">
        <v>Sí</v>
      </c>
      <c r="I85" s="2">
        <v>46147</v>
      </c>
      <c r="J85" s="2" t="str">
        <v/>
      </c>
      <c r="K85" s="2" t="str">
        <v/>
      </c>
      <c r="L85" s="1" t="str">
        <v>Sin respuesta</v>
      </c>
      <c r="M85" s="2" t="str">
        <v/>
      </c>
      <c r="N85" s="2" t="str">
        <v/>
      </c>
      <c r="O85" s="1" t="str">
        <v>Sin respuesta</v>
      </c>
      <c r="P85" s="1" t="str">
        <v/>
      </c>
      <c r="Q85" s="1" t="str">
        <v/>
      </c>
      <c r="R85" s="1">
        <f t="shared" si="8"/>
        <v>1</v>
      </c>
      <c r="S85" s="1">
        <f t="shared" si="7"/>
        <v>0</v>
      </c>
      <c r="T85" s="1">
        <f t="shared" si="9"/>
        <v>0</v>
      </c>
      <c r="U85" s="1">
        <f t="shared" si="10"/>
        <v>0</v>
      </c>
      <c r="V85" s="1">
        <f t="shared" si="5"/>
        <v>1</v>
      </c>
    </row>
    <row r="86" x14ac:dyDescent="0.25">
      <c r="A86" s="1">
        <v>85</v>
      </c>
      <c r="B86" s="1" t="str">
        <v>Lilian Rueda Curimanea </v>
      </c>
      <c r="C86" s="1" t="str">
        <v>Ministerio Público (Fiscalía)</v>
      </c>
      <c r="D86" s="1" t="str">
        <v>Entrevista de actores clave</v>
      </c>
      <c r="E86" s="1" t="str">
        <v>Funcionarios del Sistema</v>
      </c>
      <c r="F86" s="1" t="str">
        <v>Distrito Judicial: Cajamarca</v>
      </c>
      <c r="G86" s="1" t="str">
        <v>IJM</v>
      </c>
      <c r="H86" s="1" t="str">
        <v>Sí</v>
      </c>
      <c r="I86" s="2">
        <v>46107</v>
      </c>
      <c r="J86" s="2" t="str">
        <v/>
      </c>
      <c r="K86" s="2" t="str">
        <v/>
      </c>
      <c r="L86" s="1" t="str">
        <v>Sin respuesta</v>
      </c>
      <c r="M86" s="2" t="str">
        <v/>
      </c>
      <c r="N86" s="2" t="str">
        <v/>
      </c>
      <c r="O86" s="1" t="str">
        <v>Sin respuesta</v>
      </c>
      <c r="P86" s="1" t="str">
        <v/>
      </c>
      <c r="Q86" s="1" t="str">
        <v/>
      </c>
      <c r="R86" s="1">
        <f t="shared" si="8"/>
        <v>1</v>
      </c>
      <c r="S86" s="1">
        <f t="shared" si="7"/>
        <v>0</v>
      </c>
      <c r="T86" s="1">
        <f t="shared" si="9"/>
        <v>0</v>
      </c>
      <c r="U86" s="1">
        <f t="shared" si="10"/>
        <v>0</v>
      </c>
      <c r="V86" s="1">
        <f t="shared" si="5"/>
        <v>1</v>
      </c>
    </row>
    <row r="87" x14ac:dyDescent="0.25">
      <c r="A87" s="1">
        <v>86</v>
      </c>
      <c r="B87" s="1" t="str">
        <v>Jorge Fernandez Mavila</v>
      </c>
      <c r="C87" s="1" t="str">
        <v>Ministerio Público (Fiscalía)</v>
      </c>
      <c r="D87" s="1" t="str">
        <v>Entrevista de actores clave</v>
      </c>
      <c r="E87" s="1" t="str">
        <v>Funcionarios del Sistema</v>
      </c>
      <c r="F87" s="1" t="str">
        <v>Distrito Judicial: Cajamarca</v>
      </c>
      <c r="G87" s="1" t="str">
        <v>IJM</v>
      </c>
      <c r="H87" s="1" t="str">
        <v>Sí</v>
      </c>
      <c r="I87" s="2">
        <v>46107</v>
      </c>
      <c r="J87" s="2" t="str">
        <v/>
      </c>
      <c r="K87" s="2" t="str">
        <v/>
      </c>
      <c r="L87" s="1" t="str">
        <v>Sin respuesta</v>
      </c>
      <c r="M87" s="2" t="str">
        <v/>
      </c>
      <c r="N87" s="2" t="str">
        <v/>
      </c>
      <c r="O87" s="1" t="str">
        <v>Sin respuesta</v>
      </c>
      <c r="P87" s="1" t="str">
        <v/>
      </c>
      <c r="Q87" s="1" t="str">
        <v/>
      </c>
      <c r="R87" s="1">
        <f t="shared" si="8"/>
        <v>1</v>
      </c>
      <c r="S87" s="1">
        <f t="shared" si="7"/>
        <v>0</v>
      </c>
      <c r="T87" s="1">
        <f t="shared" si="9"/>
        <v>0</v>
      </c>
      <c r="U87" s="1">
        <f t="shared" si="10"/>
        <v>0</v>
      </c>
      <c r="V87" s="1">
        <f t="shared" ref="V87:V150" si="11">IF(L87="Sin respuesta",1,0)</f>
        <v>1</v>
      </c>
    </row>
    <row r="88" x14ac:dyDescent="0.25">
      <c r="A88" s="1">
        <v>87</v>
      </c>
      <c r="B88" s="1" t="str">
        <v>Armando Molero Pimienta</v>
      </c>
      <c r="C88" s="1" t="str">
        <v>Ministerio Público (Fiscalía)</v>
      </c>
      <c r="D88" s="1" t="str">
        <v>Entrevista de actores clave</v>
      </c>
      <c r="E88" s="1" t="str">
        <v>Funcionarios del Sistema</v>
      </c>
      <c r="F88" s="1" t="str">
        <v>Distrito Judicial: Loreto</v>
      </c>
      <c r="G88" s="1" t="str">
        <v>IJM</v>
      </c>
      <c r="H88" s="1" t="str">
        <v>No</v>
      </c>
      <c r="I88" s="2" t="str">
        <v/>
      </c>
      <c r="J88" s="2" t="str">
        <v/>
      </c>
      <c r="K88" s="2" t="str">
        <v/>
      </c>
      <c r="L88" s="1" t="str">
        <v/>
      </c>
      <c r="M88" s="2" t="str">
        <v/>
      </c>
      <c r="N88" s="2" t="str">
        <v/>
      </c>
      <c r="O88" s="1" t="str">
        <v/>
      </c>
      <c r="P88" s="1" t="str">
        <v/>
      </c>
      <c r="Q88" s="1" t="str">
        <v/>
      </c>
      <c r="R88" s="1">
        <f t="shared" si="8"/>
        <v>0</v>
      </c>
      <c r="S88" s="1">
        <f t="shared" si="7"/>
        <v>0</v>
      </c>
      <c r="T88" s="1">
        <f t="shared" si="9"/>
        <v>0</v>
      </c>
      <c r="U88" s="1">
        <f t="shared" si="10"/>
        <v>0</v>
      </c>
      <c r="V88" s="1">
        <f t="shared" si="11"/>
        <v>0</v>
      </c>
    </row>
    <row r="89" x14ac:dyDescent="0.25">
      <c r="A89" s="1">
        <v>88</v>
      </c>
      <c r="B89" s="1" t="str">
        <v>Rodolfo Huaman Flores</v>
      </c>
      <c r="C89" s="1" t="str">
        <v>Ministerio Público (Fiscalía)</v>
      </c>
      <c r="D89" s="1" t="str">
        <v>Entrevista de actores clave</v>
      </c>
      <c r="E89" s="1" t="str">
        <v>Funcionarios del Sistema</v>
      </c>
      <c r="F89" s="1" t="str">
        <v>Distrito Judicial: Apurímac</v>
      </c>
      <c r="G89" s="1" t="str">
        <v>IJM</v>
      </c>
      <c r="H89" s="1" t="str">
        <v>Sí</v>
      </c>
      <c r="I89" s="2">
        <v>46107</v>
      </c>
      <c r="J89" s="2" t="str">
        <v/>
      </c>
      <c r="K89" s="2" t="str">
        <v/>
      </c>
      <c r="L89" s="1" t="str">
        <v>Realizada completa</v>
      </c>
      <c r="M89" s="2">
        <v>46113</v>
      </c>
      <c r="N89" s="2">
        <v>46113</v>
      </c>
      <c r="O89" s="1" t="str">
        <v>Realizada completa</v>
      </c>
      <c r="P89" s="1">
        <v>42</v>
      </c>
      <c r="Q89" s="1" t="str">
        <v>A distancia asistido</v>
      </c>
      <c r="R89" s="1">
        <f t="shared" si="8"/>
        <v>1</v>
      </c>
      <c r="S89" s="1">
        <f t="shared" si="7"/>
        <v>0</v>
      </c>
      <c r="T89" s="1">
        <f t="shared" si="9"/>
        <v>0</v>
      </c>
      <c r="U89" s="1">
        <f t="shared" si="10"/>
        <v>1</v>
      </c>
      <c r="V89" s="1">
        <f t="shared" si="11"/>
        <v>0</v>
      </c>
    </row>
    <row r="90" x14ac:dyDescent="0.25">
      <c r="A90" s="1">
        <v>89</v>
      </c>
      <c r="B90" s="1" t="str">
        <v>John Henrry Martel Trujillo</v>
      </c>
      <c r="C90" s="1" t="str">
        <v>Ministerio Público (Fiscalía)</v>
      </c>
      <c r="D90" s="1" t="str">
        <v>Entrevista de actores clave</v>
      </c>
      <c r="E90" s="1" t="str">
        <v>Funcionarios del Sistema</v>
      </c>
      <c r="F90" s="1" t="str">
        <v>Distrito Judicial: Loreto</v>
      </c>
      <c r="G90" s="1" t="str">
        <v>IJM</v>
      </c>
      <c r="H90" s="1" t="str">
        <v>No</v>
      </c>
      <c r="I90" s="2" t="str">
        <v/>
      </c>
      <c r="J90" s="2" t="str">
        <v/>
      </c>
      <c r="K90" s="2" t="str">
        <v/>
      </c>
      <c r="L90" s="1" t="str">
        <v/>
      </c>
      <c r="M90" s="2" t="str">
        <v/>
      </c>
      <c r="N90" s="2" t="str">
        <v/>
      </c>
      <c r="O90" s="1" t="str">
        <v/>
      </c>
      <c r="P90" s="1" t="str">
        <v/>
      </c>
      <c r="Q90" s="1" t="str">
        <v/>
      </c>
      <c r="R90" s="1">
        <f t="shared" si="8"/>
        <v>0</v>
      </c>
      <c r="S90" s="1">
        <f t="shared" si="7"/>
        <v>0</v>
      </c>
      <c r="T90" s="1">
        <f t="shared" si="9"/>
        <v>0</v>
      </c>
      <c r="U90" s="1">
        <f t="shared" si="10"/>
        <v>0</v>
      </c>
      <c r="V90" s="1">
        <f t="shared" si="11"/>
        <v>0</v>
      </c>
    </row>
    <row r="91" x14ac:dyDescent="0.25">
      <c r="A91" s="1">
        <v>90</v>
      </c>
      <c r="B91" s="1" t="str">
        <v>Mariano Rodolfo Valdivia Valdarrago</v>
      </c>
      <c r="C91" s="1" t="str">
        <v>Ministerio Público (Fiscalía)</v>
      </c>
      <c r="D91" s="1" t="str">
        <v>Entrevista de actores clave</v>
      </c>
      <c r="E91" s="1" t="str">
        <v>Funcionarios del Sistema</v>
      </c>
      <c r="F91" s="1" t="str">
        <v>Nacional</v>
      </c>
      <c r="G91" s="1" t="str">
        <v>IJM</v>
      </c>
      <c r="H91" s="1" t="str">
        <v>No</v>
      </c>
      <c r="I91" s="2" t="str">
        <v/>
      </c>
      <c r="J91" s="2" t="str">
        <v/>
      </c>
      <c r="K91" s="2" t="str">
        <v/>
      </c>
      <c r="L91" s="1" t="str">
        <v/>
      </c>
      <c r="M91" s="2" t="str">
        <v/>
      </c>
      <c r="N91" s="2" t="str">
        <v/>
      </c>
      <c r="O91" s="1" t="str">
        <v/>
      </c>
      <c r="P91" s="1" t="str">
        <v/>
      </c>
      <c r="Q91" s="1" t="str">
        <v/>
      </c>
      <c r="R91" s="1">
        <f t="shared" si="8"/>
        <v>0</v>
      </c>
      <c r="S91" s="1">
        <f t="shared" si="7"/>
        <v>0</v>
      </c>
      <c r="T91" s="1">
        <f t="shared" si="9"/>
        <v>0</v>
      </c>
      <c r="U91" s="1">
        <f t="shared" si="10"/>
        <v>0</v>
      </c>
      <c r="V91" s="1">
        <f t="shared" si="11"/>
        <v>0</v>
      </c>
    </row>
    <row r="92" x14ac:dyDescent="0.25">
      <c r="A92" s="1">
        <v>91</v>
      </c>
      <c r="B92" s="1" t="str">
        <v>Rodolfo Vega Billan</v>
      </c>
      <c r="C92" s="1" t="str">
        <v>Ministerio Público (Fiscalía)</v>
      </c>
      <c r="D92" s="1" t="str">
        <v>Entrevista de actores clave</v>
      </c>
      <c r="E92" s="1" t="str">
        <v>Funcionarios del Sistema</v>
      </c>
      <c r="F92" s="1" t="str">
        <v>Distrito Judicial: Cajamarca</v>
      </c>
      <c r="G92" s="1" t="str">
        <v>IJM</v>
      </c>
      <c r="H92" s="1" t="str">
        <v>No</v>
      </c>
      <c r="I92" s="2" t="str">
        <v/>
      </c>
      <c r="J92" s="2" t="str">
        <v/>
      </c>
      <c r="K92" s="2" t="str">
        <v/>
      </c>
      <c r="L92" s="1" t="str">
        <v/>
      </c>
      <c r="M92" s="2" t="str">
        <v/>
      </c>
      <c r="N92" s="2" t="str">
        <v/>
      </c>
      <c r="O92" s="1" t="str">
        <v/>
      </c>
      <c r="P92" s="1" t="str">
        <v/>
      </c>
      <c r="Q92" s="1" t="str">
        <v/>
      </c>
      <c r="R92" s="1">
        <f t="shared" si="8"/>
        <v>0</v>
      </c>
      <c r="S92" s="1">
        <f t="shared" si="7"/>
        <v>0</v>
      </c>
      <c r="T92" s="1">
        <f t="shared" si="9"/>
        <v>0</v>
      </c>
      <c r="U92" s="1">
        <f t="shared" si="10"/>
        <v>0</v>
      </c>
      <c r="V92" s="1">
        <f t="shared" si="11"/>
        <v>0</v>
      </c>
    </row>
    <row r="93" x14ac:dyDescent="0.25">
      <c r="A93" s="1">
        <v>92</v>
      </c>
      <c r="B93" s="1" t="str">
        <v>Fanny Elizabeth Suarez Coaguila</v>
      </c>
      <c r="C93" s="1" t="str">
        <v>Ministerio Público (Fiscalía)</v>
      </c>
      <c r="D93" s="1" t="str">
        <v>Entrevista de actores clave</v>
      </c>
      <c r="E93" s="1" t="str">
        <v>Funcionarios del Sistema</v>
      </c>
      <c r="F93" s="1" t="str">
        <v>Nacional</v>
      </c>
      <c r="G93" s="1" t="str">
        <v>IJM</v>
      </c>
      <c r="H93" s="1" t="str">
        <v>Sí</v>
      </c>
      <c r="I93" s="2">
        <v>46107</v>
      </c>
      <c r="J93" s="2" t="str">
        <v/>
      </c>
      <c r="K93" s="2" t="str">
        <v/>
      </c>
      <c r="L93" s="1" t="str">
        <v>Sin respuesta</v>
      </c>
      <c r="M93" s="2" t="str">
        <v/>
      </c>
      <c r="N93" s="2" t="str">
        <v/>
      </c>
      <c r="O93" s="1" t="str">
        <v>Sin respuesta</v>
      </c>
      <c r="P93" s="1" t="str">
        <v/>
      </c>
      <c r="Q93" s="1" t="str">
        <v/>
      </c>
      <c r="R93" s="1">
        <f t="shared" si="8"/>
        <v>1</v>
      </c>
      <c r="S93" s="1">
        <f t="shared" si="7"/>
        <v>0</v>
      </c>
      <c r="T93" s="1">
        <f t="shared" si="9"/>
        <v>0</v>
      </c>
      <c r="U93" s="1">
        <f t="shared" si="10"/>
        <v>0</v>
      </c>
      <c r="V93" s="1">
        <f t="shared" si="11"/>
        <v>1</v>
      </c>
    </row>
    <row r="94" x14ac:dyDescent="0.25">
      <c r="A94" s="1">
        <v>93</v>
      </c>
      <c r="B94" s="1" t="str">
        <v>Cesar Manuel Calderón Moreno</v>
      </c>
      <c r="C94" s="1" t="str">
        <v>Ministerio Público (Fiscalía)</v>
      </c>
      <c r="D94" s="1" t="str">
        <v>Entrevista de actores clave</v>
      </c>
      <c r="E94" s="1" t="str">
        <v>Funcionarios del Sistema</v>
      </c>
      <c r="F94" s="1" t="str">
        <v>Distrito Judicial: Cajamarca</v>
      </c>
      <c r="G94" s="1" t="str">
        <v>IJM</v>
      </c>
      <c r="H94" s="1" t="str">
        <v>Sí</v>
      </c>
      <c r="I94" s="2">
        <v>46107</v>
      </c>
      <c r="J94" s="2" t="str">
        <v/>
      </c>
      <c r="K94" s="2" t="str">
        <v/>
      </c>
      <c r="L94" s="1" t="str">
        <v>Sin respuesta</v>
      </c>
      <c r="M94" s="2" t="str">
        <v/>
      </c>
      <c r="N94" s="2" t="str">
        <v/>
      </c>
      <c r="O94" s="1" t="str">
        <v>Sin respuesta</v>
      </c>
      <c r="P94" s="1" t="str">
        <v/>
      </c>
      <c r="Q94" s="1" t="str">
        <v/>
      </c>
      <c r="R94" s="1">
        <f t="shared" si="8"/>
        <v>1</v>
      </c>
      <c r="S94" s="1">
        <f t="shared" si="7"/>
        <v>0</v>
      </c>
      <c r="T94" s="1">
        <f t="shared" si="9"/>
        <v>0</v>
      </c>
      <c r="U94" s="1">
        <f t="shared" si="10"/>
        <v>0</v>
      </c>
      <c r="V94" s="1">
        <f t="shared" si="11"/>
        <v>1</v>
      </c>
    </row>
    <row r="95" x14ac:dyDescent="0.25">
      <c r="A95" s="1">
        <v>94</v>
      </c>
      <c r="B95" s="1" t="str">
        <v>Liz Ivone Torres Díaz</v>
      </c>
      <c r="C95" s="1" t="str">
        <v>Ministerio Público (Fiscalía)</v>
      </c>
      <c r="D95" s="1" t="str">
        <v>Entrevista de actores clave</v>
      </c>
      <c r="E95" s="1" t="str">
        <v>Funcionarios del Sistema</v>
      </c>
      <c r="F95" s="1" t="str">
        <v>Distrito Judicial: Ucayali</v>
      </c>
      <c r="G95" s="1" t="str">
        <v>IJM</v>
      </c>
      <c r="H95" s="1" t="str">
        <v>No</v>
      </c>
      <c r="I95" s="2" t="str">
        <v/>
      </c>
      <c r="J95" s="2" t="str">
        <v/>
      </c>
      <c r="K95" s="2" t="str">
        <v/>
      </c>
      <c r="L95" s="1" t="str">
        <v/>
      </c>
      <c r="M95" s="2" t="str">
        <v/>
      </c>
      <c r="N95" s="2" t="str">
        <v/>
      </c>
      <c r="O95" s="1" t="str">
        <v/>
      </c>
      <c r="P95" s="1" t="str">
        <v/>
      </c>
      <c r="Q95" s="1" t="str">
        <v/>
      </c>
      <c r="R95" s="1">
        <f t="shared" si="8"/>
        <v>0</v>
      </c>
      <c r="S95" s="1">
        <f t="shared" si="7"/>
        <v>0</v>
      </c>
      <c r="T95" s="1">
        <f t="shared" si="9"/>
        <v>0</v>
      </c>
      <c r="U95" s="1">
        <f t="shared" si="10"/>
        <v>0</v>
      </c>
      <c r="V95" s="1">
        <f t="shared" si="11"/>
        <v>0</v>
      </c>
    </row>
    <row r="96" x14ac:dyDescent="0.25">
      <c r="A96" s="1">
        <v>95</v>
      </c>
      <c r="B96" s="1" t="str">
        <v>Abilio Escobar Quispe</v>
      </c>
      <c r="C96" s="1" t="str">
        <v>Ministerio Público (Fiscalía)</v>
      </c>
      <c r="D96" s="1" t="str">
        <v>Entrevista de actores clave</v>
      </c>
      <c r="E96" s="1" t="str">
        <v>Funcionarios del Sistema</v>
      </c>
      <c r="F96" s="1" t="str">
        <v>Nacional</v>
      </c>
      <c r="G96" s="1" t="str">
        <v>IJM</v>
      </c>
      <c r="H96" s="1" t="str">
        <v>Sí</v>
      </c>
      <c r="I96" s="2">
        <v>46107</v>
      </c>
      <c r="J96" s="2" t="str">
        <v/>
      </c>
      <c r="K96" s="2" t="str">
        <v/>
      </c>
      <c r="L96" s="1" t="str">
        <v>Sin respuesta</v>
      </c>
      <c r="M96" s="2" t="str">
        <v/>
      </c>
      <c r="N96" s="2" t="str">
        <v/>
      </c>
      <c r="O96" s="1" t="str">
        <v>Sin respuesta</v>
      </c>
      <c r="P96" s="1" t="str">
        <v/>
      </c>
      <c r="Q96" s="1" t="str">
        <v/>
      </c>
      <c r="R96" s="1">
        <f t="shared" si="8"/>
        <v>1</v>
      </c>
      <c r="S96" s="1">
        <f t="shared" si="7"/>
        <v>0</v>
      </c>
      <c r="T96" s="1">
        <f t="shared" si="9"/>
        <v>0</v>
      </c>
      <c r="U96" s="1">
        <f t="shared" si="10"/>
        <v>0</v>
      </c>
      <c r="V96" s="1">
        <f t="shared" si="11"/>
        <v>1</v>
      </c>
    </row>
    <row r="97" x14ac:dyDescent="0.25">
      <c r="A97" s="1">
        <v>96</v>
      </c>
      <c r="B97" s="1" t="str">
        <v>Diana Suquilanda Zavalaga</v>
      </c>
      <c r="C97" s="1" t="str">
        <v>Ministerio Público (Fiscalía)</v>
      </c>
      <c r="D97" s="1" t="str">
        <v>Entrevista de actores clave</v>
      </c>
      <c r="E97" s="1" t="str">
        <v>Funcionarios del Sistema</v>
      </c>
      <c r="F97" s="1" t="str">
        <v>Distrito Judicial: Puente Piedra-Ventanilla</v>
      </c>
      <c r="G97" s="1" t="str">
        <v>IJM</v>
      </c>
      <c r="H97" s="1" t="str">
        <v>No</v>
      </c>
      <c r="I97" s="2">
        <v>46101</v>
      </c>
      <c r="J97" s="2" t="str">
        <v/>
      </c>
      <c r="K97" s="2" t="str">
        <v/>
      </c>
      <c r="L97" s="1" t="str">
        <v/>
      </c>
      <c r="M97" s="2" t="str">
        <v/>
      </c>
      <c r="N97" s="2" t="str">
        <v/>
      </c>
      <c r="O97" s="1" t="str">
        <v/>
      </c>
      <c r="P97" s="1" t="str">
        <v/>
      </c>
      <c r="Q97" s="1" t="str">
        <v/>
      </c>
      <c r="R97" s="1">
        <f t="shared" si="8"/>
        <v>0</v>
      </c>
      <c r="S97" s="1">
        <f t="shared" si="7"/>
        <v>0</v>
      </c>
      <c r="T97" s="1">
        <f t="shared" si="9"/>
        <v>0</v>
      </c>
      <c r="U97" s="1">
        <f t="shared" si="10"/>
        <v>0</v>
      </c>
      <c r="V97" s="1">
        <f t="shared" si="11"/>
        <v>0</v>
      </c>
    </row>
    <row r="98" x14ac:dyDescent="0.25">
      <c r="A98" s="1">
        <v>97</v>
      </c>
      <c r="B98" s="1" t="str">
        <v>Luis Alberto Garcia Santos</v>
      </c>
      <c r="C98" s="1" t="str">
        <v>Ministerio Público (Fiscalía)</v>
      </c>
      <c r="D98" s="1" t="str">
        <v>Entrevista de actores clave</v>
      </c>
      <c r="E98" s="1" t="str">
        <v>Funcionarios del Sistema</v>
      </c>
      <c r="F98" s="1" t="str">
        <v>Distrito Judicial: Lima Norte</v>
      </c>
      <c r="G98" s="1" t="str">
        <v>IJM</v>
      </c>
      <c r="H98" s="1" t="str">
        <v>Sí</v>
      </c>
      <c r="I98" s="2">
        <v>46107</v>
      </c>
      <c r="J98" s="2" t="str">
        <v/>
      </c>
      <c r="K98" s="2" t="str">
        <v/>
      </c>
      <c r="L98" s="1" t="str">
        <v>Sin respuesta</v>
      </c>
      <c r="M98" s="2" t="str">
        <v/>
      </c>
      <c r="N98" s="2" t="str">
        <v/>
      </c>
      <c r="O98" s="1" t="str">
        <v>Sin respuesta</v>
      </c>
      <c r="P98" s="1" t="str">
        <v/>
      </c>
      <c r="Q98" s="1" t="str">
        <v/>
      </c>
      <c r="R98" s="1">
        <f t="shared" si="8"/>
        <v>1</v>
      </c>
      <c r="S98" s="1">
        <f t="shared" si="7"/>
        <v>0</v>
      </c>
      <c r="T98" s="1">
        <f t="shared" si="9"/>
        <v>0</v>
      </c>
      <c r="U98" s="1">
        <f t="shared" si="10"/>
        <v>0</v>
      </c>
      <c r="V98" s="1">
        <f t="shared" si="11"/>
        <v>1</v>
      </c>
    </row>
    <row r="99" x14ac:dyDescent="0.25">
      <c r="A99" s="1">
        <v>98</v>
      </c>
      <c r="B99" s="1" t="str">
        <v>Henry Rómulo Lahud Ordóñez</v>
      </c>
      <c r="C99" s="1" t="str">
        <v>Ministerio Público (Fiscalía)</v>
      </c>
      <c r="D99" s="1" t="str">
        <v>Entrevista de actores clave</v>
      </c>
      <c r="E99" s="1" t="str">
        <v>Funcionarios del Sistema</v>
      </c>
      <c r="F99" s="1" t="str">
        <v>Distrito Judicial: Lima Norte</v>
      </c>
      <c r="G99" s="1" t="str">
        <v>IJM</v>
      </c>
      <c r="H99" s="1" t="str">
        <v>No</v>
      </c>
      <c r="I99" s="2" t="str">
        <v/>
      </c>
      <c r="J99" s="2" t="str">
        <v/>
      </c>
      <c r="K99" s="2" t="str">
        <v/>
      </c>
      <c r="L99" s="1" t="str">
        <v/>
      </c>
      <c r="M99" s="2" t="str">
        <v/>
      </c>
      <c r="N99" s="2" t="str">
        <v/>
      </c>
      <c r="O99" s="1" t="str">
        <v/>
      </c>
      <c r="P99" s="1" t="str">
        <v/>
      </c>
      <c r="Q99" s="1" t="str">
        <v/>
      </c>
      <c r="R99" s="1">
        <f t="shared" si="8"/>
        <v>0</v>
      </c>
      <c r="S99" s="1">
        <f t="shared" si="7"/>
        <v>0</v>
      </c>
      <c r="T99" s="1">
        <f t="shared" si="9"/>
        <v>0</v>
      </c>
      <c r="U99" s="1">
        <f t="shared" si="10"/>
        <v>0</v>
      </c>
      <c r="V99" s="1">
        <f t="shared" si="11"/>
        <v>0</v>
      </c>
    </row>
    <row r="100" x14ac:dyDescent="0.25">
      <c r="A100" s="1">
        <v>99</v>
      </c>
      <c r="B100" s="1" t="str">
        <v>Esperanza Huamán Aguado</v>
      </c>
      <c r="C100" s="1" t="str">
        <v>Ministerio Público (Fiscalía)</v>
      </c>
      <c r="D100" s="1" t="str">
        <v>Entrevista de actores clave</v>
      </c>
      <c r="E100" s="1" t="str">
        <v>Funcionarios del Sistema</v>
      </c>
      <c r="F100" s="1" t="str">
        <v>Distrito Judicial: Lima Norte</v>
      </c>
      <c r="G100" s="1" t="str">
        <v>IJM</v>
      </c>
      <c r="H100" s="1" t="str">
        <v>No</v>
      </c>
      <c r="I100" s="2" t="str">
        <v/>
      </c>
      <c r="J100" s="2" t="str">
        <v/>
      </c>
      <c r="K100" s="2" t="str">
        <v/>
      </c>
      <c r="L100" s="1" t="str">
        <v/>
      </c>
      <c r="M100" s="2" t="str">
        <v/>
      </c>
      <c r="N100" s="2" t="str">
        <v/>
      </c>
      <c r="O100" s="1" t="str">
        <v/>
      </c>
      <c r="P100" s="1" t="str">
        <v/>
      </c>
      <c r="Q100" s="1" t="str">
        <v/>
      </c>
      <c r="R100" s="1">
        <f t="shared" si="8"/>
        <v>0</v>
      </c>
      <c r="S100" s="1">
        <f t="shared" si="7"/>
        <v>0</v>
      </c>
      <c r="T100" s="1">
        <f t="shared" si="9"/>
        <v>0</v>
      </c>
      <c r="U100" s="1">
        <f t="shared" si="10"/>
        <v>0</v>
      </c>
      <c r="V100" s="1">
        <f t="shared" si="11"/>
        <v>0</v>
      </c>
    </row>
    <row r="101" x14ac:dyDescent="0.25">
      <c r="A101" s="1">
        <v>100</v>
      </c>
      <c r="B101" s="1" t="str">
        <v>Lizbeth Benites Chuman</v>
      </c>
      <c r="C101" s="1" t="str">
        <v>Ministerio Público (Fiscalía)</v>
      </c>
      <c r="D101" s="1" t="str">
        <v>Entrevista de actores clave</v>
      </c>
      <c r="E101" s="1" t="str">
        <v>Funcionarios del Sistema</v>
      </c>
      <c r="F101" s="1" t="str">
        <v>Distrito Judicial: Huánuco</v>
      </c>
      <c r="G101" s="1" t="str">
        <v>IJM</v>
      </c>
      <c r="H101" s="1" t="str">
        <v>Sí</v>
      </c>
      <c r="I101" s="2">
        <v>46107</v>
      </c>
      <c r="J101" s="2" t="str">
        <v/>
      </c>
      <c r="K101" s="2" t="str">
        <v/>
      </c>
      <c r="L101" s="1" t="str">
        <v>En coordinación</v>
      </c>
      <c r="M101" s="2" t="str">
        <v/>
      </c>
      <c r="N101" s="2" t="str">
        <v/>
      </c>
      <c r="O101" s="1" t="str">
        <v>En coordinación</v>
      </c>
      <c r="P101" s="1" t="str">
        <v/>
      </c>
      <c r="Q101" s="1" t="str">
        <v/>
      </c>
      <c r="R101" s="1">
        <f t="shared" si="8"/>
        <v>1</v>
      </c>
      <c r="S101" s="1">
        <f t="shared" si="7"/>
        <v>1</v>
      </c>
      <c r="T101" s="1">
        <f t="shared" si="9"/>
        <v>0</v>
      </c>
      <c r="U101" s="1">
        <f t="shared" si="10"/>
        <v>0</v>
      </c>
      <c r="V101" s="1">
        <f t="shared" si="11"/>
        <v>0</v>
      </c>
    </row>
    <row r="102" x14ac:dyDescent="0.25">
      <c r="A102" s="1">
        <v>101</v>
      </c>
      <c r="B102" s="1" t="str">
        <v>German Davila Gabriel</v>
      </c>
      <c r="C102" s="1" t="str">
        <v>Ministerio Público (Fiscalía)</v>
      </c>
      <c r="D102" s="1" t="str">
        <v>Entrevista de actores clave</v>
      </c>
      <c r="E102" s="1" t="str">
        <v>Funcionarios del Sistema</v>
      </c>
      <c r="F102" s="1" t="str">
        <v>Distrito Judicial: Huánuco</v>
      </c>
      <c r="G102" s="1" t="str">
        <v>IJM</v>
      </c>
      <c r="H102" s="1" t="str">
        <v>No</v>
      </c>
      <c r="I102" s="2" t="str">
        <v/>
      </c>
      <c r="J102" s="2" t="str">
        <v/>
      </c>
      <c r="K102" s="2" t="str">
        <v/>
      </c>
      <c r="L102" s="1" t="str">
        <v/>
      </c>
      <c r="M102" s="2" t="str">
        <v/>
      </c>
      <c r="N102" s="2" t="str">
        <v/>
      </c>
      <c r="O102" s="1" t="str">
        <v/>
      </c>
      <c r="P102" s="1" t="str">
        <v/>
      </c>
      <c r="Q102" s="1" t="str">
        <v/>
      </c>
      <c r="R102" s="1">
        <f t="shared" si="8"/>
        <v>0</v>
      </c>
      <c r="S102" s="1">
        <f t="shared" si="7"/>
        <v>0</v>
      </c>
      <c r="T102" s="1">
        <f t="shared" si="9"/>
        <v>0</v>
      </c>
      <c r="U102" s="1">
        <f t="shared" si="10"/>
        <v>0</v>
      </c>
      <c r="V102" s="1">
        <f t="shared" si="11"/>
        <v>0</v>
      </c>
    </row>
    <row r="103" x14ac:dyDescent="0.25">
      <c r="A103" s="1">
        <v>102</v>
      </c>
      <c r="B103" s="1" t="str">
        <v>Fernando Hoyos Portal</v>
      </c>
      <c r="C103" s="1" t="str">
        <v>Ministerio Público (Fiscalía)</v>
      </c>
      <c r="D103" s="1" t="str">
        <v>Entrevista de actores clave</v>
      </c>
      <c r="E103" s="1" t="str">
        <v>Funcionarios del Sistema</v>
      </c>
      <c r="F103" s="1" t="str">
        <v>Distrito Judicial: Huánuco</v>
      </c>
      <c r="G103" s="1" t="str">
        <v>IJM</v>
      </c>
      <c r="H103" s="1" t="str">
        <v>No</v>
      </c>
      <c r="I103" s="2" t="str">
        <v/>
      </c>
      <c r="J103" s="2" t="str">
        <v/>
      </c>
      <c r="K103" s="2" t="str">
        <v/>
      </c>
      <c r="L103" s="1" t="str">
        <v/>
      </c>
      <c r="M103" s="2" t="str">
        <v/>
      </c>
      <c r="N103" s="2" t="str">
        <v/>
      </c>
      <c r="O103" s="1" t="str">
        <v/>
      </c>
      <c r="P103" s="1" t="str">
        <v/>
      </c>
      <c r="Q103" s="1" t="str">
        <v/>
      </c>
      <c r="R103" s="1">
        <f t="shared" si="8"/>
        <v>0</v>
      </c>
      <c r="S103" s="1">
        <f t="shared" si="7"/>
        <v>0</v>
      </c>
      <c r="T103" s="1">
        <f t="shared" si="9"/>
        <v>0</v>
      </c>
      <c r="U103" s="1">
        <f t="shared" si="10"/>
        <v>0</v>
      </c>
      <c r="V103" s="1">
        <f t="shared" si="11"/>
        <v>0</v>
      </c>
    </row>
    <row r="104" x14ac:dyDescent="0.25">
      <c r="A104" s="1">
        <v>103</v>
      </c>
      <c r="B104" s="1" t="str">
        <v>Victoria  Cuba Sotomayor </v>
      </c>
      <c r="C104" s="1" t="str">
        <v>Ministerio Público (Fiscalía)</v>
      </c>
      <c r="D104" s="1" t="str">
        <v>Entrevista de actores clave</v>
      </c>
      <c r="E104" s="1" t="str">
        <v>Funcionarios del Sistema</v>
      </c>
      <c r="F104" s="1" t="str">
        <v>Distrito Judicial: Ucayali</v>
      </c>
      <c r="G104" s="1" t="str">
        <v>IJM</v>
      </c>
      <c r="H104" s="1" t="str">
        <v>Sí</v>
      </c>
      <c r="I104" s="2">
        <v>46107</v>
      </c>
      <c r="J104" s="2" t="str">
        <v/>
      </c>
      <c r="K104" s="2" t="str">
        <v/>
      </c>
      <c r="L104" s="1" t="str">
        <v>Sin respuesta</v>
      </c>
      <c r="M104" s="2" t="str">
        <v/>
      </c>
      <c r="N104" s="2" t="str">
        <v/>
      </c>
      <c r="O104" s="1" t="str">
        <v>Sin respuesta</v>
      </c>
      <c r="P104" s="1" t="str">
        <v/>
      </c>
      <c r="Q104" s="1" t="str">
        <v/>
      </c>
      <c r="R104" s="1">
        <f t="shared" si="8"/>
        <v>1</v>
      </c>
      <c r="S104" s="1">
        <f t="shared" si="7"/>
        <v>0</v>
      </c>
      <c r="T104" s="1">
        <f t="shared" si="9"/>
        <v>0</v>
      </c>
      <c r="U104" s="1">
        <f t="shared" si="10"/>
        <v>0</v>
      </c>
      <c r="V104" s="1">
        <f t="shared" si="11"/>
        <v>1</v>
      </c>
    </row>
    <row r="105" x14ac:dyDescent="0.25">
      <c r="A105" s="1">
        <v>104</v>
      </c>
      <c r="B105" s="1" t="str">
        <v>Ingrid Chumbe Rodriguez</v>
      </c>
      <c r="C105" s="1" t="str">
        <v>Ministerio Público (Fiscalía)</v>
      </c>
      <c r="D105" s="1" t="str">
        <v>Entrevista de actores clave</v>
      </c>
      <c r="E105" s="1" t="str">
        <v>Funcionarios del Sistema</v>
      </c>
      <c r="F105" s="1" t="str">
        <v>Distrito Judicial: Ucayali</v>
      </c>
      <c r="G105" s="1" t="str">
        <v>IJM</v>
      </c>
      <c r="H105" s="1" t="str">
        <v>Sí</v>
      </c>
      <c r="I105" s="2">
        <v>46101</v>
      </c>
      <c r="J105" s="2">
        <v>46107</v>
      </c>
      <c r="K105" s="2" t="str">
        <v/>
      </c>
      <c r="L105" s="1" t="str">
        <v>Sin respuesta</v>
      </c>
      <c r="M105" s="2" t="str">
        <v/>
      </c>
      <c r="N105" s="2" t="str">
        <v/>
      </c>
      <c r="O105" s="1" t="str">
        <v>Sin respuesta</v>
      </c>
      <c r="P105" s="1" t="str">
        <v/>
      </c>
      <c r="Q105" s="1" t="str">
        <v/>
      </c>
      <c r="R105" s="1">
        <f t="shared" si="8"/>
        <v>1</v>
      </c>
      <c r="S105" s="1">
        <f t="shared" si="7"/>
        <v>0</v>
      </c>
      <c r="T105" s="1">
        <f t="shared" si="9"/>
        <v>0</v>
      </c>
      <c r="U105" s="1">
        <f t="shared" si="10"/>
        <v>0</v>
      </c>
      <c r="V105" s="1">
        <f t="shared" si="11"/>
        <v>1</v>
      </c>
    </row>
    <row r="106" x14ac:dyDescent="0.25">
      <c r="A106" s="1">
        <v>105</v>
      </c>
      <c r="B106" s="1" t="str">
        <v>Rocio Estacion Casanova</v>
      </c>
      <c r="C106" s="1" t="str">
        <v>Ministerio Público (Fiscalía)</v>
      </c>
      <c r="D106" s="1" t="str">
        <v>Entrevista de actores clave</v>
      </c>
      <c r="E106" s="1" t="str">
        <v>Funcionarios del Sistema</v>
      </c>
      <c r="F106" s="1" t="str">
        <v>Distrito Judicial: Ucayali</v>
      </c>
      <c r="G106" s="1" t="str">
        <v>IJM</v>
      </c>
      <c r="H106" s="1" t="str">
        <v>No</v>
      </c>
      <c r="I106" s="2" t="str">
        <v/>
      </c>
      <c r="J106" s="2" t="str">
        <v/>
      </c>
      <c r="K106" s="2" t="str">
        <v/>
      </c>
      <c r="L106" s="1" t="str">
        <v/>
      </c>
      <c r="M106" s="2" t="str">
        <v/>
      </c>
      <c r="N106" s="2" t="str">
        <v/>
      </c>
      <c r="O106" s="1" t="str">
        <v/>
      </c>
      <c r="P106" s="1" t="str">
        <v/>
      </c>
      <c r="Q106" s="1" t="str">
        <v/>
      </c>
      <c r="R106" s="1">
        <f t="shared" si="8"/>
        <v>0</v>
      </c>
      <c r="S106" s="1">
        <f t="shared" si="7"/>
        <v>0</v>
      </c>
      <c r="T106" s="1">
        <f t="shared" si="9"/>
        <v>0</v>
      </c>
      <c r="U106" s="1">
        <f t="shared" si="10"/>
        <v>0</v>
      </c>
      <c r="V106" s="1">
        <f t="shared" si="11"/>
        <v>0</v>
      </c>
    </row>
    <row r="107" x14ac:dyDescent="0.25">
      <c r="A107" s="1">
        <v>106</v>
      </c>
      <c r="B107" s="1" t="str">
        <v>Miranda Vidaurre</v>
      </c>
      <c r="C107" s="1" t="str">
        <v>Ministerio Público (Fiscalía)</v>
      </c>
      <c r="D107" s="1" t="str">
        <v>Entrevista de actores clave</v>
      </c>
      <c r="E107" s="1" t="str">
        <v>Funcionarios del Sistema</v>
      </c>
      <c r="F107" s="1" t="str">
        <v>Distrito Judicial: Puente Piedra-Ventanilla</v>
      </c>
      <c r="G107" s="1" t="str">
        <v>IJM</v>
      </c>
      <c r="H107" s="1" t="str">
        <v>No</v>
      </c>
      <c r="I107" s="2" t="str">
        <v/>
      </c>
      <c r="J107" s="2" t="str">
        <v/>
      </c>
      <c r="K107" s="2" t="str">
        <v/>
      </c>
      <c r="L107" s="1" t="str">
        <v/>
      </c>
      <c r="M107" s="2" t="str">
        <v/>
      </c>
      <c r="N107" s="2" t="str">
        <v/>
      </c>
      <c r="O107" s="1" t="str">
        <v/>
      </c>
      <c r="P107" s="1" t="str">
        <v/>
      </c>
      <c r="Q107" s="1" t="str">
        <v/>
      </c>
      <c r="R107" s="1">
        <f t="shared" si="8"/>
        <v>0</v>
      </c>
      <c r="S107" s="1">
        <f t="shared" si="7"/>
        <v>0</v>
      </c>
      <c r="T107" s="1">
        <f t="shared" si="9"/>
        <v>0</v>
      </c>
      <c r="U107" s="1">
        <f t="shared" si="10"/>
        <v>0</v>
      </c>
      <c r="V107" s="1">
        <f t="shared" si="11"/>
        <v>0</v>
      </c>
    </row>
    <row r="108" x14ac:dyDescent="0.25">
      <c r="A108" s="1">
        <v>107</v>
      </c>
      <c r="B108" s="1" t="str">
        <v>Edgar Alfredo Rebaza Vargas</v>
      </c>
      <c r="C108" s="1" t="str">
        <v>Ministerio Público (Fiscalía)</v>
      </c>
      <c r="D108" s="1" t="str">
        <v>Entrevista de actores clave</v>
      </c>
      <c r="E108" s="1" t="str">
        <v>Funcionarios del Sistema</v>
      </c>
      <c r="F108" s="1" t="str">
        <v>Distrito Judicial: Puente Piedra-Ventanilla</v>
      </c>
      <c r="G108" s="1" t="str">
        <v>IJM</v>
      </c>
      <c r="H108" s="1" t="str">
        <v>No</v>
      </c>
      <c r="I108" s="2" t="str">
        <v/>
      </c>
      <c r="J108" s="2" t="str">
        <v/>
      </c>
      <c r="K108" s="2" t="str">
        <v/>
      </c>
      <c r="L108" s="1" t="str">
        <v/>
      </c>
      <c r="M108" s="2" t="str">
        <v/>
      </c>
      <c r="N108" s="2" t="str">
        <v/>
      </c>
      <c r="O108" s="1" t="str">
        <v/>
      </c>
      <c r="P108" s="1" t="str">
        <v/>
      </c>
      <c r="Q108" s="1" t="str">
        <v/>
      </c>
      <c r="R108" s="1">
        <f t="shared" si="8"/>
        <v>0</v>
      </c>
      <c r="S108" s="1">
        <f t="shared" si="7"/>
        <v>0</v>
      </c>
      <c r="T108" s="1">
        <f t="shared" si="9"/>
        <v>0</v>
      </c>
      <c r="U108" s="1">
        <f t="shared" si="10"/>
        <v>0</v>
      </c>
      <c r="V108" s="1">
        <f t="shared" si="11"/>
        <v>0</v>
      </c>
    </row>
    <row r="109" x14ac:dyDescent="0.25">
      <c r="A109" s="1">
        <v>108</v>
      </c>
      <c r="B109" s="1" t="str">
        <v>Marco de la Cruz Espejo</v>
      </c>
      <c r="C109" s="1" t="str">
        <v>Ministerio Público (Fiscalía)</v>
      </c>
      <c r="D109" s="1" t="str">
        <v>Entrevista de actores clave</v>
      </c>
      <c r="E109" s="1" t="str">
        <v>Funcionarios del Sistema</v>
      </c>
      <c r="F109" s="1" t="str">
        <v>Distrito Judicial: Puente Piedra-Ventanilla</v>
      </c>
      <c r="G109" s="1" t="str">
        <v>IJM</v>
      </c>
      <c r="H109" s="1" t="str">
        <v>Sí</v>
      </c>
      <c r="I109" s="2">
        <v>46147</v>
      </c>
      <c r="J109" s="2" t="str">
        <v/>
      </c>
      <c r="K109" s="2" t="str">
        <v/>
      </c>
      <c r="L109" s="1" t="str">
        <v>Sin respuesta</v>
      </c>
      <c r="M109" s="2" t="str">
        <v/>
      </c>
      <c r="N109" s="2" t="str">
        <v/>
      </c>
      <c r="O109" s="1" t="str">
        <v>Sin respuesta</v>
      </c>
      <c r="P109" s="1" t="str">
        <v/>
      </c>
      <c r="Q109" s="1" t="str">
        <v/>
      </c>
      <c r="R109" s="1">
        <f t="shared" si="8"/>
        <v>1</v>
      </c>
      <c r="S109" s="1">
        <f t="shared" si="7"/>
        <v>0</v>
      </c>
      <c r="T109" s="1">
        <f t="shared" si="9"/>
        <v>0</v>
      </c>
      <c r="U109" s="1">
        <f t="shared" si="10"/>
        <v>0</v>
      </c>
      <c r="V109" s="1">
        <f t="shared" si="11"/>
        <v>1</v>
      </c>
    </row>
    <row r="110" x14ac:dyDescent="0.25">
      <c r="A110" s="1">
        <v>109</v>
      </c>
      <c r="B110" s="1" t="str">
        <v>Luis Humberto Castilla Malca</v>
      </c>
      <c r="C110" s="1" t="str">
        <v>Poder Judicial</v>
      </c>
      <c r="D110" s="1" t="str">
        <v>Entrevista de actores clave</v>
      </c>
      <c r="E110" s="1" t="str">
        <v>Funcionarios del Sistema</v>
      </c>
      <c r="F110" s="1" t="str">
        <v>Distrito Judicial: Huánuco</v>
      </c>
      <c r="G110" s="1" t="str">
        <v>IJM</v>
      </c>
      <c r="H110" s="1" t="str">
        <v>No</v>
      </c>
      <c r="I110" s="2" t="str">
        <v/>
      </c>
      <c r="J110" s="2" t="str">
        <v/>
      </c>
      <c r="K110" s="2" t="str">
        <v/>
      </c>
      <c r="L110" s="1" t="str">
        <v/>
      </c>
      <c r="M110" s="2" t="str">
        <v/>
      </c>
      <c r="N110" s="2" t="str">
        <v/>
      </c>
      <c r="O110" s="1" t="str">
        <v/>
      </c>
      <c r="P110" s="1" t="str">
        <v/>
      </c>
      <c r="Q110" s="1" t="str">
        <v/>
      </c>
      <c r="R110" s="1">
        <f t="shared" si="8"/>
        <v>0</v>
      </c>
      <c r="S110" s="1">
        <f t="shared" si="7"/>
        <v>0</v>
      </c>
      <c r="T110" s="1">
        <f t="shared" si="9"/>
        <v>0</v>
      </c>
      <c r="U110" s="1">
        <f t="shared" si="10"/>
        <v>0</v>
      </c>
      <c r="V110" s="1">
        <f t="shared" si="11"/>
        <v>0</v>
      </c>
    </row>
    <row r="111" x14ac:dyDescent="0.25">
      <c r="A111" s="1">
        <v>110</v>
      </c>
      <c r="B111" s="1" t="str">
        <v>Juan Carlos Santillan Tuesta</v>
      </c>
      <c r="C111" s="1" t="str">
        <v>Poder Judicial</v>
      </c>
      <c r="D111" s="1" t="str">
        <v>Entrevista de actores clave</v>
      </c>
      <c r="E111" s="1" t="str">
        <v>Funcionarios del Sistema</v>
      </c>
      <c r="F111" s="1" t="str">
        <v>Nacional</v>
      </c>
      <c r="G111" s="1" t="str">
        <v>IJM</v>
      </c>
      <c r="H111" s="1" t="str">
        <v>No</v>
      </c>
      <c r="I111" s="2" t="str">
        <v/>
      </c>
      <c r="J111" s="2" t="str">
        <v/>
      </c>
      <c r="K111" s="2" t="str">
        <v/>
      </c>
      <c r="L111" s="1" t="str">
        <v/>
      </c>
      <c r="M111" s="2" t="str">
        <v/>
      </c>
      <c r="N111" s="2" t="str">
        <v/>
      </c>
      <c r="O111" s="1" t="str">
        <v/>
      </c>
      <c r="P111" s="1" t="str">
        <v/>
      </c>
      <c r="Q111" s="1" t="str">
        <v/>
      </c>
      <c r="R111" s="1">
        <f t="shared" si="8"/>
        <v>0</v>
      </c>
      <c r="S111" s="1">
        <f t="shared" si="7"/>
        <v>0</v>
      </c>
      <c r="T111" s="1">
        <f t="shared" si="9"/>
        <v>0</v>
      </c>
      <c r="U111" s="1">
        <f t="shared" si="10"/>
        <v>0</v>
      </c>
      <c r="V111" s="1">
        <f t="shared" si="11"/>
        <v>0</v>
      </c>
    </row>
    <row r="112" x14ac:dyDescent="0.25">
      <c r="A112" s="1">
        <v>111</v>
      </c>
      <c r="B112" s="1" t="str">
        <v>Carmen Maria Lopez Vasquez</v>
      </c>
      <c r="C112" s="1" t="str">
        <v>Poder Judicial</v>
      </c>
      <c r="D112" s="1" t="str">
        <v>Entrevista de actores clave</v>
      </c>
      <c r="E112" s="1" t="str">
        <v>Funcionarios del Sistema</v>
      </c>
      <c r="F112" s="1" t="str">
        <v>Distrito Judicial: Cajamarca</v>
      </c>
      <c r="G112" s="1" t="str">
        <v>IJM</v>
      </c>
      <c r="H112" s="1" t="str">
        <v>No</v>
      </c>
      <c r="I112" s="2" t="str">
        <v/>
      </c>
      <c r="J112" s="2" t="str">
        <v/>
      </c>
      <c r="K112" s="2" t="str">
        <v/>
      </c>
      <c r="L112" s="1" t="str">
        <v/>
      </c>
      <c r="M112" s="2" t="str">
        <v/>
      </c>
      <c r="N112" s="2" t="str">
        <v/>
      </c>
      <c r="O112" s="1" t="str">
        <v/>
      </c>
      <c r="P112" s="1" t="str">
        <v/>
      </c>
      <c r="Q112" s="1" t="str">
        <v/>
      </c>
      <c r="R112" s="1">
        <f t="shared" si="8"/>
        <v>0</v>
      </c>
      <c r="S112" s="1">
        <f t="shared" si="7"/>
        <v>0</v>
      </c>
      <c r="T112" s="1">
        <f t="shared" si="9"/>
        <v>0</v>
      </c>
      <c r="U112" s="1">
        <f t="shared" si="10"/>
        <v>0</v>
      </c>
      <c r="V112" s="1">
        <f t="shared" si="11"/>
        <v>0</v>
      </c>
    </row>
    <row r="113" x14ac:dyDescent="0.25">
      <c r="A113" s="1">
        <v>112</v>
      </c>
      <c r="B113" s="1" t="str">
        <v>Sandra Teresa Sulca Martinez</v>
      </c>
      <c r="C113" s="1" t="str">
        <v>Poder Judicial</v>
      </c>
      <c r="D113" s="1" t="str">
        <v>Entrevista de actores clave</v>
      </c>
      <c r="E113" s="1" t="str">
        <v>Funcionarios del Sistema</v>
      </c>
      <c r="F113" s="1" t="str">
        <v>Nacional</v>
      </c>
      <c r="G113" s="1" t="str">
        <v>IJM</v>
      </c>
      <c r="H113" s="1" t="str">
        <v>No</v>
      </c>
      <c r="I113" s="2" t="str">
        <v/>
      </c>
      <c r="J113" s="2" t="str">
        <v/>
      </c>
      <c r="K113" s="2" t="str">
        <v/>
      </c>
      <c r="L113" s="1" t="str">
        <v/>
      </c>
      <c r="M113" s="2" t="str">
        <v/>
      </c>
      <c r="N113" s="2" t="str">
        <v/>
      </c>
      <c r="O113" s="1" t="str">
        <v/>
      </c>
      <c r="P113" s="1" t="str">
        <v/>
      </c>
      <c r="Q113" s="1" t="str">
        <v/>
      </c>
      <c r="R113" s="1">
        <f t="shared" si="8"/>
        <v>0</v>
      </c>
      <c r="S113" s="1">
        <f t="shared" si="7"/>
        <v>0</v>
      </c>
      <c r="T113" s="1">
        <f t="shared" si="9"/>
        <v>0</v>
      </c>
      <c r="U113" s="1">
        <f t="shared" si="10"/>
        <v>0</v>
      </c>
      <c r="V113" s="1">
        <f t="shared" si="11"/>
        <v>0</v>
      </c>
    </row>
    <row r="114" x14ac:dyDescent="0.25">
      <c r="A114" s="1">
        <v>113</v>
      </c>
      <c r="B114" s="1" t="str">
        <v>Geronimo De La Cruz Jaime</v>
      </c>
      <c r="C114" s="1" t="str">
        <v>Poder Judicial</v>
      </c>
      <c r="D114" s="1" t="str">
        <v>Entrevista de actores clave</v>
      </c>
      <c r="E114" s="1" t="str">
        <v>Funcionarios del Sistema</v>
      </c>
      <c r="F114" s="1" t="str">
        <v>Nacional</v>
      </c>
      <c r="G114" s="1" t="str">
        <v>IJM</v>
      </c>
      <c r="H114" s="1" t="str">
        <v>No</v>
      </c>
      <c r="I114" s="2" t="str">
        <v/>
      </c>
      <c r="J114" s="2" t="str">
        <v/>
      </c>
      <c r="K114" s="2" t="str">
        <v/>
      </c>
      <c r="L114" s="1" t="str">
        <v/>
      </c>
      <c r="M114" s="2" t="str">
        <v/>
      </c>
      <c r="N114" s="2" t="str">
        <v/>
      </c>
      <c r="O114" s="1" t="str">
        <v/>
      </c>
      <c r="P114" s="1" t="str">
        <v/>
      </c>
      <c r="Q114" s="1" t="str">
        <v/>
      </c>
      <c r="R114" s="1">
        <f t="shared" si="8"/>
        <v>0</v>
      </c>
      <c r="S114" s="1">
        <f t="shared" si="7"/>
        <v>0</v>
      </c>
      <c r="T114" s="1">
        <f t="shared" si="9"/>
        <v>0</v>
      </c>
      <c r="U114" s="1">
        <f t="shared" si="10"/>
        <v>0</v>
      </c>
      <c r="V114" s="1">
        <f t="shared" si="11"/>
        <v>0</v>
      </c>
    </row>
    <row r="115" x14ac:dyDescent="0.25">
      <c r="A115" s="1">
        <v>114</v>
      </c>
      <c r="B115" s="1" t="str">
        <v>Jim Ramirez Figueroa</v>
      </c>
      <c r="C115" s="1" t="str">
        <v>Poder Judicial</v>
      </c>
      <c r="D115" s="1" t="str">
        <v>Entrevista de actores clave</v>
      </c>
      <c r="E115" s="1" t="str">
        <v>Funcionarios del Sistema</v>
      </c>
      <c r="F115" s="1" t="str">
        <v>Nacional</v>
      </c>
      <c r="G115" s="1" t="str">
        <v>IJM</v>
      </c>
      <c r="H115" s="1" t="str">
        <v>No</v>
      </c>
      <c r="I115" s="2" t="str">
        <v/>
      </c>
      <c r="J115" s="2" t="str">
        <v/>
      </c>
      <c r="K115" s="2" t="str">
        <v/>
      </c>
      <c r="L115" s="1" t="str">
        <v/>
      </c>
      <c r="M115" s="2" t="str">
        <v/>
      </c>
      <c r="N115" s="2" t="str">
        <v/>
      </c>
      <c r="O115" s="1" t="str">
        <v/>
      </c>
      <c r="P115" s="1" t="str">
        <v/>
      </c>
      <c r="Q115" s="1" t="str">
        <v/>
      </c>
      <c r="R115" s="1">
        <f t="shared" si="8"/>
        <v>0</v>
      </c>
      <c r="S115" s="1">
        <f t="shared" si="7"/>
        <v>0</v>
      </c>
      <c r="T115" s="1">
        <f t="shared" si="9"/>
        <v>0</v>
      </c>
      <c r="U115" s="1">
        <f t="shared" si="10"/>
        <v>0</v>
      </c>
      <c r="V115" s="1">
        <f t="shared" si="11"/>
        <v>0</v>
      </c>
    </row>
    <row r="116" x14ac:dyDescent="0.25">
      <c r="A116" s="1">
        <v>115</v>
      </c>
      <c r="B116" s="1" t="str">
        <v>Rocio Marin Sandoval</v>
      </c>
      <c r="C116" s="1" t="str">
        <v>Poder Judicial</v>
      </c>
      <c r="D116" s="1" t="str">
        <v>Entrevista de actores clave</v>
      </c>
      <c r="E116" s="1" t="str">
        <v>Funcionarios del Sistema</v>
      </c>
      <c r="F116" s="1" t="str">
        <v>Distrito Judicial: Puente Piedra-Ventanilla</v>
      </c>
      <c r="G116" s="1" t="str">
        <v>IJM</v>
      </c>
      <c r="H116" s="1" t="str">
        <v>No</v>
      </c>
      <c r="I116" s="2" t="str">
        <v/>
      </c>
      <c r="J116" s="2" t="str">
        <v/>
      </c>
      <c r="K116" s="2" t="str">
        <v/>
      </c>
      <c r="L116" s="1" t="str">
        <v/>
      </c>
      <c r="M116" s="2" t="str">
        <v/>
      </c>
      <c r="N116" s="2" t="str">
        <v/>
      </c>
      <c r="O116" s="1" t="str">
        <v/>
      </c>
      <c r="P116" s="1" t="str">
        <v/>
      </c>
      <c r="Q116" s="1" t="str">
        <v/>
      </c>
      <c r="R116" s="1">
        <f t="shared" si="8"/>
        <v>0</v>
      </c>
      <c r="S116" s="1">
        <f t="shared" si="7"/>
        <v>0</v>
      </c>
      <c r="T116" s="1">
        <f t="shared" si="9"/>
        <v>0</v>
      </c>
      <c r="U116" s="1">
        <f t="shared" si="10"/>
        <v>0</v>
      </c>
      <c r="V116" s="1">
        <f t="shared" si="11"/>
        <v>0</v>
      </c>
    </row>
    <row r="117" x14ac:dyDescent="0.25">
      <c r="A117" s="1">
        <v>116</v>
      </c>
      <c r="B117" s="1" t="str">
        <v>Hermogenes Lima Chayña</v>
      </c>
      <c r="C117" s="1" t="str">
        <v>Poder Judicial</v>
      </c>
      <c r="D117" s="1" t="str">
        <v>Entrevista de actores clave</v>
      </c>
      <c r="E117" s="1" t="str">
        <v>Funcionarios del Sistema</v>
      </c>
      <c r="F117" s="1" t="str">
        <v>Nacional</v>
      </c>
      <c r="G117" s="1" t="str">
        <v>IJM</v>
      </c>
      <c r="H117" s="1" t="str">
        <v>No</v>
      </c>
      <c r="I117" s="2" t="str">
        <v/>
      </c>
      <c r="J117" s="2" t="str">
        <v/>
      </c>
      <c r="K117" s="2" t="str">
        <v/>
      </c>
      <c r="L117" s="1" t="str">
        <v/>
      </c>
      <c r="M117" s="2" t="str">
        <v/>
      </c>
      <c r="N117" s="2" t="str">
        <v/>
      </c>
      <c r="O117" s="1" t="str">
        <v/>
      </c>
      <c r="P117" s="1" t="str">
        <v/>
      </c>
      <c r="Q117" s="1" t="str">
        <v/>
      </c>
      <c r="R117" s="1">
        <f t="shared" si="8"/>
        <v>0</v>
      </c>
      <c r="S117" s="1">
        <f t="shared" si="7"/>
        <v>0</v>
      </c>
      <c r="T117" s="1">
        <f t="shared" si="9"/>
        <v>0</v>
      </c>
      <c r="U117" s="1">
        <f t="shared" si="10"/>
        <v>0</v>
      </c>
      <c r="V117" s="1">
        <f t="shared" si="11"/>
        <v>0</v>
      </c>
    </row>
    <row r="118" x14ac:dyDescent="0.25">
      <c r="A118" s="1">
        <v>117</v>
      </c>
      <c r="B118" s="1" t="str">
        <v>Jessenia Tafur Rios</v>
      </c>
      <c r="C118" s="1" t="str">
        <v>Poder Judicial</v>
      </c>
      <c r="D118" s="1" t="str">
        <v>Entrevista de actores clave</v>
      </c>
      <c r="E118" s="1" t="str">
        <v>Funcionarios del Sistema</v>
      </c>
      <c r="F118" s="1" t="str">
        <v>Distrito Judicial: Loreto</v>
      </c>
      <c r="G118" s="1" t="str">
        <v>IJM</v>
      </c>
      <c r="H118" s="1" t="str">
        <v>No</v>
      </c>
      <c r="I118" s="2" t="str">
        <v/>
      </c>
      <c r="J118" s="2" t="str">
        <v/>
      </c>
      <c r="K118" s="2" t="str">
        <v/>
      </c>
      <c r="L118" s="1" t="str">
        <v/>
      </c>
      <c r="M118" s="2" t="str">
        <v/>
      </c>
      <c r="N118" s="2" t="str">
        <v/>
      </c>
      <c r="O118" s="1" t="str">
        <v/>
      </c>
      <c r="P118" s="1" t="str">
        <v/>
      </c>
      <c r="Q118" s="1" t="str">
        <v/>
      </c>
      <c r="R118" s="1">
        <f t="shared" si="8"/>
        <v>0</v>
      </c>
      <c r="S118" s="1">
        <f t="shared" si="7"/>
        <v>0</v>
      </c>
      <c r="T118" s="1">
        <f t="shared" si="9"/>
        <v>0</v>
      </c>
      <c r="U118" s="1">
        <f t="shared" si="10"/>
        <v>0</v>
      </c>
      <c r="V118" s="1">
        <f t="shared" si="11"/>
        <v>0</v>
      </c>
    </row>
    <row r="119" x14ac:dyDescent="0.25">
      <c r="A119" s="1">
        <v>118</v>
      </c>
      <c r="B119" s="1" t="str">
        <v>Federick Rivera Berrospi</v>
      </c>
      <c r="C119" s="1" t="str">
        <v>Poder Judicial</v>
      </c>
      <c r="D119" s="1" t="str">
        <v>Entrevista de actores clave</v>
      </c>
      <c r="E119" s="1" t="str">
        <v>Funcionarios del Sistema</v>
      </c>
      <c r="F119" s="1" t="str">
        <v>Nacional</v>
      </c>
      <c r="G119" s="1" t="str">
        <v>IJM</v>
      </c>
      <c r="H119" s="1" t="str">
        <v>No</v>
      </c>
      <c r="I119" s="2" t="str">
        <v/>
      </c>
      <c r="J119" s="2" t="str">
        <v/>
      </c>
      <c r="K119" s="2" t="str">
        <v/>
      </c>
      <c r="L119" s="1" t="str">
        <v/>
      </c>
      <c r="M119" s="2" t="str">
        <v/>
      </c>
      <c r="N119" s="2" t="str">
        <v/>
      </c>
      <c r="O119" s="1" t="str">
        <v/>
      </c>
      <c r="P119" s="1" t="str">
        <v/>
      </c>
      <c r="Q119" s="1" t="str">
        <v/>
      </c>
      <c r="R119" s="1">
        <f t="shared" si="8"/>
        <v>0</v>
      </c>
      <c r="S119" s="1">
        <f t="shared" si="7"/>
        <v>0</v>
      </c>
      <c r="T119" s="1">
        <f t="shared" si="9"/>
        <v>0</v>
      </c>
      <c r="U119" s="1">
        <f t="shared" si="10"/>
        <v>0</v>
      </c>
      <c r="V119" s="1">
        <f t="shared" si="11"/>
        <v>0</v>
      </c>
    </row>
    <row r="120" x14ac:dyDescent="0.25">
      <c r="A120" s="1">
        <v>119</v>
      </c>
      <c r="B120" s="1" t="str">
        <v>Rosario Marlene Dávila Arquiñigo</v>
      </c>
      <c r="C120" s="1" t="str">
        <v>Poder Judicial</v>
      </c>
      <c r="D120" s="1" t="str">
        <v>Entrevista de actores clave</v>
      </c>
      <c r="E120" s="1" t="str">
        <v>Funcionarios del Sistema</v>
      </c>
      <c r="F120" s="1" t="str">
        <v>Nacional</v>
      </c>
      <c r="G120" s="1" t="str">
        <v>IJM</v>
      </c>
      <c r="H120" s="1" t="str">
        <v>No</v>
      </c>
      <c r="I120" s="2" t="str">
        <v/>
      </c>
      <c r="J120" s="2" t="str">
        <v/>
      </c>
      <c r="K120" s="2" t="str">
        <v/>
      </c>
      <c r="L120" s="1" t="str">
        <v/>
      </c>
      <c r="M120" s="2" t="str">
        <v/>
      </c>
      <c r="N120" s="2" t="str">
        <v/>
      </c>
      <c r="O120" s="1" t="str">
        <v/>
      </c>
      <c r="P120" s="1" t="str">
        <v/>
      </c>
      <c r="Q120" s="1" t="str">
        <v/>
      </c>
      <c r="R120" s="1">
        <f t="shared" si="8"/>
        <v>0</v>
      </c>
      <c r="S120" s="1">
        <f t="shared" si="7"/>
        <v>0</v>
      </c>
      <c r="T120" s="1">
        <f t="shared" si="9"/>
        <v>0</v>
      </c>
      <c r="U120" s="1">
        <f t="shared" si="10"/>
        <v>0</v>
      </c>
      <c r="V120" s="1">
        <f t="shared" si="11"/>
        <v>0</v>
      </c>
    </row>
    <row r="121" x14ac:dyDescent="0.25">
      <c r="A121" s="1">
        <v>120</v>
      </c>
      <c r="B121" s="1" t="str">
        <v>Silvia Salazar Mendoza</v>
      </c>
      <c r="C121" s="1" t="str">
        <v>Poder Judicial</v>
      </c>
      <c r="D121" s="1" t="str">
        <v>Entrevista de actores clave</v>
      </c>
      <c r="E121" s="1" t="str">
        <v>Funcionarios del Sistema</v>
      </c>
      <c r="F121" s="1" t="str">
        <v>Nacional</v>
      </c>
      <c r="G121" s="1" t="str">
        <v>IJM</v>
      </c>
      <c r="H121" s="1" t="str">
        <v>No</v>
      </c>
      <c r="I121" s="2" t="str">
        <v/>
      </c>
      <c r="J121" s="2" t="str">
        <v/>
      </c>
      <c r="K121" s="2" t="str">
        <v/>
      </c>
      <c r="L121" s="1" t="str">
        <v/>
      </c>
      <c r="M121" s="2" t="str">
        <v/>
      </c>
      <c r="N121" s="2" t="str">
        <v/>
      </c>
      <c r="O121" s="1" t="str">
        <v/>
      </c>
      <c r="P121" s="1" t="str">
        <v/>
      </c>
      <c r="Q121" s="1" t="str">
        <v/>
      </c>
      <c r="R121" s="1">
        <f t="shared" si="8"/>
        <v>0</v>
      </c>
      <c r="S121" s="1">
        <f t="shared" si="7"/>
        <v>0</v>
      </c>
      <c r="T121" s="1">
        <f t="shared" si="9"/>
        <v>0</v>
      </c>
      <c r="U121" s="1">
        <f t="shared" si="10"/>
        <v>0</v>
      </c>
      <c r="V121" s="1">
        <f t="shared" si="11"/>
        <v>0</v>
      </c>
    </row>
    <row r="122" x14ac:dyDescent="0.25">
      <c r="A122" s="1">
        <v>121</v>
      </c>
      <c r="B122" s="1" t="str">
        <v>Jorge Eduardo Ángeles Valiente</v>
      </c>
      <c r="C122" s="1" t="str">
        <v>Poder Judicial</v>
      </c>
      <c r="D122" s="1" t="str">
        <v>Entrevista de actores clave</v>
      </c>
      <c r="E122" s="1" t="str">
        <v>Funcionarios del Sistema</v>
      </c>
      <c r="F122" s="1" t="str">
        <v>Distrito Judicial: Puente Piedra-Ventanilla</v>
      </c>
      <c r="G122" s="1" t="str">
        <v>IJM</v>
      </c>
      <c r="H122" s="1" t="str">
        <v>No</v>
      </c>
      <c r="I122" s="2" t="str">
        <v/>
      </c>
      <c r="J122" s="2" t="str">
        <v/>
      </c>
      <c r="K122" s="2" t="str">
        <v/>
      </c>
      <c r="L122" s="1" t="str">
        <v/>
      </c>
      <c r="M122" s="2" t="str">
        <v/>
      </c>
      <c r="N122" s="2" t="str">
        <v/>
      </c>
      <c r="O122" s="1" t="str">
        <v/>
      </c>
      <c r="P122" s="1" t="str">
        <v/>
      </c>
      <c r="Q122" s="1" t="str">
        <v/>
      </c>
      <c r="R122" s="1">
        <f t="shared" si="8"/>
        <v>0</v>
      </c>
      <c r="S122" s="1">
        <f t="shared" si="7"/>
        <v>0</v>
      </c>
      <c r="T122" s="1">
        <f t="shared" si="9"/>
        <v>0</v>
      </c>
      <c r="U122" s="1">
        <f t="shared" si="10"/>
        <v>0</v>
      </c>
      <c r="V122" s="1">
        <f t="shared" si="11"/>
        <v>0</v>
      </c>
    </row>
    <row r="123" x14ac:dyDescent="0.25">
      <c r="A123" s="1">
        <v>122</v>
      </c>
      <c r="B123" s="1" t="str">
        <v>Raquel Ocampo Alvarado</v>
      </c>
      <c r="C123" s="1" t="str">
        <v>Poder Judicial</v>
      </c>
      <c r="D123" s="1" t="str">
        <v>Entrevista de actores clave</v>
      </c>
      <c r="E123" s="1" t="str">
        <v>Funcionarios del Sistema</v>
      </c>
      <c r="F123" s="1" t="str">
        <v>Nacional</v>
      </c>
      <c r="G123" s="1" t="str">
        <v>IJM</v>
      </c>
      <c r="H123" s="1" t="str">
        <v>No</v>
      </c>
      <c r="I123" s="2" t="str">
        <v/>
      </c>
      <c r="J123" s="2" t="str">
        <v/>
      </c>
      <c r="K123" s="2" t="str">
        <v/>
      </c>
      <c r="L123" s="1" t="str">
        <v/>
      </c>
      <c r="M123" s="2" t="str">
        <v/>
      </c>
      <c r="N123" s="2" t="str">
        <v/>
      </c>
      <c r="O123" s="1" t="str">
        <v/>
      </c>
      <c r="P123" s="1" t="str">
        <v/>
      </c>
      <c r="Q123" s="1" t="str">
        <v/>
      </c>
      <c r="R123" s="1">
        <f t="shared" si="8"/>
        <v>0</v>
      </c>
      <c r="S123" s="1">
        <f t="shared" si="7"/>
        <v>0</v>
      </c>
      <c r="T123" s="1">
        <f t="shared" si="9"/>
        <v>0</v>
      </c>
      <c r="U123" s="1">
        <f t="shared" si="10"/>
        <v>0</v>
      </c>
      <c r="V123" s="1">
        <f t="shared" si="11"/>
        <v>0</v>
      </c>
    </row>
    <row r="124" x14ac:dyDescent="0.25">
      <c r="A124" s="1">
        <v>123</v>
      </c>
      <c r="B124" s="1" t="str">
        <v>Loaiza Suarez</v>
      </c>
      <c r="C124" s="1" t="str">
        <v>Poder Judicial</v>
      </c>
      <c r="D124" s="1" t="str">
        <v>Entrevista de actores clave</v>
      </c>
      <c r="E124" s="1" t="str">
        <v>Funcionarios del Sistema</v>
      </c>
      <c r="F124" s="1" t="str">
        <v>Nacional</v>
      </c>
      <c r="G124" s="1" t="str">
        <v>IJM</v>
      </c>
      <c r="H124" s="1" t="str">
        <v>No</v>
      </c>
      <c r="I124" s="2" t="str">
        <v/>
      </c>
      <c r="J124" s="2" t="str">
        <v/>
      </c>
      <c r="K124" s="2" t="str">
        <v/>
      </c>
      <c r="L124" s="1" t="str">
        <v/>
      </c>
      <c r="M124" s="2" t="str">
        <v/>
      </c>
      <c r="N124" s="2" t="str">
        <v/>
      </c>
      <c r="O124" s="1" t="str">
        <v/>
      </c>
      <c r="P124" s="1" t="str">
        <v/>
      </c>
      <c r="Q124" s="1" t="str">
        <v/>
      </c>
      <c r="R124" s="1">
        <f t="shared" si="8"/>
        <v>0</v>
      </c>
      <c r="S124" s="1">
        <f t="shared" si="7"/>
        <v>0</v>
      </c>
      <c r="T124" s="1">
        <f t="shared" si="9"/>
        <v>0</v>
      </c>
      <c r="U124" s="1">
        <f t="shared" si="10"/>
        <v>0</v>
      </c>
      <c r="V124" s="1">
        <f t="shared" si="11"/>
        <v>0</v>
      </c>
    </row>
    <row r="125" x14ac:dyDescent="0.25">
      <c r="A125" s="1">
        <v>124</v>
      </c>
      <c r="B125" s="1" t="str">
        <v>Ana Cecilia Garay Molina</v>
      </c>
      <c r="C125" s="1" t="str">
        <v>Poder Judicial</v>
      </c>
      <c r="D125" s="1" t="str">
        <v>Entrevista de actores clave</v>
      </c>
      <c r="E125" s="1" t="str">
        <v>Funcionarios del Sistema</v>
      </c>
      <c r="F125" s="1" t="str">
        <v>Nacional</v>
      </c>
      <c r="G125" s="1" t="str">
        <v>IJM</v>
      </c>
      <c r="H125" s="1" t="str">
        <v>No</v>
      </c>
      <c r="I125" s="2" t="str">
        <v/>
      </c>
      <c r="J125" s="2" t="str">
        <v/>
      </c>
      <c r="K125" s="2" t="str">
        <v/>
      </c>
      <c r="L125" s="1" t="str">
        <v/>
      </c>
      <c r="M125" s="2" t="str">
        <v/>
      </c>
      <c r="N125" s="2" t="str">
        <v/>
      </c>
      <c r="O125" s="1" t="str">
        <v/>
      </c>
      <c r="P125" s="1" t="str">
        <v/>
      </c>
      <c r="Q125" s="1" t="str">
        <v/>
      </c>
      <c r="R125" s="1">
        <f t="shared" si="8"/>
        <v>0</v>
      </c>
      <c r="S125" s="1">
        <f t="shared" si="7"/>
        <v>0</v>
      </c>
      <c r="T125" s="1">
        <f t="shared" si="9"/>
        <v>0</v>
      </c>
      <c r="U125" s="1">
        <f t="shared" si="10"/>
        <v>0</v>
      </c>
      <c r="V125" s="1">
        <f t="shared" si="11"/>
        <v>0</v>
      </c>
    </row>
    <row r="126" x14ac:dyDescent="0.25">
      <c r="A126" s="1">
        <v>125</v>
      </c>
      <c r="B126" s="1" t="str">
        <v>Janet Ofelia Lourdes Tello Gilardi</v>
      </c>
      <c r="C126" s="1" t="str">
        <v>Poder Judicial</v>
      </c>
      <c r="D126" s="1" t="str">
        <v>Entrevista de actores clave</v>
      </c>
      <c r="E126" s="1" t="str">
        <v>Funcionarios del Sistema</v>
      </c>
      <c r="F126" s="1" t="str">
        <v>Nacional</v>
      </c>
      <c r="G126" s="1" t="str">
        <v>IJM</v>
      </c>
      <c r="H126" s="1" t="str">
        <v>No</v>
      </c>
      <c r="I126" s="2" t="str">
        <v/>
      </c>
      <c r="J126" s="2" t="str">
        <v/>
      </c>
      <c r="K126" s="2" t="str">
        <v/>
      </c>
      <c r="L126" s="1" t="str">
        <v/>
      </c>
      <c r="M126" s="2" t="str">
        <v/>
      </c>
      <c r="N126" s="2" t="str">
        <v/>
      </c>
      <c r="O126" s="1" t="str">
        <v/>
      </c>
      <c r="P126" s="1" t="str">
        <v/>
      </c>
      <c r="Q126" s="1" t="str">
        <v/>
      </c>
      <c r="R126" s="1">
        <f t="shared" si="8"/>
        <v>0</v>
      </c>
      <c r="S126" s="1">
        <f t="shared" si="7"/>
        <v>0</v>
      </c>
      <c r="T126" s="1">
        <f t="shared" si="9"/>
        <v>0</v>
      </c>
      <c r="U126" s="1">
        <f t="shared" si="10"/>
        <v>0</v>
      </c>
      <c r="V126" s="1">
        <f t="shared" si="11"/>
        <v>0</v>
      </c>
    </row>
    <row r="127" x14ac:dyDescent="0.25">
      <c r="A127" s="1">
        <v>126</v>
      </c>
      <c r="B127" s="1" t="str">
        <v>Ana Maria Aranda Rodriguez</v>
      </c>
      <c r="C127" s="1" t="str">
        <v>Poder Judicial</v>
      </c>
      <c r="D127" s="1" t="str">
        <v>Entrevista de actores clave</v>
      </c>
      <c r="E127" s="1" t="str">
        <v>Funcionarios del Sistema</v>
      </c>
      <c r="F127" s="1" t="str">
        <v>Distrito Judicial: Ucayali</v>
      </c>
      <c r="G127" s="1" t="str">
        <v>IJM</v>
      </c>
      <c r="H127" s="1" t="str">
        <v>No</v>
      </c>
      <c r="I127" s="2" t="str">
        <v/>
      </c>
      <c r="J127" s="2" t="str">
        <v/>
      </c>
      <c r="K127" s="2" t="str">
        <v/>
      </c>
      <c r="L127" s="1" t="str">
        <v/>
      </c>
      <c r="M127" s="2" t="str">
        <v/>
      </c>
      <c r="N127" s="2" t="str">
        <v/>
      </c>
      <c r="O127" s="1" t="str">
        <v/>
      </c>
      <c r="P127" s="1" t="str">
        <v/>
      </c>
      <c r="Q127" s="1" t="str">
        <v/>
      </c>
      <c r="R127" s="1">
        <f t="shared" si="8"/>
        <v>0</v>
      </c>
      <c r="S127" s="1">
        <f t="shared" si="7"/>
        <v>0</v>
      </c>
      <c r="T127" s="1">
        <f t="shared" si="9"/>
        <v>0</v>
      </c>
      <c r="U127" s="1">
        <f t="shared" si="10"/>
        <v>0</v>
      </c>
      <c r="V127" s="1">
        <f t="shared" si="11"/>
        <v>0</v>
      </c>
    </row>
    <row r="128" x14ac:dyDescent="0.25">
      <c r="A128" s="1">
        <v>127</v>
      </c>
      <c r="B128" s="1" t="str">
        <v>Claudia Cabaillas Quevedo</v>
      </c>
      <c r="C128" s="1" t="str">
        <v>Poder Judicial</v>
      </c>
      <c r="D128" s="1" t="str">
        <v>Entrevista de actores clave</v>
      </c>
      <c r="E128" s="1" t="str">
        <v>Funcionarios del Sistema</v>
      </c>
      <c r="F128" s="1" t="str">
        <v>Nacional</v>
      </c>
      <c r="G128" s="1" t="str">
        <v>IJM</v>
      </c>
      <c r="H128" s="1" t="str">
        <v>No</v>
      </c>
      <c r="I128" s="2" t="str">
        <v/>
      </c>
      <c r="J128" s="2" t="str">
        <v/>
      </c>
      <c r="K128" s="2" t="str">
        <v/>
      </c>
      <c r="L128" s="1" t="str">
        <v/>
      </c>
      <c r="M128" s="2" t="str">
        <v/>
      </c>
      <c r="N128" s="2" t="str">
        <v/>
      </c>
      <c r="O128" s="1" t="str">
        <v/>
      </c>
      <c r="P128" s="1" t="str">
        <v/>
      </c>
      <c r="Q128" s="1" t="str">
        <v/>
      </c>
      <c r="R128" s="1">
        <f t="shared" si="8"/>
        <v>0</v>
      </c>
      <c r="S128" s="1">
        <f t="shared" si="7"/>
        <v>0</v>
      </c>
      <c r="T128" s="1">
        <f t="shared" si="9"/>
        <v>0</v>
      </c>
      <c r="U128" s="1">
        <f t="shared" si="10"/>
        <v>0</v>
      </c>
      <c r="V128" s="1">
        <f t="shared" si="11"/>
        <v>0</v>
      </c>
    </row>
    <row r="129" x14ac:dyDescent="0.25">
      <c r="A129" s="1">
        <v>128</v>
      </c>
      <c r="B129" s="1" t="str">
        <v>Allen Jonny Neyra Ascencios</v>
      </c>
      <c r="C129" s="1" t="str">
        <v>Poder Judicial</v>
      </c>
      <c r="D129" s="1" t="str">
        <v>Entrevista de actores clave</v>
      </c>
      <c r="E129" s="1" t="str">
        <v>Funcionarios del Sistema</v>
      </c>
      <c r="F129" s="1" t="str">
        <v>Distrito Judicial: Lima Norte</v>
      </c>
      <c r="G129" s="1" t="str">
        <v>IJM</v>
      </c>
      <c r="H129" s="1" t="str">
        <v>No</v>
      </c>
      <c r="I129" s="2" t="str">
        <v/>
      </c>
      <c r="J129" s="2" t="str">
        <v/>
      </c>
      <c r="K129" s="2" t="str">
        <v/>
      </c>
      <c r="L129" s="1" t="str">
        <v/>
      </c>
      <c r="M129" s="2" t="str">
        <v/>
      </c>
      <c r="N129" s="2" t="str">
        <v/>
      </c>
      <c r="O129" s="1" t="str">
        <v/>
      </c>
      <c r="P129" s="1" t="str">
        <v/>
      </c>
      <c r="Q129" s="1" t="str">
        <v/>
      </c>
      <c r="R129" s="1">
        <f t="shared" si="8"/>
        <v>0</v>
      </c>
      <c r="S129" s="1">
        <f t="shared" si="7"/>
        <v>0</v>
      </c>
      <c r="T129" s="1">
        <f t="shared" si="9"/>
        <v>0</v>
      </c>
      <c r="U129" s="1">
        <f t="shared" si="10"/>
        <v>0</v>
      </c>
      <c r="V129" s="1">
        <f t="shared" si="11"/>
        <v>0</v>
      </c>
    </row>
    <row r="130" x14ac:dyDescent="0.25">
      <c r="A130" s="1">
        <v>129</v>
      </c>
      <c r="B130" s="1" t="str">
        <v>Yone Pedro Li Córdova</v>
      </c>
      <c r="C130" s="1" t="str">
        <v>Poder Judicial</v>
      </c>
      <c r="D130" s="1" t="str">
        <v>Entrevista de actores clave</v>
      </c>
      <c r="E130" s="1" t="str">
        <v>Funcionarios del Sistema</v>
      </c>
      <c r="F130" s="1" t="str">
        <v>Nacional</v>
      </c>
      <c r="G130" s="1" t="str">
        <v>IJM</v>
      </c>
      <c r="H130" s="1" t="str">
        <v>No</v>
      </c>
      <c r="I130" s="2" t="str">
        <v/>
      </c>
      <c r="J130" s="2" t="str">
        <v/>
      </c>
      <c r="K130" s="2" t="str">
        <v/>
      </c>
      <c r="L130" s="1" t="str">
        <v/>
      </c>
      <c r="M130" s="2" t="str">
        <v/>
      </c>
      <c r="N130" s="2" t="str">
        <v/>
      </c>
      <c r="O130" s="1" t="str">
        <v/>
      </c>
      <c r="P130" s="1" t="str">
        <v/>
      </c>
      <c r="Q130" s="1" t="str">
        <v/>
      </c>
      <c r="R130" s="1">
        <f t="shared" si="8"/>
        <v>0</v>
      </c>
      <c r="S130" s="1">
        <f t="shared" ref="S130:S193" si="12">IF(L130="En coordinación",1,0)</f>
        <v>0</v>
      </c>
      <c r="T130" s="1">
        <f t="shared" si="9"/>
        <v>0</v>
      </c>
      <c r="U130" s="1">
        <f t="shared" si="10"/>
        <v>0</v>
      </c>
      <c r="V130" s="1">
        <f t="shared" si="11"/>
        <v>0</v>
      </c>
    </row>
    <row r="131" x14ac:dyDescent="0.25">
      <c r="A131" s="1">
        <v>130</v>
      </c>
      <c r="B131" s="1" t="str">
        <v>Jenny Maribel Bazan Escalante</v>
      </c>
      <c r="C131" s="1" t="str">
        <v>Poder Judicial</v>
      </c>
      <c r="D131" s="1" t="str">
        <v>Entrevista de actores clave</v>
      </c>
      <c r="E131" s="1" t="str">
        <v>Funcionarios del Sistema</v>
      </c>
      <c r="F131" s="1" t="str">
        <v>Nacional</v>
      </c>
      <c r="G131" s="1" t="str">
        <v>IJM</v>
      </c>
      <c r="H131" s="1" t="str">
        <v>No</v>
      </c>
      <c r="I131" s="2" t="str">
        <v/>
      </c>
      <c r="J131" s="2" t="str">
        <v/>
      </c>
      <c r="K131" s="2" t="str">
        <v/>
      </c>
      <c r="L131" s="1" t="str">
        <v/>
      </c>
      <c r="M131" s="2" t="str">
        <v/>
      </c>
      <c r="N131" s="2" t="str">
        <v/>
      </c>
      <c r="O131" s="1" t="str">
        <v/>
      </c>
      <c r="P131" s="1" t="str">
        <v/>
      </c>
      <c r="Q131" s="1" t="str">
        <v/>
      </c>
      <c r="R131" s="1">
        <f t="shared" ref="R131:R194" si="13">IF(H131="Sí",1,0)</f>
        <v>0</v>
      </c>
      <c r="S131" s="1">
        <f t="shared" si="12"/>
        <v>0</v>
      </c>
      <c r="T131" s="1">
        <f t="shared" ref="T131:T194" si="14">IF(L131="Aceptada",1,0)</f>
        <v>0</v>
      </c>
      <c r="U131" s="1">
        <f t="shared" ref="U131:U194" si="15">IF(OR(L131="Realizada completa",L131="Realizada incompleta"),1,0)</f>
        <v>0</v>
      </c>
      <c r="V131" s="1">
        <f t="shared" si="11"/>
        <v>0</v>
      </c>
    </row>
    <row r="132" x14ac:dyDescent="0.25">
      <c r="A132" s="1">
        <v>131</v>
      </c>
      <c r="B132" s="1" t="str">
        <v>Jorge Eduardo Ángeles Valiente</v>
      </c>
      <c r="C132" s="1" t="str">
        <v>Poder Judicial</v>
      </c>
      <c r="D132" s="1" t="str">
        <v>Entrevista de actores clave</v>
      </c>
      <c r="E132" s="1" t="str">
        <v>Funcionarios del Sistema</v>
      </c>
      <c r="F132" s="1" t="str">
        <v>Nacional</v>
      </c>
      <c r="G132" s="1" t="str">
        <v>IJM</v>
      </c>
      <c r="H132" s="1" t="str">
        <v>No</v>
      </c>
      <c r="I132" s="2" t="str">
        <v/>
      </c>
      <c r="J132" s="2" t="str">
        <v/>
      </c>
      <c r="K132" s="2" t="str">
        <v/>
      </c>
      <c r="L132" s="1" t="str">
        <v/>
      </c>
      <c r="M132" s="2" t="str">
        <v/>
      </c>
      <c r="N132" s="2" t="str">
        <v/>
      </c>
      <c r="O132" s="1" t="str">
        <v/>
      </c>
      <c r="P132" s="1" t="str">
        <v/>
      </c>
      <c r="Q132" s="1" t="str">
        <v/>
      </c>
      <c r="R132" s="1">
        <f t="shared" si="13"/>
        <v>0</v>
      </c>
      <c r="S132" s="1">
        <f t="shared" si="12"/>
        <v>0</v>
      </c>
      <c r="T132" s="1">
        <f t="shared" si="14"/>
        <v>0</v>
      </c>
      <c r="U132" s="1">
        <f t="shared" si="15"/>
        <v>0</v>
      </c>
      <c r="V132" s="1">
        <f t="shared" si="11"/>
        <v>0</v>
      </c>
    </row>
    <row r="133" x14ac:dyDescent="0.25">
      <c r="A133" s="1">
        <v>132</v>
      </c>
      <c r="B133" s="1" t="str">
        <v>Cabrera Barrantes Norberto</v>
      </c>
      <c r="C133" s="1" t="str">
        <v>Poder Judicial</v>
      </c>
      <c r="D133" s="1" t="str">
        <v>Entrevista de actores clave</v>
      </c>
      <c r="E133" s="1" t="str">
        <v>Funcionarios del Sistema</v>
      </c>
      <c r="F133" s="1" t="str">
        <v>Nacional</v>
      </c>
      <c r="G133" s="1" t="str">
        <v>IJM</v>
      </c>
      <c r="H133" s="1" t="str">
        <v>No</v>
      </c>
      <c r="I133" s="2" t="str">
        <v/>
      </c>
      <c r="J133" s="2" t="str">
        <v/>
      </c>
      <c r="K133" s="2" t="str">
        <v/>
      </c>
      <c r="L133" s="1" t="str">
        <v/>
      </c>
      <c r="M133" s="2" t="str">
        <v/>
      </c>
      <c r="N133" s="2" t="str">
        <v/>
      </c>
      <c r="O133" s="1" t="str">
        <v/>
      </c>
      <c r="P133" s="1" t="str">
        <v/>
      </c>
      <c r="Q133" s="1" t="str">
        <v/>
      </c>
      <c r="R133" s="1">
        <f t="shared" si="13"/>
        <v>0</v>
      </c>
      <c r="S133" s="1">
        <f t="shared" si="12"/>
        <v>0</v>
      </c>
      <c r="T133" s="1">
        <f t="shared" si="14"/>
        <v>0</v>
      </c>
      <c r="U133" s="1">
        <f t="shared" si="15"/>
        <v>0</v>
      </c>
      <c r="V133" s="1">
        <f t="shared" si="11"/>
        <v>0</v>
      </c>
    </row>
    <row r="134" x14ac:dyDescent="0.25">
      <c r="A134" s="1">
        <v>133</v>
      </c>
      <c r="B134" s="1" t="str">
        <v>Reynaldo Elias Cajamarca Porras</v>
      </c>
      <c r="C134" s="1" t="str">
        <v>Poder Judicial</v>
      </c>
      <c r="D134" s="1" t="str">
        <v>Entrevista de actores clave</v>
      </c>
      <c r="E134" s="1" t="str">
        <v>Funcionarios del Sistema</v>
      </c>
      <c r="F134" s="1" t="str">
        <v>Nacional</v>
      </c>
      <c r="G134" s="1" t="str">
        <v>IJM</v>
      </c>
      <c r="H134" s="1" t="str">
        <v>No</v>
      </c>
      <c r="I134" s="2" t="str">
        <v/>
      </c>
      <c r="J134" s="2" t="str">
        <v/>
      </c>
      <c r="K134" s="2" t="str">
        <v/>
      </c>
      <c r="L134" s="1" t="str">
        <v/>
      </c>
      <c r="M134" s="2" t="str">
        <v/>
      </c>
      <c r="N134" s="2" t="str">
        <v/>
      </c>
      <c r="O134" s="1" t="str">
        <v/>
      </c>
      <c r="P134" s="1" t="str">
        <v/>
      </c>
      <c r="Q134" s="1" t="str">
        <v/>
      </c>
      <c r="R134" s="1">
        <f t="shared" si="13"/>
        <v>0</v>
      </c>
      <c r="S134" s="1">
        <f t="shared" si="12"/>
        <v>0</v>
      </c>
      <c r="T134" s="1">
        <f t="shared" si="14"/>
        <v>0</v>
      </c>
      <c r="U134" s="1">
        <f t="shared" si="15"/>
        <v>0</v>
      </c>
      <c r="V134" s="1">
        <f t="shared" si="11"/>
        <v>0</v>
      </c>
    </row>
    <row r="135" x14ac:dyDescent="0.25">
      <c r="A135" s="1">
        <v>134</v>
      </c>
      <c r="B135" s="1" t="str">
        <v>Marino Gabriel Cusimayta Barreto</v>
      </c>
      <c r="C135" s="1" t="str">
        <v>Poder Judicial</v>
      </c>
      <c r="D135" s="1" t="str">
        <v>Entrevista de actores clave</v>
      </c>
      <c r="E135" s="1" t="str">
        <v>Funcionarios del Sistema</v>
      </c>
      <c r="F135" s="1" t="str">
        <v>Nacional</v>
      </c>
      <c r="G135" s="1" t="str">
        <v>IJM</v>
      </c>
      <c r="H135" s="1" t="str">
        <v>No</v>
      </c>
      <c r="I135" s="2" t="str">
        <v/>
      </c>
      <c r="J135" s="2" t="str">
        <v/>
      </c>
      <c r="K135" s="2" t="str">
        <v/>
      </c>
      <c r="L135" s="1" t="str">
        <v/>
      </c>
      <c r="M135" s="2" t="str">
        <v/>
      </c>
      <c r="N135" s="2" t="str">
        <v/>
      </c>
      <c r="O135" s="1" t="str">
        <v/>
      </c>
      <c r="P135" s="1" t="str">
        <v/>
      </c>
      <c r="Q135" s="1" t="str">
        <v/>
      </c>
      <c r="R135" s="1">
        <f t="shared" si="13"/>
        <v>0</v>
      </c>
      <c r="S135" s="1">
        <f t="shared" si="12"/>
        <v>0</v>
      </c>
      <c r="T135" s="1">
        <f t="shared" si="14"/>
        <v>0</v>
      </c>
      <c r="U135" s="1">
        <f t="shared" si="15"/>
        <v>0</v>
      </c>
      <c r="V135" s="1">
        <f t="shared" si="11"/>
        <v>0</v>
      </c>
    </row>
    <row r="136" x14ac:dyDescent="0.25">
      <c r="A136" s="1">
        <v>135</v>
      </c>
      <c r="B136" s="1" t="str">
        <v>Jorge Guillermo Fernández Ceballos</v>
      </c>
      <c r="C136" s="1" t="str">
        <v>Poder Judicial</v>
      </c>
      <c r="D136" s="1" t="str">
        <v>Entrevista de actores clave</v>
      </c>
      <c r="E136" s="1" t="str">
        <v>Funcionarios del Sistema</v>
      </c>
      <c r="F136" s="1" t="str">
        <v>Distrito Judicial: Loreto</v>
      </c>
      <c r="G136" s="1" t="str">
        <v>IJM</v>
      </c>
      <c r="H136" s="1" t="str">
        <v>No</v>
      </c>
      <c r="I136" s="2" t="str">
        <v/>
      </c>
      <c r="J136" s="2" t="str">
        <v/>
      </c>
      <c r="K136" s="2" t="str">
        <v/>
      </c>
      <c r="L136" s="1" t="str">
        <v/>
      </c>
      <c r="M136" s="2" t="str">
        <v/>
      </c>
      <c r="N136" s="2" t="str">
        <v/>
      </c>
      <c r="O136" s="1" t="str">
        <v/>
      </c>
      <c r="P136" s="1" t="str">
        <v/>
      </c>
      <c r="Q136" s="1" t="str">
        <v/>
      </c>
      <c r="R136" s="1">
        <f t="shared" si="13"/>
        <v>0</v>
      </c>
      <c r="S136" s="1">
        <f t="shared" si="12"/>
        <v>0</v>
      </c>
      <c r="T136" s="1">
        <f t="shared" si="14"/>
        <v>0</v>
      </c>
      <c r="U136" s="1">
        <f t="shared" si="15"/>
        <v>0</v>
      </c>
      <c r="V136" s="1">
        <f t="shared" si="11"/>
        <v>0</v>
      </c>
    </row>
    <row r="137" x14ac:dyDescent="0.25">
      <c r="A137" s="1">
        <v>136</v>
      </c>
      <c r="B137" s="1" t="str">
        <v>Ricardo Samuel Del Pozo Moreno</v>
      </c>
      <c r="C137" s="1" t="str">
        <v>Poder Judicial</v>
      </c>
      <c r="D137" s="1" t="str">
        <v>Entrevista de actores clave</v>
      </c>
      <c r="E137" s="1" t="str">
        <v>Funcionarios del Sistema</v>
      </c>
      <c r="F137" s="1" t="str">
        <v>Distrito Judicial: Huánuco</v>
      </c>
      <c r="G137" s="1" t="str">
        <v>IJM</v>
      </c>
      <c r="H137" s="1" t="str">
        <v>No</v>
      </c>
      <c r="I137" s="2" t="str">
        <v/>
      </c>
      <c r="J137" s="2" t="str">
        <v/>
      </c>
      <c r="K137" s="2" t="str">
        <v/>
      </c>
      <c r="L137" s="1" t="str">
        <v/>
      </c>
      <c r="M137" s="2" t="str">
        <v/>
      </c>
      <c r="N137" s="2" t="str">
        <v/>
      </c>
      <c r="O137" s="1" t="str">
        <v/>
      </c>
      <c r="P137" s="1" t="str">
        <v/>
      </c>
      <c r="Q137" s="1" t="str">
        <v/>
      </c>
      <c r="R137" s="1">
        <f t="shared" si="13"/>
        <v>0</v>
      </c>
      <c r="S137" s="1">
        <f t="shared" si="12"/>
        <v>0</v>
      </c>
      <c r="T137" s="1">
        <f t="shared" si="14"/>
        <v>0</v>
      </c>
      <c r="U137" s="1">
        <f t="shared" si="15"/>
        <v>0</v>
      </c>
      <c r="V137" s="1">
        <f t="shared" si="11"/>
        <v>0</v>
      </c>
    </row>
    <row r="138" x14ac:dyDescent="0.25">
      <c r="A138" s="1">
        <v>137</v>
      </c>
      <c r="B138" s="1" t="str">
        <v>Ana Mirella Vasquez Bustamante</v>
      </c>
      <c r="C138" s="1" t="str">
        <v>Poder Judicial</v>
      </c>
      <c r="D138" s="1" t="str">
        <v>Entrevista de actores clave</v>
      </c>
      <c r="E138" s="1" t="str">
        <v>Funcionarios del Sistema</v>
      </c>
      <c r="F138" s="1" t="str">
        <v>Nacional</v>
      </c>
      <c r="G138" s="1" t="str">
        <v>IJM</v>
      </c>
      <c r="H138" s="1" t="str">
        <v>No</v>
      </c>
      <c r="I138" s="2" t="str">
        <v/>
      </c>
      <c r="J138" s="2" t="str">
        <v/>
      </c>
      <c r="K138" s="2" t="str">
        <v/>
      </c>
      <c r="L138" s="1" t="str">
        <v/>
      </c>
      <c r="M138" s="2" t="str">
        <v/>
      </c>
      <c r="N138" s="2" t="str">
        <v/>
      </c>
      <c r="O138" s="1" t="str">
        <v/>
      </c>
      <c r="P138" s="1" t="str">
        <v/>
      </c>
      <c r="Q138" s="1" t="str">
        <v/>
      </c>
      <c r="R138" s="1">
        <f t="shared" si="13"/>
        <v>0</v>
      </c>
      <c r="S138" s="1">
        <f t="shared" si="12"/>
        <v>0</v>
      </c>
      <c r="T138" s="1">
        <f t="shared" si="14"/>
        <v>0</v>
      </c>
      <c r="U138" s="1">
        <f t="shared" si="15"/>
        <v>0</v>
      </c>
      <c r="V138" s="1">
        <f t="shared" si="11"/>
        <v>0</v>
      </c>
    </row>
    <row r="139" x14ac:dyDescent="0.25">
      <c r="A139" s="1">
        <v>138</v>
      </c>
      <c r="B139" s="1" t="str">
        <v>Renzo Manuel Medina Chavez</v>
      </c>
      <c r="C139" s="1" t="str">
        <v>Poder Judicial</v>
      </c>
      <c r="D139" s="1" t="str">
        <v>Entrevista de actores clave</v>
      </c>
      <c r="E139" s="1" t="str">
        <v>Funcionarios del Sistema</v>
      </c>
      <c r="F139" s="1" t="str">
        <v>Nacional</v>
      </c>
      <c r="G139" s="1" t="str">
        <v>IJM</v>
      </c>
      <c r="H139" s="1" t="str">
        <v>No</v>
      </c>
      <c r="I139" s="2" t="str">
        <v/>
      </c>
      <c r="J139" s="2" t="str">
        <v/>
      </c>
      <c r="K139" s="2" t="str">
        <v/>
      </c>
      <c r="L139" s="1" t="str">
        <v/>
      </c>
      <c r="M139" s="2" t="str">
        <v/>
      </c>
      <c r="N139" s="2" t="str">
        <v/>
      </c>
      <c r="O139" s="1" t="str">
        <v/>
      </c>
      <c r="P139" s="1" t="str">
        <v/>
      </c>
      <c r="Q139" s="1" t="str">
        <v/>
      </c>
      <c r="R139" s="1">
        <f t="shared" si="13"/>
        <v>0</v>
      </c>
      <c r="S139" s="1">
        <f t="shared" si="12"/>
        <v>0</v>
      </c>
      <c r="T139" s="1">
        <f t="shared" si="14"/>
        <v>0</v>
      </c>
      <c r="U139" s="1">
        <f t="shared" si="15"/>
        <v>0</v>
      </c>
      <c r="V139" s="1">
        <f t="shared" si="11"/>
        <v>0</v>
      </c>
    </row>
    <row r="140" x14ac:dyDescent="0.25">
      <c r="A140" s="1">
        <v>139</v>
      </c>
      <c r="B140" s="1" t="str">
        <v>Denny Chavez Morales</v>
      </c>
      <c r="C140" s="1" t="str">
        <v>Poder Judicial</v>
      </c>
      <c r="D140" s="1" t="str">
        <v>Entrevista de actores clave</v>
      </c>
      <c r="E140" s="1" t="str">
        <v>Funcionarios del Sistema</v>
      </c>
      <c r="F140" s="1" t="str">
        <v>Distrito Judicial: Ucayali</v>
      </c>
      <c r="G140" s="1" t="str">
        <v>IJM</v>
      </c>
      <c r="H140" s="1" t="str">
        <v>No</v>
      </c>
      <c r="I140" s="2" t="str">
        <v/>
      </c>
      <c r="J140" s="2" t="str">
        <v/>
      </c>
      <c r="K140" s="2" t="str">
        <v/>
      </c>
      <c r="L140" s="1" t="str">
        <v/>
      </c>
      <c r="M140" s="2" t="str">
        <v/>
      </c>
      <c r="N140" s="2" t="str">
        <v/>
      </c>
      <c r="O140" s="1" t="str">
        <v/>
      </c>
      <c r="P140" s="1" t="str">
        <v/>
      </c>
      <c r="Q140" s="1" t="str">
        <v/>
      </c>
      <c r="R140" s="1">
        <f t="shared" si="13"/>
        <v>0</v>
      </c>
      <c r="S140" s="1">
        <f t="shared" si="12"/>
        <v>0</v>
      </c>
      <c r="T140" s="1">
        <f t="shared" si="14"/>
        <v>0</v>
      </c>
      <c r="U140" s="1">
        <f t="shared" si="15"/>
        <v>0</v>
      </c>
      <c r="V140" s="1">
        <f t="shared" si="11"/>
        <v>0</v>
      </c>
    </row>
    <row r="141" x14ac:dyDescent="0.25">
      <c r="A141" s="1">
        <v>140</v>
      </c>
      <c r="B141" s="1" t="str">
        <v>Oscar Manuel Arriola Delgado</v>
      </c>
      <c r="C141" s="1" t="str">
        <v>Policía Nacional del Perú</v>
      </c>
      <c r="D141" s="1" t="str">
        <v>Entrevista de actores clave</v>
      </c>
      <c r="E141" s="1" t="str">
        <v>Funcionarios del Sistema</v>
      </c>
      <c r="F141" s="1" t="str">
        <v>Nacional</v>
      </c>
      <c r="G141" s="1" t="str">
        <v>IJM</v>
      </c>
      <c r="H141" s="1" t="str">
        <v>Sí</v>
      </c>
      <c r="I141" s="2">
        <v>46107</v>
      </c>
      <c r="J141" s="2">
        <v>46147</v>
      </c>
      <c r="K141" s="2">
        <v>46164</v>
      </c>
      <c r="L141" s="1" t="str">
        <v>Sin respuesta</v>
      </c>
      <c r="M141" s="2" t="str">
        <v/>
      </c>
      <c r="N141" s="2" t="str">
        <v/>
      </c>
      <c r="O141" s="1" t="str">
        <v>Sin respuesta</v>
      </c>
      <c r="P141" s="1" t="str">
        <v/>
      </c>
      <c r="Q141" s="1" t="str">
        <v/>
      </c>
      <c r="R141" s="1">
        <f t="shared" si="13"/>
        <v>1</v>
      </c>
      <c r="S141" s="1">
        <f t="shared" si="12"/>
        <v>0</v>
      </c>
      <c r="T141" s="1">
        <f t="shared" si="14"/>
        <v>0</v>
      </c>
      <c r="U141" s="1">
        <f t="shared" si="15"/>
        <v>0</v>
      </c>
      <c r="V141" s="1">
        <f t="shared" si="11"/>
        <v>1</v>
      </c>
    </row>
    <row r="142" x14ac:dyDescent="0.25">
      <c r="A142" s="1">
        <v>141</v>
      </c>
      <c r="B142" s="1" t="str">
        <v>Eliam Rene Silva García</v>
      </c>
      <c r="C142" s="1" t="str">
        <v>Policía Nacional del Perú</v>
      </c>
      <c r="D142" s="1" t="str">
        <v>Entrevista de actores clave</v>
      </c>
      <c r="E142" s="1" t="str">
        <v>Funcionarios del Sistema</v>
      </c>
      <c r="F142" s="1" t="str">
        <v>Nacional</v>
      </c>
      <c r="G142" s="1" t="str">
        <v>IJM</v>
      </c>
      <c r="H142" s="1" t="str">
        <v>No</v>
      </c>
      <c r="I142" s="2" t="str">
        <v/>
      </c>
      <c r="J142" s="2" t="str">
        <v/>
      </c>
      <c r="K142" s="2" t="str">
        <v/>
      </c>
      <c r="L142" s="1" t="str">
        <v/>
      </c>
      <c r="M142" s="2" t="str">
        <v/>
      </c>
      <c r="N142" s="2" t="str">
        <v/>
      </c>
      <c r="O142" s="1" t="str">
        <v/>
      </c>
      <c r="P142" s="1" t="str">
        <v/>
      </c>
      <c r="Q142" s="1" t="str">
        <v/>
      </c>
      <c r="R142" s="1">
        <f t="shared" si="13"/>
        <v>0</v>
      </c>
      <c r="S142" s="1">
        <f t="shared" si="12"/>
        <v>0</v>
      </c>
      <c r="T142" s="1">
        <f t="shared" si="14"/>
        <v>0</v>
      </c>
      <c r="U142" s="1">
        <f t="shared" si="15"/>
        <v>0</v>
      </c>
      <c r="V142" s="1">
        <f t="shared" si="11"/>
        <v>0</v>
      </c>
    </row>
    <row r="143" x14ac:dyDescent="0.25">
      <c r="A143" s="1">
        <v>142</v>
      </c>
      <c r="B143" s="1" t="str">
        <v>Nerdaly Sareli Cerrón Poma</v>
      </c>
      <c r="C143" s="1" t="str">
        <v>Policía Nacional del Perú</v>
      </c>
      <c r="D143" s="1" t="str">
        <v>Entrevista de actores clave</v>
      </c>
      <c r="E143" s="1" t="str">
        <v>Funcionarios del Sistema</v>
      </c>
      <c r="F143" s="1" t="str">
        <v>Distrito Judicial: Ayacucho</v>
      </c>
      <c r="G143" s="1" t="str">
        <v>IJM</v>
      </c>
      <c r="H143" s="1" t="str">
        <v>No</v>
      </c>
      <c r="I143" s="2" t="str">
        <v/>
      </c>
      <c r="J143" s="2" t="str">
        <v/>
      </c>
      <c r="K143" s="2" t="str">
        <v/>
      </c>
      <c r="L143" s="1" t="str">
        <v/>
      </c>
      <c r="M143" s="2" t="str">
        <v/>
      </c>
      <c r="N143" s="2" t="str">
        <v/>
      </c>
      <c r="O143" s="1" t="str">
        <v/>
      </c>
      <c r="P143" s="1" t="str">
        <v/>
      </c>
      <c r="Q143" s="1" t="str">
        <v/>
      </c>
      <c r="R143" s="1">
        <f t="shared" si="13"/>
        <v>0</v>
      </c>
      <c r="S143" s="1">
        <f t="shared" si="12"/>
        <v>0</v>
      </c>
      <c r="T143" s="1">
        <f t="shared" si="14"/>
        <v>0</v>
      </c>
      <c r="U143" s="1">
        <f t="shared" si="15"/>
        <v>0</v>
      </c>
      <c r="V143" s="1">
        <f t="shared" si="11"/>
        <v>0</v>
      </c>
    </row>
    <row r="144" x14ac:dyDescent="0.25">
      <c r="A144" s="1">
        <v>143</v>
      </c>
      <c r="B144" s="1" t="str">
        <v>COMISARIA DE LA MUJER  (Independencia)</v>
      </c>
      <c r="C144" s="1" t="str">
        <v>Policía Nacional del Perú</v>
      </c>
      <c r="D144" s="1" t="str">
        <v>Entrevista de actores clave</v>
      </c>
      <c r="E144" s="1" t="str">
        <v>Funcionarios del Sistema</v>
      </c>
      <c r="F144" s="1" t="str">
        <v>Nacional</v>
      </c>
      <c r="G144" s="1" t="str">
        <v>IJM</v>
      </c>
      <c r="H144" s="1" t="str">
        <v>Sí</v>
      </c>
      <c r="I144" s="2">
        <v>46087</v>
      </c>
      <c r="J144" s="2">
        <v>46107</v>
      </c>
      <c r="K144" s="2">
        <v>46164</v>
      </c>
      <c r="L144" s="1" t="str">
        <v>Rechazada</v>
      </c>
      <c r="M144" s="2" t="str">
        <v/>
      </c>
      <c r="N144" s="2" t="str">
        <v/>
      </c>
      <c r="O144" s="1" t="str">
        <v>Rechazada</v>
      </c>
      <c r="P144" s="1" t="str">
        <v/>
      </c>
      <c r="Q144" s="1" t="str">
        <v/>
      </c>
      <c r="R144" s="1">
        <f t="shared" si="13"/>
        <v>1</v>
      </c>
      <c r="S144" s="1">
        <f t="shared" si="12"/>
        <v>0</v>
      </c>
      <c r="T144" s="1">
        <f t="shared" si="14"/>
        <v>0</v>
      </c>
      <c r="U144" s="1">
        <f t="shared" si="15"/>
        <v>0</v>
      </c>
      <c r="V144" s="1">
        <f t="shared" si="11"/>
        <v>0</v>
      </c>
    </row>
    <row r="145" x14ac:dyDescent="0.25">
      <c r="A145" s="1">
        <v>144</v>
      </c>
      <c r="B145" s="1" t="str">
        <v>Carlos Alejandro Céspedes Muñoz</v>
      </c>
      <c r="C145" s="1" t="str">
        <v>Policía Nacional del Perú</v>
      </c>
      <c r="D145" s="1" t="str">
        <v>Entrevista de actores clave</v>
      </c>
      <c r="E145" s="1" t="str">
        <v>Funcionarios del Sistema</v>
      </c>
      <c r="F145" s="1" t="str">
        <v>Nacional</v>
      </c>
      <c r="G145" s="1" t="str">
        <v>IJM</v>
      </c>
      <c r="H145" s="1" t="str">
        <v>Sí</v>
      </c>
      <c r="I145" s="2">
        <v>46147</v>
      </c>
      <c r="J145" s="2">
        <v>46164</v>
      </c>
      <c r="K145" s="2" t="str">
        <v/>
      </c>
      <c r="L145" s="1" t="str">
        <v>Sin respuesta</v>
      </c>
      <c r="M145" s="2" t="str">
        <v/>
      </c>
      <c r="N145" s="2" t="str">
        <v/>
      </c>
      <c r="O145" s="1" t="str">
        <v>Sin respuesta</v>
      </c>
      <c r="P145" s="1" t="str">
        <v/>
      </c>
      <c r="Q145" s="1" t="str">
        <v/>
      </c>
      <c r="R145" s="1">
        <f t="shared" si="13"/>
        <v>1</v>
      </c>
      <c r="S145" s="1">
        <f t="shared" si="12"/>
        <v>0</v>
      </c>
      <c r="T145" s="1">
        <f t="shared" si="14"/>
        <v>0</v>
      </c>
      <c r="U145" s="1">
        <f t="shared" si="15"/>
        <v>0</v>
      </c>
      <c r="V145" s="1">
        <f t="shared" si="11"/>
        <v>1</v>
      </c>
    </row>
    <row r="146" x14ac:dyDescent="0.25">
      <c r="A146" s="1">
        <v>145</v>
      </c>
      <c r="B146" s="1" t="str">
        <v>Luis Miguel Gamarra Chavarry</v>
      </c>
      <c r="C146" s="1" t="str">
        <v>Policía Nacional del Perú</v>
      </c>
      <c r="D146" s="1" t="str">
        <v>Entrevista de actores clave</v>
      </c>
      <c r="E146" s="1" t="str">
        <v>Funcionarios del Sistema</v>
      </c>
      <c r="F146" s="1" t="str">
        <v>Nacional</v>
      </c>
      <c r="G146" s="1" t="str">
        <v>IJM</v>
      </c>
      <c r="H146" s="1" t="str">
        <v>Sí</v>
      </c>
      <c r="I146" s="2">
        <v>46147</v>
      </c>
      <c r="J146" s="2">
        <v>46164</v>
      </c>
      <c r="K146" s="2" t="str">
        <v/>
      </c>
      <c r="L146" s="1" t="str">
        <v>Sin respuesta</v>
      </c>
      <c r="M146" s="2" t="str">
        <v/>
      </c>
      <c r="N146" s="2" t="str">
        <v/>
      </c>
      <c r="O146" s="1" t="str">
        <v>Sin respuesta</v>
      </c>
      <c r="P146" s="1" t="str">
        <v/>
      </c>
      <c r="Q146" s="1" t="str">
        <v/>
      </c>
      <c r="R146" s="1">
        <f t="shared" si="13"/>
        <v>1</v>
      </c>
      <c r="S146" s="1">
        <f t="shared" si="12"/>
        <v>0</v>
      </c>
      <c r="T146" s="1">
        <f t="shared" si="14"/>
        <v>0</v>
      </c>
      <c r="U146" s="1">
        <f t="shared" si="15"/>
        <v>0</v>
      </c>
      <c r="V146" s="1">
        <f t="shared" si="11"/>
        <v>1</v>
      </c>
    </row>
    <row r="147" x14ac:dyDescent="0.25">
      <c r="A147" s="1">
        <v>146</v>
      </c>
      <c r="B147" s="1" t="str">
        <v>Zenón Santos Loayza Díaz</v>
      </c>
      <c r="C147" s="1" t="str">
        <v>Policía Nacional del Perú</v>
      </c>
      <c r="D147" s="1" t="str">
        <v>Entrevista de actores clave</v>
      </c>
      <c r="E147" s="1" t="str">
        <v>Funcionarios del Sistema</v>
      </c>
      <c r="F147" s="1" t="str">
        <v>Nacional</v>
      </c>
      <c r="G147" s="1" t="str">
        <v>IJM</v>
      </c>
      <c r="H147" s="1" t="str">
        <v>Sí</v>
      </c>
      <c r="I147" s="2">
        <v>46147</v>
      </c>
      <c r="J147" s="2" t="str">
        <v/>
      </c>
      <c r="K147" s="2" t="str">
        <v/>
      </c>
      <c r="L147" s="1" t="str">
        <v>Sin respuesta</v>
      </c>
      <c r="M147" s="2" t="str">
        <v/>
      </c>
      <c r="N147" s="2" t="str">
        <v/>
      </c>
      <c r="O147" s="1" t="str">
        <v>Sin respuesta</v>
      </c>
      <c r="P147" s="1" t="str">
        <v/>
      </c>
      <c r="Q147" s="1" t="str">
        <v/>
      </c>
      <c r="R147" s="1">
        <f t="shared" si="13"/>
        <v>1</v>
      </c>
      <c r="S147" s="1">
        <f t="shared" si="12"/>
        <v>0</v>
      </c>
      <c r="T147" s="1">
        <f t="shared" si="14"/>
        <v>0</v>
      </c>
      <c r="U147" s="1">
        <f t="shared" si="15"/>
        <v>0</v>
      </c>
      <c r="V147" s="1">
        <f t="shared" si="11"/>
        <v>1</v>
      </c>
    </row>
    <row r="148" x14ac:dyDescent="0.25">
      <c r="A148" s="1">
        <v>147</v>
      </c>
      <c r="B148" s="1" t="str">
        <v>Fredy López Mendoza</v>
      </c>
      <c r="C148" s="1" t="str">
        <v>Policía Nacional del Perú</v>
      </c>
      <c r="D148" s="1" t="str">
        <v>Entrevista de actores clave</v>
      </c>
      <c r="E148" s="1" t="str">
        <v>Funcionarios del Sistema</v>
      </c>
      <c r="F148" s="1" t="str">
        <v>Distrito Judicial: Cajamarca</v>
      </c>
      <c r="G148" s="1" t="str">
        <v>IJM</v>
      </c>
      <c r="H148" s="1" t="str">
        <v>Sí</v>
      </c>
      <c r="I148" s="2">
        <v>46147</v>
      </c>
      <c r="J148" s="2" t="str">
        <v/>
      </c>
      <c r="K148" s="2" t="str">
        <v/>
      </c>
      <c r="L148" s="1" t="str">
        <v>Sin respuesta</v>
      </c>
      <c r="M148" s="2" t="str">
        <v/>
      </c>
      <c r="N148" s="2" t="str">
        <v/>
      </c>
      <c r="O148" s="1" t="str">
        <v>Sin respuesta</v>
      </c>
      <c r="P148" s="1" t="str">
        <v/>
      </c>
      <c r="Q148" s="1" t="str">
        <v/>
      </c>
      <c r="R148" s="1">
        <f t="shared" si="13"/>
        <v>1</v>
      </c>
      <c r="S148" s="1">
        <f t="shared" si="12"/>
        <v>0</v>
      </c>
      <c r="T148" s="1">
        <f t="shared" si="14"/>
        <v>0</v>
      </c>
      <c r="U148" s="1">
        <f t="shared" si="15"/>
        <v>0</v>
      </c>
      <c r="V148" s="1">
        <f t="shared" si="11"/>
        <v>1</v>
      </c>
    </row>
    <row r="149" x14ac:dyDescent="0.25">
      <c r="A149" s="1">
        <v>148</v>
      </c>
      <c r="B149" s="1" t="str">
        <v>Región Policial Lambayeque de la PNP</v>
      </c>
      <c r="C149" s="1" t="str">
        <v>Policía Nacional del Perú</v>
      </c>
      <c r="D149" s="1" t="str">
        <v>Entrevista de actores clave</v>
      </c>
      <c r="E149" s="1" t="str">
        <v>Funcionarios del Sistema</v>
      </c>
      <c r="F149" s="1" t="str">
        <v>Distrito Judicial: Apurímac</v>
      </c>
      <c r="G149" s="1" t="str">
        <v>IJM</v>
      </c>
      <c r="H149" s="1" t="str">
        <v>Sí</v>
      </c>
      <c r="I149" s="2">
        <v>46147</v>
      </c>
      <c r="J149" s="2" t="str">
        <v/>
      </c>
      <c r="K149" s="2" t="str">
        <v/>
      </c>
      <c r="L149" s="1" t="str">
        <v>Sin respuesta</v>
      </c>
      <c r="M149" s="2" t="str">
        <v/>
      </c>
      <c r="N149" s="2" t="str">
        <v/>
      </c>
      <c r="O149" s="1" t="str">
        <v>Sin respuesta</v>
      </c>
      <c r="P149" s="1" t="str">
        <v/>
      </c>
      <c r="Q149" s="1" t="str">
        <v/>
      </c>
      <c r="R149" s="1">
        <f t="shared" si="13"/>
        <v>1</v>
      </c>
      <c r="S149" s="1">
        <f t="shared" si="12"/>
        <v>0</v>
      </c>
      <c r="T149" s="1">
        <f t="shared" si="14"/>
        <v>0</v>
      </c>
      <c r="U149" s="1">
        <f t="shared" si="15"/>
        <v>0</v>
      </c>
      <c r="V149" s="1">
        <f t="shared" si="11"/>
        <v>1</v>
      </c>
    </row>
    <row r="150" x14ac:dyDescent="0.25">
      <c r="A150" s="1">
        <v>149</v>
      </c>
      <c r="B150" s="1" t="str">
        <v>Región Policial La Libertad de la PNP</v>
      </c>
      <c r="C150" s="1" t="str">
        <v>Policía Nacional del Perú</v>
      </c>
      <c r="D150" s="1" t="str">
        <v>Entrevista de actores clave</v>
      </c>
      <c r="E150" s="1" t="str">
        <v>Funcionarios del Sistema</v>
      </c>
      <c r="F150" s="1" t="str">
        <v>Nacional</v>
      </c>
      <c r="G150" s="1" t="str">
        <v>IJM</v>
      </c>
      <c r="H150" s="1" t="str">
        <v>Sí</v>
      </c>
      <c r="I150" s="2">
        <v>46147</v>
      </c>
      <c r="J150" s="2" t="str">
        <v/>
      </c>
      <c r="K150" s="2" t="str">
        <v/>
      </c>
      <c r="L150" s="1" t="str">
        <v>Sin respuesta</v>
      </c>
      <c r="M150" s="2" t="str">
        <v/>
      </c>
      <c r="N150" s="2" t="str">
        <v/>
      </c>
      <c r="O150" s="1" t="str">
        <v>Sin respuesta</v>
      </c>
      <c r="P150" s="1" t="str">
        <v/>
      </c>
      <c r="Q150" s="1" t="str">
        <v/>
      </c>
      <c r="R150" s="1">
        <f t="shared" si="13"/>
        <v>1</v>
      </c>
      <c r="S150" s="1">
        <f t="shared" si="12"/>
        <v>0</v>
      </c>
      <c r="T150" s="1">
        <f t="shared" si="14"/>
        <v>0</v>
      </c>
      <c r="U150" s="1">
        <f t="shared" si="15"/>
        <v>0</v>
      </c>
      <c r="V150" s="1">
        <f t="shared" si="11"/>
        <v>1</v>
      </c>
    </row>
    <row r="151" x14ac:dyDescent="0.25">
      <c r="A151" s="1">
        <v>150</v>
      </c>
      <c r="B151" s="1" t="str">
        <v>Región Policial Loreto de la PNP</v>
      </c>
      <c r="C151" s="1" t="str">
        <v>Policía Nacional del Perú</v>
      </c>
      <c r="D151" s="1" t="str">
        <v>Entrevista de actores clave</v>
      </c>
      <c r="E151" s="1" t="str">
        <v>Funcionarios del Sistema</v>
      </c>
      <c r="F151" s="1" t="str">
        <v>Nacional</v>
      </c>
      <c r="G151" s="1" t="str">
        <v>IJM</v>
      </c>
      <c r="H151" s="1" t="str">
        <v>Sí</v>
      </c>
      <c r="I151" s="2">
        <v>46147</v>
      </c>
      <c r="J151" s="2" t="str">
        <v/>
      </c>
      <c r="K151" s="2" t="str">
        <v/>
      </c>
      <c r="L151" s="1" t="str">
        <v>En coordinación</v>
      </c>
      <c r="M151" s="2" t="str">
        <v/>
      </c>
      <c r="N151" s="2" t="str">
        <v/>
      </c>
      <c r="O151" s="1" t="str">
        <v>En coordinación</v>
      </c>
      <c r="P151" s="1" t="str">
        <v/>
      </c>
      <c r="Q151" s="1" t="str">
        <v/>
      </c>
      <c r="R151" s="1">
        <f t="shared" si="13"/>
        <v>1</v>
      </c>
      <c r="S151" s="1">
        <f t="shared" si="12"/>
        <v>1</v>
      </c>
      <c r="T151" s="1">
        <f t="shared" si="14"/>
        <v>0</v>
      </c>
      <c r="U151" s="1">
        <f t="shared" si="15"/>
        <v>0</v>
      </c>
      <c r="V151" s="1">
        <f t="shared" ref="V151:V214" si="16">IF(L151="Sin respuesta",1,0)</f>
        <v>0</v>
      </c>
    </row>
    <row r="152" x14ac:dyDescent="0.25">
      <c r="A152" s="1">
        <v>151</v>
      </c>
      <c r="B152" s="1" t="str">
        <v>Región Policial Huánuco de la PNP</v>
      </c>
      <c r="C152" s="1" t="str">
        <v>Policía Nacional del Perú</v>
      </c>
      <c r="D152" s="1" t="str">
        <v>Entrevista de actores clave</v>
      </c>
      <c r="E152" s="1" t="str">
        <v>Funcionarios del Sistema</v>
      </c>
      <c r="F152" s="1" t="str">
        <v>Distrito Judicial: Cajamarca</v>
      </c>
      <c r="G152" s="1" t="str">
        <v>IJM</v>
      </c>
      <c r="H152" s="1" t="str">
        <v>Sí</v>
      </c>
      <c r="I152" s="2">
        <v>46147</v>
      </c>
      <c r="J152" s="2" t="str">
        <v/>
      </c>
      <c r="K152" s="2" t="str">
        <v/>
      </c>
      <c r="L152" s="1" t="str">
        <v>Rechazada</v>
      </c>
      <c r="M152" s="2" t="str">
        <v/>
      </c>
      <c r="N152" s="2" t="str">
        <v/>
      </c>
      <c r="O152" s="1" t="str">
        <v>Rechazada</v>
      </c>
      <c r="P152" s="1" t="str">
        <v/>
      </c>
      <c r="Q152" s="1" t="str">
        <v/>
      </c>
      <c r="R152" s="1">
        <f t="shared" si="13"/>
        <v>1</v>
      </c>
      <c r="S152" s="1">
        <f t="shared" si="12"/>
        <v>0</v>
      </c>
      <c r="T152" s="1">
        <f t="shared" si="14"/>
        <v>0</v>
      </c>
      <c r="U152" s="1">
        <f t="shared" si="15"/>
        <v>0</v>
      </c>
      <c r="V152" s="1">
        <f t="shared" si="16"/>
        <v>0</v>
      </c>
    </row>
    <row r="153" x14ac:dyDescent="0.25">
      <c r="A153" s="1">
        <v>152</v>
      </c>
      <c r="B153" s="1" t="str">
        <v>Región Policial Arequipa de la PNP </v>
      </c>
      <c r="C153" s="1" t="str">
        <v>Policía Nacional del Perú</v>
      </c>
      <c r="D153" s="1" t="str">
        <v>Entrevista de actores clave</v>
      </c>
      <c r="E153" s="1" t="str">
        <v>Funcionarios del Sistema</v>
      </c>
      <c r="F153" s="1" t="str">
        <v>Nacional</v>
      </c>
      <c r="G153" s="1" t="str">
        <v>IJM</v>
      </c>
      <c r="H153" s="1" t="str">
        <v>Sí</v>
      </c>
      <c r="I153" s="2">
        <v>46147</v>
      </c>
      <c r="J153" s="2" t="str">
        <v/>
      </c>
      <c r="K153" s="2" t="str">
        <v/>
      </c>
      <c r="L153" s="1" t="str">
        <v>Sin respuesta</v>
      </c>
      <c r="M153" s="2" t="str">
        <v/>
      </c>
      <c r="N153" s="2" t="str">
        <v/>
      </c>
      <c r="O153" s="1" t="str">
        <v>Sin respuesta</v>
      </c>
      <c r="P153" s="1" t="str">
        <v/>
      </c>
      <c r="Q153" s="1" t="str">
        <v/>
      </c>
      <c r="R153" s="1">
        <f t="shared" si="13"/>
        <v>1</v>
      </c>
      <c r="S153" s="1">
        <f t="shared" si="12"/>
        <v>0</v>
      </c>
      <c r="T153" s="1">
        <f t="shared" si="14"/>
        <v>0</v>
      </c>
      <c r="U153" s="1">
        <f t="shared" si="15"/>
        <v>0</v>
      </c>
      <c r="V153" s="1">
        <f t="shared" si="16"/>
        <v>1</v>
      </c>
    </row>
    <row r="154" x14ac:dyDescent="0.25">
      <c r="A154" s="1">
        <v>153</v>
      </c>
      <c r="B154" s="1" t="str">
        <v>Región Policial Puno de la PNP </v>
      </c>
      <c r="C154" s="1" t="str">
        <v>Policía Nacional del Perú</v>
      </c>
      <c r="D154" s="1" t="str">
        <v>Entrevista de actores clave</v>
      </c>
      <c r="E154" s="1" t="str">
        <v>Funcionarios del Sistema</v>
      </c>
      <c r="F154" s="1" t="str">
        <v>Distrito Judicial: Lima Norte</v>
      </c>
      <c r="G154" s="1" t="str">
        <v>IJM</v>
      </c>
      <c r="H154" s="1" t="str">
        <v>Sí</v>
      </c>
      <c r="I154" s="2">
        <v>46147</v>
      </c>
      <c r="J154" s="2" t="str">
        <v/>
      </c>
      <c r="K154" s="2" t="str">
        <v/>
      </c>
      <c r="L154" s="1" t="str">
        <v>Sin respuesta</v>
      </c>
      <c r="M154" s="2" t="str">
        <v/>
      </c>
      <c r="N154" s="2" t="str">
        <v/>
      </c>
      <c r="O154" s="1" t="str">
        <v>Sin respuesta</v>
      </c>
      <c r="P154" s="1" t="str">
        <v/>
      </c>
      <c r="Q154" s="1" t="str">
        <v/>
      </c>
      <c r="R154" s="1">
        <f t="shared" si="13"/>
        <v>1</v>
      </c>
      <c r="S154" s="1">
        <f t="shared" si="12"/>
        <v>0</v>
      </c>
      <c r="T154" s="1">
        <f t="shared" si="14"/>
        <v>0</v>
      </c>
      <c r="U154" s="1">
        <f t="shared" si="15"/>
        <v>0</v>
      </c>
      <c r="V154" s="1">
        <f t="shared" si="16"/>
        <v>1</v>
      </c>
    </row>
    <row r="155" x14ac:dyDescent="0.25">
      <c r="A155" s="1">
        <v>154</v>
      </c>
      <c r="B155" s="1" t="str">
        <v>Región Policial Ucayali de la PNP </v>
      </c>
      <c r="C155" s="1" t="str">
        <v>Policía Nacional del Perú</v>
      </c>
      <c r="D155" s="1" t="str">
        <v>Entrevista de actores clave</v>
      </c>
      <c r="E155" s="1" t="str">
        <v>Funcionarios del Sistema</v>
      </c>
      <c r="F155" s="1" t="str">
        <v>Nacional</v>
      </c>
      <c r="G155" s="1" t="str">
        <v>IJM</v>
      </c>
      <c r="H155" s="1" t="str">
        <v>Sí</v>
      </c>
      <c r="I155" s="2">
        <v>46147</v>
      </c>
      <c r="J155" s="2" t="str">
        <v/>
      </c>
      <c r="K155" s="2" t="str">
        <v/>
      </c>
      <c r="L155" s="1" t="str">
        <v>Sin respuesta</v>
      </c>
      <c r="M155" s="2" t="str">
        <v/>
      </c>
      <c r="N155" s="2" t="str">
        <v/>
      </c>
      <c r="O155" s="1" t="str">
        <v>Sin respuesta</v>
      </c>
      <c r="P155" s="1" t="str">
        <v/>
      </c>
      <c r="Q155" s="1" t="str">
        <v/>
      </c>
      <c r="R155" s="1">
        <f t="shared" si="13"/>
        <v>1</v>
      </c>
      <c r="S155" s="1">
        <f t="shared" si="12"/>
        <v>0</v>
      </c>
      <c r="T155" s="1">
        <f t="shared" si="14"/>
        <v>0</v>
      </c>
      <c r="U155" s="1">
        <f t="shared" si="15"/>
        <v>0</v>
      </c>
      <c r="V155" s="1">
        <f t="shared" si="16"/>
        <v>1</v>
      </c>
    </row>
    <row r="156" x14ac:dyDescent="0.25">
      <c r="A156" s="1">
        <v>155</v>
      </c>
      <c r="B156" s="1" t="str">
        <v>Eva Ambicho Mandujano</v>
      </c>
      <c r="C156" s="1" t="str">
        <v>Policía Nacional del Perú</v>
      </c>
      <c r="D156" s="1" t="str">
        <v>Entrevista de actores clave</v>
      </c>
      <c r="E156" s="1" t="str">
        <v>Funcionarios del Sistema</v>
      </c>
      <c r="F156" s="1" t="str">
        <v>Distrito Judicial: Loreto</v>
      </c>
      <c r="G156" s="1" t="str">
        <v>IJM</v>
      </c>
      <c r="H156" s="1" t="str">
        <v>Sí</v>
      </c>
      <c r="I156" s="2">
        <v>46147</v>
      </c>
      <c r="J156" s="2" t="str">
        <v/>
      </c>
      <c r="K156" s="2" t="str">
        <v/>
      </c>
      <c r="L156" s="1" t="str">
        <v>Realizada completa</v>
      </c>
      <c r="M156" s="2">
        <v>46154</v>
      </c>
      <c r="N156" s="2" t="str">
        <v/>
      </c>
      <c r="O156" s="1" t="str">
        <v>Realizada completa</v>
      </c>
      <c r="P156" s="1" t="str">
        <v/>
      </c>
      <c r="Q156" s="1" t="str">
        <v>A distancia asistido</v>
      </c>
      <c r="R156" s="1">
        <f t="shared" si="13"/>
        <v>1</v>
      </c>
      <c r="S156" s="1">
        <f t="shared" si="12"/>
        <v>0</v>
      </c>
      <c r="T156" s="1">
        <f t="shared" si="14"/>
        <v>0</v>
      </c>
      <c r="U156" s="1">
        <f t="shared" si="15"/>
        <v>1</v>
      </c>
      <c r="V156" s="1">
        <f t="shared" si="16"/>
        <v>0</v>
      </c>
    </row>
    <row r="157" x14ac:dyDescent="0.25">
      <c r="A157" s="1">
        <v>156</v>
      </c>
      <c r="B157" s="1" t="str">
        <v>Región Policial Junín de la PNP </v>
      </c>
      <c r="C157" s="1" t="str">
        <v>Policía Nacional del Perú</v>
      </c>
      <c r="D157" s="1" t="str">
        <v>Entrevista de actores clave</v>
      </c>
      <c r="E157" s="1" t="str">
        <v>Funcionarios del Sistema</v>
      </c>
      <c r="F157" s="1" t="str">
        <v>Nacional</v>
      </c>
      <c r="G157" s="1" t="str">
        <v>IJM</v>
      </c>
      <c r="H157" s="1" t="str">
        <v>Sí</v>
      </c>
      <c r="I157" s="2">
        <v>46147</v>
      </c>
      <c r="J157" s="2" t="str">
        <v/>
      </c>
      <c r="K157" s="2" t="str">
        <v/>
      </c>
      <c r="L157" s="1" t="str">
        <v>Rechazada</v>
      </c>
      <c r="M157" s="2" t="str">
        <v/>
      </c>
      <c r="N157" s="2" t="str">
        <v/>
      </c>
      <c r="O157" s="1" t="str">
        <v>Rechazada</v>
      </c>
      <c r="P157" s="1" t="str">
        <v/>
      </c>
      <c r="Q157" s="1" t="str">
        <v/>
      </c>
      <c r="R157" s="1">
        <f t="shared" si="13"/>
        <v>1</v>
      </c>
      <c r="S157" s="1">
        <f t="shared" si="12"/>
        <v>0</v>
      </c>
      <c r="T157" s="1">
        <f t="shared" si="14"/>
        <v>0</v>
      </c>
      <c r="U157" s="1">
        <f t="shared" si="15"/>
        <v>0</v>
      </c>
      <c r="V157" s="1">
        <f t="shared" si="16"/>
        <v>0</v>
      </c>
    </row>
    <row r="158" x14ac:dyDescent="0.25">
      <c r="A158" s="1">
        <v>157</v>
      </c>
      <c r="B158" s="1" t="str">
        <v>Región Policial Cusco de la PNP </v>
      </c>
      <c r="C158" s="1" t="str">
        <v>Policía Nacional del Perú</v>
      </c>
      <c r="D158" s="1" t="str">
        <v>Entrevista de actores clave</v>
      </c>
      <c r="E158" s="1" t="str">
        <v>Funcionarios del Sistema</v>
      </c>
      <c r="F158" s="1" t="str">
        <v>Nacional</v>
      </c>
      <c r="G158" s="1" t="str">
        <v>IJM</v>
      </c>
      <c r="H158" s="1" t="str">
        <v>Sí</v>
      </c>
      <c r="I158" s="2">
        <v>46147</v>
      </c>
      <c r="J158" s="2" t="str">
        <v/>
      </c>
      <c r="K158" s="2" t="str">
        <v/>
      </c>
      <c r="L158" s="1" t="str">
        <v>Sin respuesta</v>
      </c>
      <c r="M158" s="2" t="str">
        <v/>
      </c>
      <c r="N158" s="2" t="str">
        <v/>
      </c>
      <c r="O158" s="1" t="str">
        <v>Sin respuesta</v>
      </c>
      <c r="P158" s="1" t="str">
        <v/>
      </c>
      <c r="Q158" s="1" t="str">
        <v/>
      </c>
      <c r="R158" s="1">
        <f t="shared" si="13"/>
        <v>1</v>
      </c>
      <c r="S158" s="1">
        <f t="shared" si="12"/>
        <v>0</v>
      </c>
      <c r="T158" s="1">
        <f t="shared" si="14"/>
        <v>0</v>
      </c>
      <c r="U158" s="1">
        <f t="shared" si="15"/>
        <v>0</v>
      </c>
      <c r="V158" s="1">
        <f t="shared" si="16"/>
        <v>1</v>
      </c>
    </row>
    <row r="159" x14ac:dyDescent="0.25">
      <c r="A159" s="1">
        <v>158</v>
      </c>
      <c r="B159" s="1" t="str">
        <v>Región Policial Ayacucho de la PNP</v>
      </c>
      <c r="C159" s="1" t="str">
        <v>Policía Nacional del Perú</v>
      </c>
      <c r="D159" s="1" t="str">
        <v>Entrevista de actores clave</v>
      </c>
      <c r="E159" s="1" t="str">
        <v>Funcionarios del Sistema</v>
      </c>
      <c r="F159" s="1" t="str">
        <v>Distrito Judicial: Ayacucho</v>
      </c>
      <c r="G159" s="1" t="str">
        <v>IJM</v>
      </c>
      <c r="H159" s="1" t="str">
        <v>Sí</v>
      </c>
      <c r="I159" s="2">
        <v>46147</v>
      </c>
      <c r="J159" s="2" t="str">
        <v/>
      </c>
      <c r="K159" s="2" t="str">
        <v/>
      </c>
      <c r="L159" s="1" t="str">
        <v>Sin respuesta</v>
      </c>
      <c r="M159" s="2" t="str">
        <v/>
      </c>
      <c r="N159" s="2" t="str">
        <v/>
      </c>
      <c r="O159" s="1" t="str">
        <v>Sin respuesta</v>
      </c>
      <c r="P159" s="1" t="str">
        <v/>
      </c>
      <c r="Q159" s="1" t="str">
        <v/>
      </c>
      <c r="R159" s="1">
        <f t="shared" si="13"/>
        <v>1</v>
      </c>
      <c r="S159" s="1">
        <f t="shared" si="12"/>
        <v>0</v>
      </c>
      <c r="T159" s="1">
        <f t="shared" si="14"/>
        <v>0</v>
      </c>
      <c r="U159" s="1">
        <f t="shared" si="15"/>
        <v>0</v>
      </c>
      <c r="V159" s="1">
        <f t="shared" si="16"/>
        <v>1</v>
      </c>
    </row>
    <row r="160" x14ac:dyDescent="0.25">
      <c r="A160" s="1">
        <v>159</v>
      </c>
      <c r="B160" s="1" t="str">
        <v>Región Policial Arequipa de la PNP </v>
      </c>
      <c r="C160" s="1" t="str">
        <v>Policía Nacional del Perú</v>
      </c>
      <c r="D160" s="1" t="str">
        <v>Entrevista de actores clave</v>
      </c>
      <c r="E160" s="1" t="str">
        <v>Funcionarios del Sistema</v>
      </c>
      <c r="F160" s="1" t="str">
        <v>Nacional</v>
      </c>
      <c r="G160" s="1" t="str">
        <v>IJM</v>
      </c>
      <c r="H160" s="1" t="str">
        <v>Sí</v>
      </c>
      <c r="I160" s="2">
        <v>46147</v>
      </c>
      <c r="J160" s="2" t="str">
        <v/>
      </c>
      <c r="K160" s="2" t="str">
        <v/>
      </c>
      <c r="L160" s="1" t="str">
        <v>Sin respuesta</v>
      </c>
      <c r="M160" s="2" t="str">
        <v/>
      </c>
      <c r="N160" s="2" t="str">
        <v/>
      </c>
      <c r="O160" s="1" t="str">
        <v>Sin respuesta</v>
      </c>
      <c r="P160" s="1" t="str">
        <v/>
      </c>
      <c r="Q160" s="1" t="str">
        <v/>
      </c>
      <c r="R160" s="1">
        <f t="shared" si="13"/>
        <v>1</v>
      </c>
      <c r="S160" s="1">
        <f t="shared" si="12"/>
        <v>0</v>
      </c>
      <c r="T160" s="1">
        <f t="shared" si="14"/>
        <v>0</v>
      </c>
      <c r="U160" s="1">
        <f t="shared" si="15"/>
        <v>0</v>
      </c>
      <c r="V160" s="1">
        <f t="shared" si="16"/>
        <v>1</v>
      </c>
    </row>
    <row r="161" x14ac:dyDescent="0.25">
      <c r="A161" s="1">
        <v>160</v>
      </c>
      <c r="B161" s="1" t="str">
        <v>Región Policial San Martín de la PNP</v>
      </c>
      <c r="C161" s="1" t="str">
        <v>Policía Nacional del Perú</v>
      </c>
      <c r="D161" s="1" t="str">
        <v>Entrevista de actores clave</v>
      </c>
      <c r="E161" s="1" t="str">
        <v>Funcionarios del Sistema</v>
      </c>
      <c r="F161" s="1" t="str">
        <v>Nacional</v>
      </c>
      <c r="G161" s="1" t="str">
        <v>IJM</v>
      </c>
      <c r="H161" s="1" t="str">
        <v>Sí</v>
      </c>
      <c r="I161" s="2">
        <v>46147</v>
      </c>
      <c r="J161" s="2" t="str">
        <v/>
      </c>
      <c r="K161" s="2" t="str">
        <v/>
      </c>
      <c r="L161" s="1" t="str">
        <v>Sin respuesta</v>
      </c>
      <c r="M161" s="2" t="str">
        <v/>
      </c>
      <c r="N161" s="2" t="str">
        <v/>
      </c>
      <c r="O161" s="1" t="str">
        <v>Sin respuesta</v>
      </c>
      <c r="P161" s="1" t="str">
        <v/>
      </c>
      <c r="Q161" s="1" t="str">
        <v/>
      </c>
      <c r="R161" s="1">
        <f t="shared" si="13"/>
        <v>1</v>
      </c>
      <c r="S161" s="1">
        <f t="shared" si="12"/>
        <v>0</v>
      </c>
      <c r="T161" s="1">
        <f t="shared" si="14"/>
        <v>0</v>
      </c>
      <c r="U161" s="1">
        <f t="shared" si="15"/>
        <v>0</v>
      </c>
      <c r="V161" s="1">
        <f t="shared" si="16"/>
        <v>1</v>
      </c>
    </row>
    <row r="162" x14ac:dyDescent="0.25">
      <c r="A162" s="1">
        <v>161</v>
      </c>
      <c r="B162" s="1" t="str">
        <v>Región Policial Áncash de la PNP</v>
      </c>
      <c r="C162" s="1" t="str">
        <v>Policía Nacional del Perú</v>
      </c>
      <c r="D162" s="1" t="str">
        <v>Entrevista de actores clave</v>
      </c>
      <c r="E162" s="1" t="str">
        <v>Funcionarios del Sistema</v>
      </c>
      <c r="F162" s="1" t="str">
        <v>Distrito Judicial: Lima Norte</v>
      </c>
      <c r="G162" s="1" t="str">
        <v>IJM</v>
      </c>
      <c r="H162" s="1" t="str">
        <v>Sí</v>
      </c>
      <c r="I162" s="2">
        <v>46147</v>
      </c>
      <c r="J162" s="2" t="str">
        <v/>
      </c>
      <c r="K162" s="2" t="str">
        <v/>
      </c>
      <c r="L162" s="1" t="str">
        <v>Rechazada</v>
      </c>
      <c r="M162" s="2" t="str">
        <v/>
      </c>
      <c r="N162" s="2" t="str">
        <v/>
      </c>
      <c r="O162" s="1" t="str">
        <v>Rechazada</v>
      </c>
      <c r="P162" s="1" t="str">
        <v/>
      </c>
      <c r="Q162" s="1" t="str">
        <v/>
      </c>
      <c r="R162" s="1">
        <f t="shared" si="13"/>
        <v>1</v>
      </c>
      <c r="S162" s="1">
        <f t="shared" si="12"/>
        <v>0</v>
      </c>
      <c r="T162" s="1">
        <f t="shared" si="14"/>
        <v>0</v>
      </c>
      <c r="U162" s="1">
        <f t="shared" si="15"/>
        <v>0</v>
      </c>
      <c r="V162" s="1">
        <f t="shared" si="16"/>
        <v>0</v>
      </c>
    </row>
    <row r="163" x14ac:dyDescent="0.25">
      <c r="A163" s="1">
        <v>162</v>
      </c>
      <c r="B163" s="1" t="str">
        <v>Frente Policial Ica de la PNP </v>
      </c>
      <c r="C163" s="1" t="str">
        <v>Policía Nacional del Perú</v>
      </c>
      <c r="D163" s="1" t="str">
        <v>Entrevista de actores clave</v>
      </c>
      <c r="E163" s="1" t="str">
        <v>Funcionarios del Sistema</v>
      </c>
      <c r="F163" s="1" t="str">
        <v>Distrito Judicial: Lima Norte</v>
      </c>
      <c r="G163" s="1" t="str">
        <v>IJM</v>
      </c>
      <c r="H163" s="1" t="str">
        <v>Sí</v>
      </c>
      <c r="I163" s="2">
        <v>46147</v>
      </c>
      <c r="J163" s="2">
        <v>46161</v>
      </c>
      <c r="K163" s="2" t="str">
        <v/>
      </c>
      <c r="L163" s="1" t="str">
        <v>En coordinación</v>
      </c>
      <c r="M163" s="2" t="str">
        <v/>
      </c>
      <c r="N163" s="2" t="str">
        <v/>
      </c>
      <c r="O163" s="1" t="str">
        <v>En coordinación</v>
      </c>
      <c r="P163" s="1" t="str">
        <v/>
      </c>
      <c r="Q163" s="1" t="str">
        <v/>
      </c>
      <c r="R163" s="1">
        <f t="shared" si="13"/>
        <v>1</v>
      </c>
      <c r="S163" s="1">
        <f t="shared" si="12"/>
        <v>1</v>
      </c>
      <c r="T163" s="1">
        <f t="shared" si="14"/>
        <v>0</v>
      </c>
      <c r="U163" s="1">
        <f t="shared" si="15"/>
        <v>0</v>
      </c>
      <c r="V163" s="1">
        <f t="shared" si="16"/>
        <v>0</v>
      </c>
    </row>
    <row r="164" x14ac:dyDescent="0.25">
      <c r="A164" s="1">
        <v>163</v>
      </c>
      <c r="B164" s="1" t="str">
        <v>Rosa Alicia Noriega Portal</v>
      </c>
      <c r="C164" s="1" t="str">
        <v>Policía Nacional del Perú</v>
      </c>
      <c r="D164" s="1" t="str">
        <v>Entrevista de actores clave</v>
      </c>
      <c r="E164" s="1" t="str">
        <v>Funcionarios del Sistema</v>
      </c>
      <c r="F164" s="1" t="str">
        <v>Distrito Judicial: Lima Norte</v>
      </c>
      <c r="G164" s="1" t="str">
        <v>IJM</v>
      </c>
      <c r="H164" s="1" t="str">
        <v>Sí</v>
      </c>
      <c r="I164" s="2">
        <v>46147</v>
      </c>
      <c r="J164" s="2" t="str">
        <v/>
      </c>
      <c r="K164" s="2" t="str">
        <v/>
      </c>
      <c r="L164" s="1" t="str">
        <v>Sin respuesta</v>
      </c>
      <c r="M164" s="2" t="str">
        <v/>
      </c>
      <c r="N164" s="2" t="str">
        <v/>
      </c>
      <c r="O164" s="1" t="str">
        <v>Sin respuesta</v>
      </c>
      <c r="P164" s="1" t="str">
        <v/>
      </c>
      <c r="Q164" s="1" t="str">
        <v/>
      </c>
      <c r="R164" s="1">
        <f t="shared" si="13"/>
        <v>1</v>
      </c>
      <c r="S164" s="1">
        <f t="shared" si="12"/>
        <v>0</v>
      </c>
      <c r="T164" s="1">
        <f t="shared" si="14"/>
        <v>0</v>
      </c>
      <c r="U164" s="1">
        <f t="shared" si="15"/>
        <v>0</v>
      </c>
      <c r="V164" s="1">
        <f t="shared" si="16"/>
        <v>1</v>
      </c>
    </row>
    <row r="165" x14ac:dyDescent="0.25">
      <c r="A165" s="1">
        <v>164</v>
      </c>
      <c r="B165" s="1" t="str">
        <v>Frente Policial Apurímac de la PNP</v>
      </c>
      <c r="C165" s="1" t="str">
        <v>Policía Nacional del Perú</v>
      </c>
      <c r="D165" s="1" t="str">
        <v>Entrevista de actores clave</v>
      </c>
      <c r="E165" s="1" t="str">
        <v>Funcionarios del Sistema</v>
      </c>
      <c r="F165" s="1" t="str">
        <v>Distrito Judicial: Lima Norte</v>
      </c>
      <c r="G165" s="1" t="str">
        <v>IJM</v>
      </c>
      <c r="H165" s="1" t="str">
        <v>No</v>
      </c>
      <c r="I165" s="2" t="str">
        <v/>
      </c>
      <c r="J165" s="2" t="str">
        <v/>
      </c>
      <c r="K165" s="2" t="str">
        <v/>
      </c>
      <c r="L165" s="1" t="str">
        <v/>
      </c>
      <c r="M165" s="2" t="str">
        <v/>
      </c>
      <c r="N165" s="2" t="str">
        <v/>
      </c>
      <c r="O165" s="1" t="str">
        <v/>
      </c>
      <c r="P165" s="1" t="str">
        <v/>
      </c>
      <c r="Q165" s="1" t="str">
        <v/>
      </c>
      <c r="R165" s="1">
        <f t="shared" si="13"/>
        <v>0</v>
      </c>
      <c r="S165" s="1">
        <f t="shared" si="12"/>
        <v>0</v>
      </c>
      <c r="T165" s="1">
        <f t="shared" si="14"/>
        <v>0</v>
      </c>
      <c r="U165" s="1">
        <f t="shared" si="15"/>
        <v>0</v>
      </c>
      <c r="V165" s="1">
        <f t="shared" si="16"/>
        <v>0</v>
      </c>
    </row>
    <row r="166" x14ac:dyDescent="0.25">
      <c r="A166" s="1">
        <v>165</v>
      </c>
      <c r="B166" s="1" t="str">
        <v>Región Policial Lima de la PNP </v>
      </c>
      <c r="C166" s="1" t="str">
        <v>Policía Nacional del Perú</v>
      </c>
      <c r="D166" s="1" t="str">
        <v>Entrevista de actores clave</v>
      </c>
      <c r="E166" s="1" t="str">
        <v>Funcionarios del Sistema</v>
      </c>
      <c r="F166" s="1" t="str">
        <v>Distrito Judicial: Lima Norte</v>
      </c>
      <c r="G166" s="1" t="str">
        <v>IJM</v>
      </c>
      <c r="H166" s="1" t="str">
        <v>No</v>
      </c>
      <c r="I166" s="2" t="str">
        <v/>
      </c>
      <c r="J166" s="2" t="str">
        <v/>
      </c>
      <c r="K166" s="2" t="str">
        <v/>
      </c>
      <c r="L166" s="1" t="str">
        <v/>
      </c>
      <c r="M166" s="2" t="str">
        <v/>
      </c>
      <c r="N166" s="2" t="str">
        <v/>
      </c>
      <c r="O166" s="1" t="str">
        <v/>
      </c>
      <c r="P166" s="1" t="str">
        <v/>
      </c>
      <c r="Q166" s="1" t="str">
        <v/>
      </c>
      <c r="R166" s="1">
        <f t="shared" si="13"/>
        <v>0</v>
      </c>
      <c r="S166" s="1">
        <f t="shared" si="12"/>
        <v>0</v>
      </c>
      <c r="T166" s="1">
        <f t="shared" si="14"/>
        <v>0</v>
      </c>
      <c r="U166" s="1">
        <f t="shared" si="15"/>
        <v>0</v>
      </c>
      <c r="V166" s="1">
        <f t="shared" si="16"/>
        <v>0</v>
      </c>
    </row>
    <row r="167" x14ac:dyDescent="0.25">
      <c r="A167" s="1">
        <v>166</v>
      </c>
      <c r="B167" s="1" t="str">
        <v>Región Policial de Amazonas de la PNP</v>
      </c>
      <c r="C167" s="1" t="str">
        <v>Policía Nacional del Perú</v>
      </c>
      <c r="D167" s="1" t="str">
        <v>Entrevista de actores clave</v>
      </c>
      <c r="E167" s="1" t="str">
        <v>Funcionarios del Sistema</v>
      </c>
      <c r="F167" s="1" t="str">
        <v>Distrito Judicial: Puente Piedra-Ventanilla</v>
      </c>
      <c r="G167" s="1" t="str">
        <v>IJM</v>
      </c>
      <c r="H167" s="1" t="str">
        <v>No</v>
      </c>
      <c r="I167" s="2" t="str">
        <v/>
      </c>
      <c r="J167" s="2" t="str">
        <v/>
      </c>
      <c r="K167" s="2" t="str">
        <v/>
      </c>
      <c r="L167" s="1" t="str">
        <v/>
      </c>
      <c r="M167" s="2" t="str">
        <v/>
      </c>
      <c r="N167" s="2" t="str">
        <v/>
      </c>
      <c r="O167" s="1" t="str">
        <v/>
      </c>
      <c r="P167" s="1" t="str">
        <v/>
      </c>
      <c r="Q167" s="1" t="str">
        <v/>
      </c>
      <c r="R167" s="1">
        <f t="shared" si="13"/>
        <v>0</v>
      </c>
      <c r="S167" s="1">
        <f t="shared" si="12"/>
        <v>0</v>
      </c>
      <c r="T167" s="1">
        <f t="shared" si="14"/>
        <v>0</v>
      </c>
      <c r="U167" s="1">
        <f t="shared" si="15"/>
        <v>0</v>
      </c>
      <c r="V167" s="1">
        <f t="shared" si="16"/>
        <v>0</v>
      </c>
    </row>
    <row r="168" x14ac:dyDescent="0.25">
      <c r="A168" s="1">
        <v>167</v>
      </c>
      <c r="B168" s="1" t="str">
        <v>Frente Policial Cajamarca de la PNP</v>
      </c>
      <c r="C168" s="1" t="str">
        <v>Policía Nacional del Perú</v>
      </c>
      <c r="D168" s="1" t="str">
        <v>Entrevista de actores clave</v>
      </c>
      <c r="E168" s="1" t="str">
        <v>Funcionarios del Sistema</v>
      </c>
      <c r="F168" s="1" t="str">
        <v>Distrito Judicial: Puente Piedra-Ventanilla</v>
      </c>
      <c r="G168" s="1" t="str">
        <v>IJM</v>
      </c>
      <c r="H168" s="1" t="str">
        <v>No</v>
      </c>
      <c r="I168" s="2" t="str">
        <v/>
      </c>
      <c r="J168" s="2" t="str">
        <v/>
      </c>
      <c r="K168" s="2" t="str">
        <v/>
      </c>
      <c r="L168" s="1" t="str">
        <v/>
      </c>
      <c r="M168" s="2" t="str">
        <v/>
      </c>
      <c r="N168" s="2" t="str">
        <v/>
      </c>
      <c r="O168" s="1" t="str">
        <v/>
      </c>
      <c r="P168" s="1" t="str">
        <v/>
      </c>
      <c r="Q168" s="1" t="str">
        <v/>
      </c>
      <c r="R168" s="1">
        <f t="shared" si="13"/>
        <v>0</v>
      </c>
      <c r="S168" s="1">
        <f t="shared" si="12"/>
        <v>0</v>
      </c>
      <c r="T168" s="1">
        <f t="shared" si="14"/>
        <v>0</v>
      </c>
      <c r="U168" s="1">
        <f t="shared" si="15"/>
        <v>0</v>
      </c>
      <c r="V168" s="1">
        <f t="shared" si="16"/>
        <v>0</v>
      </c>
    </row>
    <row r="169" x14ac:dyDescent="0.25">
      <c r="A169" s="1">
        <v>168</v>
      </c>
      <c r="B169" s="1" t="str">
        <v>DIVPNA Comas</v>
      </c>
      <c r="C169" s="1" t="str">
        <v>Policía Nacional del Perú</v>
      </c>
      <c r="D169" s="1" t="str">
        <v>Entrevista de actores clave</v>
      </c>
      <c r="E169" s="1" t="str">
        <v>Funcionarios del Sistema</v>
      </c>
      <c r="F169" s="1" t="str">
        <v>Distrito Judicial: Apurímac</v>
      </c>
      <c r="G169" s="1" t="str">
        <v>IJM</v>
      </c>
      <c r="H169" s="1" t="str">
        <v>No</v>
      </c>
      <c r="I169" s="2" t="str">
        <v/>
      </c>
      <c r="J169" s="2" t="str">
        <v/>
      </c>
      <c r="K169" s="2" t="str">
        <v/>
      </c>
      <c r="L169" s="1" t="str">
        <v/>
      </c>
      <c r="M169" s="2" t="str">
        <v/>
      </c>
      <c r="N169" s="2" t="str">
        <v/>
      </c>
      <c r="O169" s="1" t="str">
        <v/>
      </c>
      <c r="P169" s="1" t="str">
        <v/>
      </c>
      <c r="Q169" s="1" t="str">
        <v/>
      </c>
      <c r="R169" s="1">
        <f t="shared" si="13"/>
        <v>0</v>
      </c>
      <c r="S169" s="1">
        <f t="shared" si="12"/>
        <v>0</v>
      </c>
      <c r="T169" s="1">
        <f t="shared" si="14"/>
        <v>0</v>
      </c>
      <c r="U169" s="1">
        <f t="shared" si="15"/>
        <v>0</v>
      </c>
      <c r="V169" s="1">
        <f t="shared" si="16"/>
        <v>0</v>
      </c>
    </row>
    <row r="170" x14ac:dyDescent="0.25">
      <c r="A170" s="1">
        <v>169</v>
      </c>
      <c r="B170" s="1" t="str">
        <v>Sonia Alvarez Quevedo</v>
      </c>
      <c r="C170" s="1" t="str">
        <v>Policía Nacional del Perú</v>
      </c>
      <c r="D170" s="1" t="str">
        <v>Entrevista de actores clave</v>
      </c>
      <c r="E170" s="1" t="str">
        <v>Funcionarios del Sistema</v>
      </c>
      <c r="F170" s="1" t="str">
        <v>Distrito Judicial: Huánuco</v>
      </c>
      <c r="G170" s="1" t="str">
        <v>IJM</v>
      </c>
      <c r="H170" s="1" t="str">
        <v>No</v>
      </c>
      <c r="I170" s="2" t="str">
        <v/>
      </c>
      <c r="J170" s="2" t="str">
        <v/>
      </c>
      <c r="K170" s="2" t="str">
        <v/>
      </c>
      <c r="L170" s="1" t="str">
        <v/>
      </c>
      <c r="M170" s="2" t="str">
        <v/>
      </c>
      <c r="N170" s="2" t="str">
        <v/>
      </c>
      <c r="O170" s="1" t="str">
        <v/>
      </c>
      <c r="P170" s="1" t="str">
        <v/>
      </c>
      <c r="Q170" s="1" t="str">
        <v/>
      </c>
      <c r="R170" s="1">
        <f t="shared" si="13"/>
        <v>0</v>
      </c>
      <c r="S170" s="1">
        <f t="shared" si="12"/>
        <v>0</v>
      </c>
      <c r="T170" s="1">
        <f t="shared" si="14"/>
        <v>0</v>
      </c>
      <c r="U170" s="1">
        <f t="shared" si="15"/>
        <v>0</v>
      </c>
      <c r="V170" s="1">
        <f t="shared" si="16"/>
        <v>0</v>
      </c>
    </row>
    <row r="171" x14ac:dyDescent="0.25">
      <c r="A171" s="1">
        <v>170</v>
      </c>
      <c r="B171" s="1" t="str">
        <v>Maribel Amalia Varias Aguilar</v>
      </c>
      <c r="C171" s="1" t="str">
        <v>Policía Nacional del Perú</v>
      </c>
      <c r="D171" s="1" t="str">
        <v>Entrevista de actores clave</v>
      </c>
      <c r="E171" s="1" t="str">
        <v>Funcionarios del Sistema</v>
      </c>
      <c r="F171" s="1" t="str">
        <v>Distrito Judicial: Cajamarca</v>
      </c>
      <c r="G171" s="1" t="str">
        <v>IJM</v>
      </c>
      <c r="H171" s="1" t="str">
        <v>No</v>
      </c>
      <c r="I171" s="2" t="str">
        <v/>
      </c>
      <c r="J171" s="2" t="str">
        <v/>
      </c>
      <c r="K171" s="2" t="str">
        <v/>
      </c>
      <c r="L171" s="1" t="str">
        <v/>
      </c>
      <c r="M171" s="2" t="str">
        <v/>
      </c>
      <c r="N171" s="2" t="str">
        <v/>
      </c>
      <c r="O171" s="1" t="str">
        <v/>
      </c>
      <c r="P171" s="1" t="str">
        <v/>
      </c>
      <c r="Q171" s="1" t="str">
        <v/>
      </c>
      <c r="R171" s="1">
        <f t="shared" si="13"/>
        <v>0</v>
      </c>
      <c r="S171" s="1">
        <f t="shared" si="12"/>
        <v>0</v>
      </c>
      <c r="T171" s="1">
        <f t="shared" si="14"/>
        <v>0</v>
      </c>
      <c r="U171" s="1">
        <f t="shared" si="15"/>
        <v>0</v>
      </c>
      <c r="V171" s="1">
        <f t="shared" si="16"/>
        <v>0</v>
      </c>
    </row>
    <row r="172" x14ac:dyDescent="0.25">
      <c r="A172" s="1">
        <v>171</v>
      </c>
      <c r="B172" s="1" t="str">
        <v>Evelin Yauri Aliaga</v>
      </c>
      <c r="C172" s="1" t="str">
        <v>Policía Nacional del Perú</v>
      </c>
      <c r="D172" s="1" t="str">
        <v>Entrevista de actores clave</v>
      </c>
      <c r="E172" s="1" t="str">
        <v>Funcionarios del Sistema</v>
      </c>
      <c r="F172" s="1" t="str">
        <v>Distrito Judicial: Ucayali</v>
      </c>
      <c r="G172" s="1" t="str">
        <v>IJM</v>
      </c>
      <c r="H172" s="1" t="str">
        <v>No</v>
      </c>
      <c r="I172" s="2" t="str">
        <v/>
      </c>
      <c r="J172" s="2" t="str">
        <v/>
      </c>
      <c r="K172" s="2" t="str">
        <v/>
      </c>
      <c r="L172" s="1" t="str">
        <v/>
      </c>
      <c r="M172" s="2" t="str">
        <v/>
      </c>
      <c r="N172" s="2" t="str">
        <v/>
      </c>
      <c r="O172" s="1" t="str">
        <v/>
      </c>
      <c r="P172" s="1" t="str">
        <v/>
      </c>
      <c r="Q172" s="1" t="str">
        <v/>
      </c>
      <c r="R172" s="1">
        <f t="shared" si="13"/>
        <v>0</v>
      </c>
      <c r="S172" s="1">
        <f t="shared" si="12"/>
        <v>0</v>
      </c>
      <c r="T172" s="1">
        <f t="shared" si="14"/>
        <v>0</v>
      </c>
      <c r="U172" s="1">
        <f t="shared" si="15"/>
        <v>0</v>
      </c>
      <c r="V172" s="1">
        <f t="shared" si="16"/>
        <v>0</v>
      </c>
    </row>
    <row r="173" x14ac:dyDescent="0.25">
      <c r="A173" s="1">
        <v>172</v>
      </c>
      <c r="B173" s="1" t="str">
        <v>Denisse Jannet Espinoza Mendoza</v>
      </c>
      <c r="C173" s="1" t="str">
        <v>Policía Nacional del Perú</v>
      </c>
      <c r="D173" s="1" t="str">
        <v>Entrevista de actores clave</v>
      </c>
      <c r="E173" s="1" t="str">
        <v>Funcionarios del Sistema</v>
      </c>
      <c r="F173" s="1" t="str">
        <v>Nacional</v>
      </c>
      <c r="G173" s="1" t="str">
        <v>IJM</v>
      </c>
      <c r="H173" s="1" t="str">
        <v>No</v>
      </c>
      <c r="I173" s="2" t="str">
        <v/>
      </c>
      <c r="J173" s="2" t="str">
        <v/>
      </c>
      <c r="K173" s="2" t="str">
        <v/>
      </c>
      <c r="L173" s="1" t="str">
        <v/>
      </c>
      <c r="M173" s="2" t="str">
        <v/>
      </c>
      <c r="N173" s="2" t="str">
        <v/>
      </c>
      <c r="O173" s="1" t="str">
        <v/>
      </c>
      <c r="P173" s="1" t="str">
        <v/>
      </c>
      <c r="Q173" s="1" t="str">
        <v/>
      </c>
      <c r="R173" s="1">
        <f t="shared" si="13"/>
        <v>0</v>
      </c>
      <c r="S173" s="1">
        <f t="shared" si="12"/>
        <v>0</v>
      </c>
      <c r="T173" s="1">
        <f t="shared" si="14"/>
        <v>0</v>
      </c>
      <c r="U173" s="1">
        <f t="shared" si="15"/>
        <v>0</v>
      </c>
      <c r="V173" s="1">
        <f t="shared" si="16"/>
        <v>0</v>
      </c>
    </row>
    <row r="174" x14ac:dyDescent="0.25">
      <c r="A174" s="1">
        <v>173</v>
      </c>
      <c r="B174" s="1" t="str">
        <v>Manuel Tamayo</v>
      </c>
      <c r="C174" s="1" t="str">
        <v>Policía Nacional del Perú</v>
      </c>
      <c r="D174" s="1" t="str">
        <v>Entrevista de actores clave</v>
      </c>
      <c r="E174" s="1" t="str">
        <v>Funcionarios del Sistema</v>
      </c>
      <c r="F174" s="1" t="str">
        <v>Nacional</v>
      </c>
      <c r="G174" s="1" t="str">
        <v>IJM</v>
      </c>
      <c r="H174" s="1" t="str">
        <v>No</v>
      </c>
      <c r="I174" s="2" t="str">
        <v/>
      </c>
      <c r="J174" s="2" t="str">
        <v/>
      </c>
      <c r="K174" s="2" t="str">
        <v/>
      </c>
      <c r="L174" s="1" t="str">
        <v/>
      </c>
      <c r="M174" s="2" t="str">
        <v/>
      </c>
      <c r="N174" s="2" t="str">
        <v/>
      </c>
      <c r="O174" s="1" t="str">
        <v/>
      </c>
      <c r="P174" s="1" t="str">
        <v/>
      </c>
      <c r="Q174" s="1" t="str">
        <v/>
      </c>
      <c r="R174" s="1">
        <f t="shared" si="13"/>
        <v>0</v>
      </c>
      <c r="S174" s="1">
        <f t="shared" si="12"/>
        <v>0</v>
      </c>
      <c r="T174" s="1">
        <f t="shared" si="14"/>
        <v>0</v>
      </c>
      <c r="U174" s="1">
        <f t="shared" si="15"/>
        <v>0</v>
      </c>
      <c r="V174" s="1">
        <f t="shared" si="16"/>
        <v>0</v>
      </c>
    </row>
    <row r="175" x14ac:dyDescent="0.25">
      <c r="A175" s="1">
        <v>174</v>
      </c>
      <c r="B175" s="1" t="str">
        <v>Rosa Hidalgo</v>
      </c>
      <c r="C175" s="1" t="str">
        <v>Policía Nacional del Perú</v>
      </c>
      <c r="D175" s="1" t="str">
        <v>Entrevista de actores clave</v>
      </c>
      <c r="E175" s="1" t="str">
        <v>Funcionarios del Sistema</v>
      </c>
      <c r="F175" s="1" t="str">
        <v>Distrito Judicial: Loreto</v>
      </c>
      <c r="G175" s="1" t="str">
        <v>IJM</v>
      </c>
      <c r="H175" s="1" t="str">
        <v>No</v>
      </c>
      <c r="I175" s="2" t="str">
        <v/>
      </c>
      <c r="J175" s="2" t="str">
        <v/>
      </c>
      <c r="K175" s="2" t="str">
        <v/>
      </c>
      <c r="L175" s="1" t="str">
        <v/>
      </c>
      <c r="M175" s="2" t="str">
        <v/>
      </c>
      <c r="N175" s="2" t="str">
        <v/>
      </c>
      <c r="O175" s="1" t="str">
        <v/>
      </c>
      <c r="P175" s="1" t="str">
        <v/>
      </c>
      <c r="Q175" s="1" t="str">
        <v/>
      </c>
      <c r="R175" s="1">
        <f t="shared" si="13"/>
        <v>0</v>
      </c>
      <c r="S175" s="1">
        <f t="shared" si="12"/>
        <v>0</v>
      </c>
      <c r="T175" s="1">
        <f t="shared" si="14"/>
        <v>0</v>
      </c>
      <c r="U175" s="1">
        <f t="shared" si="15"/>
        <v>0</v>
      </c>
      <c r="V175" s="1">
        <f t="shared" si="16"/>
        <v>0</v>
      </c>
    </row>
    <row r="176" x14ac:dyDescent="0.25">
      <c r="A176" s="1" t="str">
        <v/>
      </c>
      <c r="B176" s="1" t="str">
        <v>Luzmelit Oliva Tapia</v>
      </c>
      <c r="C176" s="1" t="str">
        <v>Policía Nacional del Perú</v>
      </c>
      <c r="D176" s="1" t="str">
        <v>Entrevista de actores clave</v>
      </c>
      <c r="E176" s="1" t="str">
        <v>Funcionarios del Sistema</v>
      </c>
      <c r="F176" s="1" t="str">
        <v>Nacional</v>
      </c>
      <c r="G176" s="1" t="str">
        <v/>
      </c>
      <c r="H176" s="1" t="str">
        <v/>
      </c>
      <c r="I176" s="2" t="str">
        <v/>
      </c>
      <c r="J176" s="2" t="str">
        <v/>
      </c>
      <c r="K176" s="2" t="str">
        <v/>
      </c>
      <c r="L176" s="1" t="str">
        <v>Realizada completa</v>
      </c>
      <c r="M176" s="2" t="str">
        <v/>
      </c>
      <c r="N176" s="2" t="str">
        <v/>
      </c>
      <c r="O176" s="1" t="str">
        <v>Realizada completa</v>
      </c>
      <c r="P176" s="1" t="str">
        <v/>
      </c>
      <c r="Q176" s="1" t="str">
        <v>A distancia asistido</v>
      </c>
      <c r="R176" s="1">
        <f t="shared" si="13"/>
        <v>0</v>
      </c>
      <c r="S176" s="1">
        <f t="shared" si="12"/>
        <v>0</v>
      </c>
      <c r="T176" s="1">
        <f t="shared" si="14"/>
        <v>0</v>
      </c>
      <c r="U176" s="1">
        <f t="shared" si="15"/>
        <v>1</v>
      </c>
      <c r="V176" s="1">
        <f t="shared" si="16"/>
        <v>0</v>
      </c>
    </row>
    <row r="177" x14ac:dyDescent="0.25">
      <c r="A177" s="1">
        <v>175</v>
      </c>
      <c r="B177" s="1" t="str">
        <v>Bethy Norma Hernandez Dominguez</v>
      </c>
      <c r="C177" s="1" t="str">
        <v>Centros de Emergencia Mujer</v>
      </c>
      <c r="D177" s="1" t="str">
        <v>Entrevista de actores clave</v>
      </c>
      <c r="E177" s="1" t="str">
        <v>Acompañantes</v>
      </c>
      <c r="F177" s="1" t="str">
        <v>Distrito Judicial: Ucayali</v>
      </c>
      <c r="G177" s="1" t="str">
        <v>IJM</v>
      </c>
      <c r="H177" s="1" t="str">
        <v>No</v>
      </c>
      <c r="I177" s="2" t="str">
        <v/>
      </c>
      <c r="J177" s="2" t="str">
        <v/>
      </c>
      <c r="K177" s="2" t="str">
        <v/>
      </c>
      <c r="L177" s="1" t="str">
        <v/>
      </c>
      <c r="M177" s="2" t="str">
        <v/>
      </c>
      <c r="N177" s="2" t="str">
        <v/>
      </c>
      <c r="O177" s="1" t="str">
        <v/>
      </c>
      <c r="P177" s="1" t="str">
        <v/>
      </c>
      <c r="Q177" s="1" t="str">
        <v/>
      </c>
      <c r="R177" s="1">
        <f t="shared" si="13"/>
        <v>0</v>
      </c>
      <c r="S177" s="1">
        <f t="shared" si="12"/>
        <v>0</v>
      </c>
      <c r="T177" s="1">
        <f t="shared" si="14"/>
        <v>0</v>
      </c>
      <c r="U177" s="1">
        <f t="shared" si="15"/>
        <v>0</v>
      </c>
      <c r="V177" s="1">
        <f t="shared" si="16"/>
        <v>0</v>
      </c>
    </row>
    <row r="178" x14ac:dyDescent="0.25">
      <c r="A178" s="1">
        <v>176</v>
      </c>
      <c r="B178" s="1" t="str">
        <v>Lucy Emilia Chaupis Valverde</v>
      </c>
      <c r="C178" s="1" t="str">
        <v>Centros de Emergencia Mujer</v>
      </c>
      <c r="D178" s="1" t="str">
        <v>Entrevista de actores clave</v>
      </c>
      <c r="E178" s="1" t="str">
        <v>Acompañantes</v>
      </c>
      <c r="F178" s="1" t="str">
        <v>Distrito Judicial: Ucayali</v>
      </c>
      <c r="G178" s="1" t="str">
        <v>IJM</v>
      </c>
      <c r="H178" s="1" t="str">
        <v>No</v>
      </c>
      <c r="I178" s="2" t="str">
        <v/>
      </c>
      <c r="J178" s="2" t="str">
        <v/>
      </c>
      <c r="K178" s="2" t="str">
        <v/>
      </c>
      <c r="L178" s="1" t="str">
        <v/>
      </c>
      <c r="M178" s="2" t="str">
        <v/>
      </c>
      <c r="N178" s="2" t="str">
        <v/>
      </c>
      <c r="O178" s="1" t="str">
        <v/>
      </c>
      <c r="P178" s="1" t="str">
        <v/>
      </c>
      <c r="Q178" s="1" t="str">
        <v/>
      </c>
      <c r="R178" s="1">
        <f t="shared" si="13"/>
        <v>0</v>
      </c>
      <c r="S178" s="1">
        <f t="shared" si="12"/>
        <v>0</v>
      </c>
      <c r="T178" s="1">
        <f t="shared" si="14"/>
        <v>0</v>
      </c>
      <c r="U178" s="1">
        <f t="shared" si="15"/>
        <v>0</v>
      </c>
      <c r="V178" s="1">
        <f t="shared" si="16"/>
        <v>0</v>
      </c>
    </row>
    <row r="179" x14ac:dyDescent="0.25">
      <c r="A179" s="1">
        <v>177</v>
      </c>
      <c r="B179" s="1" t="str">
        <v>Freddy Héctor Mallqui Basilio</v>
      </c>
      <c r="C179" s="1" t="str">
        <v>Centros de Emergencia Mujer</v>
      </c>
      <c r="D179" s="1" t="str">
        <v>Entrevista de actores clave</v>
      </c>
      <c r="E179" s="1" t="str">
        <v>Acompañantes</v>
      </c>
      <c r="F179" s="1" t="str">
        <v>Distrito Judicial: Huánuco</v>
      </c>
      <c r="G179" s="1" t="str">
        <v>IJM</v>
      </c>
      <c r="H179" s="1" t="str">
        <v>No</v>
      </c>
      <c r="I179" s="2" t="str">
        <v/>
      </c>
      <c r="J179" s="2" t="str">
        <v/>
      </c>
      <c r="K179" s="2" t="str">
        <v/>
      </c>
      <c r="L179" s="1" t="str">
        <v/>
      </c>
      <c r="M179" s="2" t="str">
        <v/>
      </c>
      <c r="N179" s="2" t="str">
        <v/>
      </c>
      <c r="O179" s="1" t="str">
        <v/>
      </c>
      <c r="P179" s="1" t="str">
        <v/>
      </c>
      <c r="Q179" s="1" t="str">
        <v/>
      </c>
      <c r="R179" s="1">
        <f t="shared" si="13"/>
        <v>0</v>
      </c>
      <c r="S179" s="1">
        <f t="shared" si="12"/>
        <v>0</v>
      </c>
      <c r="T179" s="1">
        <f t="shared" si="14"/>
        <v>0</v>
      </c>
      <c r="U179" s="1">
        <f t="shared" si="15"/>
        <v>0</v>
      </c>
      <c r="V179" s="1">
        <f t="shared" si="16"/>
        <v>0</v>
      </c>
    </row>
    <row r="180" x14ac:dyDescent="0.25">
      <c r="A180" s="1">
        <v>178</v>
      </c>
      <c r="B180" s="1" t="str">
        <v>Karin Rosario Crispín Sotelo</v>
      </c>
      <c r="C180" s="1" t="str">
        <v>Centros de Emergencia Mujer</v>
      </c>
      <c r="D180" s="1" t="str">
        <v>Entrevista de actores clave</v>
      </c>
      <c r="E180" s="1" t="str">
        <v>Acompañantes</v>
      </c>
      <c r="F180" s="1" t="str">
        <v>Distrito Judicial: Huánuco</v>
      </c>
      <c r="G180" s="1" t="str">
        <v>IJM</v>
      </c>
      <c r="H180" s="1" t="str">
        <v>No</v>
      </c>
      <c r="I180" s="2" t="str">
        <v/>
      </c>
      <c r="J180" s="2" t="str">
        <v/>
      </c>
      <c r="K180" s="2" t="str">
        <v/>
      </c>
      <c r="L180" s="1" t="str">
        <v/>
      </c>
      <c r="M180" s="2" t="str">
        <v/>
      </c>
      <c r="N180" s="2" t="str">
        <v/>
      </c>
      <c r="O180" s="1" t="str">
        <v/>
      </c>
      <c r="P180" s="1" t="str">
        <v/>
      </c>
      <c r="Q180" s="1" t="str">
        <v/>
      </c>
      <c r="R180" s="1">
        <f t="shared" si="13"/>
        <v>0</v>
      </c>
      <c r="S180" s="1">
        <f t="shared" si="12"/>
        <v>0</v>
      </c>
      <c r="T180" s="1">
        <f t="shared" si="14"/>
        <v>0</v>
      </c>
      <c r="U180" s="1">
        <f t="shared" si="15"/>
        <v>0</v>
      </c>
      <c r="V180" s="1">
        <f t="shared" si="16"/>
        <v>0</v>
      </c>
    </row>
    <row r="181" x14ac:dyDescent="0.25">
      <c r="A181" s="1">
        <v>179</v>
      </c>
      <c r="B181" s="1" t="str">
        <v>Yuli Jaime De La Cruz</v>
      </c>
      <c r="C181" s="1" t="str">
        <v>Centros de Emergencia Mujer</v>
      </c>
      <c r="D181" s="1" t="str">
        <v>Entrevista de actores clave</v>
      </c>
      <c r="E181" s="1" t="str">
        <v>Acompañantes</v>
      </c>
      <c r="F181" s="1" t="str">
        <v>Distrito Judicial: Ayacucho</v>
      </c>
      <c r="G181" s="1" t="str">
        <v>IJM</v>
      </c>
      <c r="H181" s="1" t="str">
        <v>No</v>
      </c>
      <c r="I181" s="2" t="str">
        <v/>
      </c>
      <c r="J181" s="2" t="str">
        <v/>
      </c>
      <c r="K181" s="2" t="str">
        <v/>
      </c>
      <c r="L181" s="1" t="str">
        <v/>
      </c>
      <c r="M181" s="2" t="str">
        <v/>
      </c>
      <c r="N181" s="2" t="str">
        <v/>
      </c>
      <c r="O181" s="1" t="str">
        <v/>
      </c>
      <c r="P181" s="1" t="str">
        <v/>
      </c>
      <c r="Q181" s="1" t="str">
        <v/>
      </c>
      <c r="R181" s="1">
        <f t="shared" si="13"/>
        <v>0</v>
      </c>
      <c r="S181" s="1">
        <f t="shared" si="12"/>
        <v>0</v>
      </c>
      <c r="T181" s="1">
        <f t="shared" si="14"/>
        <v>0</v>
      </c>
      <c r="U181" s="1">
        <f t="shared" si="15"/>
        <v>0</v>
      </c>
      <c r="V181" s="1">
        <f t="shared" si="16"/>
        <v>0</v>
      </c>
    </row>
    <row r="182" x14ac:dyDescent="0.25">
      <c r="A182" s="1">
        <v>180</v>
      </c>
      <c r="B182" s="1" t="str">
        <v>Roxana Rojas Mendoza</v>
      </c>
      <c r="C182" s="1" t="str">
        <v>Centros de Emergencia Mujer</v>
      </c>
      <c r="D182" s="1" t="str">
        <v>Entrevista de actores clave</v>
      </c>
      <c r="E182" s="1" t="str">
        <v>Acompañantes</v>
      </c>
      <c r="F182" s="1" t="str">
        <v>Distrito Judicial: Ayacucho</v>
      </c>
      <c r="G182" s="1" t="str">
        <v>IJM</v>
      </c>
      <c r="H182" s="1" t="str">
        <v>No</v>
      </c>
      <c r="I182" s="2" t="str">
        <v/>
      </c>
      <c r="J182" s="2" t="str">
        <v/>
      </c>
      <c r="K182" s="2" t="str">
        <v/>
      </c>
      <c r="L182" s="1" t="str">
        <v/>
      </c>
      <c r="M182" s="2" t="str">
        <v/>
      </c>
      <c r="N182" s="2" t="str">
        <v/>
      </c>
      <c r="O182" s="1" t="str">
        <v/>
      </c>
      <c r="P182" s="1" t="str">
        <v/>
      </c>
      <c r="Q182" s="1" t="str">
        <v/>
      </c>
      <c r="R182" s="1">
        <f t="shared" si="13"/>
        <v>0</v>
      </c>
      <c r="S182" s="1">
        <f t="shared" si="12"/>
        <v>0</v>
      </c>
      <c r="T182" s="1">
        <f t="shared" si="14"/>
        <v>0</v>
      </c>
      <c r="U182" s="1">
        <f t="shared" si="15"/>
        <v>0</v>
      </c>
      <c r="V182" s="1">
        <f t="shared" si="16"/>
        <v>0</v>
      </c>
    </row>
    <row r="183" x14ac:dyDescent="0.25">
      <c r="A183" s="1">
        <v>181</v>
      </c>
      <c r="B183" s="1" t="str">
        <v>Felix Dulio Sobrado Chavez</v>
      </c>
      <c r="C183" s="1" t="str">
        <v>Centros de Emergencia Mujer</v>
      </c>
      <c r="D183" s="1" t="str">
        <v>Entrevista de actores clave</v>
      </c>
      <c r="E183" s="1" t="str">
        <v>Acompañantes</v>
      </c>
      <c r="F183" s="1" t="str">
        <v>Distrito Judicial: Ayacucho</v>
      </c>
      <c r="G183" s="1" t="str">
        <v>IJM</v>
      </c>
      <c r="H183" s="1" t="str">
        <v>No</v>
      </c>
      <c r="I183" s="2" t="str">
        <v/>
      </c>
      <c r="J183" s="2" t="str">
        <v/>
      </c>
      <c r="K183" s="2" t="str">
        <v/>
      </c>
      <c r="L183" s="1" t="str">
        <v/>
      </c>
      <c r="M183" s="2" t="str">
        <v/>
      </c>
      <c r="N183" s="2" t="str">
        <v/>
      </c>
      <c r="O183" s="1" t="str">
        <v/>
      </c>
      <c r="P183" s="1" t="str">
        <v/>
      </c>
      <c r="Q183" s="1" t="str">
        <v/>
      </c>
      <c r="R183" s="1">
        <f t="shared" si="13"/>
        <v>0</v>
      </c>
      <c r="S183" s="1">
        <f t="shared" si="12"/>
        <v>0</v>
      </c>
      <c r="T183" s="1">
        <f t="shared" si="14"/>
        <v>0</v>
      </c>
      <c r="U183" s="1">
        <f t="shared" si="15"/>
        <v>0</v>
      </c>
      <c r="V183" s="1">
        <f t="shared" si="16"/>
        <v>0</v>
      </c>
    </row>
    <row r="184" x14ac:dyDescent="0.25">
      <c r="A184" s="1">
        <v>182</v>
      </c>
      <c r="B184" s="1" t="str">
        <v>Deysi Luz Flores Huamán</v>
      </c>
      <c r="C184" s="1" t="str">
        <v>Centros de Emergencia Mujer</v>
      </c>
      <c r="D184" s="1" t="str">
        <v>Entrevista de actores clave</v>
      </c>
      <c r="E184" s="1" t="str">
        <v>Acompañantes</v>
      </c>
      <c r="F184" s="1" t="str">
        <v>Distrito Judicial: Cajamarca</v>
      </c>
      <c r="G184" s="1" t="str">
        <v>IJM</v>
      </c>
      <c r="H184" s="1" t="str">
        <v>No</v>
      </c>
      <c r="I184" s="2" t="str">
        <v/>
      </c>
      <c r="J184" s="2" t="str">
        <v/>
      </c>
      <c r="K184" s="2" t="str">
        <v/>
      </c>
      <c r="L184" s="1" t="str">
        <v/>
      </c>
      <c r="M184" s="2" t="str">
        <v/>
      </c>
      <c r="N184" s="2" t="str">
        <v/>
      </c>
      <c r="O184" s="1" t="str">
        <v/>
      </c>
      <c r="P184" s="1" t="str">
        <v/>
      </c>
      <c r="Q184" s="1" t="str">
        <v/>
      </c>
      <c r="R184" s="1">
        <f t="shared" si="13"/>
        <v>0</v>
      </c>
      <c r="S184" s="1">
        <f t="shared" si="12"/>
        <v>0</v>
      </c>
      <c r="T184" s="1">
        <f t="shared" si="14"/>
        <v>0</v>
      </c>
      <c r="U184" s="1">
        <f t="shared" si="15"/>
        <v>0</v>
      </c>
      <c r="V184" s="1">
        <f t="shared" si="16"/>
        <v>0</v>
      </c>
    </row>
    <row r="185" x14ac:dyDescent="0.25">
      <c r="A185" s="1">
        <v>183</v>
      </c>
      <c r="B185" s="1" t="str">
        <v>Carmen Dora Martínez Del Aguila</v>
      </c>
      <c r="C185" s="1" t="str">
        <v>Centros de Emergencia Mujer</v>
      </c>
      <c r="D185" s="1" t="str">
        <v>Entrevista de actores clave</v>
      </c>
      <c r="E185" s="1" t="str">
        <v>Acompañantes</v>
      </c>
      <c r="F185" s="1" t="str">
        <v>Distrito Judicial: Cajamarca</v>
      </c>
      <c r="G185" s="1" t="str">
        <v>IJM</v>
      </c>
      <c r="H185" s="1" t="str">
        <v>No</v>
      </c>
      <c r="I185" s="2" t="str">
        <v/>
      </c>
      <c r="J185" s="2" t="str">
        <v/>
      </c>
      <c r="K185" s="2" t="str">
        <v/>
      </c>
      <c r="L185" s="1" t="str">
        <v/>
      </c>
      <c r="M185" s="2" t="str">
        <v/>
      </c>
      <c r="N185" s="2" t="str">
        <v/>
      </c>
      <c r="O185" s="1" t="str">
        <v/>
      </c>
      <c r="P185" s="1" t="str">
        <v/>
      </c>
      <c r="Q185" s="1" t="str">
        <v/>
      </c>
      <c r="R185" s="1">
        <f t="shared" si="13"/>
        <v>0</v>
      </c>
      <c r="S185" s="1">
        <f t="shared" si="12"/>
        <v>0</v>
      </c>
      <c r="T185" s="1">
        <f t="shared" si="14"/>
        <v>0</v>
      </c>
      <c r="U185" s="1">
        <f t="shared" si="15"/>
        <v>0</v>
      </c>
      <c r="V185" s="1">
        <f t="shared" si="16"/>
        <v>0</v>
      </c>
    </row>
    <row r="186" x14ac:dyDescent="0.25">
      <c r="A186" s="1">
        <v>184</v>
      </c>
      <c r="B186" s="1" t="str">
        <v>Silvio Mestanza Dominguez</v>
      </c>
      <c r="C186" s="1" t="str">
        <v>Centros de Emergencia Mujer</v>
      </c>
      <c r="D186" s="1" t="str">
        <v>Entrevista de actores clave</v>
      </c>
      <c r="E186" s="1" t="str">
        <v>Funcionarios del Sistema</v>
      </c>
      <c r="F186" s="1" t="str">
        <v>Distrito Judicial: Cajamarca</v>
      </c>
      <c r="G186" s="1" t="str">
        <v>IJM</v>
      </c>
      <c r="H186" s="1" t="str">
        <v>Sí</v>
      </c>
      <c r="I186" s="2">
        <v>46147</v>
      </c>
      <c r="J186" s="2">
        <v>46164</v>
      </c>
      <c r="K186" s="2" t="str">
        <v/>
      </c>
      <c r="L186" s="1" t="str">
        <v>Sin respuesta</v>
      </c>
      <c r="M186" s="2" t="str">
        <v/>
      </c>
      <c r="N186" s="2" t="str">
        <v/>
      </c>
      <c r="O186" s="1" t="str">
        <v>Sin respuesta</v>
      </c>
      <c r="P186" s="1" t="str">
        <v/>
      </c>
      <c r="Q186" s="1" t="str">
        <v/>
      </c>
      <c r="R186" s="1">
        <f t="shared" si="13"/>
        <v>1</v>
      </c>
      <c r="S186" s="1">
        <f t="shared" si="12"/>
        <v>0</v>
      </c>
      <c r="T186" s="1">
        <f t="shared" si="14"/>
        <v>0</v>
      </c>
      <c r="U186" s="1">
        <f t="shared" si="15"/>
        <v>0</v>
      </c>
      <c r="V186" s="1">
        <f t="shared" si="16"/>
        <v>1</v>
      </c>
    </row>
    <row r="187" x14ac:dyDescent="0.25">
      <c r="A187" s="1">
        <v>185</v>
      </c>
      <c r="B187" s="1" t="str">
        <v> Jose Miguel Chavez Montero</v>
      </c>
      <c r="C187" s="1" t="str">
        <v>Centros de Emergencia Mujer</v>
      </c>
      <c r="D187" s="1" t="str">
        <v>Entrevista de actores clave</v>
      </c>
      <c r="E187" s="1" t="str">
        <v>Funcionarios del Sistema</v>
      </c>
      <c r="F187" s="1" t="str">
        <v>Nacional</v>
      </c>
      <c r="G187" s="1" t="str">
        <v>IJM</v>
      </c>
      <c r="H187" s="1" t="str">
        <v>Sí</v>
      </c>
      <c r="I187" s="2">
        <v>46147</v>
      </c>
      <c r="J187" s="2" t="str">
        <v/>
      </c>
      <c r="K187" s="2" t="str">
        <v/>
      </c>
      <c r="L187" s="1" t="str">
        <v>Sin respuesta</v>
      </c>
      <c r="M187" s="2" t="str">
        <v/>
      </c>
      <c r="N187" s="2" t="str">
        <v/>
      </c>
      <c r="O187" s="1" t="str">
        <v>Sin respuesta</v>
      </c>
      <c r="P187" s="1" t="str">
        <v/>
      </c>
      <c r="Q187" s="1" t="str">
        <v/>
      </c>
      <c r="R187" s="1">
        <f t="shared" si="13"/>
        <v>1</v>
      </c>
      <c r="S187" s="1">
        <f t="shared" si="12"/>
        <v>0</v>
      </c>
      <c r="T187" s="1">
        <f t="shared" si="14"/>
        <v>0</v>
      </c>
      <c r="U187" s="1">
        <f t="shared" si="15"/>
        <v>0</v>
      </c>
      <c r="V187" s="1">
        <f t="shared" si="16"/>
        <v>1</v>
      </c>
    </row>
    <row r="188" x14ac:dyDescent="0.25">
      <c r="A188" s="1">
        <v>186</v>
      </c>
      <c r="B188" s="1" t="str">
        <v>Yamille Llona Pinillos</v>
      </c>
      <c r="C188" s="1" t="str">
        <v>Centros de Emergencia Mujer</v>
      </c>
      <c r="D188" s="1" t="str">
        <v>Entrevista de actores clave</v>
      </c>
      <c r="E188" s="1" t="str">
        <v>Funcionarios del Sistema</v>
      </c>
      <c r="F188" s="1" t="str">
        <v>Distrito Judicial: Puente Piedra-Ventanilla</v>
      </c>
      <c r="G188" s="1" t="str">
        <v>IJM</v>
      </c>
      <c r="H188" s="1" t="str">
        <v>Sí</v>
      </c>
      <c r="I188" s="2">
        <v>46147</v>
      </c>
      <c r="J188" s="2" t="str">
        <v/>
      </c>
      <c r="K188" s="2" t="str">
        <v/>
      </c>
      <c r="L188" s="1" t="str">
        <v>Sin respuesta</v>
      </c>
      <c r="M188" s="2" t="str">
        <v/>
      </c>
      <c r="N188" s="2" t="str">
        <v/>
      </c>
      <c r="O188" s="1" t="str">
        <v>Sin respuesta</v>
      </c>
      <c r="P188" s="1" t="str">
        <v/>
      </c>
      <c r="Q188" s="1" t="str">
        <v/>
      </c>
      <c r="R188" s="1">
        <f t="shared" si="13"/>
        <v>1</v>
      </c>
      <c r="S188" s="1">
        <f t="shared" si="12"/>
        <v>0</v>
      </c>
      <c r="T188" s="1">
        <f t="shared" si="14"/>
        <v>0</v>
      </c>
      <c r="U188" s="1">
        <f t="shared" si="15"/>
        <v>0</v>
      </c>
      <c r="V188" s="1">
        <f t="shared" si="16"/>
        <v>1</v>
      </c>
    </row>
    <row r="189" x14ac:dyDescent="0.25">
      <c r="A189" s="1">
        <v>187</v>
      </c>
      <c r="B189" s="1" t="str">
        <v>Felipe Vara Marquez</v>
      </c>
      <c r="C189" s="1" t="str">
        <v>Centros de Emergencia Mujer</v>
      </c>
      <c r="D189" s="1" t="str">
        <v>Entrevista de actores clave</v>
      </c>
      <c r="E189" s="1" t="str">
        <v>Funcionarios del Sistema</v>
      </c>
      <c r="F189" s="1" t="str">
        <v>Nacional</v>
      </c>
      <c r="G189" s="1" t="str">
        <v>IJM</v>
      </c>
      <c r="H189" s="1" t="str">
        <v>Sí</v>
      </c>
      <c r="I189" s="2">
        <v>46147</v>
      </c>
      <c r="J189" s="2" t="str">
        <v/>
      </c>
      <c r="K189" s="2" t="str">
        <v/>
      </c>
      <c r="L189" s="1" t="str">
        <v>Sin respuesta</v>
      </c>
      <c r="M189" s="2" t="str">
        <v/>
      </c>
      <c r="N189" s="2" t="str">
        <v/>
      </c>
      <c r="O189" s="1" t="str">
        <v>Sin respuesta</v>
      </c>
      <c r="P189" s="1" t="str">
        <v/>
      </c>
      <c r="Q189" s="1" t="str">
        <v/>
      </c>
      <c r="R189" s="1">
        <f t="shared" si="13"/>
        <v>1</v>
      </c>
      <c r="S189" s="1">
        <f t="shared" si="12"/>
        <v>0</v>
      </c>
      <c r="T189" s="1">
        <f t="shared" si="14"/>
        <v>0</v>
      </c>
      <c r="U189" s="1">
        <f t="shared" si="15"/>
        <v>0</v>
      </c>
      <c r="V189" s="1">
        <f t="shared" si="16"/>
        <v>1</v>
      </c>
    </row>
    <row r="190" x14ac:dyDescent="0.25">
      <c r="A190" s="1">
        <v>188</v>
      </c>
      <c r="B190" s="1" t="str">
        <v>Yrma Eloisa Pezo Diaz</v>
      </c>
      <c r="C190" s="1" t="str">
        <v>Centros de Emergencia Mujer</v>
      </c>
      <c r="D190" s="1" t="str">
        <v>Entrevista de actores clave</v>
      </c>
      <c r="E190" s="1" t="str">
        <v>Funcionarios del Sistema</v>
      </c>
      <c r="F190" s="1" t="str">
        <v>Nacional</v>
      </c>
      <c r="G190" s="1" t="str">
        <v>IJM</v>
      </c>
      <c r="H190" s="1" t="str">
        <v>Sí</v>
      </c>
      <c r="I190" s="2">
        <v>46147</v>
      </c>
      <c r="J190" s="2" t="str">
        <v/>
      </c>
      <c r="K190" s="2" t="str">
        <v/>
      </c>
      <c r="L190" s="1" t="str">
        <v>Sin respuesta</v>
      </c>
      <c r="M190" s="2" t="str">
        <v/>
      </c>
      <c r="N190" s="2" t="str">
        <v/>
      </c>
      <c r="O190" s="1" t="str">
        <v>Sin respuesta</v>
      </c>
      <c r="P190" s="1" t="str">
        <v/>
      </c>
      <c r="Q190" s="1" t="str">
        <v/>
      </c>
      <c r="R190" s="1">
        <f t="shared" si="13"/>
        <v>1</v>
      </c>
      <c r="S190" s="1">
        <f t="shared" si="12"/>
        <v>0</v>
      </c>
      <c r="T190" s="1">
        <f t="shared" si="14"/>
        <v>0</v>
      </c>
      <c r="U190" s="1">
        <f t="shared" si="15"/>
        <v>0</v>
      </c>
      <c r="V190" s="1">
        <f t="shared" si="16"/>
        <v>1</v>
      </c>
    </row>
    <row r="191" x14ac:dyDescent="0.25">
      <c r="A191" s="1">
        <v>189</v>
      </c>
      <c r="B191" s="1" t="str">
        <v>Mary Isabel Zavala Julca</v>
      </c>
      <c r="C191" s="1" t="str">
        <v>Centros de Emergencia Mujer</v>
      </c>
      <c r="D191" s="1" t="str">
        <v>Entrevista de actores clave</v>
      </c>
      <c r="E191" s="1" t="str">
        <v>Funcionarios del Sistema</v>
      </c>
      <c r="F191" s="1" t="str">
        <v>Nacional</v>
      </c>
      <c r="G191" s="1" t="str">
        <v>IJM</v>
      </c>
      <c r="H191" s="1" t="str">
        <v>Sí</v>
      </c>
      <c r="I191" s="2">
        <v>46147</v>
      </c>
      <c r="J191" s="2" t="str">
        <v/>
      </c>
      <c r="K191" s="2" t="str">
        <v/>
      </c>
      <c r="L191" s="1" t="str">
        <v>Sin respuesta</v>
      </c>
      <c r="M191" s="2" t="str">
        <v/>
      </c>
      <c r="N191" s="2" t="str">
        <v/>
      </c>
      <c r="O191" s="1" t="str">
        <v>Sin respuesta</v>
      </c>
      <c r="P191" s="1" t="str">
        <v/>
      </c>
      <c r="Q191" s="1" t="str">
        <v/>
      </c>
      <c r="R191" s="1">
        <f t="shared" si="13"/>
        <v>1</v>
      </c>
      <c r="S191" s="1">
        <f t="shared" si="12"/>
        <v>0</v>
      </c>
      <c r="T191" s="1">
        <f t="shared" si="14"/>
        <v>0</v>
      </c>
      <c r="U191" s="1">
        <f t="shared" si="15"/>
        <v>0</v>
      </c>
      <c r="V191" s="1">
        <f t="shared" si="16"/>
        <v>1</v>
      </c>
    </row>
    <row r="192" x14ac:dyDescent="0.25">
      <c r="A192" s="1">
        <v>190</v>
      </c>
      <c r="B192" s="1" t="str">
        <v>Elizabeth Malpartida Bonilla</v>
      </c>
      <c r="C192" s="1" t="str">
        <v>Centros de Emergencia Mujer</v>
      </c>
      <c r="D192" s="1" t="str">
        <v>Entrevista de actores clave</v>
      </c>
      <c r="E192" s="1" t="str">
        <v>Funcionarios del Sistema</v>
      </c>
      <c r="F192" s="1" t="str">
        <v>Nacional</v>
      </c>
      <c r="G192" s="1" t="str">
        <v>IJM</v>
      </c>
      <c r="H192" s="1" t="str">
        <v>Sí</v>
      </c>
      <c r="I192" s="2">
        <v>46147</v>
      </c>
      <c r="J192" s="2" t="str">
        <v/>
      </c>
      <c r="K192" s="2" t="str">
        <v/>
      </c>
      <c r="L192" s="1" t="str">
        <v>Sin respuesta</v>
      </c>
      <c r="M192" s="2" t="str">
        <v/>
      </c>
      <c r="N192" s="2" t="str">
        <v/>
      </c>
      <c r="O192" s="1" t="str">
        <v>Sin respuesta</v>
      </c>
      <c r="P192" s="1" t="str">
        <v/>
      </c>
      <c r="Q192" s="1" t="str">
        <v/>
      </c>
      <c r="R192" s="1">
        <f t="shared" si="13"/>
        <v>1</v>
      </c>
      <c r="S192" s="1">
        <f t="shared" si="12"/>
        <v>0</v>
      </c>
      <c r="T192" s="1">
        <f t="shared" si="14"/>
        <v>0</v>
      </c>
      <c r="U192" s="1">
        <f t="shared" si="15"/>
        <v>0</v>
      </c>
      <c r="V192" s="1">
        <f t="shared" si="16"/>
        <v>1</v>
      </c>
    </row>
    <row r="193" x14ac:dyDescent="0.25">
      <c r="A193" s="1">
        <v>191</v>
      </c>
      <c r="B193" s="1" t="str">
        <v>Yhina Maribel Coaquira Huarilloclla</v>
      </c>
      <c r="C193" s="1" t="str">
        <v>Centros de Emergencia Mujer</v>
      </c>
      <c r="D193" s="1" t="str">
        <v>Entrevista de actores clave</v>
      </c>
      <c r="E193" s="1" t="str">
        <v>Funcionarios del Sistema</v>
      </c>
      <c r="F193" s="1" t="str">
        <v>Nacional</v>
      </c>
      <c r="G193" s="1" t="str">
        <v>IJM</v>
      </c>
      <c r="H193" s="1" t="str">
        <v>Sí</v>
      </c>
      <c r="I193" s="2">
        <v>46147</v>
      </c>
      <c r="J193" s="2" t="str">
        <v/>
      </c>
      <c r="K193" s="2" t="str">
        <v/>
      </c>
      <c r="L193" s="1" t="str">
        <v>Sin respuesta</v>
      </c>
      <c r="M193" s="2" t="str">
        <v/>
      </c>
      <c r="N193" s="2" t="str">
        <v/>
      </c>
      <c r="O193" s="1" t="str">
        <v>Sin respuesta</v>
      </c>
      <c r="P193" s="1" t="str">
        <v/>
      </c>
      <c r="Q193" s="1" t="str">
        <v/>
      </c>
      <c r="R193" s="1">
        <f t="shared" si="13"/>
        <v>1</v>
      </c>
      <c r="S193" s="1">
        <f t="shared" si="12"/>
        <v>0</v>
      </c>
      <c r="T193" s="1">
        <f t="shared" si="14"/>
        <v>0</v>
      </c>
      <c r="U193" s="1">
        <f t="shared" si="15"/>
        <v>0</v>
      </c>
      <c r="V193" s="1">
        <f t="shared" si="16"/>
        <v>1</v>
      </c>
    </row>
    <row r="194" x14ac:dyDescent="0.25">
      <c r="A194" s="1">
        <v>192</v>
      </c>
      <c r="B194" s="1" t="str">
        <v>Rebeca Luna Asencios</v>
      </c>
      <c r="C194" s="1" t="str">
        <v>Centros de Emergencia Mujer</v>
      </c>
      <c r="D194" s="1" t="str">
        <v>Entrevista de actores clave</v>
      </c>
      <c r="E194" s="1" t="str">
        <v>Acompañantes</v>
      </c>
      <c r="F194" s="1" t="str">
        <v>Nacional</v>
      </c>
      <c r="G194" s="1" t="str">
        <v>IJM</v>
      </c>
      <c r="H194" s="1" t="str">
        <v>No</v>
      </c>
      <c r="I194" s="2" t="str">
        <v/>
      </c>
      <c r="J194" s="2" t="str">
        <v/>
      </c>
      <c r="K194" s="2" t="str">
        <v/>
      </c>
      <c r="L194" s="1" t="str">
        <v/>
      </c>
      <c r="M194" s="2" t="str">
        <v/>
      </c>
      <c r="N194" s="2" t="str">
        <v/>
      </c>
      <c r="O194" s="1" t="str">
        <v/>
      </c>
      <c r="P194" s="1" t="str">
        <v/>
      </c>
      <c r="Q194" s="1" t="str">
        <v/>
      </c>
      <c r="R194" s="1">
        <f t="shared" si="13"/>
        <v>0</v>
      </c>
      <c r="S194" s="1">
        <f t="shared" ref="S194:S257" si="17">IF(L194="En coordinación",1,0)</f>
        <v>0</v>
      </c>
      <c r="T194" s="1">
        <f t="shared" si="14"/>
        <v>0</v>
      </c>
      <c r="U194" s="1">
        <f t="shared" si="15"/>
        <v>0</v>
      </c>
      <c r="V194" s="1">
        <f t="shared" si="16"/>
        <v>0</v>
      </c>
    </row>
    <row r="195" x14ac:dyDescent="0.25">
      <c r="A195" s="1">
        <v>193</v>
      </c>
      <c r="B195" s="1" t="str">
        <v>Frits Acosta Garcia</v>
      </c>
      <c r="C195" s="1" t="str">
        <v>Centros de Emergencia Mujer</v>
      </c>
      <c r="D195" s="1" t="str">
        <v>Entrevista de actores clave</v>
      </c>
      <c r="E195" s="1" t="str">
        <v>Acompañantes</v>
      </c>
      <c r="F195" s="1" t="str">
        <v>Nacional</v>
      </c>
      <c r="G195" s="1" t="str">
        <v>IJM</v>
      </c>
      <c r="H195" s="1" t="str">
        <v>No</v>
      </c>
      <c r="I195" s="2" t="str">
        <v/>
      </c>
      <c r="J195" s="2" t="str">
        <v/>
      </c>
      <c r="K195" s="2" t="str">
        <v/>
      </c>
      <c r="L195" s="1" t="str">
        <v/>
      </c>
      <c r="M195" s="2" t="str">
        <v/>
      </c>
      <c r="N195" s="2" t="str">
        <v/>
      </c>
      <c r="O195" s="1" t="str">
        <v/>
      </c>
      <c r="P195" s="1" t="str">
        <v/>
      </c>
      <c r="Q195" s="1" t="str">
        <v/>
      </c>
      <c r="R195" s="1">
        <f t="shared" ref="R195:R258" si="18">IF(H195="Sí",1,0)</f>
        <v>0</v>
      </c>
      <c r="S195" s="1">
        <f t="shared" si="17"/>
        <v>0</v>
      </c>
      <c r="T195" s="1">
        <f t="shared" ref="T195:T258" si="19">IF(L195="Aceptada",1,0)</f>
        <v>0</v>
      </c>
      <c r="U195" s="1">
        <f t="shared" ref="U195:U258" si="20">IF(OR(L195="Realizada completa",L195="Realizada incompleta"),1,0)</f>
        <v>0</v>
      </c>
      <c r="V195" s="1">
        <f t="shared" si="16"/>
        <v>0</v>
      </c>
    </row>
    <row r="196" x14ac:dyDescent="0.25">
      <c r="A196" s="1">
        <v>194</v>
      </c>
      <c r="B196" s="1" t="str">
        <v>Flor De Milagros Conopuma Lara</v>
      </c>
      <c r="C196" s="1" t="str">
        <v>Centros de Emergencia Mujer</v>
      </c>
      <c r="D196" s="1" t="str">
        <v>Entrevista de actores clave</v>
      </c>
      <c r="E196" s="1" t="str">
        <v>Acompañantes</v>
      </c>
      <c r="F196" s="1" t="str">
        <v>Distrito Judicial: Huánuco</v>
      </c>
      <c r="G196" s="1" t="str">
        <v>IJM</v>
      </c>
      <c r="H196" s="1" t="str">
        <v>No</v>
      </c>
      <c r="I196" s="2" t="str">
        <v/>
      </c>
      <c r="J196" s="2" t="str">
        <v/>
      </c>
      <c r="K196" s="2" t="str">
        <v/>
      </c>
      <c r="L196" s="1" t="str">
        <v/>
      </c>
      <c r="M196" s="2" t="str">
        <v/>
      </c>
      <c r="N196" s="2" t="str">
        <v/>
      </c>
      <c r="O196" s="1" t="str">
        <v/>
      </c>
      <c r="P196" s="1" t="str">
        <v/>
      </c>
      <c r="Q196" s="1" t="str">
        <v/>
      </c>
      <c r="R196" s="1">
        <f t="shared" si="18"/>
        <v>0</v>
      </c>
      <c r="S196" s="1">
        <f t="shared" si="17"/>
        <v>0</v>
      </c>
      <c r="T196" s="1">
        <f t="shared" si="19"/>
        <v>0</v>
      </c>
      <c r="U196" s="1">
        <f t="shared" si="20"/>
        <v>0</v>
      </c>
      <c r="V196" s="1">
        <f t="shared" si="16"/>
        <v>0</v>
      </c>
    </row>
    <row r="197" x14ac:dyDescent="0.25">
      <c r="A197" s="1">
        <v>195</v>
      </c>
      <c r="B197" s="1" t="str">
        <v>Doris Elizabeth Rabanal Castañeda</v>
      </c>
      <c r="C197" s="1" t="str">
        <v>Centros de Emergencia Mujer</v>
      </c>
      <c r="D197" s="1" t="str">
        <v>Entrevista de actores clave</v>
      </c>
      <c r="E197" s="1" t="str">
        <v>Acompañantes</v>
      </c>
      <c r="F197" s="1" t="str">
        <v>Nacional</v>
      </c>
      <c r="G197" s="1" t="str">
        <v>IJM</v>
      </c>
      <c r="H197" s="1" t="str">
        <v>No</v>
      </c>
      <c r="I197" s="2" t="str">
        <v/>
      </c>
      <c r="J197" s="2" t="str">
        <v/>
      </c>
      <c r="K197" s="2" t="str">
        <v/>
      </c>
      <c r="L197" s="1" t="str">
        <v/>
      </c>
      <c r="M197" s="2" t="str">
        <v/>
      </c>
      <c r="N197" s="2" t="str">
        <v/>
      </c>
      <c r="O197" s="1" t="str">
        <v/>
      </c>
      <c r="P197" s="1" t="str">
        <v/>
      </c>
      <c r="Q197" s="1" t="str">
        <v/>
      </c>
      <c r="R197" s="1">
        <f t="shared" si="18"/>
        <v>0</v>
      </c>
      <c r="S197" s="1">
        <f t="shared" si="17"/>
        <v>0</v>
      </c>
      <c r="T197" s="1">
        <f t="shared" si="19"/>
        <v>0</v>
      </c>
      <c r="U197" s="1">
        <f t="shared" si="20"/>
        <v>0</v>
      </c>
      <c r="V197" s="1">
        <f t="shared" si="16"/>
        <v>0</v>
      </c>
    </row>
    <row r="198" x14ac:dyDescent="0.25">
      <c r="A198" s="1">
        <v>196</v>
      </c>
      <c r="B198" s="1" t="str">
        <v>Aurora Lucila Castrejon Valdez</v>
      </c>
      <c r="C198" s="1" t="str">
        <v>Centros de Emergencia Mujer</v>
      </c>
      <c r="D198" s="1" t="str">
        <v>Entrevista de actores clave</v>
      </c>
      <c r="E198" s="1" t="str">
        <v>Acompañantes</v>
      </c>
      <c r="F198" s="1" t="str">
        <v>Distrito Judicial: Ucayali</v>
      </c>
      <c r="G198" s="1" t="str">
        <v>IJM</v>
      </c>
      <c r="H198" s="1" t="str">
        <v>No</v>
      </c>
      <c r="I198" s="2" t="str">
        <v/>
      </c>
      <c r="J198" s="2" t="str">
        <v/>
      </c>
      <c r="K198" s="2" t="str">
        <v/>
      </c>
      <c r="L198" s="1" t="str">
        <v/>
      </c>
      <c r="M198" s="2" t="str">
        <v/>
      </c>
      <c r="N198" s="2" t="str">
        <v/>
      </c>
      <c r="O198" s="1" t="str">
        <v/>
      </c>
      <c r="P198" s="1" t="str">
        <v/>
      </c>
      <c r="Q198" s="1" t="str">
        <v/>
      </c>
      <c r="R198" s="1">
        <f t="shared" si="18"/>
        <v>0</v>
      </c>
      <c r="S198" s="1">
        <f t="shared" si="17"/>
        <v>0</v>
      </c>
      <c r="T198" s="1">
        <f t="shared" si="19"/>
        <v>0</v>
      </c>
      <c r="U198" s="1">
        <f t="shared" si="20"/>
        <v>0</v>
      </c>
      <c r="V198" s="1">
        <f t="shared" si="16"/>
        <v>0</v>
      </c>
    </row>
    <row r="199" x14ac:dyDescent="0.25">
      <c r="A199" s="1">
        <v>197</v>
      </c>
      <c r="B199" s="1" t="str">
        <v>Milagro Soledad Vallejos Castañeda</v>
      </c>
      <c r="C199" s="1" t="str">
        <v>Centros de Emergencia Mujer</v>
      </c>
      <c r="D199" s="1" t="str">
        <v>Entrevista de actores clave</v>
      </c>
      <c r="E199" s="1" t="str">
        <v>Acompañantes</v>
      </c>
      <c r="F199" s="1" t="str">
        <v>Nacional</v>
      </c>
      <c r="G199" s="1" t="str">
        <v>IJM</v>
      </c>
      <c r="H199" s="1" t="str">
        <v>No</v>
      </c>
      <c r="I199" s="2" t="str">
        <v/>
      </c>
      <c r="J199" s="2" t="str">
        <v/>
      </c>
      <c r="K199" s="2" t="str">
        <v/>
      </c>
      <c r="L199" s="1" t="str">
        <v/>
      </c>
      <c r="M199" s="2" t="str">
        <v/>
      </c>
      <c r="N199" s="2" t="str">
        <v/>
      </c>
      <c r="O199" s="1" t="str">
        <v/>
      </c>
      <c r="P199" s="1" t="str">
        <v/>
      </c>
      <c r="Q199" s="1" t="str">
        <v/>
      </c>
      <c r="R199" s="1">
        <f t="shared" si="18"/>
        <v>0</v>
      </c>
      <c r="S199" s="1">
        <f t="shared" si="17"/>
        <v>0</v>
      </c>
      <c r="T199" s="1">
        <f t="shared" si="19"/>
        <v>0</v>
      </c>
      <c r="U199" s="1">
        <f t="shared" si="20"/>
        <v>0</v>
      </c>
      <c r="V199" s="1">
        <f t="shared" si="16"/>
        <v>0</v>
      </c>
    </row>
    <row r="200" x14ac:dyDescent="0.25">
      <c r="A200" s="1">
        <v>198</v>
      </c>
      <c r="B200" s="1" t="str">
        <v>Martin Ernesto Zambrano Chilon</v>
      </c>
      <c r="C200" s="1" t="str">
        <v>Centros de Emergencia Mujer</v>
      </c>
      <c r="D200" s="1" t="str">
        <v>Entrevista de actores clave</v>
      </c>
      <c r="E200" s="1" t="str">
        <v>Acompañantes</v>
      </c>
      <c r="F200" s="1" t="str">
        <v>Distrito Judicial: Apurímac</v>
      </c>
      <c r="G200" s="1" t="str">
        <v>IJM</v>
      </c>
      <c r="H200" s="1" t="str">
        <v>No</v>
      </c>
      <c r="I200" s="2" t="str">
        <v/>
      </c>
      <c r="J200" s="2" t="str">
        <v/>
      </c>
      <c r="K200" s="2" t="str">
        <v/>
      </c>
      <c r="L200" s="1" t="str">
        <v/>
      </c>
      <c r="M200" s="2" t="str">
        <v/>
      </c>
      <c r="N200" s="2" t="str">
        <v/>
      </c>
      <c r="O200" s="1" t="str">
        <v/>
      </c>
      <c r="P200" s="1" t="str">
        <v/>
      </c>
      <c r="Q200" s="1" t="str">
        <v/>
      </c>
      <c r="R200" s="1">
        <f t="shared" si="18"/>
        <v>0</v>
      </c>
      <c r="S200" s="1">
        <f t="shared" si="17"/>
        <v>0</v>
      </c>
      <c r="T200" s="1">
        <f t="shared" si="19"/>
        <v>0</v>
      </c>
      <c r="U200" s="1">
        <f t="shared" si="20"/>
        <v>0</v>
      </c>
      <c r="V200" s="1">
        <f t="shared" si="16"/>
        <v>0</v>
      </c>
    </row>
    <row r="201" x14ac:dyDescent="0.25">
      <c r="A201" s="1">
        <v>199</v>
      </c>
      <c r="B201" s="1" t="str">
        <v>Mariela Gianinna Sebastiani Chavez</v>
      </c>
      <c r="C201" s="1" t="str">
        <v>Centros de Emergencia Mujer</v>
      </c>
      <c r="D201" s="1" t="str">
        <v>Entrevista de actores clave</v>
      </c>
      <c r="E201" s="1" t="str">
        <v>Acompañantes</v>
      </c>
      <c r="F201" s="1" t="str">
        <v>Distrito Judicial: Loreto</v>
      </c>
      <c r="G201" s="1" t="str">
        <v>IJM</v>
      </c>
      <c r="H201" s="1" t="str">
        <v>No</v>
      </c>
      <c r="I201" s="2" t="str">
        <v/>
      </c>
      <c r="J201" s="2" t="str">
        <v/>
      </c>
      <c r="K201" s="2" t="str">
        <v/>
      </c>
      <c r="L201" s="1" t="str">
        <v/>
      </c>
      <c r="M201" s="2" t="str">
        <v/>
      </c>
      <c r="N201" s="2" t="str">
        <v/>
      </c>
      <c r="O201" s="1" t="str">
        <v/>
      </c>
      <c r="P201" s="1" t="str">
        <v/>
      </c>
      <c r="Q201" s="1" t="str">
        <v/>
      </c>
      <c r="R201" s="1">
        <f t="shared" si="18"/>
        <v>0</v>
      </c>
      <c r="S201" s="1">
        <f t="shared" si="17"/>
        <v>0</v>
      </c>
      <c r="T201" s="1">
        <f t="shared" si="19"/>
        <v>0</v>
      </c>
      <c r="U201" s="1">
        <f t="shared" si="20"/>
        <v>0</v>
      </c>
      <c r="V201" s="1">
        <f t="shared" si="16"/>
        <v>0</v>
      </c>
    </row>
    <row r="202" x14ac:dyDescent="0.25">
      <c r="A202" s="1">
        <v>200</v>
      </c>
      <c r="B202" s="1" t="str">
        <v>Janet Martha Gómez Huamán</v>
      </c>
      <c r="C202" s="1" t="str">
        <v>Centros de Emergencia Mujer</v>
      </c>
      <c r="D202" s="1" t="str">
        <v>Entrevista de actores clave</v>
      </c>
      <c r="E202" s="1" t="str">
        <v>Acompañantes</v>
      </c>
      <c r="F202" s="1" t="str">
        <v>Distrito Judicial: Cajamarca</v>
      </c>
      <c r="G202" s="1" t="str">
        <v>IJM</v>
      </c>
      <c r="H202" s="1" t="str">
        <v>No</v>
      </c>
      <c r="I202" s="2" t="str">
        <v/>
      </c>
      <c r="J202" s="2" t="str">
        <v/>
      </c>
      <c r="K202" s="2" t="str">
        <v/>
      </c>
      <c r="L202" s="1" t="str">
        <v/>
      </c>
      <c r="M202" s="2" t="str">
        <v/>
      </c>
      <c r="N202" s="2" t="str">
        <v/>
      </c>
      <c r="O202" s="1" t="str">
        <v/>
      </c>
      <c r="P202" s="1" t="str">
        <v/>
      </c>
      <c r="Q202" s="1" t="str">
        <v/>
      </c>
      <c r="R202" s="1">
        <f t="shared" si="18"/>
        <v>0</v>
      </c>
      <c r="S202" s="1">
        <f t="shared" si="17"/>
        <v>0</v>
      </c>
      <c r="T202" s="1">
        <f t="shared" si="19"/>
        <v>0</v>
      </c>
      <c r="U202" s="1">
        <f t="shared" si="20"/>
        <v>0</v>
      </c>
      <c r="V202" s="1">
        <f t="shared" si="16"/>
        <v>0</v>
      </c>
    </row>
    <row r="203" x14ac:dyDescent="0.25">
      <c r="A203" s="1">
        <v>201</v>
      </c>
      <c r="B203" s="1" t="str">
        <v>Patricia Milagros Garrido Rengifo</v>
      </c>
      <c r="C203" s="1" t="str">
        <v>Aurora</v>
      </c>
      <c r="D203" s="1" t="str">
        <v>Entrevista de actores clave</v>
      </c>
      <c r="E203" s="1" t="str">
        <v>Acompañantes</v>
      </c>
      <c r="F203" s="1" t="str">
        <v>Nacional</v>
      </c>
      <c r="G203" s="1" t="str">
        <v>IJM</v>
      </c>
      <c r="H203" s="1" t="str">
        <v>No</v>
      </c>
      <c r="I203" s="2" t="str">
        <v/>
      </c>
      <c r="J203" s="2" t="str">
        <v/>
      </c>
      <c r="K203" s="2" t="str">
        <v/>
      </c>
      <c r="L203" s="1" t="str">
        <v/>
      </c>
      <c r="M203" s="2" t="str">
        <v/>
      </c>
      <c r="N203" s="2" t="str">
        <v/>
      </c>
      <c r="O203" s="1" t="str">
        <v/>
      </c>
      <c r="P203" s="1" t="str">
        <v/>
      </c>
      <c r="Q203" s="1" t="str">
        <v/>
      </c>
      <c r="R203" s="1">
        <f t="shared" si="18"/>
        <v>0</v>
      </c>
      <c r="S203" s="1">
        <f t="shared" si="17"/>
        <v>0</v>
      </c>
      <c r="T203" s="1">
        <f t="shared" si="19"/>
        <v>0</v>
      </c>
      <c r="U203" s="1">
        <f t="shared" si="20"/>
        <v>0</v>
      </c>
      <c r="V203" s="1">
        <f t="shared" si="16"/>
        <v>0</v>
      </c>
    </row>
    <row r="204" x14ac:dyDescent="0.25">
      <c r="A204" s="1">
        <v>202</v>
      </c>
      <c r="B204" s="1" t="str">
        <v>Melchora Milagros Ríos García</v>
      </c>
      <c r="C204" s="1" t="str">
        <v>Aurora</v>
      </c>
      <c r="D204" s="1" t="str">
        <v>Entrevista de actores clave</v>
      </c>
      <c r="E204" s="1" t="str">
        <v>Funcionarios del Sistema</v>
      </c>
      <c r="F204" s="1" t="str">
        <v>Nacional</v>
      </c>
      <c r="G204" s="1" t="str">
        <v>IJM</v>
      </c>
      <c r="H204" s="1" t="str">
        <v>Sí</v>
      </c>
      <c r="I204" s="2">
        <v>46147</v>
      </c>
      <c r="J204" s="2" t="str">
        <v/>
      </c>
      <c r="K204" s="2" t="str">
        <v/>
      </c>
      <c r="L204" s="1" t="str">
        <v>Sin respuesta</v>
      </c>
      <c r="M204" s="2" t="str">
        <v/>
      </c>
      <c r="N204" s="2" t="str">
        <v/>
      </c>
      <c r="O204" s="1" t="str">
        <v>Sin respuesta</v>
      </c>
      <c r="P204" s="1" t="str">
        <v/>
      </c>
      <c r="Q204" s="1" t="str">
        <v/>
      </c>
      <c r="R204" s="1">
        <f t="shared" si="18"/>
        <v>1</v>
      </c>
      <c r="S204" s="1">
        <f t="shared" si="17"/>
        <v>0</v>
      </c>
      <c r="T204" s="1">
        <f t="shared" si="19"/>
        <v>0</v>
      </c>
      <c r="U204" s="1">
        <f t="shared" si="20"/>
        <v>0</v>
      </c>
      <c r="V204" s="1">
        <f t="shared" si="16"/>
        <v>1</v>
      </c>
    </row>
    <row r="205" x14ac:dyDescent="0.25">
      <c r="A205" s="1">
        <v>203</v>
      </c>
      <c r="B205" s="1" t="str">
        <v>Laura Agama Fernández</v>
      </c>
      <c r="C205" s="1" t="str">
        <v>Aurora</v>
      </c>
      <c r="D205" s="1" t="str">
        <v>Entrevista de actores clave</v>
      </c>
      <c r="E205" s="1" t="str">
        <v>Funcionarios del Sistema</v>
      </c>
      <c r="F205" s="1" t="str">
        <v>Distrito Judicial: Lima Norte</v>
      </c>
      <c r="G205" s="1" t="str">
        <v>IJM</v>
      </c>
      <c r="H205" s="1" t="str">
        <v>Sí</v>
      </c>
      <c r="I205" s="2">
        <v>46147</v>
      </c>
      <c r="J205" s="2" t="str">
        <v/>
      </c>
      <c r="K205" s="2" t="str">
        <v/>
      </c>
      <c r="L205" s="1" t="str">
        <v>Sin respuesta</v>
      </c>
      <c r="M205" s="2" t="str">
        <v/>
      </c>
      <c r="N205" s="2" t="str">
        <v/>
      </c>
      <c r="O205" s="1" t="str">
        <v>Sin respuesta</v>
      </c>
      <c r="P205" s="1" t="str">
        <v/>
      </c>
      <c r="Q205" s="1" t="str">
        <v/>
      </c>
      <c r="R205" s="1">
        <f t="shared" si="18"/>
        <v>1</v>
      </c>
      <c r="S205" s="1">
        <f t="shared" si="17"/>
        <v>0</v>
      </c>
      <c r="T205" s="1">
        <f t="shared" si="19"/>
        <v>0</v>
      </c>
      <c r="U205" s="1">
        <f t="shared" si="20"/>
        <v>0</v>
      </c>
      <c r="V205" s="1">
        <f t="shared" si="16"/>
        <v>1</v>
      </c>
    </row>
    <row r="206" x14ac:dyDescent="0.25">
      <c r="A206" s="1">
        <v>204</v>
      </c>
      <c r="B206" s="1" t="str">
        <v>Gerardo Alfonso Marín Lopez</v>
      </c>
      <c r="C206" s="1" t="str">
        <v>Aurora</v>
      </c>
      <c r="D206" s="1" t="str">
        <v>Entrevista de actores clave</v>
      </c>
      <c r="E206" s="1" t="str">
        <v>Funcionarios del Sistema</v>
      </c>
      <c r="F206" s="1" t="str">
        <v>Nacional</v>
      </c>
      <c r="G206" s="1" t="str">
        <v>IJM</v>
      </c>
      <c r="H206" s="1" t="str">
        <v>Sí</v>
      </c>
      <c r="I206" s="2">
        <v>46147</v>
      </c>
      <c r="J206" s="2" t="str">
        <v/>
      </c>
      <c r="K206" s="2" t="str">
        <v/>
      </c>
      <c r="L206" s="1" t="str">
        <v>Rechazada</v>
      </c>
      <c r="M206" s="2" t="str">
        <v/>
      </c>
      <c r="N206" s="2" t="str">
        <v/>
      </c>
      <c r="O206" s="1" t="str">
        <v>Rechazada</v>
      </c>
      <c r="P206" s="1" t="str">
        <v/>
      </c>
      <c r="Q206" s="1" t="str">
        <v/>
      </c>
      <c r="R206" s="1">
        <f t="shared" si="18"/>
        <v>1</v>
      </c>
      <c r="S206" s="1">
        <f t="shared" si="17"/>
        <v>0</v>
      </c>
      <c r="T206" s="1">
        <f t="shared" si="19"/>
        <v>0</v>
      </c>
      <c r="U206" s="1">
        <f t="shared" si="20"/>
        <v>0</v>
      </c>
      <c r="V206" s="1">
        <f t="shared" si="16"/>
        <v>0</v>
      </c>
    </row>
    <row r="207" x14ac:dyDescent="0.25">
      <c r="A207" s="1">
        <v>205</v>
      </c>
      <c r="B207" s="1" t="str">
        <v>Nelly Herrera Santos</v>
      </c>
      <c r="C207" s="1" t="str">
        <v>Centro Legal Comunitario María Trinidad Enriquez</v>
      </c>
      <c r="D207" s="1" t="str">
        <v>Entrevista de actores clave</v>
      </c>
      <c r="E207" s="1" t="str">
        <v>Acompañantes</v>
      </c>
      <c r="F207" s="1" t="str">
        <v>Nacional</v>
      </c>
      <c r="G207" s="1" t="str">
        <v>IJM</v>
      </c>
      <c r="H207" s="1" t="str">
        <v>Sí</v>
      </c>
      <c r="I207" s="2">
        <v>46107</v>
      </c>
      <c r="J207" s="2" t="str">
        <v/>
      </c>
      <c r="K207" s="2" t="str">
        <v/>
      </c>
      <c r="L207" s="1" t="str">
        <v>Aceptada</v>
      </c>
      <c r="M207" s="2" t="str">
        <v/>
      </c>
      <c r="N207" s="2" t="str">
        <v/>
      </c>
      <c r="O207" s="1" t="str">
        <v>Aceptada</v>
      </c>
      <c r="P207" s="1" t="str">
        <v/>
      </c>
      <c r="Q207" s="1" t="str">
        <v/>
      </c>
      <c r="R207" s="1">
        <f t="shared" si="18"/>
        <v>1</v>
      </c>
      <c r="S207" s="1">
        <f t="shared" si="17"/>
        <v>0</v>
      </c>
      <c r="T207" s="1">
        <f t="shared" si="19"/>
        <v>1</v>
      </c>
      <c r="U207" s="1">
        <f t="shared" si="20"/>
        <v>0</v>
      </c>
      <c r="V207" s="1">
        <f t="shared" si="16"/>
        <v>0</v>
      </c>
    </row>
    <row r="208" x14ac:dyDescent="0.25">
      <c r="A208" s="1">
        <v>206</v>
      </c>
      <c r="B208" s="1" t="str">
        <v>Por definir</v>
      </c>
      <c r="C208" s="1" t="str">
        <v>Acompañante Integral de Víctimas</v>
      </c>
      <c r="D208" s="1" t="str">
        <v>Entrevista de actores clave</v>
      </c>
      <c r="E208" s="1" t="str">
        <v>Acompañantes</v>
      </c>
      <c r="F208" s="1" t="str">
        <v>Nacional</v>
      </c>
      <c r="G208" s="1" t="str">
        <v>IJM</v>
      </c>
      <c r="H208" s="1" t="str">
        <v>No</v>
      </c>
      <c r="I208" s="2" t="str">
        <v/>
      </c>
      <c r="J208" s="2" t="str">
        <v/>
      </c>
      <c r="K208" s="2" t="str">
        <v/>
      </c>
      <c r="L208" s="1" t="str">
        <v/>
      </c>
      <c r="M208" s="2" t="str">
        <v/>
      </c>
      <c r="N208" s="2" t="str">
        <v/>
      </c>
      <c r="O208" s="1" t="str">
        <v/>
      </c>
      <c r="P208" s="1" t="str">
        <v/>
      </c>
      <c r="Q208" s="1" t="str">
        <v/>
      </c>
      <c r="R208" s="1">
        <f t="shared" si="18"/>
        <v>0</v>
      </c>
      <c r="S208" s="1">
        <f t="shared" si="17"/>
        <v>0</v>
      </c>
      <c r="T208" s="1">
        <f t="shared" si="19"/>
        <v>0</v>
      </c>
      <c r="U208" s="1">
        <f t="shared" si="20"/>
        <v>0</v>
      </c>
      <c r="V208" s="1">
        <f t="shared" si="16"/>
        <v>0</v>
      </c>
    </row>
    <row r="209" x14ac:dyDescent="0.25">
      <c r="A209" s="1">
        <v>207</v>
      </c>
      <c r="B209" s="1" t="str">
        <v>Raquel Salcedo</v>
      </c>
      <c r="C209" s="1" t="str">
        <v>Red Nacional de Promoción de la Mujer – RNPM</v>
      </c>
      <c r="D209" s="1" t="str">
        <v>Entrevista de actores clave</v>
      </c>
      <c r="E209" s="1" t="str">
        <v>Acompañantes</v>
      </c>
      <c r="F209" s="1" t="str">
        <v>Nacional</v>
      </c>
      <c r="G209" s="1" t="str">
        <v>IJM</v>
      </c>
      <c r="H209" s="1" t="str">
        <v>No</v>
      </c>
      <c r="I209" s="2" t="str">
        <v/>
      </c>
      <c r="J209" s="2" t="str">
        <v/>
      </c>
      <c r="K209" s="2" t="str">
        <v/>
      </c>
      <c r="L209" s="1" t="str">
        <v/>
      </c>
      <c r="M209" s="2" t="str">
        <v/>
      </c>
      <c r="N209" s="2" t="str">
        <v/>
      </c>
      <c r="O209" s="1" t="str">
        <v/>
      </c>
      <c r="P209" s="1" t="str">
        <v/>
      </c>
      <c r="Q209" s="1" t="str">
        <v/>
      </c>
      <c r="R209" s="1">
        <f t="shared" si="18"/>
        <v>0</v>
      </c>
      <c r="S209" s="1">
        <f t="shared" si="17"/>
        <v>0</v>
      </c>
      <c r="T209" s="1">
        <f t="shared" si="19"/>
        <v>0</v>
      </c>
      <c r="U209" s="1">
        <f t="shared" si="20"/>
        <v>0</v>
      </c>
      <c r="V209" s="1">
        <f t="shared" si="16"/>
        <v>0</v>
      </c>
    </row>
    <row r="210" x14ac:dyDescent="0.25">
      <c r="A210" s="1">
        <v>208</v>
      </c>
      <c r="B210" s="1" t="str">
        <v>Rita Rengifo Melendez</v>
      </c>
      <c r="C210" s="1" t="str">
        <v>Red Nacional de Promoción de la Mujer – RNPM</v>
      </c>
      <c r="D210" s="1" t="str">
        <v>Entrevista de actores clave</v>
      </c>
      <c r="E210" s="1" t="str">
        <v>Acompañantes</v>
      </c>
      <c r="F210" s="1" t="str">
        <v>Distrito Judicial: Loreto</v>
      </c>
      <c r="G210" s="1" t="str">
        <v>IJM</v>
      </c>
      <c r="H210" s="1" t="str">
        <v>No</v>
      </c>
      <c r="I210" s="2" t="str">
        <v/>
      </c>
      <c r="J210" s="2" t="str">
        <v/>
      </c>
      <c r="K210" s="2" t="str">
        <v/>
      </c>
      <c r="L210" s="1" t="str">
        <v/>
      </c>
      <c r="M210" s="2" t="str">
        <v/>
      </c>
      <c r="N210" s="2" t="str">
        <v/>
      </c>
      <c r="O210" s="1" t="str">
        <v/>
      </c>
      <c r="P210" s="1" t="str">
        <v/>
      </c>
      <c r="Q210" s="1" t="str">
        <v/>
      </c>
      <c r="R210" s="1">
        <f t="shared" si="18"/>
        <v>0</v>
      </c>
      <c r="S210" s="1">
        <f t="shared" si="17"/>
        <v>0</v>
      </c>
      <c r="T210" s="1">
        <f t="shared" si="19"/>
        <v>0</v>
      </c>
      <c r="U210" s="1">
        <f t="shared" si="20"/>
        <v>0</v>
      </c>
      <c r="V210" s="1">
        <f t="shared" si="16"/>
        <v>0</v>
      </c>
    </row>
    <row r="211" x14ac:dyDescent="0.25">
      <c r="A211" s="1">
        <v>209</v>
      </c>
      <c r="B211" s="1" t="str">
        <v>Lidia Saavedra</v>
      </c>
      <c r="C211" s="1" t="str">
        <v>Red Nacional de Promoción de la Mujer – RNPM</v>
      </c>
      <c r="D211" s="1" t="str">
        <v>Entrevista de actores clave</v>
      </c>
      <c r="E211" s="1" t="str">
        <v>Acompañantes</v>
      </c>
      <c r="F211" s="1" t="str">
        <v>Distrito Judicial: Ayacucho</v>
      </c>
      <c r="G211" s="1" t="str">
        <v>IJM</v>
      </c>
      <c r="H211" s="1" t="str">
        <v>No</v>
      </c>
      <c r="I211" s="2" t="str">
        <v/>
      </c>
      <c r="J211" s="2" t="str">
        <v/>
      </c>
      <c r="K211" s="2" t="str">
        <v/>
      </c>
      <c r="L211" s="1" t="str">
        <v/>
      </c>
      <c r="M211" s="2" t="str">
        <v/>
      </c>
      <c r="N211" s="2" t="str">
        <v/>
      </c>
      <c r="O211" s="1" t="str">
        <v/>
      </c>
      <c r="P211" s="1" t="str">
        <v/>
      </c>
      <c r="Q211" s="1" t="str">
        <v/>
      </c>
      <c r="R211" s="1">
        <f t="shared" si="18"/>
        <v>0</v>
      </c>
      <c r="S211" s="1">
        <f t="shared" si="17"/>
        <v>0</v>
      </c>
      <c r="T211" s="1">
        <f t="shared" si="19"/>
        <v>0</v>
      </c>
      <c r="U211" s="1">
        <f t="shared" si="20"/>
        <v>0</v>
      </c>
      <c r="V211" s="1">
        <f t="shared" si="16"/>
        <v>0</v>
      </c>
    </row>
    <row r="212" x14ac:dyDescent="0.25">
      <c r="A212" s="1">
        <v>210</v>
      </c>
      <c r="B212" s="1" t="str">
        <v>Hilda Huayhua Mamani</v>
      </c>
      <c r="C212" s="1" t="str">
        <v>Red Nacional de Promoción de la Mujer – RNPM</v>
      </c>
      <c r="D212" s="1" t="str">
        <v>Entrevista de actores clave</v>
      </c>
      <c r="E212" s="1" t="str">
        <v>Acompañantes</v>
      </c>
      <c r="F212" s="1" t="str">
        <v>Nacional</v>
      </c>
      <c r="G212" s="1" t="str">
        <v>IJM</v>
      </c>
      <c r="H212" s="1" t="str">
        <v>Sí</v>
      </c>
      <c r="I212" s="2">
        <v>46111</v>
      </c>
      <c r="J212" s="2" t="str">
        <v/>
      </c>
      <c r="K212" s="2" t="str">
        <v/>
      </c>
      <c r="L212" s="1" t="str">
        <v>Sin respuesta</v>
      </c>
      <c r="M212" s="2" t="str">
        <v/>
      </c>
      <c r="N212" s="2" t="str">
        <v/>
      </c>
      <c r="O212" s="1" t="str">
        <v>Sin respuesta</v>
      </c>
      <c r="P212" s="1" t="str">
        <v/>
      </c>
      <c r="Q212" s="1" t="str">
        <v/>
      </c>
      <c r="R212" s="1">
        <f t="shared" si="18"/>
        <v>1</v>
      </c>
      <c r="S212" s="1">
        <f t="shared" si="17"/>
        <v>0</v>
      </c>
      <c r="T212" s="1">
        <f t="shared" si="19"/>
        <v>0</v>
      </c>
      <c r="U212" s="1">
        <f t="shared" si="20"/>
        <v>0</v>
      </c>
      <c r="V212" s="1">
        <f t="shared" si="16"/>
        <v>1</v>
      </c>
    </row>
    <row r="213" x14ac:dyDescent="0.25">
      <c r="A213" s="1">
        <v>211</v>
      </c>
      <c r="B213" s="1" t="str">
        <v>Yessenia Chombo Zeballos</v>
      </c>
      <c r="C213" s="1" t="str">
        <v>Red Nacional de Promoción de la Mujer – RNPM</v>
      </c>
      <c r="D213" s="1" t="str">
        <v>Entrevista de actores clave</v>
      </c>
      <c r="E213" s="1" t="str">
        <v>Acompañantes</v>
      </c>
      <c r="F213" s="1" t="str">
        <v>Nacional</v>
      </c>
      <c r="G213" s="1" t="str">
        <v>IJM</v>
      </c>
      <c r="H213" s="1" t="str">
        <v>Sí</v>
      </c>
      <c r="I213" s="2">
        <v>46111</v>
      </c>
      <c r="J213" s="2" t="str">
        <v/>
      </c>
      <c r="K213" s="2" t="str">
        <v/>
      </c>
      <c r="L213" s="1" t="str">
        <v>Sin respuesta</v>
      </c>
      <c r="M213" s="2" t="str">
        <v/>
      </c>
      <c r="N213" s="2" t="str">
        <v/>
      </c>
      <c r="O213" s="1" t="str">
        <v>Sin respuesta</v>
      </c>
      <c r="P213" s="1" t="str">
        <v/>
      </c>
      <c r="Q213" s="1" t="str">
        <v/>
      </c>
      <c r="R213" s="1">
        <f t="shared" si="18"/>
        <v>1</v>
      </c>
      <c r="S213" s="1">
        <f t="shared" si="17"/>
        <v>0</v>
      </c>
      <c r="T213" s="1">
        <f t="shared" si="19"/>
        <v>0</v>
      </c>
      <c r="U213" s="1">
        <f t="shared" si="20"/>
        <v>0</v>
      </c>
      <c r="V213" s="1">
        <f t="shared" si="16"/>
        <v>1</v>
      </c>
    </row>
    <row r="214" x14ac:dyDescent="0.25">
      <c r="A214" s="1">
        <v>212</v>
      </c>
      <c r="B214" s="1" t="str">
        <v>Pilar Manrique</v>
      </c>
      <c r="C214" s="1" t="str">
        <v>Red Nacional de Promoción de la Mujer – RNPM</v>
      </c>
      <c r="D214" s="1" t="str">
        <v>Entrevista de actores clave</v>
      </c>
      <c r="E214" s="1" t="str">
        <v>Acompañantes</v>
      </c>
      <c r="F214" s="1" t="str">
        <v>Nacional</v>
      </c>
      <c r="G214" s="1" t="str">
        <v>IJM</v>
      </c>
      <c r="H214" s="1" t="str">
        <v>No</v>
      </c>
      <c r="I214" s="2" t="str">
        <v/>
      </c>
      <c r="J214" s="2" t="str">
        <v/>
      </c>
      <c r="K214" s="2" t="str">
        <v/>
      </c>
      <c r="L214" s="1" t="str">
        <v/>
      </c>
      <c r="M214" s="2" t="str">
        <v/>
      </c>
      <c r="N214" s="2" t="str">
        <v/>
      </c>
      <c r="O214" s="1" t="str">
        <v/>
      </c>
      <c r="P214" s="1" t="str">
        <v/>
      </c>
      <c r="Q214" s="1" t="str">
        <v/>
      </c>
      <c r="R214" s="1">
        <f t="shared" si="18"/>
        <v>0</v>
      </c>
      <c r="S214" s="1">
        <f t="shared" si="17"/>
        <v>0</v>
      </c>
      <c r="T214" s="1">
        <f t="shared" si="19"/>
        <v>0</v>
      </c>
      <c r="U214" s="1">
        <f t="shared" si="20"/>
        <v>0</v>
      </c>
      <c r="V214" s="1">
        <f t="shared" si="16"/>
        <v>0</v>
      </c>
    </row>
    <row r="215" x14ac:dyDescent="0.25">
      <c r="A215" s="1">
        <v>213</v>
      </c>
      <c r="B215" s="1" t="str">
        <v>Karen De la Cruz</v>
      </c>
      <c r="C215" s="1" t="str">
        <v>CHS Alternativo</v>
      </c>
      <c r="D215" s="1" t="str">
        <v>Entrevista de actores clave</v>
      </c>
      <c r="E215" s="1" t="str">
        <v>Actores locales</v>
      </c>
      <c r="F215" s="1" t="str">
        <v>Nacional</v>
      </c>
      <c r="G215" s="1" t="str">
        <v>IJM</v>
      </c>
      <c r="H215" s="1" t="str">
        <v>No</v>
      </c>
      <c r="I215" s="2" t="str">
        <v/>
      </c>
      <c r="J215" s="2" t="str">
        <v/>
      </c>
      <c r="K215" s="2" t="str">
        <v/>
      </c>
      <c r="L215" s="1" t="str">
        <v/>
      </c>
      <c r="M215" s="2" t="str">
        <v/>
      </c>
      <c r="N215" s="2" t="str">
        <v/>
      </c>
      <c r="O215" s="1" t="str">
        <v/>
      </c>
      <c r="P215" s="1" t="str">
        <v/>
      </c>
      <c r="Q215" s="1" t="str">
        <v/>
      </c>
      <c r="R215" s="1">
        <f t="shared" si="18"/>
        <v>0</v>
      </c>
      <c r="S215" s="1">
        <f t="shared" si="17"/>
        <v>0</v>
      </c>
      <c r="T215" s="1">
        <f t="shared" si="19"/>
        <v>0</v>
      </c>
      <c r="U215" s="1">
        <f t="shared" si="20"/>
        <v>0</v>
      </c>
      <c r="V215" s="1">
        <f t="shared" ref="V215:V278" si="21">IF(L215="Sin respuesta",1,0)</f>
        <v>0</v>
      </c>
    </row>
    <row r="216" x14ac:dyDescent="0.25">
      <c r="A216" s="1">
        <v>214</v>
      </c>
      <c r="B216" s="1" t="str">
        <v>Amire Romina Ortiz Arica</v>
      </c>
      <c r="C216" s="1" t="str">
        <v>Acción por Igualdad</v>
      </c>
      <c r="D216" s="1" t="str">
        <v>Entrevista de actores clave</v>
      </c>
      <c r="E216" s="1" t="str">
        <v>Actores locales</v>
      </c>
      <c r="F216" s="1" t="str">
        <v>Nacional</v>
      </c>
      <c r="G216" s="1" t="str">
        <v>IJM</v>
      </c>
      <c r="H216" s="1" t="str">
        <v>No</v>
      </c>
      <c r="I216" s="2" t="str">
        <v/>
      </c>
      <c r="J216" s="2" t="str">
        <v/>
      </c>
      <c r="K216" s="2" t="str">
        <v/>
      </c>
      <c r="L216" s="1" t="str">
        <v/>
      </c>
      <c r="M216" s="2" t="str">
        <v/>
      </c>
      <c r="N216" s="2" t="str">
        <v/>
      </c>
      <c r="O216" s="1" t="str">
        <v/>
      </c>
      <c r="P216" s="1" t="str">
        <v/>
      </c>
      <c r="Q216" s="1" t="str">
        <v/>
      </c>
      <c r="R216" s="1">
        <f t="shared" si="18"/>
        <v>0</v>
      </c>
      <c r="S216" s="1">
        <f t="shared" si="17"/>
        <v>0</v>
      </c>
      <c r="T216" s="1">
        <f t="shared" si="19"/>
        <v>0</v>
      </c>
      <c r="U216" s="1">
        <f t="shared" si="20"/>
        <v>0</v>
      </c>
      <c r="V216" s="1">
        <f t="shared" si="21"/>
        <v>0</v>
      </c>
    </row>
    <row r="217" x14ac:dyDescent="0.25">
      <c r="A217" s="1">
        <v>215</v>
      </c>
      <c r="B217" s="1" t="str">
        <v>Yohanny González</v>
      </c>
      <c r="C217" s="1" t="str">
        <v>Pasos firmes</v>
      </c>
      <c r="D217" s="1" t="str">
        <v>Entrevista de actores clave</v>
      </c>
      <c r="E217" s="1" t="str">
        <v>Actores locales</v>
      </c>
      <c r="F217" s="1" t="str">
        <v>Distrito Judicial: Apurímac</v>
      </c>
      <c r="G217" s="1" t="str">
        <v>IJM</v>
      </c>
      <c r="H217" s="1" t="str">
        <v>No</v>
      </c>
      <c r="I217" s="2" t="str">
        <v/>
      </c>
      <c r="J217" s="2" t="str">
        <v/>
      </c>
      <c r="K217" s="2" t="str">
        <v/>
      </c>
      <c r="L217" s="1" t="str">
        <v/>
      </c>
      <c r="M217" s="2" t="str">
        <v/>
      </c>
      <c r="N217" s="2" t="str">
        <v/>
      </c>
      <c r="O217" s="1" t="str">
        <v/>
      </c>
      <c r="P217" s="1" t="str">
        <v/>
      </c>
      <c r="Q217" s="1" t="str">
        <v/>
      </c>
      <c r="R217" s="1">
        <f t="shared" si="18"/>
        <v>0</v>
      </c>
      <c r="S217" s="1">
        <f t="shared" si="17"/>
        <v>0</v>
      </c>
      <c r="T217" s="1">
        <f t="shared" si="19"/>
        <v>0</v>
      </c>
      <c r="U217" s="1">
        <f t="shared" si="20"/>
        <v>0</v>
      </c>
      <c r="V217" s="1">
        <f t="shared" si="21"/>
        <v>0</v>
      </c>
    </row>
    <row r="218" x14ac:dyDescent="0.25">
      <c r="A218" s="1">
        <v>216</v>
      </c>
      <c r="B218" s="1" t="str">
        <v>Clea Guerra</v>
      </c>
      <c r="C218" s="1" t="str">
        <v>Comité de América Latina y el Caribe para la Defensa de los Derechos de las Mujeres (CLADEM) Perú</v>
      </c>
      <c r="D218" s="1" t="str">
        <v>Entrevista de actores clave</v>
      </c>
      <c r="E218" s="1" t="str">
        <v>Acompañantes</v>
      </c>
      <c r="F218" s="1" t="str">
        <v>Nacional</v>
      </c>
      <c r="G218" s="1" t="str">
        <v>IJM</v>
      </c>
      <c r="H218" s="1" t="str">
        <v>No</v>
      </c>
      <c r="I218" s="2" t="str">
        <v/>
      </c>
      <c r="J218" s="2" t="str">
        <v/>
      </c>
      <c r="K218" s="2" t="str">
        <v/>
      </c>
      <c r="L218" s="1" t="str">
        <v/>
      </c>
      <c r="M218" s="2" t="str">
        <v/>
      </c>
      <c r="N218" s="2" t="str">
        <v/>
      </c>
      <c r="O218" s="1" t="str">
        <v/>
      </c>
      <c r="P218" s="1" t="str">
        <v/>
      </c>
      <c r="Q218" s="1" t="str">
        <v/>
      </c>
      <c r="R218" s="1">
        <f t="shared" si="18"/>
        <v>0</v>
      </c>
      <c r="S218" s="1">
        <f t="shared" si="17"/>
        <v>0</v>
      </c>
      <c r="T218" s="1">
        <f t="shared" si="19"/>
        <v>0</v>
      </c>
      <c r="U218" s="1">
        <f t="shared" si="20"/>
        <v>0</v>
      </c>
      <c r="V218" s="1">
        <f t="shared" si="21"/>
        <v>0</v>
      </c>
    </row>
    <row r="219" x14ac:dyDescent="0.25">
      <c r="A219" s="1">
        <v>217</v>
      </c>
      <c r="B219" s="1" t="str">
        <v>Luz Medina Gonzales</v>
      </c>
      <c r="C219" s="1" t="str">
        <v>Red Interdistrital de Mujeres de Lima Metropolitana Contra la Violencia </v>
      </c>
      <c r="D219" s="1" t="str">
        <v>Entrevista de actores clave</v>
      </c>
      <c r="E219" s="1" t="str">
        <v>Acompañantes</v>
      </c>
      <c r="F219" s="1" t="str">
        <v>Nacional</v>
      </c>
      <c r="G219" s="1" t="str">
        <v>IJM</v>
      </c>
      <c r="H219" s="1" t="str">
        <v>No</v>
      </c>
      <c r="I219" s="2" t="str">
        <v/>
      </c>
      <c r="J219" s="2" t="str">
        <v/>
      </c>
      <c r="K219" s="2" t="str">
        <v/>
      </c>
      <c r="L219" s="1" t="str">
        <v/>
      </c>
      <c r="M219" s="2" t="str">
        <v/>
      </c>
      <c r="N219" s="2" t="str">
        <v/>
      </c>
      <c r="O219" s="1" t="str">
        <v/>
      </c>
      <c r="P219" s="1" t="str">
        <v/>
      </c>
      <c r="Q219" s="1" t="str">
        <v/>
      </c>
      <c r="R219" s="1">
        <f t="shared" si="18"/>
        <v>0</v>
      </c>
      <c r="S219" s="1">
        <f t="shared" si="17"/>
        <v>0</v>
      </c>
      <c r="T219" s="1">
        <f t="shared" si="19"/>
        <v>0</v>
      </c>
      <c r="U219" s="1">
        <f t="shared" si="20"/>
        <v>0</v>
      </c>
      <c r="V219" s="1">
        <f t="shared" si="21"/>
        <v>0</v>
      </c>
    </row>
    <row r="220" x14ac:dyDescent="0.25">
      <c r="A220" s="1">
        <v>218</v>
      </c>
      <c r="B220" s="1" t="str">
        <v>Víctor Félix Choquehuanca Vilca</v>
      </c>
      <c r="C220" s="1" t="str">
        <v>FOVIDA</v>
      </c>
      <c r="D220" s="1" t="str">
        <v>Entrevista de actores clave</v>
      </c>
      <c r="E220" s="1" t="str">
        <v>Actores locales</v>
      </c>
      <c r="F220" s="1" t="str">
        <v>Nacional</v>
      </c>
      <c r="G220" s="1" t="str">
        <v>IJM</v>
      </c>
      <c r="H220" s="1" t="str">
        <v>No</v>
      </c>
      <c r="I220" s="2" t="str">
        <v/>
      </c>
      <c r="J220" s="2" t="str">
        <v/>
      </c>
      <c r="K220" s="2" t="str">
        <v/>
      </c>
      <c r="L220" s="1" t="str">
        <v/>
      </c>
      <c r="M220" s="2" t="str">
        <v/>
      </c>
      <c r="N220" s="2" t="str">
        <v/>
      </c>
      <c r="O220" s="1" t="str">
        <v/>
      </c>
      <c r="P220" s="1" t="str">
        <v/>
      </c>
      <c r="Q220" s="1" t="str">
        <v/>
      </c>
      <c r="R220" s="1">
        <f t="shared" si="18"/>
        <v>0</v>
      </c>
      <c r="S220" s="1">
        <f t="shared" si="17"/>
        <v>0</v>
      </c>
      <c r="T220" s="1">
        <f t="shared" si="19"/>
        <v>0</v>
      </c>
      <c r="U220" s="1">
        <f t="shared" si="20"/>
        <v>0</v>
      </c>
      <c r="V220" s="1">
        <f t="shared" si="21"/>
        <v>0</v>
      </c>
    </row>
    <row r="221" x14ac:dyDescent="0.25">
      <c r="A221" s="1">
        <v>219</v>
      </c>
      <c r="B221" s="1" t="str">
        <v>Billy Rimari Quinto</v>
      </c>
      <c r="C221" s="1" t="str">
        <v>FOVIDA</v>
      </c>
      <c r="D221" s="1" t="str">
        <v>Entrevista de actores clave</v>
      </c>
      <c r="E221" s="1" t="str">
        <v>Actores locales</v>
      </c>
      <c r="F221" s="1" t="str">
        <v>Nacional</v>
      </c>
      <c r="G221" s="1" t="str">
        <v>IJM</v>
      </c>
      <c r="H221" s="1" t="str">
        <v>No</v>
      </c>
      <c r="I221" s="2" t="str">
        <v/>
      </c>
      <c r="J221" s="2" t="str">
        <v/>
      </c>
      <c r="K221" s="2" t="str">
        <v/>
      </c>
      <c r="L221" s="1" t="str">
        <v/>
      </c>
      <c r="M221" s="2" t="str">
        <v/>
      </c>
      <c r="N221" s="2" t="str">
        <v/>
      </c>
      <c r="O221" s="1" t="str">
        <v/>
      </c>
      <c r="P221" s="1" t="str">
        <v/>
      </c>
      <c r="Q221" s="1" t="str">
        <v/>
      </c>
      <c r="R221" s="1">
        <f t="shared" si="18"/>
        <v>0</v>
      </c>
      <c r="S221" s="1">
        <f t="shared" si="17"/>
        <v>0</v>
      </c>
      <c r="T221" s="1">
        <f t="shared" si="19"/>
        <v>0</v>
      </c>
      <c r="U221" s="1">
        <f t="shared" si="20"/>
        <v>0</v>
      </c>
      <c r="V221" s="1">
        <f t="shared" si="21"/>
        <v>0</v>
      </c>
    </row>
    <row r="222" x14ac:dyDescent="0.25">
      <c r="A222" s="1">
        <v>220</v>
      </c>
      <c r="B222" s="1" t="str">
        <v>Yovana Garfias Damiano</v>
      </c>
      <c r="C222" s="1" t="str">
        <v>FOVIDA</v>
      </c>
      <c r="D222" s="1" t="str">
        <v>Entrevista de actores clave</v>
      </c>
      <c r="E222" s="1" t="str">
        <v>Actores locales</v>
      </c>
      <c r="F222" s="1" t="str">
        <v>Nacional</v>
      </c>
      <c r="G222" s="1" t="str">
        <v>IJM</v>
      </c>
      <c r="H222" s="1" t="str">
        <v>No</v>
      </c>
      <c r="I222" s="2" t="str">
        <v/>
      </c>
      <c r="J222" s="2" t="str">
        <v/>
      </c>
      <c r="K222" s="2" t="str">
        <v/>
      </c>
      <c r="L222" s="1" t="str">
        <v/>
      </c>
      <c r="M222" s="2" t="str">
        <v/>
      </c>
      <c r="N222" s="2" t="str">
        <v/>
      </c>
      <c r="O222" s="1" t="str">
        <v/>
      </c>
      <c r="P222" s="1" t="str">
        <v/>
      </c>
      <c r="Q222" s="1" t="str">
        <v/>
      </c>
      <c r="R222" s="1">
        <f t="shared" si="18"/>
        <v>0</v>
      </c>
      <c r="S222" s="1">
        <f t="shared" si="17"/>
        <v>0</v>
      </c>
      <c r="T222" s="1">
        <f t="shared" si="19"/>
        <v>0</v>
      </c>
      <c r="U222" s="1">
        <f t="shared" si="20"/>
        <v>0</v>
      </c>
      <c r="V222" s="1">
        <f t="shared" si="21"/>
        <v>0</v>
      </c>
    </row>
    <row r="223" x14ac:dyDescent="0.25">
      <c r="A223" s="1">
        <v>221</v>
      </c>
      <c r="B223" s="1" t="str">
        <v>Nixa Ynes Ahuite Laiche</v>
      </c>
      <c r="C223" s="1" t="str">
        <v>Orientadoras Judiciales</v>
      </c>
      <c r="D223" s="1" t="str">
        <v>Entrevista de actores clave</v>
      </c>
      <c r="E223" s="1" t="str">
        <v>Acompañantes</v>
      </c>
      <c r="F223" s="1" t="str">
        <v>Distrito Judicial: Loreto</v>
      </c>
      <c r="G223" s="1" t="str">
        <v>IJM</v>
      </c>
      <c r="H223" s="1" t="str">
        <v>No</v>
      </c>
      <c r="I223" s="2" t="str">
        <v/>
      </c>
      <c r="J223" s="2" t="str">
        <v/>
      </c>
      <c r="K223" s="2" t="str">
        <v/>
      </c>
      <c r="L223" s="1" t="str">
        <v/>
      </c>
      <c r="M223" s="2" t="str">
        <v/>
      </c>
      <c r="N223" s="2" t="str">
        <v/>
      </c>
      <c r="O223" s="1" t="str">
        <v/>
      </c>
      <c r="P223" s="1" t="str">
        <v/>
      </c>
      <c r="Q223" s="1" t="str">
        <v/>
      </c>
      <c r="R223" s="1">
        <f t="shared" si="18"/>
        <v>0</v>
      </c>
      <c r="S223" s="1">
        <f t="shared" si="17"/>
        <v>0</v>
      </c>
      <c r="T223" s="1">
        <f t="shared" si="19"/>
        <v>0</v>
      </c>
      <c r="U223" s="1">
        <f t="shared" si="20"/>
        <v>0</v>
      </c>
      <c r="V223" s="1">
        <f t="shared" si="21"/>
        <v>0</v>
      </c>
    </row>
    <row r="224" x14ac:dyDescent="0.25">
      <c r="A224" s="1">
        <v>222</v>
      </c>
      <c r="B224" s="1" t="str">
        <v>Ania Pastor</v>
      </c>
      <c r="C224" s="1" t="str">
        <v>Orientadoras Judiciales</v>
      </c>
      <c r="D224" s="1" t="str">
        <v>Entrevista de actores clave</v>
      </c>
      <c r="E224" s="1" t="str">
        <v>Acompañantes</v>
      </c>
      <c r="F224" s="1" t="str">
        <v>Nacional</v>
      </c>
      <c r="G224" s="1" t="str">
        <v>IJM</v>
      </c>
      <c r="H224" s="1" t="str">
        <v>No</v>
      </c>
      <c r="I224" s="2" t="str">
        <v/>
      </c>
      <c r="J224" s="2" t="str">
        <v/>
      </c>
      <c r="K224" s="2" t="str">
        <v/>
      </c>
      <c r="L224" s="1" t="str">
        <v/>
      </c>
      <c r="M224" s="2" t="str">
        <v/>
      </c>
      <c r="N224" s="2" t="str">
        <v/>
      </c>
      <c r="O224" s="1" t="str">
        <v/>
      </c>
      <c r="P224" s="1" t="str">
        <v/>
      </c>
      <c r="Q224" s="1" t="str">
        <v/>
      </c>
      <c r="R224" s="1">
        <f t="shared" si="18"/>
        <v>0</v>
      </c>
      <c r="S224" s="1">
        <f t="shared" si="17"/>
        <v>0</v>
      </c>
      <c r="T224" s="1">
        <f t="shared" si="19"/>
        <v>0</v>
      </c>
      <c r="U224" s="1">
        <f t="shared" si="20"/>
        <v>0</v>
      </c>
      <c r="V224" s="1">
        <f t="shared" si="21"/>
        <v>0</v>
      </c>
    </row>
    <row r="225" x14ac:dyDescent="0.25">
      <c r="A225" s="1">
        <v>223</v>
      </c>
      <c r="B225" s="1" t="str">
        <v>Elizabeth Estrella Quispe</v>
      </c>
      <c r="C225" s="1" t="str">
        <v>Orientadoras Judiciales</v>
      </c>
      <c r="D225" s="1" t="str">
        <v>Entrevista de actores clave</v>
      </c>
      <c r="E225" s="1" t="str">
        <v>Acompañantes</v>
      </c>
      <c r="F225" s="1" t="str">
        <v>Nacional</v>
      </c>
      <c r="G225" s="1" t="str">
        <v>IJM</v>
      </c>
      <c r="H225" s="1" t="str">
        <v>No</v>
      </c>
      <c r="I225" s="2" t="str">
        <v/>
      </c>
      <c r="J225" s="2" t="str">
        <v/>
      </c>
      <c r="K225" s="2" t="str">
        <v/>
      </c>
      <c r="L225" s="1" t="str">
        <v/>
      </c>
      <c r="M225" s="2" t="str">
        <v/>
      </c>
      <c r="N225" s="2" t="str">
        <v/>
      </c>
      <c r="O225" s="1" t="str">
        <v/>
      </c>
      <c r="P225" s="1" t="str">
        <v/>
      </c>
      <c r="Q225" s="1" t="str">
        <v/>
      </c>
      <c r="R225" s="1">
        <f t="shared" si="18"/>
        <v>0</v>
      </c>
      <c r="S225" s="1">
        <f t="shared" si="17"/>
        <v>0</v>
      </c>
      <c r="T225" s="1">
        <f t="shared" si="19"/>
        <v>0</v>
      </c>
      <c r="U225" s="1">
        <f t="shared" si="20"/>
        <v>0</v>
      </c>
      <c r="V225" s="1">
        <f t="shared" si="21"/>
        <v>0</v>
      </c>
    </row>
    <row r="226" x14ac:dyDescent="0.25">
      <c r="A226" s="1">
        <v>224</v>
      </c>
      <c r="B226" s="1" t="str">
        <v>María Juarez Vera</v>
      </c>
      <c r="C226" s="1" t="str">
        <v>Orientadoras Judiciales</v>
      </c>
      <c r="D226" s="1" t="str">
        <v>Entrevista de actores clave</v>
      </c>
      <c r="E226" s="1" t="str">
        <v>Acompañantes</v>
      </c>
      <c r="F226" s="1" t="str">
        <v>Nacional</v>
      </c>
      <c r="G226" s="1" t="str">
        <v>IJM</v>
      </c>
      <c r="H226" s="1" t="str">
        <v>No</v>
      </c>
      <c r="I226" s="2" t="str">
        <v/>
      </c>
      <c r="J226" s="2" t="str">
        <v/>
      </c>
      <c r="K226" s="2" t="str">
        <v/>
      </c>
      <c r="L226" s="1" t="str">
        <v/>
      </c>
      <c r="M226" s="2" t="str">
        <v/>
      </c>
      <c r="N226" s="2" t="str">
        <v/>
      </c>
      <c r="O226" s="1" t="str">
        <v/>
      </c>
      <c r="P226" s="1" t="str">
        <v/>
      </c>
      <c r="Q226" s="1" t="str">
        <v/>
      </c>
      <c r="R226" s="1">
        <f t="shared" si="18"/>
        <v>0</v>
      </c>
      <c r="S226" s="1">
        <f t="shared" si="17"/>
        <v>0</v>
      </c>
      <c r="T226" s="1">
        <f t="shared" si="19"/>
        <v>0</v>
      </c>
      <c r="U226" s="1">
        <f t="shared" si="20"/>
        <v>0</v>
      </c>
      <c r="V226" s="1">
        <f t="shared" si="21"/>
        <v>0</v>
      </c>
    </row>
    <row r="227" x14ac:dyDescent="0.25">
      <c r="A227" s="1">
        <v>225</v>
      </c>
      <c r="B227" s="1" t="str">
        <v>Ana Isabo</v>
      </c>
      <c r="C227" s="1" t="str">
        <v>Orientadoras Judiciales</v>
      </c>
      <c r="D227" s="1" t="str">
        <v>Entrevista de actores clave</v>
      </c>
      <c r="E227" s="1" t="str">
        <v>Acompañantes</v>
      </c>
      <c r="F227" s="1" t="str">
        <v>Nacional</v>
      </c>
      <c r="G227" s="1" t="str">
        <v>IJM</v>
      </c>
      <c r="H227" s="1" t="str">
        <v>No</v>
      </c>
      <c r="I227" s="2" t="str">
        <v/>
      </c>
      <c r="J227" s="2" t="str">
        <v/>
      </c>
      <c r="K227" s="2" t="str">
        <v/>
      </c>
      <c r="L227" s="1" t="str">
        <v/>
      </c>
      <c r="M227" s="2" t="str">
        <v/>
      </c>
      <c r="N227" s="2" t="str">
        <v/>
      </c>
      <c r="O227" s="1" t="str">
        <v/>
      </c>
      <c r="P227" s="1" t="str">
        <v/>
      </c>
      <c r="Q227" s="1" t="str">
        <v/>
      </c>
      <c r="R227" s="1">
        <f t="shared" si="18"/>
        <v>0</v>
      </c>
      <c r="S227" s="1">
        <f t="shared" si="17"/>
        <v>0</v>
      </c>
      <c r="T227" s="1">
        <f t="shared" si="19"/>
        <v>0</v>
      </c>
      <c r="U227" s="1">
        <f t="shared" si="20"/>
        <v>0</v>
      </c>
      <c r="V227" s="1">
        <f t="shared" si="21"/>
        <v>0</v>
      </c>
    </row>
    <row r="228" x14ac:dyDescent="0.25">
      <c r="A228" s="1">
        <v>226</v>
      </c>
      <c r="B228" s="1" t="str">
        <v>Pilar Rojas Torres</v>
      </c>
      <c r="C228" s="1" t="str">
        <v>Orientadoras Judiciales</v>
      </c>
      <c r="D228" s="1" t="str">
        <v>Entrevista de actores clave</v>
      </c>
      <c r="E228" s="1" t="str">
        <v>Acompañantes</v>
      </c>
      <c r="F228" s="1" t="str">
        <v>Nacional</v>
      </c>
      <c r="G228" s="1" t="str">
        <v>IJM</v>
      </c>
      <c r="H228" s="1" t="str">
        <v>No</v>
      </c>
      <c r="I228" s="2" t="str">
        <v/>
      </c>
      <c r="J228" s="2" t="str">
        <v/>
      </c>
      <c r="K228" s="2" t="str">
        <v/>
      </c>
      <c r="L228" s="1" t="str">
        <v/>
      </c>
      <c r="M228" s="2" t="str">
        <v/>
      </c>
      <c r="N228" s="2" t="str">
        <v/>
      </c>
      <c r="O228" s="1" t="str">
        <v/>
      </c>
      <c r="P228" s="1" t="str">
        <v/>
      </c>
      <c r="Q228" s="1" t="str">
        <v/>
      </c>
      <c r="R228" s="1">
        <f t="shared" si="18"/>
        <v>0</v>
      </c>
      <c r="S228" s="1">
        <f t="shared" si="17"/>
        <v>0</v>
      </c>
      <c r="T228" s="1">
        <f t="shared" si="19"/>
        <v>0</v>
      </c>
      <c r="U228" s="1">
        <f t="shared" si="20"/>
        <v>0</v>
      </c>
      <c r="V228" s="1">
        <f t="shared" si="21"/>
        <v>0</v>
      </c>
    </row>
    <row r="229" x14ac:dyDescent="0.25">
      <c r="A229" s="1">
        <v>227</v>
      </c>
      <c r="B229" s="1" t="str">
        <v>Marlenne Cespedes Rio</v>
      </c>
      <c r="C229" s="1" t="str">
        <v>Orientadoras Judiciales</v>
      </c>
      <c r="D229" s="1" t="str">
        <v>Entrevista de actores clave</v>
      </c>
      <c r="E229" s="1" t="str">
        <v>Acompañantes</v>
      </c>
      <c r="F229" s="1" t="str">
        <v>Distrito Judicial: Apurímac</v>
      </c>
      <c r="G229" s="1" t="str">
        <v>IJM</v>
      </c>
      <c r="H229" s="1" t="str">
        <v>Sí</v>
      </c>
      <c r="I229" s="2">
        <v>46120</v>
      </c>
      <c r="J229" s="2" t="str">
        <v/>
      </c>
      <c r="K229" s="2" t="str">
        <v/>
      </c>
      <c r="L229" s="1" t="str">
        <v>Sin respuesta</v>
      </c>
      <c r="M229" s="2" t="str">
        <v/>
      </c>
      <c r="N229" s="2" t="str">
        <v/>
      </c>
      <c r="O229" s="1" t="str">
        <v>Sin respuesta</v>
      </c>
      <c r="P229" s="1" t="str">
        <v/>
      </c>
      <c r="Q229" s="1" t="str">
        <v/>
      </c>
      <c r="R229" s="1">
        <f t="shared" si="18"/>
        <v>1</v>
      </c>
      <c r="S229" s="1">
        <f t="shared" si="17"/>
        <v>0</v>
      </c>
      <c r="T229" s="1">
        <f t="shared" si="19"/>
        <v>0</v>
      </c>
      <c r="U229" s="1">
        <f t="shared" si="20"/>
        <v>0</v>
      </c>
      <c r="V229" s="1">
        <f t="shared" si="21"/>
        <v>1</v>
      </c>
    </row>
    <row r="230" x14ac:dyDescent="0.25">
      <c r="A230" s="1">
        <v>228</v>
      </c>
      <c r="B230" s="1" t="str">
        <v>Evelyn Muñoz Oscategui</v>
      </c>
      <c r="C230" s="1" t="str">
        <v>Orientadoras Judiciales</v>
      </c>
      <c r="D230" s="1" t="str">
        <v>Entrevista de actores clave</v>
      </c>
      <c r="E230" s="1" t="str">
        <v>Acompañantes</v>
      </c>
      <c r="F230" s="1" t="str">
        <v>Distrito Judicial: Huánuco</v>
      </c>
      <c r="G230" s="1" t="str">
        <v>IJM</v>
      </c>
      <c r="H230" s="1" t="str">
        <v>No</v>
      </c>
      <c r="I230" s="2" t="str">
        <v/>
      </c>
      <c r="J230" s="2" t="str">
        <v/>
      </c>
      <c r="K230" s="2" t="str">
        <v/>
      </c>
      <c r="L230" s="1" t="str">
        <v/>
      </c>
      <c r="M230" s="2" t="str">
        <v/>
      </c>
      <c r="N230" s="2" t="str">
        <v/>
      </c>
      <c r="O230" s="1" t="str">
        <v/>
      </c>
      <c r="P230" s="1" t="str">
        <v/>
      </c>
      <c r="Q230" s="1" t="str">
        <v/>
      </c>
      <c r="R230" s="1">
        <f t="shared" si="18"/>
        <v>0</v>
      </c>
      <c r="S230" s="1">
        <f t="shared" si="17"/>
        <v>0</v>
      </c>
      <c r="T230" s="1">
        <f t="shared" si="19"/>
        <v>0</v>
      </c>
      <c r="U230" s="1">
        <f t="shared" si="20"/>
        <v>0</v>
      </c>
      <c r="V230" s="1">
        <f t="shared" si="21"/>
        <v>0</v>
      </c>
    </row>
    <row r="231" x14ac:dyDescent="0.25">
      <c r="A231" s="1">
        <v>229</v>
      </c>
      <c r="B231" s="1" t="str">
        <v>Maria Elena Figueroa</v>
      </c>
      <c r="C231" s="1" t="str">
        <v>Orientadoras Judiciales</v>
      </c>
      <c r="D231" s="1" t="str">
        <v>Entrevista de actores clave</v>
      </c>
      <c r="E231" s="1" t="str">
        <v>Acompañantes</v>
      </c>
      <c r="F231" s="1" t="str">
        <v>Nacional</v>
      </c>
      <c r="G231" s="1" t="str">
        <v>IJM</v>
      </c>
      <c r="H231" s="1" t="str">
        <v>No</v>
      </c>
      <c r="I231" s="2" t="str">
        <v/>
      </c>
      <c r="J231" s="2" t="str">
        <v/>
      </c>
      <c r="K231" s="2" t="str">
        <v/>
      </c>
      <c r="L231" s="1" t="str">
        <v/>
      </c>
      <c r="M231" s="2" t="str">
        <v/>
      </c>
      <c r="N231" s="2" t="str">
        <v/>
      </c>
      <c r="O231" s="1" t="str">
        <v/>
      </c>
      <c r="P231" s="1" t="str">
        <v/>
      </c>
      <c r="Q231" s="1" t="str">
        <v/>
      </c>
      <c r="R231" s="1">
        <f t="shared" si="18"/>
        <v>0</v>
      </c>
      <c r="S231" s="1">
        <f t="shared" si="17"/>
        <v>0</v>
      </c>
      <c r="T231" s="1">
        <f t="shared" si="19"/>
        <v>0</v>
      </c>
      <c r="U231" s="1">
        <f t="shared" si="20"/>
        <v>0</v>
      </c>
      <c r="V231" s="1">
        <f t="shared" si="21"/>
        <v>0</v>
      </c>
    </row>
    <row r="232" x14ac:dyDescent="0.25">
      <c r="A232" s="1">
        <v>230</v>
      </c>
      <c r="B232" s="1" t="str">
        <v>Maria Teresa Barreda</v>
      </c>
      <c r="C232" s="1" t="str">
        <v>Orientadoras Judiciales</v>
      </c>
      <c r="D232" s="1" t="str">
        <v>Entrevista de actores clave</v>
      </c>
      <c r="E232" s="1" t="str">
        <v>Acompañantes</v>
      </c>
      <c r="F232" s="1" t="str">
        <v>Nacional</v>
      </c>
      <c r="G232" s="1" t="str">
        <v>IJM</v>
      </c>
      <c r="H232" s="1" t="str">
        <v>No</v>
      </c>
      <c r="I232" s="2" t="str">
        <v/>
      </c>
      <c r="J232" s="2" t="str">
        <v/>
      </c>
      <c r="K232" s="2" t="str">
        <v/>
      </c>
      <c r="L232" s="1" t="str">
        <v/>
      </c>
      <c r="M232" s="2" t="str">
        <v/>
      </c>
      <c r="N232" s="2" t="str">
        <v/>
      </c>
      <c r="O232" s="1" t="str">
        <v/>
      </c>
      <c r="P232" s="1" t="str">
        <v/>
      </c>
      <c r="Q232" s="1" t="str">
        <v/>
      </c>
      <c r="R232" s="1">
        <f t="shared" si="18"/>
        <v>0</v>
      </c>
      <c r="S232" s="1">
        <f t="shared" si="17"/>
        <v>0</v>
      </c>
      <c r="T232" s="1">
        <f t="shared" si="19"/>
        <v>0</v>
      </c>
      <c r="U232" s="1">
        <f t="shared" si="20"/>
        <v>0</v>
      </c>
      <c r="V232" s="1">
        <f t="shared" si="21"/>
        <v>0</v>
      </c>
    </row>
    <row r="233" x14ac:dyDescent="0.25">
      <c r="A233" s="1">
        <v>231</v>
      </c>
      <c r="B233" s="1" t="str">
        <v>Virginia Yañez Díaz</v>
      </c>
      <c r="C233" s="1" t="str">
        <v>Orientadoras Judiciales</v>
      </c>
      <c r="D233" s="1" t="str">
        <v>Entrevista de actores clave</v>
      </c>
      <c r="E233" s="1" t="str">
        <v>Acompañantes</v>
      </c>
      <c r="F233" s="1" t="str">
        <v>Nacional</v>
      </c>
      <c r="G233" s="1" t="str">
        <v>IJM</v>
      </c>
      <c r="H233" s="1" t="str">
        <v>No</v>
      </c>
      <c r="I233" s="2" t="str">
        <v/>
      </c>
      <c r="J233" s="2" t="str">
        <v/>
      </c>
      <c r="K233" s="2" t="str">
        <v/>
      </c>
      <c r="L233" s="1" t="str">
        <v/>
      </c>
      <c r="M233" s="2" t="str">
        <v/>
      </c>
      <c r="N233" s="2" t="str">
        <v/>
      </c>
      <c r="O233" s="1" t="str">
        <v/>
      </c>
      <c r="P233" s="1" t="str">
        <v/>
      </c>
      <c r="Q233" s="1" t="str">
        <v/>
      </c>
      <c r="R233" s="1">
        <f t="shared" si="18"/>
        <v>0</v>
      </c>
      <c r="S233" s="1">
        <f t="shared" si="17"/>
        <v>0</v>
      </c>
      <c r="T233" s="1">
        <f t="shared" si="19"/>
        <v>0</v>
      </c>
      <c r="U233" s="1">
        <f t="shared" si="20"/>
        <v>0</v>
      </c>
      <c r="V233" s="1">
        <f t="shared" si="21"/>
        <v>0</v>
      </c>
    </row>
    <row r="234" x14ac:dyDescent="0.25">
      <c r="A234" s="1">
        <v>232</v>
      </c>
      <c r="B234" s="1" t="str">
        <v>Maria Arispe</v>
      </c>
      <c r="C234" s="1" t="str">
        <v>Orientadoras Judiciales</v>
      </c>
      <c r="D234" s="1" t="str">
        <v>Entrevista de actores clave</v>
      </c>
      <c r="E234" s="1" t="str">
        <v>Acompañantes</v>
      </c>
      <c r="F234" s="1" t="str">
        <v>Nacional</v>
      </c>
      <c r="G234" s="1" t="str">
        <v>IJM</v>
      </c>
      <c r="H234" s="1" t="str">
        <v>No</v>
      </c>
      <c r="I234" s="2" t="str">
        <v/>
      </c>
      <c r="J234" s="2" t="str">
        <v/>
      </c>
      <c r="K234" s="2" t="str">
        <v/>
      </c>
      <c r="L234" s="1" t="str">
        <v/>
      </c>
      <c r="M234" s="2" t="str">
        <v/>
      </c>
      <c r="N234" s="2" t="str">
        <v/>
      </c>
      <c r="O234" s="1" t="str">
        <v/>
      </c>
      <c r="P234" s="1" t="str">
        <v/>
      </c>
      <c r="Q234" s="1" t="str">
        <v/>
      </c>
      <c r="R234" s="1">
        <f t="shared" si="18"/>
        <v>0</v>
      </c>
      <c r="S234" s="1">
        <f t="shared" si="17"/>
        <v>0</v>
      </c>
      <c r="T234" s="1">
        <f t="shared" si="19"/>
        <v>0</v>
      </c>
      <c r="U234" s="1">
        <f t="shared" si="20"/>
        <v>0</v>
      </c>
      <c r="V234" s="1">
        <f t="shared" si="21"/>
        <v>0</v>
      </c>
    </row>
    <row r="235" x14ac:dyDescent="0.25">
      <c r="A235" s="1">
        <v>233</v>
      </c>
      <c r="B235" s="1" t="str">
        <v>Janet Ortega</v>
      </c>
      <c r="C235" s="1" t="str">
        <v>Orientadoras Judiciales</v>
      </c>
      <c r="D235" s="1" t="str">
        <v>Entrevista de actores clave</v>
      </c>
      <c r="E235" s="1" t="str">
        <v>Acompañantes</v>
      </c>
      <c r="F235" s="1" t="str">
        <v>Nacional</v>
      </c>
      <c r="G235" s="1" t="str">
        <v>IJM</v>
      </c>
      <c r="H235" s="1" t="str">
        <v>No</v>
      </c>
      <c r="I235" s="2" t="str">
        <v/>
      </c>
      <c r="J235" s="2" t="str">
        <v/>
      </c>
      <c r="K235" s="2" t="str">
        <v/>
      </c>
      <c r="L235" s="1" t="str">
        <v/>
      </c>
      <c r="M235" s="2" t="str">
        <v/>
      </c>
      <c r="N235" s="2" t="str">
        <v/>
      </c>
      <c r="O235" s="1" t="str">
        <v/>
      </c>
      <c r="P235" s="1" t="str">
        <v/>
      </c>
      <c r="Q235" s="1" t="str">
        <v/>
      </c>
      <c r="R235" s="1">
        <f t="shared" si="18"/>
        <v>0</v>
      </c>
      <c r="S235" s="1">
        <f t="shared" si="17"/>
        <v>0</v>
      </c>
      <c r="T235" s="1">
        <f t="shared" si="19"/>
        <v>0</v>
      </c>
      <c r="U235" s="1">
        <f t="shared" si="20"/>
        <v>0</v>
      </c>
      <c r="V235" s="1">
        <f t="shared" si="21"/>
        <v>0</v>
      </c>
    </row>
    <row r="236" x14ac:dyDescent="0.25">
      <c r="A236" s="1">
        <v>234</v>
      </c>
      <c r="B236" s="1" t="str">
        <v>Cynthia Solono Gammarra</v>
      </c>
      <c r="C236" s="1" t="str">
        <v>Orientadoras Judiciales</v>
      </c>
      <c r="D236" s="1" t="str">
        <v>Entrevista de actores clave</v>
      </c>
      <c r="E236" s="1" t="str">
        <v>Acompañantes</v>
      </c>
      <c r="F236" s="1" t="str">
        <v>Nacional</v>
      </c>
      <c r="G236" s="1" t="str">
        <v>IJM</v>
      </c>
      <c r="H236" s="1" t="str">
        <v>No</v>
      </c>
      <c r="I236" s="2" t="str">
        <v/>
      </c>
      <c r="J236" s="2" t="str">
        <v/>
      </c>
      <c r="K236" s="2" t="str">
        <v/>
      </c>
      <c r="L236" s="1" t="str">
        <v/>
      </c>
      <c r="M236" s="2" t="str">
        <v/>
      </c>
      <c r="N236" s="2" t="str">
        <v/>
      </c>
      <c r="O236" s="1" t="str">
        <v/>
      </c>
      <c r="P236" s="1" t="str">
        <v/>
      </c>
      <c r="Q236" s="1" t="str">
        <v/>
      </c>
      <c r="R236" s="1">
        <f t="shared" si="18"/>
        <v>0</v>
      </c>
      <c r="S236" s="1">
        <f t="shared" si="17"/>
        <v>0</v>
      </c>
      <c r="T236" s="1">
        <f t="shared" si="19"/>
        <v>0</v>
      </c>
      <c r="U236" s="1">
        <f t="shared" si="20"/>
        <v>0</v>
      </c>
      <c r="V236" s="1">
        <f t="shared" si="21"/>
        <v>0</v>
      </c>
    </row>
    <row r="237" x14ac:dyDescent="0.25">
      <c r="A237" s="1">
        <v>235</v>
      </c>
      <c r="B237" s="1" t="str">
        <v>Margot Nivin Vargas</v>
      </c>
      <c r="C237" s="1" t="str">
        <v>Orientadoras Judiciales</v>
      </c>
      <c r="D237" s="1" t="str">
        <v>Entrevista de actores clave</v>
      </c>
      <c r="E237" s="1" t="str">
        <v>Acompañantes</v>
      </c>
      <c r="F237" s="1" t="str">
        <v>Nacional</v>
      </c>
      <c r="G237" s="1" t="str">
        <v>IJM</v>
      </c>
      <c r="H237" s="1" t="str">
        <v>No</v>
      </c>
      <c r="I237" s="2" t="str">
        <v/>
      </c>
      <c r="J237" s="2" t="str">
        <v/>
      </c>
      <c r="K237" s="2" t="str">
        <v/>
      </c>
      <c r="L237" s="1" t="str">
        <v/>
      </c>
      <c r="M237" s="2" t="str">
        <v/>
      </c>
      <c r="N237" s="2" t="str">
        <v/>
      </c>
      <c r="O237" s="1" t="str">
        <v/>
      </c>
      <c r="P237" s="1" t="str">
        <v/>
      </c>
      <c r="Q237" s="1" t="str">
        <v/>
      </c>
      <c r="R237" s="1">
        <f t="shared" si="18"/>
        <v>0</v>
      </c>
      <c r="S237" s="1">
        <f t="shared" si="17"/>
        <v>0</v>
      </c>
      <c r="T237" s="1">
        <f t="shared" si="19"/>
        <v>0</v>
      </c>
      <c r="U237" s="1">
        <f t="shared" si="20"/>
        <v>0</v>
      </c>
      <c r="V237" s="1">
        <f t="shared" si="21"/>
        <v>0</v>
      </c>
    </row>
    <row r="238" x14ac:dyDescent="0.25">
      <c r="A238" s="1">
        <v>236</v>
      </c>
      <c r="B238" s="1" t="str">
        <v>Marlene Vivanco</v>
      </c>
      <c r="C238" s="1" t="str">
        <v>Orientadoras Judiciales</v>
      </c>
      <c r="D238" s="1" t="str">
        <v>Entrevista de actores clave</v>
      </c>
      <c r="E238" s="1" t="str">
        <v>Acompañantes</v>
      </c>
      <c r="F238" s="1" t="str">
        <v>Nacional</v>
      </c>
      <c r="G238" s="1" t="str">
        <v>IJM</v>
      </c>
      <c r="H238" s="1" t="str">
        <v>No</v>
      </c>
      <c r="I238" s="2" t="str">
        <v/>
      </c>
      <c r="J238" s="2" t="str">
        <v/>
      </c>
      <c r="K238" s="2" t="str">
        <v/>
      </c>
      <c r="L238" s="1" t="str">
        <v/>
      </c>
      <c r="M238" s="2" t="str">
        <v/>
      </c>
      <c r="N238" s="2" t="str">
        <v/>
      </c>
      <c r="O238" s="1" t="str">
        <v/>
      </c>
      <c r="P238" s="1" t="str">
        <v/>
      </c>
      <c r="Q238" s="1" t="str">
        <v/>
      </c>
      <c r="R238" s="1">
        <f t="shared" si="18"/>
        <v>0</v>
      </c>
      <c r="S238" s="1">
        <f t="shared" si="17"/>
        <v>0</v>
      </c>
      <c r="T238" s="1">
        <f t="shared" si="19"/>
        <v>0</v>
      </c>
      <c r="U238" s="1">
        <f t="shared" si="20"/>
        <v>0</v>
      </c>
      <c r="V238" s="1">
        <f t="shared" si="21"/>
        <v>0</v>
      </c>
    </row>
    <row r="239" x14ac:dyDescent="0.25">
      <c r="A239" s="1">
        <v>237</v>
      </c>
      <c r="B239" s="1" t="str">
        <v>Margarita Juarez Vera</v>
      </c>
      <c r="C239" s="1" t="str">
        <v>Orientadoras Judiciales</v>
      </c>
      <c r="D239" s="1" t="str">
        <v>Entrevista de actores clave</v>
      </c>
      <c r="E239" s="1" t="str">
        <v>Acompañantes</v>
      </c>
      <c r="F239" s="1" t="str">
        <v>Nacional</v>
      </c>
      <c r="G239" s="1" t="str">
        <v>IJM</v>
      </c>
      <c r="H239" s="1" t="str">
        <v>No</v>
      </c>
      <c r="I239" s="2" t="str">
        <v/>
      </c>
      <c r="J239" s="2" t="str">
        <v/>
      </c>
      <c r="K239" s="2" t="str">
        <v/>
      </c>
      <c r="L239" s="1" t="str">
        <v/>
      </c>
      <c r="M239" s="2" t="str">
        <v/>
      </c>
      <c r="N239" s="2" t="str">
        <v/>
      </c>
      <c r="O239" s="1" t="str">
        <v/>
      </c>
      <c r="P239" s="1" t="str">
        <v/>
      </c>
      <c r="Q239" s="1" t="str">
        <v/>
      </c>
      <c r="R239" s="1">
        <f t="shared" si="18"/>
        <v>0</v>
      </c>
      <c r="S239" s="1">
        <f t="shared" si="17"/>
        <v>0</v>
      </c>
      <c r="T239" s="1">
        <f t="shared" si="19"/>
        <v>0</v>
      </c>
      <c r="U239" s="1">
        <f t="shared" si="20"/>
        <v>0</v>
      </c>
      <c r="V239" s="1">
        <f t="shared" si="21"/>
        <v>0</v>
      </c>
    </row>
    <row r="240" x14ac:dyDescent="0.25">
      <c r="A240" s="1">
        <v>238</v>
      </c>
      <c r="B240" s="1" t="str">
        <v>Miluska Meza Sanchez</v>
      </c>
      <c r="C240" s="1" t="str">
        <v>Orientadoras Judiciales</v>
      </c>
      <c r="D240" s="1" t="str">
        <v>Entrevista de actores clave</v>
      </c>
      <c r="E240" s="1" t="str">
        <v>Acompañantes</v>
      </c>
      <c r="F240" s="1" t="str">
        <v>Nacional</v>
      </c>
      <c r="G240" s="1" t="str">
        <v>IJM</v>
      </c>
      <c r="H240" s="1" t="str">
        <v>No</v>
      </c>
      <c r="I240" s="2" t="str">
        <v/>
      </c>
      <c r="J240" s="2" t="str">
        <v/>
      </c>
      <c r="K240" s="2" t="str">
        <v/>
      </c>
      <c r="L240" s="1" t="str">
        <v/>
      </c>
      <c r="M240" s="2" t="str">
        <v/>
      </c>
      <c r="N240" s="2" t="str">
        <v/>
      </c>
      <c r="O240" s="1" t="str">
        <v/>
      </c>
      <c r="P240" s="1" t="str">
        <v/>
      </c>
      <c r="Q240" s="1" t="str">
        <v/>
      </c>
      <c r="R240" s="1">
        <f t="shared" si="18"/>
        <v>0</v>
      </c>
      <c r="S240" s="1">
        <f t="shared" si="17"/>
        <v>0</v>
      </c>
      <c r="T240" s="1">
        <f t="shared" si="19"/>
        <v>0</v>
      </c>
      <c r="U240" s="1">
        <f t="shared" si="20"/>
        <v>0</v>
      </c>
      <c r="V240" s="1">
        <f t="shared" si="21"/>
        <v>0</v>
      </c>
    </row>
    <row r="241" x14ac:dyDescent="0.25">
      <c r="A241" s="1">
        <v>239</v>
      </c>
      <c r="B241" s="1" t="str">
        <v>Yaqueline Loayza</v>
      </c>
      <c r="C241" s="1" t="str">
        <v>Orientadoras Judiciales</v>
      </c>
      <c r="D241" s="1" t="str">
        <v>Entrevista de actores clave</v>
      </c>
      <c r="E241" s="1" t="str">
        <v>Acompañantes</v>
      </c>
      <c r="F241" s="1" t="str">
        <v>Nacional</v>
      </c>
      <c r="G241" s="1" t="str">
        <v>IJM</v>
      </c>
      <c r="H241" s="1" t="str">
        <v>No</v>
      </c>
      <c r="I241" s="2" t="str">
        <v/>
      </c>
      <c r="J241" s="2" t="str">
        <v/>
      </c>
      <c r="K241" s="2" t="str">
        <v/>
      </c>
      <c r="L241" s="1" t="str">
        <v/>
      </c>
      <c r="M241" s="2" t="str">
        <v/>
      </c>
      <c r="N241" s="2" t="str">
        <v/>
      </c>
      <c r="O241" s="1" t="str">
        <v/>
      </c>
      <c r="P241" s="1" t="str">
        <v/>
      </c>
      <c r="Q241" s="1" t="str">
        <v/>
      </c>
      <c r="R241" s="1">
        <f t="shared" si="18"/>
        <v>0</v>
      </c>
      <c r="S241" s="1">
        <f t="shared" si="17"/>
        <v>0</v>
      </c>
      <c r="T241" s="1">
        <f t="shared" si="19"/>
        <v>0</v>
      </c>
      <c r="U241" s="1">
        <f t="shared" si="20"/>
        <v>0</v>
      </c>
      <c r="V241" s="1">
        <f t="shared" si="21"/>
        <v>0</v>
      </c>
    </row>
    <row r="242" x14ac:dyDescent="0.25">
      <c r="A242" s="1">
        <v>240</v>
      </c>
      <c r="B242" s="1" t="str">
        <v>Graciela Satan Reyes</v>
      </c>
      <c r="C242" s="1" t="str">
        <v>Orientadoras Judiciales</v>
      </c>
      <c r="D242" s="1" t="str">
        <v>Entrevista de actores clave</v>
      </c>
      <c r="E242" s="1" t="str">
        <v>Acompañantes</v>
      </c>
      <c r="F242" s="1" t="str">
        <v>Nacional</v>
      </c>
      <c r="G242" s="1" t="str">
        <v>IJM</v>
      </c>
      <c r="H242" s="1" t="str">
        <v>No</v>
      </c>
      <c r="I242" s="2" t="str">
        <v/>
      </c>
      <c r="J242" s="2" t="str">
        <v/>
      </c>
      <c r="K242" s="2" t="str">
        <v/>
      </c>
      <c r="L242" s="1" t="str">
        <v/>
      </c>
      <c r="M242" s="2" t="str">
        <v/>
      </c>
      <c r="N242" s="2" t="str">
        <v/>
      </c>
      <c r="O242" s="1" t="str">
        <v/>
      </c>
      <c r="P242" s="1" t="str">
        <v/>
      </c>
      <c r="Q242" s="1" t="str">
        <v/>
      </c>
      <c r="R242" s="1">
        <f t="shared" si="18"/>
        <v>0</v>
      </c>
      <c r="S242" s="1">
        <f t="shared" si="17"/>
        <v>0</v>
      </c>
      <c r="T242" s="1">
        <f t="shared" si="19"/>
        <v>0</v>
      </c>
      <c r="U242" s="1">
        <f t="shared" si="20"/>
        <v>0</v>
      </c>
      <c r="V242" s="1">
        <f t="shared" si="21"/>
        <v>0</v>
      </c>
    </row>
    <row r="243" x14ac:dyDescent="0.25">
      <c r="A243" s="1">
        <v>241</v>
      </c>
      <c r="B243" s="1" t="str">
        <v>Cynthia Tatiana Clavijo Saldorriaga</v>
      </c>
      <c r="C243" s="1" t="str">
        <v>Orientadoras Judiciales</v>
      </c>
      <c r="D243" s="1" t="str">
        <v>Entrevista de actores clave</v>
      </c>
      <c r="E243" s="1" t="str">
        <v>Acompañantes</v>
      </c>
      <c r="F243" s="1" t="str">
        <v>Nacional</v>
      </c>
      <c r="G243" s="1" t="str">
        <v>IJM</v>
      </c>
      <c r="H243" s="1" t="str">
        <v>No</v>
      </c>
      <c r="I243" s="2" t="str">
        <v/>
      </c>
      <c r="J243" s="2" t="str">
        <v/>
      </c>
      <c r="K243" s="2" t="str">
        <v/>
      </c>
      <c r="L243" s="1" t="str">
        <v/>
      </c>
      <c r="M243" s="2" t="str">
        <v/>
      </c>
      <c r="N243" s="2" t="str">
        <v/>
      </c>
      <c r="O243" s="1" t="str">
        <v/>
      </c>
      <c r="P243" s="1" t="str">
        <v/>
      </c>
      <c r="Q243" s="1" t="str">
        <v/>
      </c>
      <c r="R243" s="1">
        <f t="shared" si="18"/>
        <v>0</v>
      </c>
      <c r="S243" s="1">
        <f t="shared" si="17"/>
        <v>0</v>
      </c>
      <c r="T243" s="1">
        <f t="shared" si="19"/>
        <v>0</v>
      </c>
      <c r="U243" s="1">
        <f t="shared" si="20"/>
        <v>0</v>
      </c>
      <c r="V243" s="1">
        <f t="shared" si="21"/>
        <v>0</v>
      </c>
    </row>
    <row r="244" x14ac:dyDescent="0.25">
      <c r="A244" s="1">
        <v>242</v>
      </c>
      <c r="B244" s="1" t="str">
        <v>Georgina Gladys</v>
      </c>
      <c r="C244" s="1" t="str">
        <v>Orientadoras Judiciales</v>
      </c>
      <c r="D244" s="1" t="str">
        <v>Entrevista de actores clave</v>
      </c>
      <c r="E244" s="1" t="str">
        <v>Acompañantes</v>
      </c>
      <c r="F244" s="1" t="str">
        <v>Distrito Judicial: Lima Norte</v>
      </c>
      <c r="G244" s="1" t="str">
        <v>IJM</v>
      </c>
      <c r="H244" s="1" t="str">
        <v>No</v>
      </c>
      <c r="I244" s="2" t="str">
        <v/>
      </c>
      <c r="J244" s="2" t="str">
        <v/>
      </c>
      <c r="K244" s="2" t="str">
        <v/>
      </c>
      <c r="L244" s="1" t="str">
        <v/>
      </c>
      <c r="M244" s="2" t="str">
        <v/>
      </c>
      <c r="N244" s="2" t="str">
        <v/>
      </c>
      <c r="O244" s="1" t="str">
        <v/>
      </c>
      <c r="P244" s="1" t="str">
        <v/>
      </c>
      <c r="Q244" s="1" t="str">
        <v/>
      </c>
      <c r="R244" s="1">
        <f t="shared" si="18"/>
        <v>0</v>
      </c>
      <c r="S244" s="1">
        <f t="shared" si="17"/>
        <v>0</v>
      </c>
      <c r="T244" s="1">
        <f t="shared" si="19"/>
        <v>0</v>
      </c>
      <c r="U244" s="1">
        <f t="shared" si="20"/>
        <v>0</v>
      </c>
      <c r="V244" s="1">
        <f t="shared" si="21"/>
        <v>0</v>
      </c>
    </row>
    <row r="245" x14ac:dyDescent="0.25">
      <c r="A245" s="1">
        <v>243</v>
      </c>
      <c r="B245" s="1" t="str">
        <v>Rita Rengifo Garcia</v>
      </c>
      <c r="C245" s="1" t="str">
        <v>Orientadoras Judiciales</v>
      </c>
      <c r="D245" s="1" t="str">
        <v>Entrevista de actores clave</v>
      </c>
      <c r="E245" s="1" t="str">
        <v>Acompañantes</v>
      </c>
      <c r="F245" s="1" t="str">
        <v>Nacional</v>
      </c>
      <c r="G245" s="1" t="str">
        <v>IJM</v>
      </c>
      <c r="H245" s="1" t="str">
        <v>No</v>
      </c>
      <c r="I245" s="2" t="str">
        <v/>
      </c>
      <c r="J245" s="2" t="str">
        <v/>
      </c>
      <c r="K245" s="2" t="str">
        <v/>
      </c>
      <c r="L245" s="1" t="str">
        <v/>
      </c>
      <c r="M245" s="2" t="str">
        <v/>
      </c>
      <c r="N245" s="2" t="str">
        <v/>
      </c>
      <c r="O245" s="1" t="str">
        <v/>
      </c>
      <c r="P245" s="1" t="str">
        <v/>
      </c>
      <c r="Q245" s="1" t="str">
        <v/>
      </c>
      <c r="R245" s="1">
        <f t="shared" si="18"/>
        <v>0</v>
      </c>
      <c r="S245" s="1">
        <f t="shared" si="17"/>
        <v>0</v>
      </c>
      <c r="T245" s="1">
        <f t="shared" si="19"/>
        <v>0</v>
      </c>
      <c r="U245" s="1">
        <f t="shared" si="20"/>
        <v>0</v>
      </c>
      <c r="V245" s="1">
        <f t="shared" si="21"/>
        <v>0</v>
      </c>
    </row>
    <row r="246" x14ac:dyDescent="0.25">
      <c r="A246" s="1">
        <v>244</v>
      </c>
      <c r="B246" s="1" t="str">
        <v>Maribel Pacaya</v>
      </c>
      <c r="C246" s="1" t="str">
        <v>Orientadoras Judiciales</v>
      </c>
      <c r="D246" s="1" t="str">
        <v>Entrevista de actores clave</v>
      </c>
      <c r="E246" s="1" t="str">
        <v>Acompañantes</v>
      </c>
      <c r="F246" s="1" t="str">
        <v>Nacional</v>
      </c>
      <c r="G246" s="1" t="str">
        <v>IJM</v>
      </c>
      <c r="H246" s="1" t="str">
        <v>No</v>
      </c>
      <c r="I246" s="2" t="str">
        <v/>
      </c>
      <c r="J246" s="2" t="str">
        <v/>
      </c>
      <c r="K246" s="2" t="str">
        <v/>
      </c>
      <c r="L246" s="1" t="str">
        <v/>
      </c>
      <c r="M246" s="2" t="str">
        <v/>
      </c>
      <c r="N246" s="2" t="str">
        <v/>
      </c>
      <c r="O246" s="1" t="str">
        <v/>
      </c>
      <c r="P246" s="1" t="str">
        <v/>
      </c>
      <c r="Q246" s="1" t="str">
        <v/>
      </c>
      <c r="R246" s="1">
        <f t="shared" si="18"/>
        <v>0</v>
      </c>
      <c r="S246" s="1">
        <f t="shared" si="17"/>
        <v>0</v>
      </c>
      <c r="T246" s="1">
        <f t="shared" si="19"/>
        <v>0</v>
      </c>
      <c r="U246" s="1">
        <f t="shared" si="20"/>
        <v>0</v>
      </c>
      <c r="V246" s="1">
        <f t="shared" si="21"/>
        <v>0</v>
      </c>
    </row>
    <row r="247" x14ac:dyDescent="0.25">
      <c r="A247" s="1">
        <v>245</v>
      </c>
      <c r="B247" s="1" t="str">
        <v>Lucy Laos Quintana</v>
      </c>
      <c r="C247" s="1" t="str">
        <v>Orientadoras Judiciales</v>
      </c>
      <c r="D247" s="1" t="str">
        <v>Entrevista de actores clave</v>
      </c>
      <c r="E247" s="1" t="str">
        <v>Acompañantes</v>
      </c>
      <c r="F247" s="1" t="str">
        <v>Nacional</v>
      </c>
      <c r="G247" s="1" t="str">
        <v>IJM</v>
      </c>
      <c r="H247" s="1" t="str">
        <v>No</v>
      </c>
      <c r="I247" s="2" t="str">
        <v/>
      </c>
      <c r="J247" s="2" t="str">
        <v/>
      </c>
      <c r="K247" s="2" t="str">
        <v/>
      </c>
      <c r="L247" s="1" t="str">
        <v/>
      </c>
      <c r="M247" s="2" t="str">
        <v/>
      </c>
      <c r="N247" s="2" t="str">
        <v/>
      </c>
      <c r="O247" s="1" t="str">
        <v/>
      </c>
      <c r="P247" s="1" t="str">
        <v/>
      </c>
      <c r="Q247" s="1" t="str">
        <v/>
      </c>
      <c r="R247" s="1">
        <f t="shared" si="18"/>
        <v>0</v>
      </c>
      <c r="S247" s="1">
        <f t="shared" si="17"/>
        <v>0</v>
      </c>
      <c r="T247" s="1">
        <f t="shared" si="19"/>
        <v>0</v>
      </c>
      <c r="U247" s="1">
        <f t="shared" si="20"/>
        <v>0</v>
      </c>
      <c r="V247" s="1">
        <f t="shared" si="21"/>
        <v>0</v>
      </c>
    </row>
    <row r="248" x14ac:dyDescent="0.25">
      <c r="A248" s="1">
        <v>246</v>
      </c>
      <c r="B248" s="1" t="str">
        <v>Maria Vega Riguez</v>
      </c>
      <c r="C248" s="1" t="str">
        <v>Orientadoras Judiciales</v>
      </c>
      <c r="D248" s="1" t="str">
        <v>Entrevista de actores clave</v>
      </c>
      <c r="E248" s="1" t="str">
        <v>Acompañantes</v>
      </c>
      <c r="F248" s="1" t="str">
        <v>Distrito Judicial: Lima Norte</v>
      </c>
      <c r="G248" s="1" t="str">
        <v>IJM</v>
      </c>
      <c r="H248" s="1" t="str">
        <v>No</v>
      </c>
      <c r="I248" s="2" t="str">
        <v/>
      </c>
      <c r="J248" s="2" t="str">
        <v/>
      </c>
      <c r="K248" s="2" t="str">
        <v/>
      </c>
      <c r="L248" s="1" t="str">
        <v/>
      </c>
      <c r="M248" s="2" t="str">
        <v/>
      </c>
      <c r="N248" s="2" t="str">
        <v/>
      </c>
      <c r="O248" s="1" t="str">
        <v/>
      </c>
      <c r="P248" s="1" t="str">
        <v/>
      </c>
      <c r="Q248" s="1" t="str">
        <v/>
      </c>
      <c r="R248" s="1">
        <f t="shared" si="18"/>
        <v>0</v>
      </c>
      <c r="S248" s="1">
        <f t="shared" si="17"/>
        <v>0</v>
      </c>
      <c r="T248" s="1">
        <f t="shared" si="19"/>
        <v>0</v>
      </c>
      <c r="U248" s="1">
        <f t="shared" si="20"/>
        <v>0</v>
      </c>
      <c r="V248" s="1">
        <f t="shared" si="21"/>
        <v>0</v>
      </c>
    </row>
    <row r="249" x14ac:dyDescent="0.25">
      <c r="A249" s="1">
        <v>247</v>
      </c>
      <c r="B249" s="1" t="str">
        <v>Rosa Ofelia Tauma Flores</v>
      </c>
      <c r="C249" s="1" t="str">
        <v>Orientadoras Judiciales</v>
      </c>
      <c r="D249" s="1" t="str">
        <v>Entrevista de actores clave</v>
      </c>
      <c r="E249" s="1" t="str">
        <v>Acompañantes</v>
      </c>
      <c r="F249" s="1" t="str">
        <v>Distrito Judicial: Loreto</v>
      </c>
      <c r="G249" s="1" t="str">
        <v>IJM</v>
      </c>
      <c r="H249" s="1" t="str">
        <v>Sí</v>
      </c>
      <c r="I249" s="2">
        <v>46120</v>
      </c>
      <c r="J249" s="2" t="str">
        <v/>
      </c>
      <c r="K249" s="2" t="str">
        <v/>
      </c>
      <c r="L249" s="1" t="str">
        <v>Realizada completa</v>
      </c>
      <c r="M249" s="2">
        <v>46121</v>
      </c>
      <c r="N249" s="2" t="str">
        <v/>
      </c>
      <c r="O249" s="1" t="str">
        <v>Realizada completa</v>
      </c>
      <c r="P249" s="1">
        <v>44</v>
      </c>
      <c r="Q249" s="1" t="str">
        <v>A distancia asistido</v>
      </c>
      <c r="R249" s="1">
        <f t="shared" si="18"/>
        <v>1</v>
      </c>
      <c r="S249" s="1">
        <f t="shared" si="17"/>
        <v>0</v>
      </c>
      <c r="T249" s="1">
        <f t="shared" si="19"/>
        <v>0</v>
      </c>
      <c r="U249" s="1">
        <f t="shared" si="20"/>
        <v>1</v>
      </c>
      <c r="V249" s="1">
        <f t="shared" si="21"/>
        <v>0</v>
      </c>
    </row>
    <row r="250" x14ac:dyDescent="0.25">
      <c r="A250" s="1">
        <v>248</v>
      </c>
      <c r="B250" s="1" t="str">
        <v>Nina Betty Sanchez</v>
      </c>
      <c r="C250" s="1" t="str">
        <v>Orientadoras Judiciales</v>
      </c>
      <c r="D250" s="1" t="str">
        <v>Entrevista de actores clave</v>
      </c>
      <c r="E250" s="1" t="str">
        <v>Acompañantes</v>
      </c>
      <c r="F250" s="1" t="str">
        <v>Distrito Judicial: Ucayali</v>
      </c>
      <c r="G250" s="1" t="str">
        <v>IJM</v>
      </c>
      <c r="H250" s="1" t="str">
        <v>No</v>
      </c>
      <c r="I250" s="2" t="str">
        <v/>
      </c>
      <c r="J250" s="2" t="str">
        <v/>
      </c>
      <c r="K250" s="2" t="str">
        <v/>
      </c>
      <c r="L250" s="1" t="str">
        <v/>
      </c>
      <c r="M250" s="2" t="str">
        <v/>
      </c>
      <c r="N250" s="2" t="str">
        <v/>
      </c>
      <c r="O250" s="1" t="str">
        <v/>
      </c>
      <c r="P250" s="1" t="str">
        <v/>
      </c>
      <c r="Q250" s="1" t="str">
        <v/>
      </c>
      <c r="R250" s="1">
        <f t="shared" si="18"/>
        <v>0</v>
      </c>
      <c r="S250" s="1">
        <f t="shared" si="17"/>
        <v>0</v>
      </c>
      <c r="T250" s="1">
        <f t="shared" si="19"/>
        <v>0</v>
      </c>
      <c r="U250" s="1">
        <f t="shared" si="20"/>
        <v>0</v>
      </c>
      <c r="V250" s="1">
        <f t="shared" si="21"/>
        <v>0</v>
      </c>
    </row>
    <row r="251" x14ac:dyDescent="0.25">
      <c r="A251" s="1">
        <v>249</v>
      </c>
      <c r="B251" s="1" t="str">
        <v>Feliza Ponce Ventura</v>
      </c>
      <c r="C251" s="1" t="str">
        <v>Orientadoras Judiciales</v>
      </c>
      <c r="D251" s="1" t="str">
        <v>Entrevista de actores clave</v>
      </c>
      <c r="E251" s="1" t="str">
        <v>Acompañantes</v>
      </c>
      <c r="F251" s="1" t="str">
        <v>Nacional</v>
      </c>
      <c r="G251" s="1" t="str">
        <v>IJM</v>
      </c>
      <c r="H251" s="1" t="str">
        <v>No</v>
      </c>
      <c r="I251" s="2" t="str">
        <v/>
      </c>
      <c r="J251" s="2" t="str">
        <v/>
      </c>
      <c r="K251" s="2" t="str">
        <v/>
      </c>
      <c r="L251" s="1" t="str">
        <v/>
      </c>
      <c r="M251" s="2" t="str">
        <v/>
      </c>
      <c r="N251" s="2" t="str">
        <v/>
      </c>
      <c r="O251" s="1" t="str">
        <v/>
      </c>
      <c r="P251" s="1" t="str">
        <v/>
      </c>
      <c r="Q251" s="1" t="str">
        <v/>
      </c>
      <c r="R251" s="1">
        <f t="shared" si="18"/>
        <v>0</v>
      </c>
      <c r="S251" s="1">
        <f t="shared" si="17"/>
        <v>0</v>
      </c>
      <c r="T251" s="1">
        <f t="shared" si="19"/>
        <v>0</v>
      </c>
      <c r="U251" s="1">
        <f t="shared" si="20"/>
        <v>0</v>
      </c>
      <c r="V251" s="1">
        <f t="shared" si="21"/>
        <v>0</v>
      </c>
    </row>
    <row r="252" x14ac:dyDescent="0.25">
      <c r="A252" s="1">
        <v>250</v>
      </c>
      <c r="B252" s="1" t="str">
        <v>Gilda Lopa Sebastian</v>
      </c>
      <c r="C252" s="1" t="str">
        <v>Orientadoras Judiciales</v>
      </c>
      <c r="D252" s="1" t="str">
        <v>Entrevista de actores clave</v>
      </c>
      <c r="E252" s="1" t="str">
        <v>Acompañantes</v>
      </c>
      <c r="F252" s="1" t="str">
        <v>Nacional</v>
      </c>
      <c r="G252" s="1" t="str">
        <v>IJM</v>
      </c>
      <c r="H252" s="1" t="str">
        <v>No</v>
      </c>
      <c r="I252" s="2" t="str">
        <v/>
      </c>
      <c r="J252" s="2" t="str">
        <v/>
      </c>
      <c r="K252" s="2" t="str">
        <v/>
      </c>
      <c r="L252" s="1" t="str">
        <v/>
      </c>
      <c r="M252" s="2" t="str">
        <v/>
      </c>
      <c r="N252" s="2" t="str">
        <v/>
      </c>
      <c r="O252" s="1" t="str">
        <v/>
      </c>
      <c r="P252" s="1" t="str">
        <v/>
      </c>
      <c r="Q252" s="1" t="str">
        <v/>
      </c>
      <c r="R252" s="1">
        <f t="shared" si="18"/>
        <v>0</v>
      </c>
      <c r="S252" s="1">
        <f t="shared" si="17"/>
        <v>0</v>
      </c>
      <c r="T252" s="1">
        <f t="shared" si="19"/>
        <v>0</v>
      </c>
      <c r="U252" s="1">
        <f t="shared" si="20"/>
        <v>0</v>
      </c>
      <c r="V252" s="1">
        <f t="shared" si="21"/>
        <v>0</v>
      </c>
    </row>
    <row r="253" x14ac:dyDescent="0.25">
      <c r="A253" s="1">
        <v>251</v>
      </c>
      <c r="B253" s="1" t="str">
        <v>Epifania Valdiviezo</v>
      </c>
      <c r="C253" s="1" t="str">
        <v>Orientadoras Judiciales</v>
      </c>
      <c r="D253" s="1" t="str">
        <v>Entrevista de actores clave</v>
      </c>
      <c r="E253" s="1" t="str">
        <v>Acompañantes</v>
      </c>
      <c r="F253" s="1" t="str">
        <v>Distrito Judicial: Ucayali</v>
      </c>
      <c r="G253" s="1" t="str">
        <v>IJM</v>
      </c>
      <c r="H253" s="1" t="str">
        <v>Sí</v>
      </c>
      <c r="I253" s="2">
        <v>46120</v>
      </c>
      <c r="J253" s="2" t="str">
        <v/>
      </c>
      <c r="K253" s="2" t="str">
        <v/>
      </c>
      <c r="L253" s="1" t="str">
        <v>Realizada completa</v>
      </c>
      <c r="M253" s="2">
        <v>46122</v>
      </c>
      <c r="N253" s="2" t="str">
        <v/>
      </c>
      <c r="O253" s="1" t="str">
        <v>Realizada completa</v>
      </c>
      <c r="P253" s="1">
        <v>52</v>
      </c>
      <c r="Q253" s="1" t="str">
        <v>A distancia asistido</v>
      </c>
      <c r="R253" s="1">
        <f t="shared" si="18"/>
        <v>1</v>
      </c>
      <c r="S253" s="1">
        <f t="shared" si="17"/>
        <v>0</v>
      </c>
      <c r="T253" s="1">
        <f t="shared" si="19"/>
        <v>0</v>
      </c>
      <c r="U253" s="1">
        <f t="shared" si="20"/>
        <v>1</v>
      </c>
      <c r="V253" s="1">
        <f t="shared" si="21"/>
        <v>0</v>
      </c>
    </row>
    <row r="254" x14ac:dyDescent="0.25">
      <c r="A254" s="1">
        <v>252</v>
      </c>
      <c r="B254" s="1" t="str">
        <v>Delia Marfil </v>
      </c>
      <c r="C254" s="1" t="str">
        <v>Orientadoras Judiciales</v>
      </c>
      <c r="D254" s="1" t="str">
        <v>Entrevista de actores clave</v>
      </c>
      <c r="E254" s="1" t="str">
        <v>Acompañantes</v>
      </c>
      <c r="F254" s="1" t="str">
        <v>Distrito Judicial: Ucayali</v>
      </c>
      <c r="G254" s="1" t="str">
        <v>IJM</v>
      </c>
      <c r="H254" s="1" t="str">
        <v>No</v>
      </c>
      <c r="I254" s="2" t="str">
        <v/>
      </c>
      <c r="J254" s="2" t="str">
        <v/>
      </c>
      <c r="K254" s="2" t="str">
        <v/>
      </c>
      <c r="L254" s="1" t="str">
        <v/>
      </c>
      <c r="M254" s="2" t="str">
        <v/>
      </c>
      <c r="N254" s="2" t="str">
        <v/>
      </c>
      <c r="O254" s="1" t="str">
        <v/>
      </c>
      <c r="P254" s="1" t="str">
        <v/>
      </c>
      <c r="Q254" s="1" t="str">
        <v/>
      </c>
      <c r="R254" s="1">
        <f t="shared" si="18"/>
        <v>0</v>
      </c>
      <c r="S254" s="1">
        <f t="shared" si="17"/>
        <v>0</v>
      </c>
      <c r="T254" s="1">
        <f t="shared" si="19"/>
        <v>0</v>
      </c>
      <c r="U254" s="1">
        <f t="shared" si="20"/>
        <v>0</v>
      </c>
      <c r="V254" s="1">
        <f t="shared" si="21"/>
        <v>0</v>
      </c>
    </row>
    <row r="255" x14ac:dyDescent="0.25">
      <c r="A255" s="1">
        <v>253</v>
      </c>
      <c r="B255" s="1" t="str">
        <v>María Dolores Gutiérrez</v>
      </c>
      <c r="C255" s="1" t="str">
        <v>Orientadoras Judiciales</v>
      </c>
      <c r="D255" s="1" t="str">
        <v>Entrevista de actores clave</v>
      </c>
      <c r="E255" s="1" t="str">
        <v>Acompañantes</v>
      </c>
      <c r="F255" s="1" t="str">
        <v>Nacional</v>
      </c>
      <c r="G255" s="1" t="str">
        <v>IJM</v>
      </c>
      <c r="H255" s="1" t="str">
        <v>No</v>
      </c>
      <c r="I255" s="2" t="str">
        <v/>
      </c>
      <c r="J255" s="2" t="str">
        <v/>
      </c>
      <c r="K255" s="2" t="str">
        <v/>
      </c>
      <c r="L255" s="1" t="str">
        <v/>
      </c>
      <c r="M255" s="2" t="str">
        <v/>
      </c>
      <c r="N255" s="2" t="str">
        <v/>
      </c>
      <c r="O255" s="1" t="str">
        <v/>
      </c>
      <c r="P255" s="1" t="str">
        <v/>
      </c>
      <c r="Q255" s="1" t="str">
        <v/>
      </c>
      <c r="R255" s="1">
        <f t="shared" si="18"/>
        <v>0</v>
      </c>
      <c r="S255" s="1">
        <f t="shared" si="17"/>
        <v>0</v>
      </c>
      <c r="T255" s="1">
        <f t="shared" si="19"/>
        <v>0</v>
      </c>
      <c r="U255" s="1">
        <f t="shared" si="20"/>
        <v>0</v>
      </c>
      <c r="V255" s="1">
        <f t="shared" si="21"/>
        <v>0</v>
      </c>
    </row>
    <row r="256" x14ac:dyDescent="0.25">
      <c r="A256" s="1">
        <v>254</v>
      </c>
      <c r="B256" s="1" t="str">
        <v>Sonia Condori Mitma</v>
      </c>
      <c r="C256" s="1" t="str">
        <v>Orientadoras Judiciales</v>
      </c>
      <c r="D256" s="1" t="str">
        <v>Entrevista de actores clave</v>
      </c>
      <c r="E256" s="1" t="str">
        <v>Acompañantes</v>
      </c>
      <c r="F256" s="1" t="str">
        <v>Distrito Judicial: Ayacucho</v>
      </c>
      <c r="G256" s="1" t="str">
        <v>IJM</v>
      </c>
      <c r="H256" s="1" t="str">
        <v>Sí</v>
      </c>
      <c r="I256" s="2" t="str">
        <v/>
      </c>
      <c r="J256" s="2" t="str">
        <v/>
      </c>
      <c r="K256" s="2" t="str">
        <v/>
      </c>
      <c r="L256" s="1" t="str">
        <v>Realizada completa</v>
      </c>
      <c r="M256" s="2">
        <v>46122</v>
      </c>
      <c r="N256" s="2" t="str">
        <v/>
      </c>
      <c r="O256" s="1" t="str">
        <v>Realizada completa</v>
      </c>
      <c r="P256" s="1">
        <v>48</v>
      </c>
      <c r="Q256" s="1" t="str">
        <v>A distancia asistido</v>
      </c>
      <c r="R256" s="1">
        <f t="shared" si="18"/>
        <v>1</v>
      </c>
      <c r="S256" s="1">
        <f t="shared" si="17"/>
        <v>0</v>
      </c>
      <c r="T256" s="1">
        <f t="shared" si="19"/>
        <v>0</v>
      </c>
      <c r="U256" s="1">
        <f t="shared" si="20"/>
        <v>1</v>
      </c>
      <c r="V256" s="1">
        <f t="shared" si="21"/>
        <v>0</v>
      </c>
    </row>
    <row r="257" x14ac:dyDescent="0.25">
      <c r="A257" s="1">
        <v>255</v>
      </c>
      <c r="B257" s="1" t="str">
        <v>Leyden María Capa Barrios</v>
      </c>
      <c r="C257" s="1" t="str">
        <v>Orientadoras Judiciales</v>
      </c>
      <c r="D257" s="1" t="str">
        <v>Entrevista de actores clave</v>
      </c>
      <c r="E257" s="1" t="str">
        <v>Acompañantes</v>
      </c>
      <c r="F257" s="1" t="str">
        <v>Nacional</v>
      </c>
      <c r="G257" s="1" t="str">
        <v>IJM</v>
      </c>
      <c r="H257" s="1" t="str">
        <v>Sí</v>
      </c>
      <c r="I257" s="2">
        <v>46120</v>
      </c>
      <c r="J257" s="2" t="str">
        <v/>
      </c>
      <c r="K257" s="2" t="str">
        <v/>
      </c>
      <c r="L257" s="1" t="str">
        <v>Realizada completa</v>
      </c>
      <c r="M257" s="2">
        <v>46126</v>
      </c>
      <c r="N257" s="2" t="str">
        <v/>
      </c>
      <c r="O257" s="1" t="str">
        <v>Realizada completa</v>
      </c>
      <c r="P257" s="1">
        <v>45</v>
      </c>
      <c r="Q257" s="1" t="str">
        <v>A distancia asistido</v>
      </c>
      <c r="R257" s="1">
        <f t="shared" si="18"/>
        <v>1</v>
      </c>
      <c r="S257" s="1">
        <f t="shared" si="17"/>
        <v>0</v>
      </c>
      <c r="T257" s="1">
        <f t="shared" si="19"/>
        <v>0</v>
      </c>
      <c r="U257" s="1">
        <f t="shared" si="20"/>
        <v>1</v>
      </c>
      <c r="V257" s="1">
        <f t="shared" si="21"/>
        <v>0</v>
      </c>
    </row>
    <row r="258" x14ac:dyDescent="0.25">
      <c r="A258" s="1">
        <v>256</v>
      </c>
      <c r="B258" s="1" t="str">
        <v>Nancy Navarro</v>
      </c>
      <c r="C258" s="1" t="str">
        <v>Orientadoras Judiciales</v>
      </c>
      <c r="D258" s="1" t="str">
        <v>Entrevista de actores clave</v>
      </c>
      <c r="E258" s="1" t="str">
        <v>Acompañantes</v>
      </c>
      <c r="F258" s="1" t="str">
        <v>Nacional</v>
      </c>
      <c r="G258" s="1" t="str">
        <v>IJM</v>
      </c>
      <c r="H258" s="1" t="str">
        <v>No</v>
      </c>
      <c r="I258" s="2">
        <v>46171</v>
      </c>
      <c r="J258" s="2" t="str">
        <v/>
      </c>
      <c r="K258" s="2" t="str">
        <v/>
      </c>
      <c r="L258" s="1" t="str">
        <v>Sin respuesta</v>
      </c>
      <c r="M258" s="2" t="str">
        <v/>
      </c>
      <c r="N258" s="2" t="str">
        <v/>
      </c>
      <c r="O258" s="1" t="str">
        <v>Sin respuesta</v>
      </c>
      <c r="P258" s="1" t="str">
        <v/>
      </c>
      <c r="Q258" s="1" t="str">
        <v/>
      </c>
      <c r="R258" s="1">
        <f t="shared" si="18"/>
        <v>0</v>
      </c>
      <c r="S258" s="1">
        <f t="shared" ref="S258:S321" si="22">IF(L258="En coordinación",1,0)</f>
        <v>0</v>
      </c>
      <c r="T258" s="1">
        <f t="shared" si="19"/>
        <v>0</v>
      </c>
      <c r="U258" s="1">
        <f t="shared" si="20"/>
        <v>0</v>
      </c>
      <c r="V258" s="1">
        <f t="shared" si="21"/>
        <v>1</v>
      </c>
    </row>
    <row r="259" x14ac:dyDescent="0.25">
      <c r="A259" s="1">
        <v>257</v>
      </c>
      <c r="B259" s="1" t="str">
        <v>Rosa Rivera</v>
      </c>
      <c r="C259" s="1" t="str">
        <v>Orientadoras Judiciales</v>
      </c>
      <c r="D259" s="1" t="str">
        <v>Entrevista de actores clave</v>
      </c>
      <c r="E259" s="1" t="str">
        <v>Acompañantes</v>
      </c>
      <c r="F259" s="1" t="str">
        <v>Nacional</v>
      </c>
      <c r="G259" s="1" t="str">
        <v>IJM</v>
      </c>
      <c r="H259" s="1" t="str">
        <v>No</v>
      </c>
      <c r="I259" s="2" t="str">
        <v/>
      </c>
      <c r="J259" s="2" t="str">
        <v/>
      </c>
      <c r="K259" s="2" t="str">
        <v/>
      </c>
      <c r="L259" s="1" t="str">
        <v/>
      </c>
      <c r="M259" s="2" t="str">
        <v/>
      </c>
      <c r="N259" s="2" t="str">
        <v/>
      </c>
      <c r="O259" s="1" t="str">
        <v/>
      </c>
      <c r="P259" s="1" t="str">
        <v/>
      </c>
      <c r="Q259" s="1" t="str">
        <v/>
      </c>
      <c r="R259" s="1">
        <f t="shared" ref="R259:R322" si="23">IF(H259="Sí",1,0)</f>
        <v>0</v>
      </c>
      <c r="S259" s="1">
        <f t="shared" si="22"/>
        <v>0</v>
      </c>
      <c r="T259" s="1">
        <f t="shared" ref="T259:T322" si="24">IF(L259="Aceptada",1,0)</f>
        <v>0</v>
      </c>
      <c r="U259" s="1">
        <f t="shared" ref="U259:U322" si="25">IF(OR(L259="Realizada completa",L259="Realizada incompleta"),1,0)</f>
        <v>0</v>
      </c>
      <c r="V259" s="1">
        <f t="shared" si="21"/>
        <v>0</v>
      </c>
    </row>
    <row r="260" x14ac:dyDescent="0.25">
      <c r="A260" s="1">
        <v>258</v>
      </c>
      <c r="B260" s="1" t="str">
        <v>Jhinna Pinclu Calaypo</v>
      </c>
      <c r="C260" s="1" t="str">
        <v>Orientadoras Judiciales</v>
      </c>
      <c r="D260" s="1" t="str">
        <v>Entrevista de actores clave</v>
      </c>
      <c r="E260" s="1" t="str">
        <v>Acompañantes</v>
      </c>
      <c r="F260" s="1" t="str">
        <v>Nacional</v>
      </c>
      <c r="G260" s="1" t="str">
        <v>IJM</v>
      </c>
      <c r="H260" s="1" t="str">
        <v>No</v>
      </c>
      <c r="I260" s="2" t="str">
        <v/>
      </c>
      <c r="J260" s="2" t="str">
        <v/>
      </c>
      <c r="K260" s="2" t="str">
        <v/>
      </c>
      <c r="L260" s="1" t="str">
        <v/>
      </c>
      <c r="M260" s="2" t="str">
        <v/>
      </c>
      <c r="N260" s="2" t="str">
        <v/>
      </c>
      <c r="O260" s="1" t="str">
        <v/>
      </c>
      <c r="P260" s="1" t="str">
        <v/>
      </c>
      <c r="Q260" s="1" t="str">
        <v/>
      </c>
      <c r="R260" s="1">
        <f t="shared" si="23"/>
        <v>0</v>
      </c>
      <c r="S260" s="1">
        <f t="shared" si="22"/>
        <v>0</v>
      </c>
      <c r="T260" s="1">
        <f t="shared" si="24"/>
        <v>0</v>
      </c>
      <c r="U260" s="1">
        <f t="shared" si="25"/>
        <v>0</v>
      </c>
      <c r="V260" s="1">
        <f t="shared" si="21"/>
        <v>0</v>
      </c>
    </row>
    <row r="261" x14ac:dyDescent="0.25">
      <c r="A261" s="1">
        <v>259</v>
      </c>
      <c r="B261" s="1" t="str">
        <v>Walter Eleodoro Martinez Laura</v>
      </c>
      <c r="C261" s="1" t="str">
        <v>Defensa Pública</v>
      </c>
      <c r="D261" s="1" t="str">
        <v>Entrevista de actores clave</v>
      </c>
      <c r="E261" s="1" t="str">
        <v>Funcionarios del Sistema</v>
      </c>
      <c r="F261" s="1" t="str">
        <v>Nacional</v>
      </c>
      <c r="G261" s="1" t="str">
        <v>IJM</v>
      </c>
      <c r="H261" s="1" t="str">
        <v>Sí</v>
      </c>
      <c r="I261" s="2">
        <v>46147</v>
      </c>
      <c r="J261" s="2" t="str">
        <v/>
      </c>
      <c r="K261" s="2" t="str">
        <v/>
      </c>
      <c r="L261" s="1" t="str">
        <v>Sin respuesta</v>
      </c>
      <c r="M261" s="2" t="str">
        <v/>
      </c>
      <c r="N261" s="2" t="str">
        <v/>
      </c>
      <c r="O261" s="1" t="str">
        <v>Sin respuesta</v>
      </c>
      <c r="P261" s="1" t="str">
        <v/>
      </c>
      <c r="Q261" s="1" t="str">
        <v/>
      </c>
      <c r="R261" s="1">
        <f t="shared" si="23"/>
        <v>1</v>
      </c>
      <c r="S261" s="1">
        <f t="shared" si="22"/>
        <v>0</v>
      </c>
      <c r="T261" s="1">
        <f t="shared" si="24"/>
        <v>0</v>
      </c>
      <c r="U261" s="1">
        <f t="shared" si="25"/>
        <v>0</v>
      </c>
      <c r="V261" s="1">
        <f t="shared" si="21"/>
        <v>1</v>
      </c>
    </row>
    <row r="262" x14ac:dyDescent="0.25">
      <c r="A262" s="1">
        <v>260</v>
      </c>
      <c r="B262" s="1" t="str">
        <v>Julio Cesar Zumaeta Hernandez</v>
      </c>
      <c r="C262" s="1" t="str">
        <v>Defensa Pública</v>
      </c>
      <c r="D262" s="1" t="str">
        <v>Entrevista de actores clave</v>
      </c>
      <c r="E262" s="1" t="str">
        <v>Funcionarios del Sistema</v>
      </c>
      <c r="F262" s="1" t="str">
        <v>Nacional</v>
      </c>
      <c r="G262" s="1" t="str">
        <v>IJM</v>
      </c>
      <c r="H262" s="1" t="str">
        <v>Sí</v>
      </c>
      <c r="I262" s="2">
        <v>46147</v>
      </c>
      <c r="J262" s="2" t="str">
        <v/>
      </c>
      <c r="K262" s="2" t="str">
        <v/>
      </c>
      <c r="L262" s="1" t="str">
        <v>Sin respuesta</v>
      </c>
      <c r="M262" s="2" t="str">
        <v/>
      </c>
      <c r="N262" s="2" t="str">
        <v/>
      </c>
      <c r="O262" s="1" t="str">
        <v>Sin respuesta</v>
      </c>
      <c r="P262" s="1" t="str">
        <v/>
      </c>
      <c r="Q262" s="1" t="str">
        <v/>
      </c>
      <c r="R262" s="1">
        <f t="shared" si="23"/>
        <v>1</v>
      </c>
      <c r="S262" s="1">
        <f t="shared" si="22"/>
        <v>0</v>
      </c>
      <c r="T262" s="1">
        <f t="shared" si="24"/>
        <v>0</v>
      </c>
      <c r="U262" s="1">
        <f t="shared" si="25"/>
        <v>0</v>
      </c>
      <c r="V262" s="1">
        <f t="shared" si="21"/>
        <v>1</v>
      </c>
    </row>
    <row r="263" x14ac:dyDescent="0.25">
      <c r="A263" s="1">
        <v>261</v>
      </c>
      <c r="B263" s="1" t="str">
        <v>Raul Eduardo Melgarejo Olortegui</v>
      </c>
      <c r="C263" s="1" t="str">
        <v>Defensa Pública</v>
      </c>
      <c r="D263" s="1" t="str">
        <v>Entrevista de actores clave</v>
      </c>
      <c r="E263" s="1" t="str">
        <v>Funcionarios del Sistema</v>
      </c>
      <c r="F263" s="1" t="str">
        <v>Nacional</v>
      </c>
      <c r="G263" s="1" t="str">
        <v>IJM</v>
      </c>
      <c r="H263" s="1" t="str">
        <v>Sí</v>
      </c>
      <c r="I263" s="2">
        <v>46147</v>
      </c>
      <c r="J263" s="2" t="str">
        <v/>
      </c>
      <c r="K263" s="2" t="str">
        <v/>
      </c>
      <c r="L263" s="1" t="str">
        <v>Sin respuesta</v>
      </c>
      <c r="M263" s="2" t="str">
        <v/>
      </c>
      <c r="N263" s="2" t="str">
        <v/>
      </c>
      <c r="O263" s="1" t="str">
        <v>Sin respuesta</v>
      </c>
      <c r="P263" s="1" t="str">
        <v/>
      </c>
      <c r="Q263" s="1" t="str">
        <v/>
      </c>
      <c r="R263" s="1">
        <f t="shared" si="23"/>
        <v>1</v>
      </c>
      <c r="S263" s="1">
        <f t="shared" si="22"/>
        <v>0</v>
      </c>
      <c r="T263" s="1">
        <f t="shared" si="24"/>
        <v>0</v>
      </c>
      <c r="U263" s="1">
        <f t="shared" si="25"/>
        <v>0</v>
      </c>
      <c r="V263" s="1">
        <f t="shared" si="21"/>
        <v>1</v>
      </c>
    </row>
    <row r="264" x14ac:dyDescent="0.25">
      <c r="A264" s="1">
        <v>262</v>
      </c>
      <c r="B264" s="1" t="str">
        <v>Silber Sanchez Camacho</v>
      </c>
      <c r="C264" s="1" t="str">
        <v>Defensa Pública</v>
      </c>
      <c r="D264" s="1" t="str">
        <v>Entrevista de actores clave</v>
      </c>
      <c r="E264" s="1" t="str">
        <v>Funcionarios del Sistema</v>
      </c>
      <c r="F264" s="1" t="str">
        <v>Distrito Judicial: Lima Norte</v>
      </c>
      <c r="G264" s="1" t="str">
        <v>IJM</v>
      </c>
      <c r="H264" s="1" t="str">
        <v>Sí</v>
      </c>
      <c r="I264" s="2">
        <v>46147</v>
      </c>
      <c r="J264" s="2">
        <v>46179</v>
      </c>
      <c r="K264" s="2" t="str">
        <v/>
      </c>
      <c r="L264" s="1" t="str">
        <v>En coordinación</v>
      </c>
      <c r="M264" s="2" t="str">
        <v/>
      </c>
      <c r="N264" s="2" t="str">
        <v/>
      </c>
      <c r="O264" s="1" t="str">
        <v>En coordinación</v>
      </c>
      <c r="P264" s="1" t="str">
        <v/>
      </c>
      <c r="Q264" s="1" t="str">
        <v/>
      </c>
      <c r="R264" s="1">
        <f t="shared" si="23"/>
        <v>1</v>
      </c>
      <c r="S264" s="1">
        <f t="shared" si="22"/>
        <v>1</v>
      </c>
      <c r="T264" s="1">
        <f t="shared" si="24"/>
        <v>0</v>
      </c>
      <c r="U264" s="1">
        <f t="shared" si="25"/>
        <v>0</v>
      </c>
      <c r="V264" s="1">
        <f t="shared" si="21"/>
        <v>0</v>
      </c>
    </row>
    <row r="265" x14ac:dyDescent="0.25">
      <c r="A265" s="1">
        <v>263</v>
      </c>
      <c r="B265" s="1" t="str">
        <v>Elena Zoila Villegas Portilla</v>
      </c>
      <c r="C265" s="1" t="str">
        <v>Defensa Pública</v>
      </c>
      <c r="D265" s="1" t="str">
        <v>Entrevista de actores clave</v>
      </c>
      <c r="E265" s="1" t="str">
        <v>Funcionarios del Sistema</v>
      </c>
      <c r="F265" s="1" t="str">
        <v>Nacional</v>
      </c>
      <c r="G265" s="1" t="str">
        <v>IJM</v>
      </c>
      <c r="H265" s="1" t="str">
        <v>Sí</v>
      </c>
      <c r="I265" s="2">
        <v>46147</v>
      </c>
      <c r="J265" s="2" t="str">
        <v/>
      </c>
      <c r="K265" s="2" t="str">
        <v/>
      </c>
      <c r="L265" s="1" t="str">
        <v>Realizada completa</v>
      </c>
      <c r="M265" s="2">
        <v>46136</v>
      </c>
      <c r="N265" s="2" t="str">
        <v/>
      </c>
      <c r="O265" s="1" t="str">
        <v>Realizada completa</v>
      </c>
      <c r="P265" s="1" t="str">
        <v/>
      </c>
      <c r="Q265" s="1" t="str">
        <v>A distancia asistido</v>
      </c>
      <c r="R265" s="1">
        <f t="shared" si="23"/>
        <v>1</v>
      </c>
      <c r="S265" s="1">
        <f t="shared" si="22"/>
        <v>0</v>
      </c>
      <c r="T265" s="1">
        <f t="shared" si="24"/>
        <v>0</v>
      </c>
      <c r="U265" s="1">
        <f t="shared" si="25"/>
        <v>1</v>
      </c>
      <c r="V265" s="1">
        <f t="shared" si="21"/>
        <v>0</v>
      </c>
    </row>
    <row r="266" x14ac:dyDescent="0.25">
      <c r="A266" s="1">
        <v>264</v>
      </c>
      <c r="B266" s="1" t="str">
        <v>Wilver Felix Bautista Vallejo</v>
      </c>
      <c r="C266" s="1" t="str">
        <v>Defensa Pública</v>
      </c>
      <c r="D266" s="1" t="str">
        <v>Entrevista de actores clave</v>
      </c>
      <c r="E266" s="1" t="str">
        <v>Funcionarios del Sistema</v>
      </c>
      <c r="F266" s="1" t="str">
        <v>Distrito Judicial: Loreto</v>
      </c>
      <c r="G266" s="1" t="str">
        <v>IJM</v>
      </c>
      <c r="H266" s="1" t="str">
        <v>Sí</v>
      </c>
      <c r="I266" s="2">
        <v>46147</v>
      </c>
      <c r="J266" s="2" t="str">
        <v/>
      </c>
      <c r="K266" s="2" t="str">
        <v/>
      </c>
      <c r="L266" s="1" t="str">
        <v>Sin respuesta</v>
      </c>
      <c r="M266" s="2" t="str">
        <v/>
      </c>
      <c r="N266" s="2" t="str">
        <v/>
      </c>
      <c r="O266" s="1" t="str">
        <v>Sin respuesta</v>
      </c>
      <c r="P266" s="1" t="str">
        <v/>
      </c>
      <c r="Q266" s="1" t="str">
        <v/>
      </c>
      <c r="R266" s="1">
        <f t="shared" si="23"/>
        <v>1</v>
      </c>
      <c r="S266" s="1">
        <f t="shared" si="22"/>
        <v>0</v>
      </c>
      <c r="T266" s="1">
        <f t="shared" si="24"/>
        <v>0</v>
      </c>
      <c r="U266" s="1">
        <f t="shared" si="25"/>
        <v>0</v>
      </c>
      <c r="V266" s="1">
        <f t="shared" si="21"/>
        <v>1</v>
      </c>
    </row>
    <row r="267" x14ac:dyDescent="0.25">
      <c r="A267" s="1">
        <v>265</v>
      </c>
      <c r="B267" s="1" t="str">
        <v>Andy William Guevara Acuña</v>
      </c>
      <c r="C267" s="1" t="str">
        <v>Defensa Pública</v>
      </c>
      <c r="D267" s="1" t="str">
        <v>Entrevista de actores clave</v>
      </c>
      <c r="E267" s="1" t="str">
        <v>Funcionarios del Sistema</v>
      </c>
      <c r="F267" s="1" t="str">
        <v>Distrito Judicial: Loreto</v>
      </c>
      <c r="G267" s="1" t="str">
        <v>IJM</v>
      </c>
      <c r="H267" s="1" t="str">
        <v>Sí</v>
      </c>
      <c r="I267" s="2">
        <v>46147</v>
      </c>
      <c r="J267" s="2" t="str">
        <v/>
      </c>
      <c r="K267" s="2" t="str">
        <v/>
      </c>
      <c r="L267" s="1" t="str">
        <v>Sin respuesta</v>
      </c>
      <c r="M267" s="2" t="str">
        <v/>
      </c>
      <c r="N267" s="2" t="str">
        <v/>
      </c>
      <c r="O267" s="1" t="str">
        <v>Sin respuesta</v>
      </c>
      <c r="P267" s="1" t="str">
        <v/>
      </c>
      <c r="Q267" s="1" t="str">
        <v/>
      </c>
      <c r="R267" s="1">
        <f t="shared" si="23"/>
        <v>1</v>
      </c>
      <c r="S267" s="1">
        <f t="shared" si="22"/>
        <v>0</v>
      </c>
      <c r="T267" s="1">
        <f t="shared" si="24"/>
        <v>0</v>
      </c>
      <c r="U267" s="1">
        <f t="shared" si="25"/>
        <v>0</v>
      </c>
      <c r="V267" s="1">
        <f t="shared" si="21"/>
        <v>1</v>
      </c>
    </row>
    <row r="268" x14ac:dyDescent="0.25">
      <c r="A268" s="1">
        <v>266</v>
      </c>
      <c r="B268" s="1" t="str">
        <v>Richard Florentino Ponciano Anchante</v>
      </c>
      <c r="C268" s="1" t="str">
        <v>Defensa Pública</v>
      </c>
      <c r="D268" s="1" t="str">
        <v>Entrevista de actores clave</v>
      </c>
      <c r="E268" s="1" t="str">
        <v>Funcionarios del Sistema</v>
      </c>
      <c r="F268" s="1" t="str">
        <v>Nacional</v>
      </c>
      <c r="G268" s="1" t="str">
        <v>IJM</v>
      </c>
      <c r="H268" s="1" t="str">
        <v>Sí</v>
      </c>
      <c r="I268" s="2">
        <v>46147</v>
      </c>
      <c r="J268" s="2">
        <v>46176</v>
      </c>
      <c r="K268" s="2" t="str">
        <v/>
      </c>
      <c r="L268" s="1" t="str">
        <v>En coordinación</v>
      </c>
      <c r="M268" s="2" t="str">
        <v/>
      </c>
      <c r="N268" s="2" t="str">
        <v/>
      </c>
      <c r="O268" s="1" t="str">
        <v>En coordinación</v>
      </c>
      <c r="P268" s="1" t="str">
        <v/>
      </c>
      <c r="Q268" s="1" t="str">
        <v/>
      </c>
      <c r="R268" s="1">
        <f t="shared" si="23"/>
        <v>1</v>
      </c>
      <c r="S268" s="1">
        <f t="shared" si="22"/>
        <v>1</v>
      </c>
      <c r="T268" s="1">
        <f t="shared" si="24"/>
        <v>0</v>
      </c>
      <c r="U268" s="1">
        <f t="shared" si="25"/>
        <v>0</v>
      </c>
      <c r="V268" s="1">
        <f t="shared" si="21"/>
        <v>0</v>
      </c>
    </row>
    <row r="269" x14ac:dyDescent="0.25">
      <c r="A269" s="1">
        <v>267</v>
      </c>
      <c r="B269" s="1" t="str">
        <v>Karla Lisseth Medina Grimaldo</v>
      </c>
      <c r="C269" s="1" t="str">
        <v>Defensa Pública</v>
      </c>
      <c r="D269" s="1" t="str">
        <v>Entrevista de actores clave</v>
      </c>
      <c r="E269" s="1" t="str">
        <v>Funcionarios del Sistema</v>
      </c>
      <c r="F269" s="1" t="str">
        <v>Nacional</v>
      </c>
      <c r="G269" s="1" t="str">
        <v>IJM</v>
      </c>
      <c r="H269" s="1" t="str">
        <v>Sí</v>
      </c>
      <c r="I269" s="2">
        <v>46147</v>
      </c>
      <c r="J269" s="2" t="str">
        <v/>
      </c>
      <c r="K269" s="2" t="str">
        <v/>
      </c>
      <c r="L269" s="1" t="str">
        <v>Sin respuesta</v>
      </c>
      <c r="M269" s="2" t="str">
        <v/>
      </c>
      <c r="N269" s="2" t="str">
        <v/>
      </c>
      <c r="O269" s="1" t="str">
        <v>Sin respuesta</v>
      </c>
      <c r="P269" s="1" t="str">
        <v/>
      </c>
      <c r="Q269" s="1" t="str">
        <v/>
      </c>
      <c r="R269" s="1">
        <f t="shared" si="23"/>
        <v>1</v>
      </c>
      <c r="S269" s="1">
        <f t="shared" si="22"/>
        <v>0</v>
      </c>
      <c r="T269" s="1">
        <f t="shared" si="24"/>
        <v>0</v>
      </c>
      <c r="U269" s="1">
        <f t="shared" si="25"/>
        <v>0</v>
      </c>
      <c r="V269" s="1">
        <f t="shared" si="21"/>
        <v>1</v>
      </c>
    </row>
    <row r="270" x14ac:dyDescent="0.25">
      <c r="A270" s="1">
        <v>268</v>
      </c>
      <c r="B270" s="1" t="str">
        <v>Robert Chavez Hurtado</v>
      </c>
      <c r="C270" s="1" t="str">
        <v>Defensa Pública</v>
      </c>
      <c r="D270" s="1" t="str">
        <v>Entrevista de actores clave</v>
      </c>
      <c r="E270" s="1" t="str">
        <v>Acompañantes</v>
      </c>
      <c r="F270" s="1" t="str">
        <v>Nacional</v>
      </c>
      <c r="G270" s="1" t="str">
        <v>IJM</v>
      </c>
      <c r="H270" s="1" t="str">
        <v>No</v>
      </c>
      <c r="I270" s="2" t="str">
        <v/>
      </c>
      <c r="J270" s="2" t="str">
        <v/>
      </c>
      <c r="K270" s="2" t="str">
        <v/>
      </c>
      <c r="L270" s="1" t="str">
        <v/>
      </c>
      <c r="M270" s="2" t="str">
        <v/>
      </c>
      <c r="N270" s="2" t="str">
        <v/>
      </c>
      <c r="O270" s="1" t="str">
        <v/>
      </c>
      <c r="P270" s="1" t="str">
        <v/>
      </c>
      <c r="Q270" s="1" t="str">
        <v/>
      </c>
      <c r="R270" s="1">
        <f t="shared" si="23"/>
        <v>0</v>
      </c>
      <c r="S270" s="1">
        <f t="shared" si="22"/>
        <v>0</v>
      </c>
      <c r="T270" s="1">
        <f t="shared" si="24"/>
        <v>0</v>
      </c>
      <c r="U270" s="1">
        <f t="shared" si="25"/>
        <v>0</v>
      </c>
      <c r="V270" s="1">
        <f t="shared" si="21"/>
        <v>0</v>
      </c>
    </row>
    <row r="271" x14ac:dyDescent="0.25">
      <c r="A271" s="1">
        <v>269</v>
      </c>
      <c r="B271" s="1" t="str">
        <v>Sthevens Alain Cunya Ordoñez</v>
      </c>
      <c r="C271" s="1" t="str">
        <v>Defensa Pública</v>
      </c>
      <c r="D271" s="1" t="str">
        <v>Entrevista de actores clave</v>
      </c>
      <c r="E271" s="1" t="str">
        <v>Acompañantes</v>
      </c>
      <c r="F271" s="1" t="str">
        <v>Nacional</v>
      </c>
      <c r="G271" s="1" t="str">
        <v>IJM</v>
      </c>
      <c r="H271" s="1" t="str">
        <v>No</v>
      </c>
      <c r="I271" s="2" t="str">
        <v/>
      </c>
      <c r="J271" s="2" t="str">
        <v/>
      </c>
      <c r="K271" s="2" t="str">
        <v/>
      </c>
      <c r="L271" s="1" t="str">
        <v/>
      </c>
      <c r="M271" s="2" t="str">
        <v/>
      </c>
      <c r="N271" s="2" t="str">
        <v/>
      </c>
      <c r="O271" s="1" t="str">
        <v/>
      </c>
      <c r="P271" s="1" t="str">
        <v/>
      </c>
      <c r="Q271" s="1" t="str">
        <v/>
      </c>
      <c r="R271" s="1">
        <f t="shared" si="23"/>
        <v>0</v>
      </c>
      <c r="S271" s="1">
        <f t="shared" si="22"/>
        <v>0</v>
      </c>
      <c r="T271" s="1">
        <f t="shared" si="24"/>
        <v>0</v>
      </c>
      <c r="U271" s="1">
        <f t="shared" si="25"/>
        <v>0</v>
      </c>
      <c r="V271" s="1">
        <f t="shared" si="21"/>
        <v>0</v>
      </c>
    </row>
    <row r="272" x14ac:dyDescent="0.25">
      <c r="A272" s="1">
        <v>270</v>
      </c>
      <c r="B272" s="1" t="str">
        <v>Carmen Cecilia Cook Gonzales</v>
      </c>
      <c r="C272" s="1" t="str">
        <v>Defensa Pública</v>
      </c>
      <c r="D272" s="1" t="str">
        <v>Entrevista de actores clave</v>
      </c>
      <c r="E272" s="1" t="str">
        <v>Acompañantes</v>
      </c>
      <c r="F272" s="1" t="str">
        <v>Nacional</v>
      </c>
      <c r="G272" s="1" t="str">
        <v>IJM</v>
      </c>
      <c r="H272" s="1" t="str">
        <v>No</v>
      </c>
      <c r="I272" s="2" t="str">
        <v/>
      </c>
      <c r="J272" s="2" t="str">
        <v/>
      </c>
      <c r="K272" s="2" t="str">
        <v/>
      </c>
      <c r="L272" s="1" t="str">
        <v/>
      </c>
      <c r="M272" s="2" t="str">
        <v/>
      </c>
      <c r="N272" s="2" t="str">
        <v/>
      </c>
      <c r="O272" s="1" t="str">
        <v/>
      </c>
      <c r="P272" s="1" t="str">
        <v/>
      </c>
      <c r="Q272" s="1" t="str">
        <v/>
      </c>
      <c r="R272" s="1">
        <f t="shared" si="23"/>
        <v>0</v>
      </c>
      <c r="S272" s="1">
        <f t="shared" si="22"/>
        <v>0</v>
      </c>
      <c r="T272" s="1">
        <f t="shared" si="24"/>
        <v>0</v>
      </c>
      <c r="U272" s="1">
        <f t="shared" si="25"/>
        <v>0</v>
      </c>
      <c r="V272" s="1">
        <f t="shared" si="21"/>
        <v>0</v>
      </c>
    </row>
    <row r="273" x14ac:dyDescent="0.25">
      <c r="A273" s="1">
        <v>271</v>
      </c>
      <c r="B273" s="1" t="str">
        <v>Rolando Federico Depaz Hizo</v>
      </c>
      <c r="C273" s="1" t="str">
        <v>Defensa Pública</v>
      </c>
      <c r="D273" s="1" t="str">
        <v>Entrevista de actores clave</v>
      </c>
      <c r="E273" s="1" t="str">
        <v>Acompañantes</v>
      </c>
      <c r="F273" s="1" t="str">
        <v>Nacional</v>
      </c>
      <c r="G273" s="1" t="str">
        <v>IJM</v>
      </c>
      <c r="H273" s="1" t="str">
        <v>No</v>
      </c>
      <c r="I273" s="2" t="str">
        <v/>
      </c>
      <c r="J273" s="2" t="str">
        <v/>
      </c>
      <c r="K273" s="2" t="str">
        <v/>
      </c>
      <c r="L273" s="1" t="str">
        <v/>
      </c>
      <c r="M273" s="2" t="str">
        <v/>
      </c>
      <c r="N273" s="2" t="str">
        <v/>
      </c>
      <c r="O273" s="1" t="str">
        <v/>
      </c>
      <c r="P273" s="1" t="str">
        <v/>
      </c>
      <c r="Q273" s="1" t="str">
        <v/>
      </c>
      <c r="R273" s="1">
        <f t="shared" si="23"/>
        <v>0</v>
      </c>
      <c r="S273" s="1">
        <f t="shared" si="22"/>
        <v>0</v>
      </c>
      <c r="T273" s="1">
        <f t="shared" si="24"/>
        <v>0</v>
      </c>
      <c r="U273" s="1">
        <f t="shared" si="25"/>
        <v>0</v>
      </c>
      <c r="V273" s="1">
        <f t="shared" si="21"/>
        <v>0</v>
      </c>
    </row>
    <row r="274" x14ac:dyDescent="0.25">
      <c r="A274" s="1">
        <v>272</v>
      </c>
      <c r="B274" s="1" t="str">
        <v>Gustavo Joe Matta Nuñez</v>
      </c>
      <c r="C274" s="1" t="str">
        <v>Defensa Pública</v>
      </c>
      <c r="D274" s="1" t="str">
        <v>Entrevista de actores clave</v>
      </c>
      <c r="E274" s="1" t="str">
        <v>Acompañantes</v>
      </c>
      <c r="F274" s="1" t="str">
        <v>Nacional</v>
      </c>
      <c r="G274" s="1" t="str">
        <v>IJM</v>
      </c>
      <c r="H274" s="1" t="str">
        <v>No</v>
      </c>
      <c r="I274" s="2" t="str">
        <v/>
      </c>
      <c r="J274" s="2" t="str">
        <v/>
      </c>
      <c r="K274" s="2" t="str">
        <v/>
      </c>
      <c r="L274" s="1" t="str">
        <v/>
      </c>
      <c r="M274" s="2" t="str">
        <v/>
      </c>
      <c r="N274" s="2" t="str">
        <v/>
      </c>
      <c r="O274" s="1" t="str">
        <v/>
      </c>
      <c r="P274" s="1" t="str">
        <v/>
      </c>
      <c r="Q274" s="1" t="str">
        <v/>
      </c>
      <c r="R274" s="1">
        <f t="shared" si="23"/>
        <v>0</v>
      </c>
      <c r="S274" s="1">
        <f t="shared" si="22"/>
        <v>0</v>
      </c>
      <c r="T274" s="1">
        <f t="shared" si="24"/>
        <v>0</v>
      </c>
      <c r="U274" s="1">
        <f t="shared" si="25"/>
        <v>0</v>
      </c>
      <c r="V274" s="1">
        <f t="shared" si="21"/>
        <v>0</v>
      </c>
    </row>
    <row r="275" x14ac:dyDescent="0.25">
      <c r="A275" s="1">
        <v>273</v>
      </c>
      <c r="B275" s="1" t="str">
        <v>María Rosa Marín Villanueva</v>
      </c>
      <c r="C275" s="1" t="str">
        <v>Defensa Pública</v>
      </c>
      <c r="D275" s="1" t="str">
        <v>Entrevista de actores clave</v>
      </c>
      <c r="E275" s="1" t="str">
        <v>Acompañantes</v>
      </c>
      <c r="F275" s="1" t="str">
        <v>Nacional</v>
      </c>
      <c r="G275" s="1" t="str">
        <v>IJM</v>
      </c>
      <c r="H275" s="1" t="str">
        <v>No</v>
      </c>
      <c r="I275" s="2" t="str">
        <v/>
      </c>
      <c r="J275" s="2" t="str">
        <v/>
      </c>
      <c r="K275" s="2" t="str">
        <v/>
      </c>
      <c r="L275" s="1" t="str">
        <v/>
      </c>
      <c r="M275" s="2" t="str">
        <v/>
      </c>
      <c r="N275" s="2" t="str">
        <v/>
      </c>
      <c r="O275" s="1" t="str">
        <v/>
      </c>
      <c r="P275" s="1" t="str">
        <v/>
      </c>
      <c r="Q275" s="1" t="str">
        <v/>
      </c>
      <c r="R275" s="1">
        <f t="shared" si="23"/>
        <v>0</v>
      </c>
      <c r="S275" s="1">
        <f t="shared" si="22"/>
        <v>0</v>
      </c>
      <c r="T275" s="1">
        <f t="shared" si="24"/>
        <v>0</v>
      </c>
      <c r="U275" s="1">
        <f t="shared" si="25"/>
        <v>0</v>
      </c>
      <c r="V275" s="1">
        <f t="shared" si="21"/>
        <v>0</v>
      </c>
    </row>
    <row r="276" x14ac:dyDescent="0.25">
      <c r="A276" s="1">
        <v>274</v>
      </c>
      <c r="B276" s="1" t="str">
        <v>Samuel Diaz Gonzales</v>
      </c>
      <c r="C276" s="1" t="str">
        <v>Defensa Pública</v>
      </c>
      <c r="D276" s="1" t="str">
        <v>Entrevista de actores clave</v>
      </c>
      <c r="E276" s="1" t="str">
        <v>Acompañantes</v>
      </c>
      <c r="F276" s="1" t="str">
        <v>Nacional</v>
      </c>
      <c r="G276" s="1" t="str">
        <v>IJM</v>
      </c>
      <c r="H276" s="1" t="str">
        <v>No</v>
      </c>
      <c r="I276" s="2">
        <v>46171</v>
      </c>
      <c r="J276" s="2" t="str">
        <v/>
      </c>
      <c r="K276" s="2" t="str">
        <v/>
      </c>
      <c r="L276" s="1" t="str">
        <v>Sin respuesta</v>
      </c>
      <c r="M276" s="2" t="str">
        <v/>
      </c>
      <c r="N276" s="2" t="str">
        <v/>
      </c>
      <c r="O276" s="1" t="str">
        <v>Sin respuesta</v>
      </c>
      <c r="P276" s="1" t="str">
        <v/>
      </c>
      <c r="Q276" s="1" t="str">
        <v/>
      </c>
      <c r="R276" s="1">
        <f t="shared" si="23"/>
        <v>0</v>
      </c>
      <c r="S276" s="1">
        <f t="shared" si="22"/>
        <v>0</v>
      </c>
      <c r="T276" s="1">
        <f t="shared" si="24"/>
        <v>0</v>
      </c>
      <c r="U276" s="1">
        <f t="shared" si="25"/>
        <v>0</v>
      </c>
      <c r="V276" s="1">
        <f t="shared" si="21"/>
        <v>1</v>
      </c>
    </row>
    <row r="277" x14ac:dyDescent="0.25">
      <c r="A277" s="1">
        <v>275</v>
      </c>
      <c r="B277" s="1" t="str">
        <v>Jorge Manuel Puicon Uceda</v>
      </c>
      <c r="C277" s="1" t="str">
        <v>Defensa Pública</v>
      </c>
      <c r="D277" s="1" t="str">
        <v>Entrevista de actores clave</v>
      </c>
      <c r="E277" s="1" t="str">
        <v>Acompañantes</v>
      </c>
      <c r="F277" s="1" t="str">
        <v>Nacional</v>
      </c>
      <c r="G277" s="1" t="str">
        <v>IJM</v>
      </c>
      <c r="H277" s="1" t="str">
        <v>No</v>
      </c>
      <c r="I277" s="2">
        <v>46171</v>
      </c>
      <c r="J277" s="2" t="str">
        <v/>
      </c>
      <c r="K277" s="2" t="str">
        <v/>
      </c>
      <c r="L277" s="1" t="str">
        <v>Sin respuesta</v>
      </c>
      <c r="M277" s="2" t="str">
        <v/>
      </c>
      <c r="N277" s="2" t="str">
        <v/>
      </c>
      <c r="O277" s="1" t="str">
        <v>Sin respuesta</v>
      </c>
      <c r="P277" s="1" t="str">
        <v/>
      </c>
      <c r="Q277" s="1" t="str">
        <v/>
      </c>
      <c r="R277" s="1">
        <f t="shared" si="23"/>
        <v>0</v>
      </c>
      <c r="S277" s="1">
        <f t="shared" si="22"/>
        <v>0</v>
      </c>
      <c r="T277" s="1">
        <f t="shared" si="24"/>
        <v>0</v>
      </c>
      <c r="U277" s="1">
        <f t="shared" si="25"/>
        <v>0</v>
      </c>
      <c r="V277" s="1">
        <f t="shared" si="21"/>
        <v>1</v>
      </c>
    </row>
    <row r="278" x14ac:dyDescent="0.25">
      <c r="A278" s="1">
        <v>276</v>
      </c>
      <c r="B278" s="1" t="str">
        <v>Carlos Manuel Gallegos Puma</v>
      </c>
      <c r="C278" s="1" t="str">
        <v>Defensa Pública</v>
      </c>
      <c r="D278" s="1" t="str">
        <v>Entrevista de actores clave</v>
      </c>
      <c r="E278" s="1" t="str">
        <v>Acompañantes</v>
      </c>
      <c r="F278" s="1" t="str">
        <v>Distrito Judicial: Ucayali</v>
      </c>
      <c r="G278" s="1" t="str">
        <v>IJM</v>
      </c>
      <c r="H278" s="1" t="str">
        <v>No</v>
      </c>
      <c r="I278" s="2">
        <v>46171</v>
      </c>
      <c r="J278" s="2" t="str">
        <v/>
      </c>
      <c r="K278" s="2" t="str">
        <v/>
      </c>
      <c r="L278" s="1" t="str">
        <v>Sin respuesta</v>
      </c>
      <c r="M278" s="2" t="str">
        <v/>
      </c>
      <c r="N278" s="2" t="str">
        <v/>
      </c>
      <c r="O278" s="1" t="str">
        <v>Sin respuesta</v>
      </c>
      <c r="P278" s="1" t="str">
        <v/>
      </c>
      <c r="Q278" s="1" t="str">
        <v/>
      </c>
      <c r="R278" s="1">
        <f t="shared" si="23"/>
        <v>0</v>
      </c>
      <c r="S278" s="1">
        <f t="shared" si="22"/>
        <v>0</v>
      </c>
      <c r="T278" s="1">
        <f t="shared" si="24"/>
        <v>0</v>
      </c>
      <c r="U278" s="1">
        <f t="shared" si="25"/>
        <v>0</v>
      </c>
      <c r="V278" s="1">
        <f t="shared" si="21"/>
        <v>1</v>
      </c>
    </row>
    <row r="279" x14ac:dyDescent="0.25">
      <c r="A279" s="1">
        <v>277</v>
      </c>
      <c r="B279" s="1" t="str">
        <v>Jose Manuel Guevara Caicedo</v>
      </c>
      <c r="C279" s="1" t="str">
        <v>Defensa Pública</v>
      </c>
      <c r="D279" s="1" t="str">
        <v>Entrevista de actores clave</v>
      </c>
      <c r="E279" s="1" t="str">
        <v>Acompañantes</v>
      </c>
      <c r="F279" s="1" t="str">
        <v>Distrito Judicial: Apurímac</v>
      </c>
      <c r="G279" s="1" t="str">
        <v>IJM</v>
      </c>
      <c r="H279" s="1" t="str">
        <v>No</v>
      </c>
      <c r="I279" s="2">
        <v>46171</v>
      </c>
      <c r="J279" s="2" t="str">
        <v/>
      </c>
      <c r="K279" s="2" t="str">
        <v/>
      </c>
      <c r="L279" s="1" t="str">
        <v>Sin respuesta</v>
      </c>
      <c r="M279" s="2" t="str">
        <v/>
      </c>
      <c r="N279" s="2" t="str">
        <v/>
      </c>
      <c r="O279" s="1" t="str">
        <v>Sin respuesta</v>
      </c>
      <c r="P279" s="1" t="str">
        <v/>
      </c>
      <c r="Q279" s="1" t="str">
        <v/>
      </c>
      <c r="R279" s="1">
        <f t="shared" si="23"/>
        <v>0</v>
      </c>
      <c r="S279" s="1">
        <f t="shared" si="22"/>
        <v>0</v>
      </c>
      <c r="T279" s="1">
        <f t="shared" si="24"/>
        <v>0</v>
      </c>
      <c r="U279" s="1">
        <f t="shared" si="25"/>
        <v>0</v>
      </c>
      <c r="V279" s="1">
        <f t="shared" ref="V279:V324" si="26">IF(L279="Sin respuesta",1,0)</f>
        <v>1</v>
      </c>
    </row>
    <row r="280" x14ac:dyDescent="0.25">
      <c r="A280" s="1">
        <v>278</v>
      </c>
      <c r="B280" s="1" t="str">
        <v>Julio Raúl Navarro Mendevil</v>
      </c>
      <c r="C280" s="1" t="str">
        <v>Defensa Pública</v>
      </c>
      <c r="D280" s="1" t="str">
        <v>Entrevista de actores clave</v>
      </c>
      <c r="E280" s="1" t="str">
        <v>Acompañantes</v>
      </c>
      <c r="F280" s="1" t="str">
        <v>Distrito Judicial: Ayacucho</v>
      </c>
      <c r="G280" s="1" t="str">
        <v>IJM</v>
      </c>
      <c r="H280" s="1" t="str">
        <v>No</v>
      </c>
      <c r="I280" s="2" t="str">
        <v/>
      </c>
      <c r="J280" s="2" t="str">
        <v/>
      </c>
      <c r="K280" s="2" t="str">
        <v/>
      </c>
      <c r="L280" s="1" t="str">
        <v/>
      </c>
      <c r="M280" s="2" t="str">
        <v/>
      </c>
      <c r="N280" s="2" t="str">
        <v/>
      </c>
      <c r="O280" s="1" t="str">
        <v/>
      </c>
      <c r="P280" s="1" t="str">
        <v/>
      </c>
      <c r="Q280" s="1" t="str">
        <v/>
      </c>
      <c r="R280" s="1">
        <f t="shared" si="23"/>
        <v>0</v>
      </c>
      <c r="S280" s="1">
        <f t="shared" si="22"/>
        <v>0</v>
      </c>
      <c r="T280" s="1">
        <f t="shared" si="24"/>
        <v>0</v>
      </c>
      <c r="U280" s="1">
        <f t="shared" si="25"/>
        <v>0</v>
      </c>
      <c r="V280" s="1">
        <f t="shared" si="26"/>
        <v>0</v>
      </c>
    </row>
    <row r="281" x14ac:dyDescent="0.25">
      <c r="A281" s="1">
        <v>279</v>
      </c>
      <c r="B281" s="1" t="str">
        <v>Eberth William Mendoza Neira</v>
      </c>
      <c r="C281" s="1" t="str">
        <v>Defensa Pública</v>
      </c>
      <c r="D281" s="1" t="str">
        <v>Entrevista de actores clave</v>
      </c>
      <c r="E281" s="1" t="str">
        <v>Acompañantes</v>
      </c>
      <c r="F281" s="1" t="str">
        <v>Distrito Judicial: Huánuco</v>
      </c>
      <c r="G281" s="1" t="str">
        <v>IJM</v>
      </c>
      <c r="H281" s="1" t="str">
        <v>No</v>
      </c>
      <c r="I281" s="2">
        <v>46171</v>
      </c>
      <c r="J281" s="2" t="str">
        <v/>
      </c>
      <c r="K281" s="2" t="str">
        <v/>
      </c>
      <c r="L281" s="1" t="str">
        <v>Sin respuesta</v>
      </c>
      <c r="M281" s="2" t="str">
        <v/>
      </c>
      <c r="N281" s="2" t="str">
        <v/>
      </c>
      <c r="O281" s="1" t="str">
        <v>Sin respuesta</v>
      </c>
      <c r="P281" s="1" t="str">
        <v/>
      </c>
      <c r="Q281" s="1" t="str">
        <v/>
      </c>
      <c r="R281" s="1">
        <f t="shared" si="23"/>
        <v>0</v>
      </c>
      <c r="S281" s="1">
        <f t="shared" si="22"/>
        <v>0</v>
      </c>
      <c r="T281" s="1">
        <f t="shared" si="24"/>
        <v>0</v>
      </c>
      <c r="U281" s="1">
        <f t="shared" si="25"/>
        <v>0</v>
      </c>
      <c r="V281" s="1">
        <f t="shared" si="26"/>
        <v>1</v>
      </c>
    </row>
    <row r="282" x14ac:dyDescent="0.25">
      <c r="A282" s="1">
        <v>280</v>
      </c>
      <c r="B282" s="1" t="str">
        <v>Luis Carlos Paredes Arbildo</v>
      </c>
      <c r="C282" s="1" t="str">
        <v>Defensa Pública</v>
      </c>
      <c r="D282" s="1" t="str">
        <v>Entrevista de actores clave</v>
      </c>
      <c r="E282" s="1" t="str">
        <v>Acompañantes</v>
      </c>
      <c r="F282" s="1" t="str">
        <v>Distrito Judicial: Lima Norte</v>
      </c>
      <c r="G282" s="1" t="str">
        <v>IJM</v>
      </c>
      <c r="H282" s="1" t="str">
        <v>No</v>
      </c>
      <c r="I282" s="2">
        <v>46171</v>
      </c>
      <c r="J282" s="2" t="str">
        <v/>
      </c>
      <c r="K282" s="2" t="str">
        <v/>
      </c>
      <c r="L282" s="1" t="str">
        <v>Sin respuesta</v>
      </c>
      <c r="M282" s="2" t="str">
        <v/>
      </c>
      <c r="N282" s="2" t="str">
        <v/>
      </c>
      <c r="O282" s="1" t="str">
        <v>Sin respuesta</v>
      </c>
      <c r="P282" s="1" t="str">
        <v/>
      </c>
      <c r="Q282" s="1" t="str">
        <v/>
      </c>
      <c r="R282" s="1">
        <f t="shared" si="23"/>
        <v>0</v>
      </c>
      <c r="S282" s="1">
        <f t="shared" si="22"/>
        <v>0</v>
      </c>
      <c r="T282" s="1">
        <f t="shared" si="24"/>
        <v>0</v>
      </c>
      <c r="U282" s="1">
        <f t="shared" si="25"/>
        <v>0</v>
      </c>
      <c r="V282" s="1">
        <f t="shared" si="26"/>
        <v>1</v>
      </c>
    </row>
    <row r="283" x14ac:dyDescent="0.25">
      <c r="A283" s="1">
        <v>281</v>
      </c>
      <c r="B283" s="1" t="str">
        <v>Cesar Arque Meza</v>
      </c>
      <c r="C283" s="1" t="str">
        <v>Defensa Pública</v>
      </c>
      <c r="D283" s="1" t="str">
        <v>Entrevista de actores clave</v>
      </c>
      <c r="E283" s="1" t="str">
        <v>Acompañantes</v>
      </c>
      <c r="F283" s="1" t="str">
        <v>Nacional</v>
      </c>
      <c r="G283" s="1" t="str">
        <v>IJM</v>
      </c>
      <c r="H283" s="1" t="str">
        <v>Sí</v>
      </c>
      <c r="I283" s="2">
        <v>46202</v>
      </c>
      <c r="J283" s="2" t="str">
        <v/>
      </c>
      <c r="K283" s="2" t="str">
        <v/>
      </c>
      <c r="L283" s="1" t="str">
        <v>En coordinación</v>
      </c>
      <c r="M283" s="2" t="str">
        <v/>
      </c>
      <c r="N283" s="2" t="str">
        <v/>
      </c>
      <c r="O283" s="1" t="str">
        <v>En coordinación</v>
      </c>
      <c r="P283" s="1" t="str">
        <v/>
      </c>
      <c r="Q283" s="1" t="str">
        <v/>
      </c>
      <c r="R283" s="1">
        <f t="shared" si="23"/>
        <v>1</v>
      </c>
      <c r="S283" s="1">
        <f t="shared" si="22"/>
        <v>1</v>
      </c>
      <c r="T283" s="1">
        <f t="shared" si="24"/>
        <v>0</v>
      </c>
      <c r="U283" s="1">
        <f t="shared" si="25"/>
        <v>0</v>
      </c>
      <c r="V283" s="1">
        <f t="shared" si="26"/>
        <v>0</v>
      </c>
    </row>
    <row r="284" x14ac:dyDescent="0.25">
      <c r="A284" s="1">
        <v>282</v>
      </c>
      <c r="B284" s="1" t="str">
        <v>Ruth Omaira Valdivia Castillo De Mercado</v>
      </c>
      <c r="C284" s="1" t="str">
        <v>Defensa Pública</v>
      </c>
      <c r="D284" s="1" t="str">
        <v>Entrevista de actores clave</v>
      </c>
      <c r="E284" s="1" t="str">
        <v>Acompañantes</v>
      </c>
      <c r="F284" s="1" t="str">
        <v>Nacional</v>
      </c>
      <c r="G284" s="1" t="str">
        <v>IJM</v>
      </c>
      <c r="H284" s="1" t="str">
        <v>No</v>
      </c>
      <c r="I284" s="2">
        <v>46171</v>
      </c>
      <c r="J284" s="2" t="str">
        <v/>
      </c>
      <c r="K284" s="2" t="str">
        <v/>
      </c>
      <c r="L284" s="1" t="str">
        <v>Sin respuesta</v>
      </c>
      <c r="M284" s="2" t="str">
        <v/>
      </c>
      <c r="N284" s="2" t="str">
        <v/>
      </c>
      <c r="O284" s="1" t="str">
        <v>Sin respuesta</v>
      </c>
      <c r="P284" s="1" t="str">
        <v/>
      </c>
      <c r="Q284" s="1" t="str">
        <v/>
      </c>
      <c r="R284" s="1">
        <f t="shared" si="23"/>
        <v>0</v>
      </c>
      <c r="S284" s="1">
        <f t="shared" si="22"/>
        <v>0</v>
      </c>
      <c r="T284" s="1">
        <f t="shared" si="24"/>
        <v>0</v>
      </c>
      <c r="U284" s="1">
        <f t="shared" si="25"/>
        <v>0</v>
      </c>
      <c r="V284" s="1">
        <f t="shared" si="26"/>
        <v>1</v>
      </c>
    </row>
    <row r="285" x14ac:dyDescent="0.25">
      <c r="A285" s="1">
        <v>283</v>
      </c>
      <c r="B285" s="1" t="str">
        <v>Joseph Pasco Campana Porras</v>
      </c>
      <c r="C285" s="1" t="str">
        <v>Defensa Pública</v>
      </c>
      <c r="D285" s="1" t="str">
        <v>Entrevista de actores clave</v>
      </c>
      <c r="E285" s="1" t="str">
        <v>Acompañantes</v>
      </c>
      <c r="F285" s="1" t="str">
        <v>Nacional</v>
      </c>
      <c r="G285" s="1" t="str">
        <v>IJM</v>
      </c>
      <c r="H285" s="1" t="str">
        <v>No</v>
      </c>
      <c r="I285" s="2">
        <v>46171</v>
      </c>
      <c r="J285" s="2" t="str">
        <v/>
      </c>
      <c r="K285" s="2" t="str">
        <v/>
      </c>
      <c r="L285" s="1" t="str">
        <v>Sin respuesta</v>
      </c>
      <c r="M285" s="2" t="str">
        <v/>
      </c>
      <c r="N285" s="2" t="str">
        <v/>
      </c>
      <c r="O285" s="1" t="str">
        <v>Sin respuesta</v>
      </c>
      <c r="P285" s="1" t="str">
        <v/>
      </c>
      <c r="Q285" s="1" t="str">
        <v/>
      </c>
      <c r="R285" s="1">
        <f t="shared" si="23"/>
        <v>0</v>
      </c>
      <c r="S285" s="1">
        <f t="shared" si="22"/>
        <v>0</v>
      </c>
      <c r="T285" s="1">
        <f t="shared" si="24"/>
        <v>0</v>
      </c>
      <c r="U285" s="1">
        <f t="shared" si="25"/>
        <v>0</v>
      </c>
      <c r="V285" s="1">
        <f t="shared" si="26"/>
        <v>1</v>
      </c>
    </row>
    <row r="286" x14ac:dyDescent="0.25">
      <c r="A286" s="1">
        <v>284</v>
      </c>
      <c r="B286" s="1" t="str">
        <v>Pierr Abisai Adrianzen Roman</v>
      </c>
      <c r="C286" s="1" t="str">
        <v>Defensa Pública</v>
      </c>
      <c r="D286" s="1" t="str">
        <v>Entrevista de actores clave</v>
      </c>
      <c r="E286" s="1" t="str">
        <v>Acompañantes</v>
      </c>
      <c r="F286" s="1" t="str">
        <v>Nacional</v>
      </c>
      <c r="G286" s="1" t="str">
        <v>IJM</v>
      </c>
      <c r="H286" s="1" t="str">
        <v>No</v>
      </c>
      <c r="I286" s="2">
        <v>46171</v>
      </c>
      <c r="J286" s="2" t="str">
        <v/>
      </c>
      <c r="K286" s="2" t="str">
        <v/>
      </c>
      <c r="L286" s="1" t="str">
        <v>Sin respuesta</v>
      </c>
      <c r="M286" s="2" t="str">
        <v/>
      </c>
      <c r="N286" s="2" t="str">
        <v/>
      </c>
      <c r="O286" s="1" t="str">
        <v>Sin respuesta</v>
      </c>
      <c r="P286" s="1" t="str">
        <v/>
      </c>
      <c r="Q286" s="1" t="str">
        <v/>
      </c>
      <c r="R286" s="1">
        <f t="shared" si="23"/>
        <v>0</v>
      </c>
      <c r="S286" s="1">
        <f t="shared" si="22"/>
        <v>0</v>
      </c>
      <c r="T286" s="1">
        <f t="shared" si="24"/>
        <v>0</v>
      </c>
      <c r="U286" s="1">
        <f t="shared" si="25"/>
        <v>0</v>
      </c>
      <c r="V286" s="1">
        <f t="shared" si="26"/>
        <v>1</v>
      </c>
    </row>
    <row r="287" x14ac:dyDescent="0.25">
      <c r="A287" s="1">
        <v>285</v>
      </c>
      <c r="B287" s="1" t="str">
        <v>Victor Landa Farati</v>
      </c>
      <c r="C287" s="1" t="str">
        <v>Defensa Pública</v>
      </c>
      <c r="D287" s="1" t="str">
        <v>Entrevista de actores clave</v>
      </c>
      <c r="E287" s="1" t="str">
        <v>Acompañantes</v>
      </c>
      <c r="F287" s="1" t="str">
        <v>Nacional</v>
      </c>
      <c r="G287" s="1" t="str">
        <v>IJM</v>
      </c>
      <c r="H287" s="1" t="str">
        <v>No</v>
      </c>
      <c r="I287" s="2">
        <v>46171</v>
      </c>
      <c r="J287" s="2" t="str">
        <v/>
      </c>
      <c r="K287" s="2" t="str">
        <v/>
      </c>
      <c r="L287" s="1" t="str">
        <v>Sin respuesta</v>
      </c>
      <c r="M287" s="2" t="str">
        <v/>
      </c>
      <c r="N287" s="2" t="str">
        <v/>
      </c>
      <c r="O287" s="1" t="str">
        <v>Sin respuesta</v>
      </c>
      <c r="P287" s="1" t="str">
        <v/>
      </c>
      <c r="Q287" s="1" t="str">
        <v/>
      </c>
      <c r="R287" s="1">
        <f t="shared" si="23"/>
        <v>0</v>
      </c>
      <c r="S287" s="1">
        <f t="shared" si="22"/>
        <v>0</v>
      </c>
      <c r="T287" s="1">
        <f t="shared" si="24"/>
        <v>0</v>
      </c>
      <c r="U287" s="1">
        <f t="shared" si="25"/>
        <v>0</v>
      </c>
      <c r="V287" s="1">
        <f t="shared" si="26"/>
        <v>1</v>
      </c>
    </row>
    <row r="288" x14ac:dyDescent="0.25">
      <c r="A288" s="1">
        <v>286</v>
      </c>
      <c r="B288" s="1" t="str">
        <v>Juan Manuel Vásquez Carranza</v>
      </c>
      <c r="C288" s="1" t="str">
        <v>Defensa Pública</v>
      </c>
      <c r="D288" s="1" t="str">
        <v>Entrevista de actores clave</v>
      </c>
      <c r="E288" s="1" t="str">
        <v>Acompañantes</v>
      </c>
      <c r="F288" s="1" t="str">
        <v>Nacional</v>
      </c>
      <c r="G288" s="1" t="str">
        <v>IJM</v>
      </c>
      <c r="H288" s="1" t="str">
        <v>No</v>
      </c>
      <c r="I288" s="2">
        <v>46171</v>
      </c>
      <c r="J288" s="2" t="str">
        <v/>
      </c>
      <c r="K288" s="2" t="str">
        <v/>
      </c>
      <c r="L288" s="1" t="str">
        <v>Sin respuesta</v>
      </c>
      <c r="M288" s="2" t="str">
        <v/>
      </c>
      <c r="N288" s="2" t="str">
        <v/>
      </c>
      <c r="O288" s="1" t="str">
        <v>Sin respuesta</v>
      </c>
      <c r="P288" s="1" t="str">
        <v/>
      </c>
      <c r="Q288" s="1" t="str">
        <v/>
      </c>
      <c r="R288" s="1">
        <f t="shared" si="23"/>
        <v>0</v>
      </c>
      <c r="S288" s="1">
        <f t="shared" si="22"/>
        <v>0</v>
      </c>
      <c r="T288" s="1">
        <f t="shared" si="24"/>
        <v>0</v>
      </c>
      <c r="U288" s="1">
        <f t="shared" si="25"/>
        <v>0</v>
      </c>
      <c r="V288" s="1">
        <f t="shared" si="26"/>
        <v>1</v>
      </c>
    </row>
    <row r="289" x14ac:dyDescent="0.25">
      <c r="A289" s="1">
        <v>287</v>
      </c>
      <c r="B289" s="1" t="str">
        <v>Henry Valentín Nureña Castillo</v>
      </c>
      <c r="C289" s="1" t="str">
        <v>Defensa Pública</v>
      </c>
      <c r="D289" s="1" t="str">
        <v>Entrevista de actores clave</v>
      </c>
      <c r="E289" s="1" t="str">
        <v>Acompañantes</v>
      </c>
      <c r="F289" s="1" t="str">
        <v>Nacional</v>
      </c>
      <c r="G289" s="1" t="str">
        <v>IJM</v>
      </c>
      <c r="H289" s="1" t="str">
        <v>No</v>
      </c>
      <c r="I289" s="2">
        <v>46171</v>
      </c>
      <c r="J289" s="2" t="str">
        <v/>
      </c>
      <c r="K289" s="2" t="str">
        <v/>
      </c>
      <c r="L289" s="1" t="str">
        <v>Sin respuesta</v>
      </c>
      <c r="M289" s="2" t="str">
        <v/>
      </c>
      <c r="N289" s="2" t="str">
        <v/>
      </c>
      <c r="O289" s="1" t="str">
        <v>Sin respuesta</v>
      </c>
      <c r="P289" s="1" t="str">
        <v/>
      </c>
      <c r="Q289" s="1" t="str">
        <v/>
      </c>
      <c r="R289" s="1">
        <f t="shared" si="23"/>
        <v>0</v>
      </c>
      <c r="S289" s="1">
        <f t="shared" si="22"/>
        <v>0</v>
      </c>
      <c r="T289" s="1">
        <f t="shared" si="24"/>
        <v>0</v>
      </c>
      <c r="U289" s="1">
        <f t="shared" si="25"/>
        <v>0</v>
      </c>
      <c r="V289" s="1">
        <f t="shared" si="26"/>
        <v>1</v>
      </c>
    </row>
    <row r="290" x14ac:dyDescent="0.25">
      <c r="A290" s="1">
        <v>288</v>
      </c>
      <c r="B290" s="1" t="str">
        <v>Jesus Alfonso Jauregui Torres</v>
      </c>
      <c r="C290" s="1" t="str">
        <v>Defensa Pública</v>
      </c>
      <c r="D290" s="1" t="str">
        <v>Entrevista de actores clave</v>
      </c>
      <c r="E290" s="1" t="str">
        <v>Acompañantes</v>
      </c>
      <c r="F290" s="1" t="str">
        <v>Nacional</v>
      </c>
      <c r="G290" s="1" t="str">
        <v>IJM</v>
      </c>
      <c r="H290" s="1" t="str">
        <v>No</v>
      </c>
      <c r="I290" s="2">
        <v>46171</v>
      </c>
      <c r="J290" s="2" t="str">
        <v/>
      </c>
      <c r="K290" s="2" t="str">
        <v/>
      </c>
      <c r="L290" s="1" t="str">
        <v>Sin respuesta</v>
      </c>
      <c r="M290" s="2" t="str">
        <v/>
      </c>
      <c r="N290" s="2" t="str">
        <v/>
      </c>
      <c r="O290" s="1" t="str">
        <v>Sin respuesta</v>
      </c>
      <c r="P290" s="1" t="str">
        <v/>
      </c>
      <c r="Q290" s="1" t="str">
        <v/>
      </c>
      <c r="R290" s="1">
        <f t="shared" si="23"/>
        <v>0</v>
      </c>
      <c r="S290" s="1">
        <f t="shared" si="22"/>
        <v>0</v>
      </c>
      <c r="T290" s="1">
        <f t="shared" si="24"/>
        <v>0</v>
      </c>
      <c r="U290" s="1">
        <f t="shared" si="25"/>
        <v>0</v>
      </c>
      <c r="V290" s="1">
        <f t="shared" si="26"/>
        <v>1</v>
      </c>
    </row>
    <row r="291" x14ac:dyDescent="0.25">
      <c r="A291" s="1">
        <v>289</v>
      </c>
      <c r="B291" s="1" t="str">
        <v>Gregorio Alexander Purizaca Vignolo</v>
      </c>
      <c r="C291" s="1" t="str">
        <v>Defensa Pública</v>
      </c>
      <c r="D291" s="1" t="str">
        <v>Entrevista de actores clave</v>
      </c>
      <c r="E291" s="1" t="str">
        <v>Acompañantes</v>
      </c>
      <c r="F291" s="1" t="str">
        <v>Nacional</v>
      </c>
      <c r="G291" s="1" t="str">
        <v>IJM</v>
      </c>
      <c r="H291" s="1" t="str">
        <v>No</v>
      </c>
      <c r="I291" s="2">
        <v>46171</v>
      </c>
      <c r="J291" s="2" t="str">
        <v/>
      </c>
      <c r="K291" s="2" t="str">
        <v/>
      </c>
      <c r="L291" s="1" t="str">
        <v>Sin respuesta</v>
      </c>
      <c r="M291" s="2" t="str">
        <v/>
      </c>
      <c r="N291" s="2" t="str">
        <v/>
      </c>
      <c r="O291" s="1" t="str">
        <v>Sin respuesta</v>
      </c>
      <c r="P291" s="1" t="str">
        <v/>
      </c>
      <c r="Q291" s="1" t="str">
        <v/>
      </c>
      <c r="R291" s="1">
        <f t="shared" si="23"/>
        <v>0</v>
      </c>
      <c r="S291" s="1">
        <f t="shared" si="22"/>
        <v>0</v>
      </c>
      <c r="T291" s="1">
        <f t="shared" si="24"/>
        <v>0</v>
      </c>
      <c r="U291" s="1">
        <f t="shared" si="25"/>
        <v>0</v>
      </c>
      <c r="V291" s="1">
        <f t="shared" si="26"/>
        <v>1</v>
      </c>
    </row>
    <row r="292" x14ac:dyDescent="0.25">
      <c r="A292" s="1">
        <v>290</v>
      </c>
      <c r="B292" s="1" t="str">
        <v>Brenda Gabriela Sanga Coarite</v>
      </c>
      <c r="C292" s="1" t="str">
        <v>Defensa Pública</v>
      </c>
      <c r="D292" s="1" t="str">
        <v>Entrevista de actores clave</v>
      </c>
      <c r="E292" s="1" t="str">
        <v>Acompañantes</v>
      </c>
      <c r="F292" s="1" t="str">
        <v>Distrito Judicial: Huánuco</v>
      </c>
      <c r="G292" s="1" t="str">
        <v>IJM</v>
      </c>
      <c r="H292" s="1" t="str">
        <v>No</v>
      </c>
      <c r="I292" s="2">
        <v>46171</v>
      </c>
      <c r="J292" s="2" t="str">
        <v/>
      </c>
      <c r="K292" s="2" t="str">
        <v/>
      </c>
      <c r="L292" s="1" t="str">
        <v>Sin respuesta</v>
      </c>
      <c r="M292" s="2" t="str">
        <v/>
      </c>
      <c r="N292" s="2" t="str">
        <v/>
      </c>
      <c r="O292" s="1" t="str">
        <v>Sin respuesta</v>
      </c>
      <c r="P292" s="1" t="str">
        <v/>
      </c>
      <c r="Q292" s="1" t="str">
        <v/>
      </c>
      <c r="R292" s="1">
        <f t="shared" si="23"/>
        <v>0</v>
      </c>
      <c r="S292" s="1">
        <f t="shared" si="22"/>
        <v>0</v>
      </c>
      <c r="T292" s="1">
        <f t="shared" si="24"/>
        <v>0</v>
      </c>
      <c r="U292" s="1">
        <f t="shared" si="25"/>
        <v>0</v>
      </c>
      <c r="V292" s="1">
        <f t="shared" si="26"/>
        <v>1</v>
      </c>
    </row>
    <row r="293" x14ac:dyDescent="0.25">
      <c r="A293" s="1">
        <v>291</v>
      </c>
      <c r="B293" s="1" t="str">
        <v>Carlos David Zuñiga Diaz</v>
      </c>
      <c r="C293" s="1" t="str">
        <v>Defensa Pública</v>
      </c>
      <c r="D293" s="1" t="str">
        <v>Entrevista de actores clave</v>
      </c>
      <c r="E293" s="1" t="str">
        <v>Acompañantes</v>
      </c>
      <c r="F293" s="1" t="str">
        <v>Distrito Judicial: Lima Norte</v>
      </c>
      <c r="G293" s="1" t="str">
        <v>IJM</v>
      </c>
      <c r="H293" s="1" t="str">
        <v>No</v>
      </c>
      <c r="I293" s="2">
        <v>46171</v>
      </c>
      <c r="J293" s="2" t="str">
        <v/>
      </c>
      <c r="K293" s="2" t="str">
        <v/>
      </c>
      <c r="L293" s="1" t="str">
        <v>Sin respuesta</v>
      </c>
      <c r="M293" s="2" t="str">
        <v/>
      </c>
      <c r="N293" s="2" t="str">
        <v/>
      </c>
      <c r="O293" s="1" t="str">
        <v>Sin respuesta</v>
      </c>
      <c r="P293" s="1" t="str">
        <v/>
      </c>
      <c r="Q293" s="1" t="str">
        <v/>
      </c>
      <c r="R293" s="1">
        <f t="shared" si="23"/>
        <v>0</v>
      </c>
      <c r="S293" s="1">
        <f t="shared" si="22"/>
        <v>0</v>
      </c>
      <c r="T293" s="1">
        <f t="shared" si="24"/>
        <v>0</v>
      </c>
      <c r="U293" s="1">
        <f t="shared" si="25"/>
        <v>0</v>
      </c>
      <c r="V293" s="1">
        <f t="shared" si="26"/>
        <v>1</v>
      </c>
    </row>
    <row r="294" x14ac:dyDescent="0.25">
      <c r="A294" s="1">
        <v>292</v>
      </c>
      <c r="B294" s="1" t="str">
        <v>Jorge Enrique Kaqui Quiñonez</v>
      </c>
      <c r="C294" s="1" t="str">
        <v>Defensa Pública</v>
      </c>
      <c r="D294" s="1" t="str">
        <v>Entrevista de actores clave</v>
      </c>
      <c r="E294" s="1" t="str">
        <v>Acompañantes</v>
      </c>
      <c r="F294" s="1" t="str">
        <v>Distrito Judicial: Cajamarca</v>
      </c>
      <c r="G294" s="1" t="str">
        <v>IJM</v>
      </c>
      <c r="H294" s="1" t="str">
        <v>No</v>
      </c>
      <c r="I294" s="2">
        <v>46171</v>
      </c>
      <c r="J294" s="2" t="str">
        <v/>
      </c>
      <c r="K294" s="2" t="str">
        <v/>
      </c>
      <c r="L294" s="1" t="str">
        <v>Sin respuesta</v>
      </c>
      <c r="M294" s="2" t="str">
        <v/>
      </c>
      <c r="N294" s="2" t="str">
        <v/>
      </c>
      <c r="O294" s="1" t="str">
        <v>Sin respuesta</v>
      </c>
      <c r="P294" s="1" t="str">
        <v/>
      </c>
      <c r="Q294" s="1" t="str">
        <v/>
      </c>
      <c r="R294" s="1">
        <f t="shared" si="23"/>
        <v>0</v>
      </c>
      <c r="S294" s="1">
        <f t="shared" si="22"/>
        <v>0</v>
      </c>
      <c r="T294" s="1">
        <f t="shared" si="24"/>
        <v>0</v>
      </c>
      <c r="U294" s="1">
        <f t="shared" si="25"/>
        <v>0</v>
      </c>
      <c r="V294" s="1">
        <f t="shared" si="26"/>
        <v>1</v>
      </c>
    </row>
    <row r="295" x14ac:dyDescent="0.25">
      <c r="A295" s="1">
        <v>293</v>
      </c>
      <c r="B295" s="1" t="str">
        <v>Donal Segovia Soto</v>
      </c>
      <c r="C295" s="1" t="str">
        <v>Defensa Pública</v>
      </c>
      <c r="D295" s="1" t="str">
        <v>Entrevista de actores clave</v>
      </c>
      <c r="E295" s="1" t="str">
        <v>Acompañantes</v>
      </c>
      <c r="F295" s="1" t="str">
        <v>Nacional</v>
      </c>
      <c r="G295" s="1" t="str">
        <v>IJM</v>
      </c>
      <c r="H295" s="1" t="str">
        <v>No</v>
      </c>
      <c r="I295" s="2" t="str">
        <v/>
      </c>
      <c r="J295" s="2" t="str">
        <v/>
      </c>
      <c r="K295" s="2" t="str">
        <v/>
      </c>
      <c r="L295" s="1" t="str">
        <v/>
      </c>
      <c r="M295" s="2" t="str">
        <v/>
      </c>
      <c r="N295" s="2" t="str">
        <v/>
      </c>
      <c r="O295" s="1" t="str">
        <v/>
      </c>
      <c r="P295" s="1" t="str">
        <v/>
      </c>
      <c r="Q295" s="1" t="str">
        <v/>
      </c>
      <c r="R295" s="1">
        <f t="shared" si="23"/>
        <v>0</v>
      </c>
      <c r="S295" s="1">
        <f t="shared" si="22"/>
        <v>0</v>
      </c>
      <c r="T295" s="1">
        <f t="shared" si="24"/>
        <v>0</v>
      </c>
      <c r="U295" s="1">
        <f t="shared" si="25"/>
        <v>0</v>
      </c>
      <c r="V295" s="1">
        <f t="shared" si="26"/>
        <v>0</v>
      </c>
    </row>
    <row r="296" x14ac:dyDescent="0.25">
      <c r="A296" s="1">
        <v>294</v>
      </c>
      <c r="B296" s="1" t="str">
        <v>Ferrey De La Cruz Vila</v>
      </c>
      <c r="C296" s="1" t="str">
        <v>Defensa Pública</v>
      </c>
      <c r="D296" s="1" t="str">
        <v>Entrevista de actores clave</v>
      </c>
      <c r="E296" s="1" t="str">
        <v>Acompañantes</v>
      </c>
      <c r="F296" s="1" t="str">
        <v>Nacional</v>
      </c>
      <c r="G296" s="1" t="str">
        <v>IJM</v>
      </c>
      <c r="H296" s="1" t="str">
        <v>No</v>
      </c>
      <c r="I296" s="2" t="str">
        <v/>
      </c>
      <c r="J296" s="2" t="str">
        <v/>
      </c>
      <c r="K296" s="2" t="str">
        <v/>
      </c>
      <c r="L296" s="1" t="str">
        <v/>
      </c>
      <c r="M296" s="2" t="str">
        <v/>
      </c>
      <c r="N296" s="2" t="str">
        <v/>
      </c>
      <c r="O296" s="1" t="str">
        <v/>
      </c>
      <c r="P296" s="1" t="str">
        <v/>
      </c>
      <c r="Q296" s="1" t="str">
        <v/>
      </c>
      <c r="R296" s="1">
        <f t="shared" si="23"/>
        <v>0</v>
      </c>
      <c r="S296" s="1">
        <f t="shared" si="22"/>
        <v>0</v>
      </c>
      <c r="T296" s="1">
        <f t="shared" si="24"/>
        <v>0</v>
      </c>
      <c r="U296" s="1">
        <f t="shared" si="25"/>
        <v>0</v>
      </c>
      <c r="V296" s="1">
        <f t="shared" si="26"/>
        <v>0</v>
      </c>
    </row>
    <row r="297" x14ac:dyDescent="0.25">
      <c r="A297" s="1">
        <v>295</v>
      </c>
      <c r="B297" s="1" t="str">
        <v>Dayma Gabriela Navia Canal </v>
      </c>
      <c r="C297" s="1" t="str">
        <v>Defensa Pública</v>
      </c>
      <c r="D297" s="1" t="str">
        <v>Entrevista de actores clave</v>
      </c>
      <c r="E297" s="1" t="str">
        <v>Funcionarios del Sistema</v>
      </c>
      <c r="F297" s="1" t="str">
        <v>Nacional</v>
      </c>
      <c r="G297" s="1" t="str">
        <v>IJM</v>
      </c>
      <c r="H297" s="1" t="str">
        <v>Sí</v>
      </c>
      <c r="I297" s="2">
        <v>46107</v>
      </c>
      <c r="J297" s="2" t="str">
        <v/>
      </c>
      <c r="K297" s="2" t="str">
        <v/>
      </c>
      <c r="L297" s="1" t="str">
        <v>Realizada completa</v>
      </c>
      <c r="M297" s="2">
        <v>46111</v>
      </c>
      <c r="N297" s="2">
        <v>46111</v>
      </c>
      <c r="O297" s="1" t="str">
        <v>Realizada completa</v>
      </c>
      <c r="P297" s="1">
        <v>45</v>
      </c>
      <c r="Q297" s="1" t="str">
        <v>A distancia asistido</v>
      </c>
      <c r="R297" s="1">
        <f t="shared" si="23"/>
        <v>1</v>
      </c>
      <c r="S297" s="1">
        <f t="shared" si="22"/>
        <v>0</v>
      </c>
      <c r="T297" s="1">
        <f t="shared" si="24"/>
        <v>0</v>
      </c>
      <c r="U297" s="1">
        <f t="shared" si="25"/>
        <v>1</v>
      </c>
      <c r="V297" s="1">
        <f t="shared" si="26"/>
        <v>0</v>
      </c>
    </row>
    <row r="298" x14ac:dyDescent="0.25">
      <c r="A298" s="1">
        <v>296</v>
      </c>
      <c r="B298" s="1" t="str">
        <v>Olga Huaman Ortiz</v>
      </c>
      <c r="C298" s="1" t="str">
        <v>Defensa Pública</v>
      </c>
      <c r="D298" s="1" t="str">
        <v>Entrevista de actores clave</v>
      </c>
      <c r="E298" s="1" t="str">
        <v>Funcionarios del Sistema</v>
      </c>
      <c r="F298" s="1" t="str">
        <v>Nacional</v>
      </c>
      <c r="G298" s="1" t="str">
        <v>IJM</v>
      </c>
      <c r="H298" s="1" t="str">
        <v>Sí</v>
      </c>
      <c r="I298" s="2">
        <v>46107</v>
      </c>
      <c r="J298" s="2">
        <v>46111</v>
      </c>
      <c r="K298" s="2" t="str">
        <v/>
      </c>
      <c r="L298" s="1" t="str">
        <v>Realizada completa</v>
      </c>
      <c r="M298" s="2">
        <v>46114</v>
      </c>
      <c r="N298" s="2">
        <v>46120</v>
      </c>
      <c r="O298" s="1" t="str">
        <v>Realizada completa</v>
      </c>
      <c r="P298" s="1">
        <v>38</v>
      </c>
      <c r="Q298" s="1" t="str">
        <v>A distancia asistido</v>
      </c>
      <c r="R298" s="1">
        <f t="shared" si="23"/>
        <v>1</v>
      </c>
      <c r="S298" s="1">
        <f t="shared" si="22"/>
        <v>0</v>
      </c>
      <c r="T298" s="1">
        <f t="shared" si="24"/>
        <v>0</v>
      </c>
      <c r="U298" s="1">
        <f t="shared" si="25"/>
        <v>1</v>
      </c>
      <c r="V298" s="1">
        <f t="shared" si="26"/>
        <v>0</v>
      </c>
    </row>
    <row r="299" x14ac:dyDescent="0.25">
      <c r="A299" s="1">
        <v>297</v>
      </c>
      <c r="B299" s="1" t="str">
        <v>Jesús Martin Cahua Huamán</v>
      </c>
      <c r="C299" s="1" t="str">
        <v>Defensa Pública</v>
      </c>
      <c r="D299" s="1" t="str">
        <v>Entrevista de actores clave</v>
      </c>
      <c r="E299" s="1" t="str">
        <v>Funcionarios del Sistema</v>
      </c>
      <c r="F299" s="1" t="str">
        <v>Nacional</v>
      </c>
      <c r="G299" s="1" t="str">
        <v>IJM</v>
      </c>
      <c r="H299" s="1" t="str">
        <v>Sí</v>
      </c>
      <c r="I299" s="2">
        <v>46107</v>
      </c>
      <c r="J299" s="2">
        <v>46171</v>
      </c>
      <c r="K299" s="2" t="str">
        <v/>
      </c>
      <c r="L299" s="1" t="str">
        <v>Sin respuesta</v>
      </c>
      <c r="M299" s="2" t="str">
        <v/>
      </c>
      <c r="N299" s="2" t="str">
        <v/>
      </c>
      <c r="O299" s="1" t="str">
        <v>Sin respuesta</v>
      </c>
      <c r="P299" s="1" t="str">
        <v/>
      </c>
      <c r="Q299" s="1" t="str">
        <v/>
      </c>
      <c r="R299" s="1">
        <f t="shared" si="23"/>
        <v>1</v>
      </c>
      <c r="S299" s="1">
        <f t="shared" si="22"/>
        <v>0</v>
      </c>
      <c r="T299" s="1">
        <f t="shared" si="24"/>
        <v>0</v>
      </c>
      <c r="U299" s="1">
        <f t="shared" si="25"/>
        <v>0</v>
      </c>
      <c r="V299" s="1">
        <f t="shared" si="26"/>
        <v>1</v>
      </c>
    </row>
    <row r="300" x14ac:dyDescent="0.25">
      <c r="A300" s="1">
        <v>298</v>
      </c>
      <c r="B300" s="1" t="str">
        <v>Por definir</v>
      </c>
      <c r="C300" s="1" t="str">
        <v>Instancias de Concertación</v>
      </c>
      <c r="D300" s="1" t="str">
        <v>Entrevista de actores clave</v>
      </c>
      <c r="E300" s="1" t="str">
        <v>Acompañantes</v>
      </c>
      <c r="F300" s="1" t="str">
        <v>Nacional</v>
      </c>
      <c r="G300" s="1" t="str">
        <v>IJM</v>
      </c>
      <c r="H300" s="1" t="str">
        <v>No</v>
      </c>
      <c r="I300" s="2" t="str">
        <v/>
      </c>
      <c r="J300" s="2" t="str">
        <v/>
      </c>
      <c r="K300" s="2" t="str">
        <v/>
      </c>
      <c r="L300" s="1" t="str">
        <v/>
      </c>
      <c r="M300" s="2" t="str">
        <v/>
      </c>
      <c r="N300" s="2" t="str">
        <v/>
      </c>
      <c r="O300" s="1" t="str">
        <v/>
      </c>
      <c r="P300" s="1" t="str">
        <v/>
      </c>
      <c r="Q300" s="1" t="str">
        <v/>
      </c>
      <c r="R300" s="1">
        <f t="shared" si="23"/>
        <v>0</v>
      </c>
      <c r="S300" s="1">
        <f t="shared" si="22"/>
        <v>0</v>
      </c>
      <c r="T300" s="1">
        <f t="shared" si="24"/>
        <v>0</v>
      </c>
      <c r="U300" s="1">
        <f t="shared" si="25"/>
        <v>0</v>
      </c>
      <c r="V300" s="1">
        <f t="shared" si="26"/>
        <v>0</v>
      </c>
    </row>
    <row r="301" x14ac:dyDescent="0.25">
      <c r="A301" s="1">
        <v>299</v>
      </c>
      <c r="B301" s="1" t="str">
        <v>Por definir</v>
      </c>
      <c r="C301" s="1" t="str">
        <v>Instancias de Concertación</v>
      </c>
      <c r="D301" s="1" t="str">
        <v>Entrevista de actores clave</v>
      </c>
      <c r="E301" s="1" t="str">
        <v>Acompañantes</v>
      </c>
      <c r="F301" s="1" t="str">
        <v>Nacional</v>
      </c>
      <c r="G301" s="1" t="str">
        <v>IJM</v>
      </c>
      <c r="H301" s="1" t="str">
        <v>No</v>
      </c>
      <c r="I301" s="2" t="str">
        <v/>
      </c>
      <c r="J301" s="2" t="str">
        <v/>
      </c>
      <c r="K301" s="2" t="str">
        <v/>
      </c>
      <c r="L301" s="1" t="str">
        <v/>
      </c>
      <c r="M301" s="2" t="str">
        <v/>
      </c>
      <c r="N301" s="2" t="str">
        <v/>
      </c>
      <c r="O301" s="1" t="str">
        <v/>
      </c>
      <c r="P301" s="1" t="str">
        <v/>
      </c>
      <c r="Q301" s="1" t="str">
        <v/>
      </c>
      <c r="R301" s="1">
        <f t="shared" si="23"/>
        <v>0</v>
      </c>
      <c r="S301" s="1">
        <f t="shared" si="22"/>
        <v>0</v>
      </c>
      <c r="T301" s="1">
        <f t="shared" si="24"/>
        <v>0</v>
      </c>
      <c r="U301" s="1">
        <f t="shared" si="25"/>
        <v>0</v>
      </c>
      <c r="V301" s="1">
        <f t="shared" si="26"/>
        <v>0</v>
      </c>
    </row>
    <row r="302" x14ac:dyDescent="0.25">
      <c r="A302" s="1">
        <v>300</v>
      </c>
      <c r="B302" s="1" t="str">
        <v>Por definir</v>
      </c>
      <c r="C302" s="1" t="str">
        <v>Instancias de Concertación</v>
      </c>
      <c r="D302" s="1" t="str">
        <v>Entrevista de actores clave</v>
      </c>
      <c r="E302" s="1" t="str">
        <v>Acompañantes</v>
      </c>
      <c r="F302" s="1" t="str">
        <v>Nacional</v>
      </c>
      <c r="G302" s="1" t="str">
        <v>IJM</v>
      </c>
      <c r="H302" s="1" t="str">
        <v>No</v>
      </c>
      <c r="I302" s="2" t="str">
        <v/>
      </c>
      <c r="J302" s="2" t="str">
        <v/>
      </c>
      <c r="K302" s="2" t="str">
        <v/>
      </c>
      <c r="L302" s="1" t="str">
        <v/>
      </c>
      <c r="M302" s="2" t="str">
        <v/>
      </c>
      <c r="N302" s="2" t="str">
        <v/>
      </c>
      <c r="O302" s="1" t="str">
        <v/>
      </c>
      <c r="P302" s="1" t="str">
        <v/>
      </c>
      <c r="Q302" s="1" t="str">
        <v/>
      </c>
      <c r="R302" s="1">
        <f t="shared" si="23"/>
        <v>0</v>
      </c>
      <c r="S302" s="1">
        <f t="shared" si="22"/>
        <v>0</v>
      </c>
      <c r="T302" s="1">
        <f t="shared" si="24"/>
        <v>0</v>
      </c>
      <c r="U302" s="1">
        <f t="shared" si="25"/>
        <v>0</v>
      </c>
      <c r="V302" s="1">
        <f t="shared" si="26"/>
        <v>0</v>
      </c>
    </row>
    <row r="303" x14ac:dyDescent="0.25">
      <c r="A303" s="1">
        <v>301</v>
      </c>
      <c r="B303" s="1" t="str">
        <v>Por definir</v>
      </c>
      <c r="C303" s="1" t="str">
        <v>Instancias de Concertación</v>
      </c>
      <c r="D303" s="1" t="str">
        <v>Entrevista de actores clave</v>
      </c>
      <c r="E303" s="1" t="str">
        <v>Acompañantes</v>
      </c>
      <c r="F303" s="1" t="str">
        <v>Nacional</v>
      </c>
      <c r="G303" s="1" t="str">
        <v>IJM</v>
      </c>
      <c r="H303" s="1" t="str">
        <v>No</v>
      </c>
      <c r="I303" s="2" t="str">
        <v/>
      </c>
      <c r="J303" s="2" t="str">
        <v/>
      </c>
      <c r="K303" s="2" t="str">
        <v/>
      </c>
      <c r="L303" s="1" t="str">
        <v/>
      </c>
      <c r="M303" s="2" t="str">
        <v/>
      </c>
      <c r="N303" s="2" t="str">
        <v/>
      </c>
      <c r="O303" s="1" t="str">
        <v/>
      </c>
      <c r="P303" s="1" t="str">
        <v/>
      </c>
      <c r="Q303" s="1" t="str">
        <v/>
      </c>
      <c r="R303" s="1">
        <f t="shared" si="23"/>
        <v>0</v>
      </c>
      <c r="S303" s="1">
        <f t="shared" si="22"/>
        <v>0</v>
      </c>
      <c r="T303" s="1">
        <f t="shared" si="24"/>
        <v>0</v>
      </c>
      <c r="U303" s="1">
        <f t="shared" si="25"/>
        <v>0</v>
      </c>
      <c r="V303" s="1">
        <f t="shared" si="26"/>
        <v>0</v>
      </c>
    </row>
    <row r="304" x14ac:dyDescent="0.25">
      <c r="A304" s="1">
        <v>302</v>
      </c>
      <c r="B304" s="1" t="str">
        <v>Josué Manuel Gutérrez Cóndor</v>
      </c>
      <c r="C304" s="1" t="str">
        <v>Defensoría del Pueblo</v>
      </c>
      <c r="D304" s="1" t="str">
        <v>Entrevista de actores clave</v>
      </c>
      <c r="E304" s="1" t="str">
        <v>Funcionarios del Sistema</v>
      </c>
      <c r="F304" s="1" t="str">
        <v>Nacional</v>
      </c>
      <c r="G304" s="1" t="str">
        <v>IJM</v>
      </c>
      <c r="H304" s="1" t="str">
        <v>Sí</v>
      </c>
      <c r="I304" s="2">
        <v>46147</v>
      </c>
      <c r="J304" s="2" t="str">
        <v/>
      </c>
      <c r="K304" s="2" t="str">
        <v/>
      </c>
      <c r="L304" s="1" t="str">
        <v>Sin respuesta</v>
      </c>
      <c r="M304" s="2" t="str">
        <v/>
      </c>
      <c r="N304" s="2" t="str">
        <v/>
      </c>
      <c r="O304" s="1" t="str">
        <v>Sin respuesta</v>
      </c>
      <c r="P304" s="1" t="str">
        <v/>
      </c>
      <c r="Q304" s="1" t="str">
        <v/>
      </c>
      <c r="R304" s="1">
        <f t="shared" si="23"/>
        <v>1</v>
      </c>
      <c r="S304" s="1">
        <f t="shared" si="22"/>
        <v>0</v>
      </c>
      <c r="T304" s="1">
        <f t="shared" si="24"/>
        <v>0</v>
      </c>
      <c r="U304" s="1">
        <f t="shared" si="25"/>
        <v>0</v>
      </c>
      <c r="V304" s="1">
        <f t="shared" si="26"/>
        <v>1</v>
      </c>
    </row>
    <row r="305" x14ac:dyDescent="0.25">
      <c r="A305" s="1">
        <v>303</v>
      </c>
      <c r="B305" s="1" t="str">
        <v>Luz Isabel Mejía Cunovilla De Yamaguchi</v>
      </c>
      <c r="C305" s="1" t="str">
        <v>Defensoría del Pueblo</v>
      </c>
      <c r="D305" s="1" t="str">
        <v>Entrevista de actores clave</v>
      </c>
      <c r="E305" s="1" t="str">
        <v>Acompañantes</v>
      </c>
      <c r="F305" s="1" t="str">
        <v>Nacional</v>
      </c>
      <c r="G305" s="1" t="str">
        <v>IJM</v>
      </c>
      <c r="H305" s="1" t="str">
        <v>No</v>
      </c>
      <c r="I305" s="2">
        <v>46171</v>
      </c>
      <c r="J305" s="2" t="str">
        <v/>
      </c>
      <c r="K305" s="2" t="str">
        <v/>
      </c>
      <c r="L305" s="1" t="str">
        <v>Sin respuesta</v>
      </c>
      <c r="M305" s="2" t="str">
        <v/>
      </c>
      <c r="N305" s="2" t="str">
        <v/>
      </c>
      <c r="O305" s="1" t="str">
        <v>Sin respuesta</v>
      </c>
      <c r="P305" s="1" t="str">
        <v/>
      </c>
      <c r="Q305" s="1" t="str">
        <v/>
      </c>
      <c r="R305" s="1">
        <f t="shared" si="23"/>
        <v>0</v>
      </c>
      <c r="S305" s="1">
        <f t="shared" si="22"/>
        <v>0</v>
      </c>
      <c r="T305" s="1">
        <f t="shared" si="24"/>
        <v>0</v>
      </c>
      <c r="U305" s="1">
        <f t="shared" si="25"/>
        <v>0</v>
      </c>
      <c r="V305" s="1">
        <f t="shared" si="26"/>
        <v>1</v>
      </c>
    </row>
    <row r="306" x14ac:dyDescent="0.25">
      <c r="A306" s="1">
        <v>304</v>
      </c>
      <c r="B306" s="1" t="str">
        <v>Sandra Yessica Ramos Flores</v>
      </c>
      <c r="C306" s="1" t="str">
        <v>Defensoría del Pueblo</v>
      </c>
      <c r="D306" s="1" t="str">
        <v>Entrevista de actores clave</v>
      </c>
      <c r="E306" s="1" t="str">
        <v>Funcionarios del Sistema</v>
      </c>
      <c r="F306" s="1" t="str">
        <v>Nacional</v>
      </c>
      <c r="G306" s="1" t="str">
        <v>IJM</v>
      </c>
      <c r="H306" s="1" t="str">
        <v>Sí</v>
      </c>
      <c r="I306" s="2">
        <v>46147</v>
      </c>
      <c r="J306" s="2" t="str">
        <v/>
      </c>
      <c r="K306" s="2" t="str">
        <v/>
      </c>
      <c r="L306" s="1" t="str">
        <v>Sin respuesta</v>
      </c>
      <c r="M306" s="2" t="str">
        <v/>
      </c>
      <c r="N306" s="2" t="str">
        <v/>
      </c>
      <c r="O306" s="1" t="str">
        <v>Sin respuesta</v>
      </c>
      <c r="P306" s="1" t="str">
        <v/>
      </c>
      <c r="Q306" s="1" t="str">
        <v/>
      </c>
      <c r="R306" s="1">
        <f t="shared" si="23"/>
        <v>1</v>
      </c>
      <c r="S306" s="1">
        <f t="shared" si="22"/>
        <v>0</v>
      </c>
      <c r="T306" s="1">
        <f t="shared" si="24"/>
        <v>0</v>
      </c>
      <c r="U306" s="1">
        <f t="shared" si="25"/>
        <v>0</v>
      </c>
      <c r="V306" s="1">
        <f t="shared" si="26"/>
        <v>1</v>
      </c>
    </row>
    <row r="307" x14ac:dyDescent="0.25">
      <c r="A307" s="1">
        <v>305</v>
      </c>
      <c r="B307" s="1" t="str">
        <v>Marco Octavio Durand Rocca</v>
      </c>
      <c r="C307" s="1" t="str">
        <v>Defensoría del Pueblo</v>
      </c>
      <c r="D307" s="1" t="str">
        <v>Entrevista de actores clave</v>
      </c>
      <c r="E307" s="1" t="str">
        <v>Funcionarios del Sistema</v>
      </c>
      <c r="F307" s="1" t="str">
        <v>Nacional</v>
      </c>
      <c r="G307" s="1" t="str">
        <v>IJM</v>
      </c>
      <c r="H307" s="1" t="str">
        <v>Sí</v>
      </c>
      <c r="I307" s="2">
        <v>46147</v>
      </c>
      <c r="J307" s="2" t="str">
        <v/>
      </c>
      <c r="K307" s="2" t="str">
        <v/>
      </c>
      <c r="L307" s="1" t="str">
        <v>Sin respuesta</v>
      </c>
      <c r="M307" s="2" t="str">
        <v/>
      </c>
      <c r="N307" s="2" t="str">
        <v/>
      </c>
      <c r="O307" s="1" t="str">
        <v>Sin respuesta</v>
      </c>
      <c r="P307" s="1" t="str">
        <v/>
      </c>
      <c r="Q307" s="1" t="str">
        <v/>
      </c>
      <c r="R307" s="1">
        <f t="shared" si="23"/>
        <v>1</v>
      </c>
      <c r="S307" s="1">
        <f t="shared" si="22"/>
        <v>0</v>
      </c>
      <c r="T307" s="1">
        <f t="shared" si="24"/>
        <v>0</v>
      </c>
      <c r="U307" s="1">
        <f t="shared" si="25"/>
        <v>0</v>
      </c>
      <c r="V307" s="1">
        <f t="shared" si="26"/>
        <v>1</v>
      </c>
    </row>
    <row r="308" x14ac:dyDescent="0.25">
      <c r="A308" s="1">
        <v>306</v>
      </c>
      <c r="B308" s="1" t="str">
        <v>Soledad Elena Rodríguez Loli</v>
      </c>
      <c r="C308" s="1" t="str">
        <v>Defensoría del Pueblo</v>
      </c>
      <c r="D308" s="1" t="str">
        <v>Entrevista de actores clave</v>
      </c>
      <c r="E308" s="1" t="str">
        <v>Acompañantes</v>
      </c>
      <c r="F308" s="1" t="str">
        <v>Nacional</v>
      </c>
      <c r="G308" s="1" t="str">
        <v>IJM</v>
      </c>
      <c r="H308" s="1" t="str">
        <v>No</v>
      </c>
      <c r="I308" s="2">
        <v>46171</v>
      </c>
      <c r="J308" s="2" t="str">
        <v/>
      </c>
      <c r="K308" s="2" t="str">
        <v/>
      </c>
      <c r="L308" s="1" t="str">
        <v>Sin respuesta</v>
      </c>
      <c r="M308" s="2" t="str">
        <v/>
      </c>
      <c r="N308" s="2" t="str">
        <v/>
      </c>
      <c r="O308" s="1" t="str">
        <v>Sin respuesta</v>
      </c>
      <c r="P308" s="1" t="str">
        <v/>
      </c>
      <c r="Q308" s="1" t="str">
        <v/>
      </c>
      <c r="R308" s="1">
        <f t="shared" si="23"/>
        <v>0</v>
      </c>
      <c r="S308" s="1">
        <f t="shared" si="22"/>
        <v>0</v>
      </c>
      <c r="T308" s="1">
        <f t="shared" si="24"/>
        <v>0</v>
      </c>
      <c r="U308" s="1">
        <f t="shared" si="25"/>
        <v>0</v>
      </c>
      <c r="V308" s="1">
        <f t="shared" si="26"/>
        <v>1</v>
      </c>
    </row>
    <row r="309" x14ac:dyDescent="0.25">
      <c r="A309" s="1">
        <v>307</v>
      </c>
      <c r="B309" s="1" t="str">
        <v>Genoveva Gómez Vargas</v>
      </c>
      <c r="C309" s="1" t="str">
        <v>Defensoría del Pueblo</v>
      </c>
      <c r="D309" s="1" t="str">
        <v>Entrevista de actores clave</v>
      </c>
      <c r="E309" s="1" t="str">
        <v>Acompañantes</v>
      </c>
      <c r="F309" s="1" t="str">
        <v>Nacional</v>
      </c>
      <c r="G309" s="1" t="str">
        <v>IJM</v>
      </c>
      <c r="H309" s="1" t="str">
        <v>No</v>
      </c>
      <c r="I309" s="2">
        <v>46171</v>
      </c>
      <c r="J309" s="2" t="str">
        <v/>
      </c>
      <c r="K309" s="2" t="str">
        <v/>
      </c>
      <c r="L309" s="1" t="str">
        <v>Sin respuesta</v>
      </c>
      <c r="M309" s="2" t="str">
        <v/>
      </c>
      <c r="N309" s="2" t="str">
        <v/>
      </c>
      <c r="O309" s="1" t="str">
        <v>Sin respuesta</v>
      </c>
      <c r="P309" s="1" t="str">
        <v/>
      </c>
      <c r="Q309" s="1" t="str">
        <v/>
      </c>
      <c r="R309" s="1">
        <f t="shared" si="23"/>
        <v>0</v>
      </c>
      <c r="S309" s="1">
        <f t="shared" si="22"/>
        <v>0</v>
      </c>
      <c r="T309" s="1">
        <f t="shared" si="24"/>
        <v>0</v>
      </c>
      <c r="U309" s="1">
        <f t="shared" si="25"/>
        <v>0</v>
      </c>
      <c r="V309" s="1">
        <f t="shared" si="26"/>
        <v>1</v>
      </c>
    </row>
    <row r="310" x14ac:dyDescent="0.25">
      <c r="A310" s="1">
        <v>308</v>
      </c>
      <c r="B310" s="1" t="str">
        <v>Pamela Huerta</v>
      </c>
      <c r="C310" s="1" t="str">
        <v>La República</v>
      </c>
      <c r="D310" s="1" t="str">
        <v>Entrevista de actores clave</v>
      </c>
      <c r="E310" s="1" t="str">
        <v>Prensa</v>
      </c>
      <c r="F310" s="1" t="str">
        <v>Nacional</v>
      </c>
      <c r="G310" s="1" t="str">
        <v>IJM</v>
      </c>
      <c r="H310" s="1" t="str">
        <v>No</v>
      </c>
      <c r="I310" s="2" t="str">
        <v/>
      </c>
      <c r="J310" s="2" t="str">
        <v/>
      </c>
      <c r="K310" s="2" t="str">
        <v/>
      </c>
      <c r="L310" s="1" t="str">
        <v/>
      </c>
      <c r="M310" s="2" t="str">
        <v/>
      </c>
      <c r="N310" s="2" t="str">
        <v/>
      </c>
      <c r="O310" s="1" t="str">
        <v/>
      </c>
      <c r="P310" s="1" t="str">
        <v/>
      </c>
      <c r="Q310" s="1" t="str">
        <v/>
      </c>
      <c r="R310" s="1">
        <f t="shared" si="23"/>
        <v>0</v>
      </c>
      <c r="S310" s="1">
        <f t="shared" si="22"/>
        <v>0</v>
      </c>
      <c r="T310" s="1">
        <f t="shared" si="24"/>
        <v>0</v>
      </c>
      <c r="U310" s="1">
        <f t="shared" si="25"/>
        <v>0</v>
      </c>
      <c r="V310" s="1">
        <f t="shared" si="26"/>
        <v>0</v>
      </c>
    </row>
    <row r="311" x14ac:dyDescent="0.25">
      <c r="A311" s="1">
        <v>309</v>
      </c>
      <c r="B311" s="1" t="str">
        <v>Adriana León</v>
      </c>
      <c r="C311" s="1" t="str">
        <v>Instituto Prensa y Sociedad</v>
      </c>
      <c r="D311" s="1" t="str">
        <v>Entrevista de actores clave</v>
      </c>
      <c r="E311" s="1" t="str">
        <v>Prensa</v>
      </c>
      <c r="F311" s="1" t="str">
        <v>Nacional</v>
      </c>
      <c r="G311" s="1" t="str">
        <v>IJM</v>
      </c>
      <c r="H311" s="1" t="str">
        <v>No</v>
      </c>
      <c r="I311" s="2" t="str">
        <v/>
      </c>
      <c r="J311" s="2" t="str">
        <v/>
      </c>
      <c r="K311" s="2" t="str">
        <v/>
      </c>
      <c r="L311" s="1" t="str">
        <v/>
      </c>
      <c r="M311" s="2" t="str">
        <v/>
      </c>
      <c r="N311" s="2" t="str">
        <v/>
      </c>
      <c r="O311" s="1" t="str">
        <v/>
      </c>
      <c r="P311" s="1" t="str">
        <v/>
      </c>
      <c r="Q311" s="1" t="str">
        <v/>
      </c>
      <c r="R311" s="1">
        <f t="shared" si="23"/>
        <v>0</v>
      </c>
      <c r="S311" s="1">
        <f t="shared" si="22"/>
        <v>0</v>
      </c>
      <c r="T311" s="1">
        <f t="shared" si="24"/>
        <v>0</v>
      </c>
      <c r="U311" s="1">
        <f t="shared" si="25"/>
        <v>0</v>
      </c>
      <c r="V311" s="1">
        <f t="shared" si="26"/>
        <v>0</v>
      </c>
    </row>
    <row r="312" x14ac:dyDescent="0.25">
      <c r="A312" s="1">
        <v>310</v>
      </c>
      <c r="B312" s="1" t="str">
        <v>Fiorella Montaño</v>
      </c>
      <c r="C312" s="1" t="str">
        <v>Ojo Público</v>
      </c>
      <c r="D312" s="1" t="str">
        <v>Entrevista de actores clave</v>
      </c>
      <c r="E312" s="1" t="str">
        <v>Prensa</v>
      </c>
      <c r="F312" s="1" t="str">
        <v>Nacional</v>
      </c>
      <c r="G312" s="1" t="str">
        <v>IJM</v>
      </c>
      <c r="H312" s="1" t="str">
        <v>No</v>
      </c>
      <c r="I312" s="2" t="str">
        <v/>
      </c>
      <c r="J312" s="2" t="str">
        <v/>
      </c>
      <c r="K312" s="2" t="str">
        <v/>
      </c>
      <c r="L312" s="1" t="str">
        <v/>
      </c>
      <c r="M312" s="2" t="str">
        <v/>
      </c>
      <c r="N312" s="2" t="str">
        <v/>
      </c>
      <c r="O312" s="1" t="str">
        <v/>
      </c>
      <c r="P312" s="1" t="str">
        <v/>
      </c>
      <c r="Q312" s="1" t="str">
        <v/>
      </c>
      <c r="R312" s="1">
        <f t="shared" si="23"/>
        <v>0</v>
      </c>
      <c r="S312" s="1">
        <f t="shared" si="22"/>
        <v>0</v>
      </c>
      <c r="T312" s="1">
        <f t="shared" si="24"/>
        <v>0</v>
      </c>
      <c r="U312" s="1">
        <f t="shared" si="25"/>
        <v>0</v>
      </c>
      <c r="V312" s="1">
        <f t="shared" si="26"/>
        <v>0</v>
      </c>
    </row>
    <row r="313" x14ac:dyDescent="0.25">
      <c r="A313" s="1">
        <v>311</v>
      </c>
      <c r="B313" s="1" t="str">
        <v>Gianfranco Huamán</v>
      </c>
      <c r="C313" s="1" t="str">
        <v>Ojo Público</v>
      </c>
      <c r="D313" s="1" t="str">
        <v>Entrevista de actores clave</v>
      </c>
      <c r="E313" s="1" t="str">
        <v>Prensa</v>
      </c>
      <c r="F313" s="1" t="str">
        <v>Nacional</v>
      </c>
      <c r="G313" s="1" t="str">
        <v>IJM</v>
      </c>
      <c r="H313" s="1" t="str">
        <v>No</v>
      </c>
      <c r="I313" s="2" t="str">
        <v/>
      </c>
      <c r="J313" s="2" t="str">
        <v/>
      </c>
      <c r="K313" s="2" t="str">
        <v/>
      </c>
      <c r="L313" s="1" t="str">
        <v/>
      </c>
      <c r="M313" s="2" t="str">
        <v/>
      </c>
      <c r="N313" s="2" t="str">
        <v/>
      </c>
      <c r="O313" s="1" t="str">
        <v/>
      </c>
      <c r="P313" s="1" t="str">
        <v/>
      </c>
      <c r="Q313" s="1" t="str">
        <v/>
      </c>
      <c r="R313" s="1">
        <f t="shared" si="23"/>
        <v>0</v>
      </c>
      <c r="S313" s="1">
        <f t="shared" si="22"/>
        <v>0</v>
      </c>
      <c r="T313" s="1">
        <f t="shared" si="24"/>
        <v>0</v>
      </c>
      <c r="U313" s="1">
        <f t="shared" si="25"/>
        <v>0</v>
      </c>
      <c r="V313" s="1">
        <f t="shared" si="26"/>
        <v>0</v>
      </c>
    </row>
    <row r="314" x14ac:dyDescent="0.25">
      <c r="A314" s="1">
        <v>312</v>
      </c>
      <c r="B314" s="1" t="str">
        <v>Gloria Ziegler</v>
      </c>
      <c r="C314" s="1" t="str">
        <v>Ojo Público</v>
      </c>
      <c r="D314" s="1" t="str">
        <v>Entrevista de actores clave</v>
      </c>
      <c r="E314" s="1" t="str">
        <v>Prensa</v>
      </c>
      <c r="F314" s="1" t="str">
        <v>Nacional</v>
      </c>
      <c r="G314" s="1" t="str">
        <v>IJM</v>
      </c>
      <c r="H314" s="1" t="str">
        <v>Sí</v>
      </c>
      <c r="I314" s="2">
        <v>46154</v>
      </c>
      <c r="J314" s="2" t="str">
        <v/>
      </c>
      <c r="K314" s="2" t="str">
        <v/>
      </c>
      <c r="L314" s="1" t="str">
        <v>Realizada completa</v>
      </c>
      <c r="M314" s="2">
        <v>46175</v>
      </c>
      <c r="N314" s="2" t="str">
        <v/>
      </c>
      <c r="O314" s="1" t="str">
        <v>Realizada completa</v>
      </c>
      <c r="P314" s="1" t="str">
        <v/>
      </c>
      <c r="Q314" s="1" t="str">
        <v>A distancia asistido</v>
      </c>
      <c r="R314" s="1">
        <f t="shared" si="23"/>
        <v>1</v>
      </c>
      <c r="S314" s="1">
        <f t="shared" si="22"/>
        <v>0</v>
      </c>
      <c r="T314" s="1">
        <f t="shared" si="24"/>
        <v>0</v>
      </c>
      <c r="U314" s="1">
        <f t="shared" si="25"/>
        <v>1</v>
      </c>
      <c r="V314" s="1">
        <f t="shared" si="26"/>
        <v>0</v>
      </c>
    </row>
    <row r="315" x14ac:dyDescent="0.25">
      <c r="A315" s="1">
        <v>313</v>
      </c>
      <c r="B315" s="1" t="str">
        <v>Paloma Verano</v>
      </c>
      <c r="C315" s="1" t="str">
        <v>RPP</v>
      </c>
      <c r="D315" s="1" t="str">
        <v>Entrevista de actores clave</v>
      </c>
      <c r="E315" s="1" t="str">
        <v>Prensa</v>
      </c>
      <c r="F315" s="1" t="str">
        <v>Nacional</v>
      </c>
      <c r="G315" s="1" t="str">
        <v>IJM</v>
      </c>
      <c r="H315" s="1" t="str">
        <v>No</v>
      </c>
      <c r="I315" s="2">
        <v>46171</v>
      </c>
      <c r="J315" s="2" t="str">
        <v/>
      </c>
      <c r="K315" s="2" t="str">
        <v/>
      </c>
      <c r="L315" s="1" t="str">
        <v>Sin respuesta</v>
      </c>
      <c r="M315" s="2" t="str">
        <v/>
      </c>
      <c r="N315" s="2" t="str">
        <v/>
      </c>
      <c r="O315" s="1" t="str">
        <v>Sin respuesta</v>
      </c>
      <c r="P315" s="1" t="str">
        <v/>
      </c>
      <c r="Q315" s="1" t="str">
        <v/>
      </c>
      <c r="R315" s="1">
        <f t="shared" si="23"/>
        <v>0</v>
      </c>
      <c r="S315" s="1">
        <f t="shared" si="22"/>
        <v>0</v>
      </c>
      <c r="T315" s="1">
        <f t="shared" si="24"/>
        <v>0</v>
      </c>
      <c r="U315" s="1">
        <f t="shared" si="25"/>
        <v>0</v>
      </c>
      <c r="V315" s="1">
        <f t="shared" si="26"/>
        <v>1</v>
      </c>
    </row>
    <row r="316" x14ac:dyDescent="0.25">
      <c r="A316" s="1">
        <v>314</v>
      </c>
      <c r="B316" s="1" t="str">
        <v>Pedro Luis Ramos Martinez</v>
      </c>
      <c r="C316" s="1" t="str">
        <v>RPP</v>
      </c>
      <c r="D316" s="1" t="str">
        <v>Entrevista de actores clave</v>
      </c>
      <c r="E316" s="1" t="str">
        <v>Prensa</v>
      </c>
      <c r="F316" s="1" t="str">
        <v>Nacional</v>
      </c>
      <c r="G316" s="1" t="str">
        <v>IJM</v>
      </c>
      <c r="H316" s="1" t="str">
        <v>No</v>
      </c>
      <c r="I316" s="2">
        <v>46171</v>
      </c>
      <c r="J316" s="2" t="str">
        <v/>
      </c>
      <c r="K316" s="2" t="str">
        <v/>
      </c>
      <c r="L316" s="1" t="str">
        <v>Sin respuesta</v>
      </c>
      <c r="M316" s="2" t="str">
        <v/>
      </c>
      <c r="N316" s="2" t="str">
        <v/>
      </c>
      <c r="O316" s="1" t="str">
        <v>Sin respuesta</v>
      </c>
      <c r="P316" s="1" t="str">
        <v/>
      </c>
      <c r="Q316" s="1" t="str">
        <v/>
      </c>
      <c r="R316" s="1">
        <f t="shared" si="23"/>
        <v>0</v>
      </c>
      <c r="S316" s="1">
        <f t="shared" si="22"/>
        <v>0</v>
      </c>
      <c r="T316" s="1">
        <f t="shared" si="24"/>
        <v>0</v>
      </c>
      <c r="U316" s="1">
        <f t="shared" si="25"/>
        <v>0</v>
      </c>
      <c r="V316" s="1">
        <f t="shared" si="26"/>
        <v>1</v>
      </c>
    </row>
    <row r="317" x14ac:dyDescent="0.25">
      <c r="A317" s="1">
        <v>315</v>
      </c>
      <c r="B317" s="1" t="str">
        <v>Paola Ugaz</v>
      </c>
      <c r="C317" s="1" t="str">
        <v>Diario ABC</v>
      </c>
      <c r="D317" s="1" t="str">
        <v>Entrevista de actores clave</v>
      </c>
      <c r="E317" s="1" t="str">
        <v>Prensa</v>
      </c>
      <c r="F317" s="1" t="str">
        <v>Nacional</v>
      </c>
      <c r="G317" s="1" t="str">
        <v>IJM</v>
      </c>
      <c r="H317" s="1" t="str">
        <v>No</v>
      </c>
      <c r="I317" s="2" t="str">
        <v/>
      </c>
      <c r="J317" s="2" t="str">
        <v/>
      </c>
      <c r="K317" s="2" t="str">
        <v/>
      </c>
      <c r="L317" s="1" t="str">
        <v/>
      </c>
      <c r="M317" s="2" t="str">
        <v/>
      </c>
      <c r="N317" s="2" t="str">
        <v/>
      </c>
      <c r="O317" s="1" t="str">
        <v/>
      </c>
      <c r="P317" s="1" t="str">
        <v/>
      </c>
      <c r="Q317" s="1" t="str">
        <v/>
      </c>
      <c r="R317" s="1">
        <f t="shared" si="23"/>
        <v>0</v>
      </c>
      <c r="S317" s="1">
        <f t="shared" si="22"/>
        <v>0</v>
      </c>
      <c r="T317" s="1">
        <f t="shared" si="24"/>
        <v>0</v>
      </c>
      <c r="U317" s="1">
        <f t="shared" si="25"/>
        <v>0</v>
      </c>
      <c r="V317" s="1">
        <f t="shared" si="26"/>
        <v>0</v>
      </c>
    </row>
    <row r="318" x14ac:dyDescent="0.25">
      <c r="A318" s="1">
        <v>316</v>
      </c>
      <c r="B318" s="1" t="str">
        <v>Juana Avellaneda</v>
      </c>
      <c r="C318" s="1" t="str">
        <v>América Televisión</v>
      </c>
      <c r="D318" s="1" t="str">
        <v>Entrevista de actores clave</v>
      </c>
      <c r="E318" s="1" t="str">
        <v>Prensa</v>
      </c>
      <c r="F318" s="1" t="str">
        <v>Nacional</v>
      </c>
      <c r="G318" s="1" t="str">
        <v>IJM</v>
      </c>
      <c r="H318" s="1" t="str">
        <v>No</v>
      </c>
      <c r="I318" s="2" t="str">
        <v/>
      </c>
      <c r="J318" s="2" t="str">
        <v/>
      </c>
      <c r="K318" s="2" t="str">
        <v/>
      </c>
      <c r="L318" s="1" t="str">
        <v/>
      </c>
      <c r="M318" s="2" t="str">
        <v/>
      </c>
      <c r="N318" s="2" t="str">
        <v/>
      </c>
      <c r="O318" s="1" t="str">
        <v/>
      </c>
      <c r="P318" s="1" t="str">
        <v/>
      </c>
      <c r="Q318" s="1" t="str">
        <v/>
      </c>
      <c r="R318" s="1">
        <f t="shared" si="23"/>
        <v>0</v>
      </c>
      <c r="S318" s="1">
        <f t="shared" si="22"/>
        <v>0</v>
      </c>
      <c r="T318" s="1">
        <f t="shared" si="24"/>
        <v>0</v>
      </c>
      <c r="U318" s="1">
        <f t="shared" si="25"/>
        <v>0</v>
      </c>
      <c r="V318" s="1">
        <f t="shared" si="26"/>
        <v>0</v>
      </c>
    </row>
    <row r="319" x14ac:dyDescent="0.25">
      <c r="A319" s="1">
        <v>317</v>
      </c>
      <c r="B319" s="1" t="str">
        <v>Claudia Cisneros</v>
      </c>
      <c r="C319" s="1" t="str">
        <v>Wayka</v>
      </c>
      <c r="D319" s="1" t="str">
        <v>Entrevista de actores clave</v>
      </c>
      <c r="E319" s="1" t="str">
        <v>Prensa</v>
      </c>
      <c r="F319" s="1" t="str">
        <v>Nacional</v>
      </c>
      <c r="G319" s="1" t="str">
        <v>IJM</v>
      </c>
      <c r="H319" s="1" t="str">
        <v>Sí</v>
      </c>
      <c r="I319" s="2">
        <v>46111</v>
      </c>
      <c r="J319" s="2">
        <v>46147</v>
      </c>
      <c r="K319" s="2" t="str">
        <v/>
      </c>
      <c r="L319" s="1" t="str">
        <v>Sin respuesta</v>
      </c>
      <c r="M319" s="2" t="str">
        <v/>
      </c>
      <c r="N319" s="2" t="str">
        <v/>
      </c>
      <c r="O319" s="1" t="str">
        <v>Sin respuesta</v>
      </c>
      <c r="P319" s="1" t="str">
        <v/>
      </c>
      <c r="Q319" s="1" t="str">
        <v/>
      </c>
      <c r="R319" s="1">
        <f t="shared" si="23"/>
        <v>1</v>
      </c>
      <c r="S319" s="1">
        <f t="shared" si="22"/>
        <v>0</v>
      </c>
      <c r="T319" s="1">
        <f t="shared" si="24"/>
        <v>0</v>
      </c>
      <c r="U319" s="1">
        <f t="shared" si="25"/>
        <v>0</v>
      </c>
      <c r="V319" s="1">
        <f t="shared" si="26"/>
        <v>1</v>
      </c>
    </row>
    <row r="320" x14ac:dyDescent="0.25">
      <c r="A320" s="1">
        <v>318</v>
      </c>
      <c r="B320" s="1" t="str">
        <v>Rocío Romero Benites</v>
      </c>
      <c r="C320" s="1" t="str">
        <v>Salud con Lupa</v>
      </c>
      <c r="D320" s="1" t="str">
        <v>Entrevista de actores clave</v>
      </c>
      <c r="E320" s="1" t="str">
        <v>Prensa</v>
      </c>
      <c r="F320" s="1" t="str">
        <v>Nacional</v>
      </c>
      <c r="G320" s="1" t="str">
        <v>IJM</v>
      </c>
      <c r="H320" s="1" t="str">
        <v>No</v>
      </c>
      <c r="I320" s="2" t="str">
        <v/>
      </c>
      <c r="J320" s="2" t="str">
        <v/>
      </c>
      <c r="K320" s="2" t="str">
        <v/>
      </c>
      <c r="L320" s="1" t="str">
        <v/>
      </c>
      <c r="M320" s="2" t="str">
        <v/>
      </c>
      <c r="N320" s="2" t="str">
        <v/>
      </c>
      <c r="O320" s="1" t="str">
        <v/>
      </c>
      <c r="P320" s="1" t="str">
        <v/>
      </c>
      <c r="Q320" s="1" t="str">
        <v/>
      </c>
      <c r="R320" s="1">
        <f t="shared" si="23"/>
        <v>0</v>
      </c>
      <c r="S320" s="1">
        <f t="shared" si="22"/>
        <v>0</v>
      </c>
      <c r="T320" s="1">
        <f t="shared" si="24"/>
        <v>0</v>
      </c>
      <c r="U320" s="1">
        <f t="shared" si="25"/>
        <v>0</v>
      </c>
      <c r="V320" s="1">
        <f t="shared" si="26"/>
        <v>0</v>
      </c>
    </row>
    <row r="321" x14ac:dyDescent="0.25">
      <c r="A321" s="1">
        <v>319</v>
      </c>
      <c r="B321" s="1" t="str">
        <v>Fabiola Torres Lopez</v>
      </c>
      <c r="C321" s="1" t="str">
        <v>Salud con Lupa</v>
      </c>
      <c r="D321" s="1" t="str">
        <v>Entrevista de actores clave</v>
      </c>
      <c r="E321" s="1" t="str">
        <v>Prensa</v>
      </c>
      <c r="F321" s="1" t="str">
        <v>Nacional</v>
      </c>
      <c r="G321" s="1" t="str">
        <v>IJM</v>
      </c>
      <c r="H321" s="1" t="str">
        <v>No</v>
      </c>
      <c r="I321" s="2" t="str">
        <v/>
      </c>
      <c r="J321" s="2" t="str">
        <v/>
      </c>
      <c r="K321" s="2" t="str">
        <v/>
      </c>
      <c r="L321" s="1" t="str">
        <v/>
      </c>
      <c r="M321" s="2" t="str">
        <v/>
      </c>
      <c r="N321" s="2" t="str">
        <v/>
      </c>
      <c r="O321" s="1" t="str">
        <v/>
      </c>
      <c r="P321" s="1" t="str">
        <v/>
      </c>
      <c r="Q321" s="1" t="str">
        <v/>
      </c>
      <c r="R321" s="1">
        <f t="shared" si="23"/>
        <v>0</v>
      </c>
      <c r="S321" s="1">
        <f t="shared" si="22"/>
        <v>0</v>
      </c>
      <c r="T321" s="1">
        <f t="shared" si="24"/>
        <v>0</v>
      </c>
      <c r="U321" s="1">
        <f t="shared" si="25"/>
        <v>0</v>
      </c>
      <c r="V321" s="1">
        <f t="shared" si="26"/>
        <v>0</v>
      </c>
    </row>
    <row r="322" x14ac:dyDescent="0.25">
      <c r="A322" s="1">
        <v>320</v>
      </c>
      <c r="B322" s="1" t="str">
        <v>Olivia Chava Sotelo</v>
      </c>
      <c r="C322" s="1" t="str">
        <v>elmegafono.pe</v>
      </c>
      <c r="D322" s="1" t="str">
        <v>Entrevista de actores clave</v>
      </c>
      <c r="E322" s="1" t="str">
        <v>Prensa</v>
      </c>
      <c r="F322" s="1" t="str">
        <v>Nacional</v>
      </c>
      <c r="G322" s="1" t="str">
        <v>IJM</v>
      </c>
      <c r="H322" s="1" t="str">
        <v>No</v>
      </c>
      <c r="I322" s="2" t="str">
        <v/>
      </c>
      <c r="J322" s="2" t="str">
        <v/>
      </c>
      <c r="K322" s="2" t="str">
        <v/>
      </c>
      <c r="L322" s="1" t="str">
        <v/>
      </c>
      <c r="M322" s="2" t="str">
        <v/>
      </c>
      <c r="N322" s="2" t="str">
        <v/>
      </c>
      <c r="O322" s="1" t="str">
        <v/>
      </c>
      <c r="P322" s="1" t="str">
        <v/>
      </c>
      <c r="Q322" s="1" t="str">
        <v/>
      </c>
      <c r="R322" s="1">
        <f t="shared" si="23"/>
        <v>0</v>
      </c>
      <c r="S322" s="1">
        <f t="shared" ref="S322:S324" si="27">IF(L322="En coordinación",1,0)</f>
        <v>0</v>
      </c>
      <c r="T322" s="1">
        <f t="shared" si="24"/>
        <v>0</v>
      </c>
      <c r="U322" s="1">
        <f t="shared" si="25"/>
        <v>0</v>
      </c>
      <c r="V322" s="1">
        <f t="shared" si="26"/>
        <v>0</v>
      </c>
    </row>
    <row r="323" x14ac:dyDescent="0.25">
      <c r="A323" s="1">
        <v>321</v>
      </c>
      <c r="B323" s="1" t="str">
        <v>Lorena Álvarez</v>
      </c>
      <c r="C323" s="1" t="str">
        <v>Latina</v>
      </c>
      <c r="D323" s="1" t="str">
        <v>Entrevista de actores clave</v>
      </c>
      <c r="E323" s="1" t="str">
        <v>Prensa</v>
      </c>
      <c r="F323" s="1" t="str">
        <v>Nacional</v>
      </c>
      <c r="G323" s="1" t="str">
        <v>IJM</v>
      </c>
      <c r="H323" s="1" t="str">
        <v>No</v>
      </c>
      <c r="I323" s="2" t="str">
        <v/>
      </c>
      <c r="J323" s="2" t="str">
        <v/>
      </c>
      <c r="K323" s="2" t="str">
        <v/>
      </c>
      <c r="L323" s="1" t="str">
        <v/>
      </c>
      <c r="M323" s="2" t="str">
        <v/>
      </c>
      <c r="N323" s="2" t="str">
        <v/>
      </c>
      <c r="O323" s="1" t="str">
        <v/>
      </c>
      <c r="P323" s="1" t="str">
        <v/>
      </c>
      <c r="Q323" s="1" t="str">
        <v/>
      </c>
      <c r="R323" s="1">
        <f t="shared" ref="R323:R324" si="28">IF(H323="Sí",1,0)</f>
        <v>0</v>
      </c>
      <c r="S323" s="1">
        <f t="shared" si="27"/>
        <v>0</v>
      </c>
      <c r="T323" s="1">
        <f t="shared" ref="T323:T324" si="29">IF(L323="Aceptada",1,0)</f>
        <v>0</v>
      </c>
      <c r="U323" s="1">
        <f t="shared" ref="U323:U324" si="30">IF(OR(L323="Realizada completa",L323="Realizada incompleta"),1,0)</f>
        <v>0</v>
      </c>
      <c r="V323" s="1">
        <f t="shared" si="26"/>
        <v>0</v>
      </c>
    </row>
    <row r="324" x14ac:dyDescent="0.25">
      <c r="A324" s="1">
        <v>322</v>
      </c>
      <c r="B324" s="1" t="str">
        <v>Sofìa Carrillo Zegarra</v>
      </c>
      <c r="C324" s="1" t="str">
        <v>Radio Nacional del Perú</v>
      </c>
      <c r="D324" s="1" t="str">
        <v>Entrevista de actores clave</v>
      </c>
      <c r="E324" s="1" t="str">
        <v>Prensa</v>
      </c>
      <c r="F324" s="1" t="str">
        <v>Nacional</v>
      </c>
      <c r="G324" s="1" t="str">
        <v>IJM</v>
      </c>
      <c r="H324" s="1" t="str">
        <v>No</v>
      </c>
      <c r="I324" s="2" t="str">
        <v/>
      </c>
      <c r="J324" s="2" t="str">
        <v/>
      </c>
      <c r="K324" s="2" t="str">
        <v/>
      </c>
      <c r="L324" s="1" t="str">
        <v/>
      </c>
      <c r="M324" s="2" t="str">
        <v/>
      </c>
      <c r="N324" s="2" t="str">
        <v/>
      </c>
      <c r="O324" s="1" t="str">
        <v/>
      </c>
      <c r="P324" s="1" t="str">
        <v/>
      </c>
      <c r="Q324" s="1" t="str">
        <v/>
      </c>
      <c r="R324" s="1">
        <f t="shared" si="28"/>
        <v>0</v>
      </c>
      <c r="S324" s="1">
        <f t="shared" si="27"/>
        <v>0</v>
      </c>
      <c r="T324" s="1">
        <f t="shared" si="29"/>
        <v>0</v>
      </c>
      <c r="U324" s="1">
        <f t="shared" si="30"/>
        <v>0</v>
      </c>
      <c r="V324" s="1">
        <f t="shared" si="26"/>
        <v>0</v>
      </c>
    </row>
    <row r="325" x14ac:dyDescent="0.25">
      <c r="A325" s="1">
        <v>323</v>
      </c>
      <c r="B325" s="1" t="str">
        <v>Ariana Lira Delcore</v>
      </c>
      <c r="C325" s="1" t="str">
        <v>El Comercio</v>
      </c>
      <c r="D325" s="1" t="str">
        <v>Entrevista de actores clave</v>
      </c>
      <c r="E325" s="1" t="str">
        <v>Prensa</v>
      </c>
      <c r="F325" s="1" t="str">
        <v>Nacional</v>
      </c>
      <c r="G325" s="1" t="str">
        <v>IJM</v>
      </c>
      <c r="H325" s="1" t="str">
        <v>No</v>
      </c>
      <c r="I325" s="2">
        <v>46171</v>
      </c>
      <c r="J325" s="2" t="str">
        <v/>
      </c>
      <c r="K325" s="2" t="str">
        <v/>
      </c>
      <c r="L325" s="1" t="str">
        <v>Sin respuesta</v>
      </c>
      <c r="M325" s="2" t="str">
        <v/>
      </c>
      <c r="N325" s="2" t="str">
        <v/>
      </c>
      <c r="O325" s="1" t="str">
        <v>Sin respuesta</v>
      </c>
      <c r="P325" s="1" t="str">
        <v/>
      </c>
      <c r="Q325" s="1" t="str">
        <v/>
      </c>
      <c r="R325" s="1">
        <f t="shared" ref="R325:R363" si="31">IF(H325="Sí",1,0)</f>
        <v>0</v>
      </c>
      <c r="S325" s="1">
        <f t="shared" ref="S325:S363" si="32">IF(L325="En coordinación",1,0)</f>
        <v>0</v>
      </c>
      <c r="T325" s="1">
        <f t="shared" ref="T325:T363" si="33">IF(L325="Aceptada",1,0)</f>
        <v>0</v>
      </c>
      <c r="U325" s="1">
        <f t="shared" ref="U325:U363" si="34">IF(OR(L325="Realizada completa",L325="Realizada incompleta"),1,0)</f>
        <v>0</v>
      </c>
      <c r="V325" s="1">
        <f t="shared" ref="V325:V363" si="35">IF(L325="Sin respuesta",1,0)</f>
        <v>1</v>
      </c>
    </row>
    <row r="326" x14ac:dyDescent="0.25">
      <c r="A326" s="1">
        <v>324</v>
      </c>
      <c r="B326" s="1" t="str">
        <v>Pilar Yasmint Sotelo Tello</v>
      </c>
      <c r="C326" s="1" t="str">
        <v>Ministerio de la Mujer </v>
      </c>
      <c r="D326" s="1" t="str">
        <v>Entrevista de actores clave</v>
      </c>
      <c r="E326" s="1" t="str">
        <v>Funcionarios del Sistema</v>
      </c>
      <c r="F326" s="1" t="str">
        <v>Distrito Judicial: Apurímac</v>
      </c>
      <c r="G326" s="1" t="str">
        <v>IJM</v>
      </c>
      <c r="H326" s="1" t="str">
        <v>No</v>
      </c>
      <c r="I326" s="2">
        <v>46171</v>
      </c>
      <c r="J326" s="2" t="str">
        <v/>
      </c>
      <c r="K326" s="2" t="str">
        <v/>
      </c>
      <c r="L326" s="1" t="str">
        <v>Sin respuesta</v>
      </c>
      <c r="M326" s="2" t="str">
        <v/>
      </c>
      <c r="N326" s="2" t="str">
        <v/>
      </c>
      <c r="O326" s="1" t="str">
        <v>Sin respuesta</v>
      </c>
      <c r="P326" s="1" t="str">
        <v/>
      </c>
      <c r="Q326" s="1" t="str">
        <v/>
      </c>
      <c r="R326" s="1">
        <f t="shared" si="31"/>
        <v>0</v>
      </c>
      <c r="S326" s="1">
        <f t="shared" si="32"/>
        <v>0</v>
      </c>
      <c r="T326" s="1">
        <f t="shared" si="33"/>
        <v>0</v>
      </c>
      <c r="U326" s="1">
        <f t="shared" si="34"/>
        <v>0</v>
      </c>
      <c r="V326" s="1">
        <f t="shared" si="35"/>
        <v>1</v>
      </c>
    </row>
    <row r="327" x14ac:dyDescent="0.25">
      <c r="A327" s="1">
        <v>325</v>
      </c>
      <c r="B327" s="1" t="str">
        <v>Juan Manuel Pichihua Torres</v>
      </c>
      <c r="C327" s="1" t="str">
        <v>Poder Judicial</v>
      </c>
      <c r="D327" s="1" t="str">
        <v>Entrevista de actores clave</v>
      </c>
      <c r="E327" s="1" t="str">
        <v>Funcionarios del Sistema</v>
      </c>
      <c r="F327" s="1" t="str">
        <v>Distrito Judicial: Apurímac</v>
      </c>
      <c r="G327" s="1" t="str">
        <v>IJM</v>
      </c>
      <c r="H327" s="1" t="str">
        <v>No</v>
      </c>
      <c r="I327" s="2" t="str">
        <v/>
      </c>
      <c r="J327" s="2" t="str">
        <v/>
      </c>
      <c r="K327" s="2" t="str">
        <v/>
      </c>
      <c r="L327" s="1" t="str">
        <v/>
      </c>
      <c r="M327" s="2" t="str">
        <v/>
      </c>
      <c r="N327" s="2" t="str">
        <v/>
      </c>
      <c r="O327" s="1" t="str">
        <v/>
      </c>
      <c r="P327" s="1" t="str">
        <v/>
      </c>
      <c r="Q327" s="1" t="str">
        <v/>
      </c>
      <c r="R327" s="1">
        <f t="shared" si="31"/>
        <v>0</v>
      </c>
      <c r="S327" s="1">
        <f t="shared" si="32"/>
        <v>0</v>
      </c>
      <c r="T327" s="1">
        <f t="shared" si="33"/>
        <v>0</v>
      </c>
      <c r="U327" s="1">
        <f t="shared" si="34"/>
        <v>0</v>
      </c>
      <c r="V327" s="1">
        <f t="shared" si="35"/>
        <v>0</v>
      </c>
    </row>
    <row r="328" x14ac:dyDescent="0.25">
      <c r="A328" s="1">
        <v>326</v>
      </c>
      <c r="B328" s="1" t="str">
        <v>Rosa Karina Bueno Dueñas</v>
      </c>
      <c r="C328" s="1" t="str">
        <v>Wayra Warmikuna</v>
      </c>
      <c r="D328" s="1" t="str">
        <v>Entrevista de actores clave</v>
      </c>
      <c r="E328" s="1" t="str">
        <v>Actores locales</v>
      </c>
      <c r="F328" s="1" t="str">
        <v>Distrito Judicial: Apurímac</v>
      </c>
      <c r="G328" s="1" t="str">
        <v>IJM</v>
      </c>
      <c r="H328" s="1" t="str">
        <v>No</v>
      </c>
      <c r="I328" s="2" t="str">
        <v/>
      </c>
      <c r="J328" s="2" t="str">
        <v/>
      </c>
      <c r="K328" s="2" t="str">
        <v/>
      </c>
      <c r="L328" s="1" t="str">
        <v/>
      </c>
      <c r="M328" s="2" t="str">
        <v/>
      </c>
      <c r="N328" s="2" t="str">
        <v/>
      </c>
      <c r="O328" s="1" t="str">
        <v/>
      </c>
      <c r="P328" s="1" t="str">
        <v/>
      </c>
      <c r="Q328" s="1" t="str">
        <v/>
      </c>
      <c r="R328" s="1">
        <f t="shared" si="31"/>
        <v>0</v>
      </c>
      <c r="S328" s="1">
        <f t="shared" si="32"/>
        <v>0</v>
      </c>
      <c r="T328" s="1">
        <f t="shared" si="33"/>
        <v>0</v>
      </c>
      <c r="U328" s="1">
        <f t="shared" si="34"/>
        <v>0</v>
      </c>
      <c r="V328" s="1">
        <f t="shared" si="35"/>
        <v>0</v>
      </c>
    </row>
    <row r="329" x14ac:dyDescent="0.25">
      <c r="A329" s="1">
        <v>327</v>
      </c>
      <c r="B329" s="1" t="str">
        <v>Anali Anadrade Pareja</v>
      </c>
      <c r="C329" s="1" t="str">
        <v>Fuera Informativa</v>
      </c>
      <c r="D329" s="1" t="str">
        <v>Entrevista de actores clave</v>
      </c>
      <c r="E329" s="1" t="str">
        <v>Prensa</v>
      </c>
      <c r="F329" s="1" t="str">
        <v>Distrito Judicial: Apurímac</v>
      </c>
      <c r="G329" s="1" t="str">
        <v>IJM</v>
      </c>
      <c r="H329" s="1" t="str">
        <v>No</v>
      </c>
      <c r="I329" s="2" t="str">
        <v/>
      </c>
      <c r="J329" s="2" t="str">
        <v/>
      </c>
      <c r="K329" s="2" t="str">
        <v/>
      </c>
      <c r="L329" s="1" t="str">
        <v/>
      </c>
      <c r="M329" s="2" t="str">
        <v/>
      </c>
      <c r="N329" s="2" t="str">
        <v/>
      </c>
      <c r="O329" s="1" t="str">
        <v/>
      </c>
      <c r="P329" s="1" t="str">
        <v/>
      </c>
      <c r="Q329" s="1" t="str">
        <v/>
      </c>
      <c r="R329" s="1">
        <f t="shared" si="31"/>
        <v>0</v>
      </c>
      <c r="S329" s="1">
        <f t="shared" si="32"/>
        <v>0</v>
      </c>
      <c r="T329" s="1">
        <f t="shared" si="33"/>
        <v>0</v>
      </c>
      <c r="U329" s="1">
        <f t="shared" si="34"/>
        <v>0</v>
      </c>
      <c r="V329" s="1">
        <f t="shared" si="35"/>
        <v>0</v>
      </c>
    </row>
    <row r="330" x14ac:dyDescent="0.25">
      <c r="A330" s="1">
        <v>328</v>
      </c>
      <c r="B330" s="1" t="str">
        <v>Javier Malpartida Urzubiaga</v>
      </c>
      <c r="C330" s="1" t="str">
        <v>Tarpurisunchis</v>
      </c>
      <c r="D330" s="1" t="str">
        <v>Entrevista de actores clave</v>
      </c>
      <c r="E330" s="1" t="str">
        <v>Actores locales</v>
      </c>
      <c r="F330" s="1" t="str">
        <v>Distrito Judicial: Apurímac</v>
      </c>
      <c r="G330" s="1" t="str">
        <v>IJM</v>
      </c>
      <c r="H330" s="1" t="str">
        <v>No</v>
      </c>
      <c r="I330" s="2" t="str">
        <v/>
      </c>
      <c r="J330" s="2" t="str">
        <v/>
      </c>
      <c r="K330" s="2" t="str">
        <v/>
      </c>
      <c r="L330" s="1" t="str">
        <v/>
      </c>
      <c r="M330" s="2" t="str">
        <v/>
      </c>
      <c r="N330" s="2" t="str">
        <v/>
      </c>
      <c r="O330" s="1" t="str">
        <v/>
      </c>
      <c r="P330" s="1" t="str">
        <v/>
      </c>
      <c r="Q330" s="1" t="str">
        <v/>
      </c>
      <c r="R330" s="1">
        <f t="shared" si="31"/>
        <v>0</v>
      </c>
      <c r="S330" s="1">
        <f t="shared" si="32"/>
        <v>0</v>
      </c>
      <c r="T330" s="1">
        <f t="shared" si="33"/>
        <v>0</v>
      </c>
      <c r="U330" s="1">
        <f t="shared" si="34"/>
        <v>0</v>
      </c>
      <c r="V330" s="1">
        <f t="shared" si="35"/>
        <v>0</v>
      </c>
    </row>
    <row r="331" x14ac:dyDescent="0.25">
      <c r="A331" s="1">
        <v>329</v>
      </c>
      <c r="B331" s="1" t="str">
        <v>Carmen Vicente Oscco </v>
      </c>
      <c r="C331" s="1" t="str">
        <v>Federación de Mujeres de Apurímac – FEMURA</v>
      </c>
      <c r="D331" s="1" t="str">
        <v>Entrevista de actores clave</v>
      </c>
      <c r="E331" s="1" t="str">
        <v>Actores locales</v>
      </c>
      <c r="F331" s="1" t="str">
        <v>Distrito Judicial: Apurímac</v>
      </c>
      <c r="G331" s="1" t="str">
        <v>IJM</v>
      </c>
      <c r="H331" s="1" t="str">
        <v>No</v>
      </c>
      <c r="I331" s="2" t="str">
        <v/>
      </c>
      <c r="J331" s="2" t="str">
        <v/>
      </c>
      <c r="K331" s="2" t="str">
        <v/>
      </c>
      <c r="L331" s="1" t="str">
        <v/>
      </c>
      <c r="M331" s="2" t="str">
        <v/>
      </c>
      <c r="N331" s="2" t="str">
        <v/>
      </c>
      <c r="O331" s="1" t="str">
        <v/>
      </c>
      <c r="P331" s="1" t="str">
        <v/>
      </c>
      <c r="Q331" s="1" t="str">
        <v/>
      </c>
      <c r="R331" s="1">
        <f t="shared" si="31"/>
        <v>0</v>
      </c>
      <c r="S331" s="1">
        <f t="shared" si="32"/>
        <v>0</v>
      </c>
      <c r="T331" s="1">
        <f t="shared" si="33"/>
        <v>0</v>
      </c>
      <c r="U331" s="1">
        <f t="shared" si="34"/>
        <v>0</v>
      </c>
      <c r="V331" s="1">
        <f t="shared" si="35"/>
        <v>0</v>
      </c>
    </row>
    <row r="332" x14ac:dyDescent="0.25">
      <c r="A332" s="1">
        <v>330</v>
      </c>
      <c r="B332" s="1" t="str">
        <v>Lincoln Arturo Leon</v>
      </c>
      <c r="C332" s="1" t="str">
        <v>Poder Judicial</v>
      </c>
      <c r="D332" s="1" t="str">
        <v>Entrevista de actores clave</v>
      </c>
      <c r="E332" s="1" t="str">
        <v>Funcionarios del Sistema</v>
      </c>
      <c r="F332" s="1" t="str">
        <v>Distrito Judicial: Puente Piedra-Ventanilla</v>
      </c>
      <c r="G332" s="1" t="str">
        <v>IJM</v>
      </c>
      <c r="H332" s="1" t="str">
        <v>No</v>
      </c>
      <c r="I332" s="2">
        <v>46171</v>
      </c>
      <c r="J332" s="2" t="str">
        <v/>
      </c>
      <c r="K332" s="2" t="str">
        <v/>
      </c>
      <c r="L332" s="1" t="str">
        <v>Sin respuesta</v>
      </c>
      <c r="M332" s="2" t="str">
        <v/>
      </c>
      <c r="N332" s="2" t="str">
        <v/>
      </c>
      <c r="O332" s="1" t="str">
        <v>Sin respuesta</v>
      </c>
      <c r="P332" s="1" t="str">
        <v/>
      </c>
      <c r="Q332" s="1" t="str">
        <v/>
      </c>
      <c r="R332" s="1">
        <f t="shared" si="31"/>
        <v>0</v>
      </c>
      <c r="S332" s="1">
        <f t="shared" si="32"/>
        <v>0</v>
      </c>
      <c r="T332" s="1">
        <f t="shared" si="33"/>
        <v>0</v>
      </c>
      <c r="U332" s="1">
        <f t="shared" si="34"/>
        <v>0</v>
      </c>
      <c r="V332" s="1">
        <f t="shared" si="35"/>
        <v>1</v>
      </c>
    </row>
    <row r="333" x14ac:dyDescent="0.25">
      <c r="A333" s="1">
        <v>331</v>
      </c>
      <c r="B333" s="1" t="str">
        <v>Carla Verano Bullón</v>
      </c>
      <c r="C333" s="1" t="str">
        <v>Centros de Emergencia Mujer</v>
      </c>
      <c r="D333" s="1" t="str">
        <v>Entrevista de actores clave</v>
      </c>
      <c r="E333" s="1" t="str">
        <v>Funcionarios del Sistema</v>
      </c>
      <c r="F333" s="1" t="str">
        <v>Distrito Judicial: Puente Piedra-Ventanilla</v>
      </c>
      <c r="G333" s="1" t="str">
        <v>IJM</v>
      </c>
      <c r="H333" s="1" t="str">
        <v>Sí</v>
      </c>
      <c r="I333" s="2">
        <v>46171</v>
      </c>
      <c r="J333" s="2" t="str">
        <v/>
      </c>
      <c r="K333" s="2" t="str">
        <v/>
      </c>
      <c r="L333" s="1" t="str">
        <v>Realizada completa</v>
      </c>
      <c r="M333" s="2">
        <v>46177</v>
      </c>
      <c r="N333" s="2" t="str">
        <v/>
      </c>
      <c r="O333" s="1" t="str">
        <v>Realizada completa</v>
      </c>
      <c r="P333" s="1" t="str">
        <v/>
      </c>
      <c r="Q333" s="1" t="str">
        <v>A distancia asistido</v>
      </c>
      <c r="R333" s="1">
        <f t="shared" si="31"/>
        <v>1</v>
      </c>
      <c r="S333" s="1">
        <f t="shared" si="32"/>
        <v>0</v>
      </c>
      <c r="T333" s="1">
        <f t="shared" si="33"/>
        <v>0</v>
      </c>
      <c r="U333" s="1">
        <f t="shared" si="34"/>
        <v>1</v>
      </c>
      <c r="V333" s="1">
        <f t="shared" si="35"/>
        <v>0</v>
      </c>
    </row>
    <row r="334" x14ac:dyDescent="0.25">
      <c r="A334" s="1">
        <v>332</v>
      </c>
      <c r="B334" s="1" t="str">
        <v>Keyli Cordero Guillen</v>
      </c>
      <c r="C334" s="1" t="str">
        <v>Micaelas</v>
      </c>
      <c r="D334" s="1" t="str">
        <v>Entrevista de actores clave</v>
      </c>
      <c r="E334" s="1" t="str">
        <v>Prensa</v>
      </c>
      <c r="F334" s="1" t="str">
        <v>Distrito Judicial: Ayacucho</v>
      </c>
      <c r="G334" s="1" t="str">
        <v>IJM</v>
      </c>
      <c r="H334" s="1" t="str">
        <v>No</v>
      </c>
      <c r="I334" s="2" t="str">
        <v/>
      </c>
      <c r="J334" s="2" t="str">
        <v/>
      </c>
      <c r="K334" s="2" t="str">
        <v/>
      </c>
      <c r="L334" s="1" t="str">
        <v/>
      </c>
      <c r="M334" s="2" t="str">
        <v/>
      </c>
      <c r="N334" s="2" t="str">
        <v/>
      </c>
      <c r="O334" s="1" t="str">
        <v/>
      </c>
      <c r="P334" s="1" t="str">
        <v/>
      </c>
      <c r="Q334" s="1" t="str">
        <v/>
      </c>
      <c r="R334" s="1">
        <f t="shared" si="31"/>
        <v>0</v>
      </c>
      <c r="S334" s="1">
        <f t="shared" si="32"/>
        <v>0</v>
      </c>
      <c r="T334" s="1">
        <f t="shared" si="33"/>
        <v>0</v>
      </c>
      <c r="U334" s="1">
        <f t="shared" si="34"/>
        <v>0</v>
      </c>
      <c r="V334" s="1">
        <f t="shared" si="35"/>
        <v>0</v>
      </c>
    </row>
    <row r="335" x14ac:dyDescent="0.25">
      <c r="A335" s="1">
        <v>333</v>
      </c>
      <c r="B335" s="1" t="str">
        <v>Ingrid Carola Chumbe Rodriguez</v>
      </c>
      <c r="C335" s="1" t="str">
        <v>Ministerio Público (Fiscalía)</v>
      </c>
      <c r="D335" s="1" t="str">
        <v>Entrevista de actores clave</v>
      </c>
      <c r="E335" s="1" t="str">
        <v>Funcionarios del Sistema</v>
      </c>
      <c r="F335" s="1" t="str">
        <v>Distrito Judicial: Loreto</v>
      </c>
      <c r="G335" s="1" t="str">
        <v>IJM</v>
      </c>
      <c r="H335" s="1" t="str">
        <v>Sí</v>
      </c>
      <c r="I335" s="2">
        <v>46147</v>
      </c>
      <c r="J335" s="2" t="str">
        <v/>
      </c>
      <c r="K335" s="2" t="str">
        <v/>
      </c>
      <c r="L335" s="1" t="str">
        <v>Sin respuesta</v>
      </c>
      <c r="M335" s="2" t="str">
        <v/>
      </c>
      <c r="N335" s="2" t="str">
        <v/>
      </c>
      <c r="O335" s="1" t="str">
        <v>Sin respuesta</v>
      </c>
      <c r="P335" s="1" t="str">
        <v/>
      </c>
      <c r="Q335" s="1" t="str">
        <v/>
      </c>
      <c r="R335" s="1">
        <f t="shared" si="31"/>
        <v>1</v>
      </c>
      <c r="S335" s="1">
        <f t="shared" si="32"/>
        <v>0</v>
      </c>
      <c r="T335" s="1">
        <f t="shared" si="33"/>
        <v>0</v>
      </c>
      <c r="U335" s="1">
        <f t="shared" si="34"/>
        <v>0</v>
      </c>
      <c r="V335" s="1">
        <f t="shared" si="35"/>
        <v>1</v>
      </c>
    </row>
    <row r="336" x14ac:dyDescent="0.25">
      <c r="A336" s="1">
        <v>334</v>
      </c>
      <c r="B336" s="1" t="str">
        <v>Rossana Dudziak</v>
      </c>
      <c r="C336" s="1" t="str">
        <v>ONU</v>
      </c>
      <c r="D336" s="1" t="str">
        <v>Entrevista de actores clave</v>
      </c>
      <c r="E336" s="1" t="str">
        <v>Multilaterales</v>
      </c>
      <c r="F336" s="1" t="str">
        <v>Nacional</v>
      </c>
      <c r="G336" s="1" t="str">
        <v>IJM</v>
      </c>
      <c r="H336" s="1" t="str">
        <v>No</v>
      </c>
      <c r="I336" s="2">
        <v>46171</v>
      </c>
      <c r="J336" s="2" t="str">
        <v/>
      </c>
      <c r="K336" s="2" t="str">
        <v/>
      </c>
      <c r="L336" s="1" t="str">
        <v>Sin respuesta</v>
      </c>
      <c r="M336" s="2" t="str">
        <v/>
      </c>
      <c r="N336" s="2" t="str">
        <v/>
      </c>
      <c r="O336" s="1" t="str">
        <v>Sin respuesta</v>
      </c>
      <c r="P336" s="1" t="str">
        <v/>
      </c>
      <c r="Q336" s="1" t="str">
        <v/>
      </c>
      <c r="R336" s="1">
        <f t="shared" si="31"/>
        <v>0</v>
      </c>
      <c r="S336" s="1">
        <f t="shared" si="32"/>
        <v>0</v>
      </c>
      <c r="T336" s="1">
        <f t="shared" si="33"/>
        <v>0</v>
      </c>
      <c r="U336" s="1">
        <f t="shared" si="34"/>
        <v>0</v>
      </c>
      <c r="V336" s="1">
        <f t="shared" si="35"/>
        <v>1</v>
      </c>
    </row>
    <row r="337" x14ac:dyDescent="0.25">
      <c r="A337" s="1">
        <v>335</v>
      </c>
      <c r="B337" s="1" t="str">
        <v>Cristel Damian</v>
      </c>
      <c r="C337" s="1" t="str">
        <v>UNFPA</v>
      </c>
      <c r="D337" s="1" t="str">
        <v>Entrevista de actores clave</v>
      </c>
      <c r="E337" s="1" t="str">
        <v>Multilaterales</v>
      </c>
      <c r="F337" s="1" t="str">
        <v>Nacional</v>
      </c>
      <c r="G337" s="1" t="str">
        <v>IJM</v>
      </c>
      <c r="H337" s="1" t="str">
        <v>No</v>
      </c>
      <c r="I337" s="2">
        <v>46171</v>
      </c>
      <c r="J337" s="2" t="str">
        <v/>
      </c>
      <c r="K337" s="2" t="str">
        <v/>
      </c>
      <c r="L337" s="1" t="str">
        <v>Sin respuesta</v>
      </c>
      <c r="M337" s="2" t="str">
        <v/>
      </c>
      <c r="N337" s="2" t="str">
        <v/>
      </c>
      <c r="O337" s="1" t="str">
        <v>Sin respuesta</v>
      </c>
      <c r="P337" s="1" t="str">
        <v/>
      </c>
      <c r="Q337" s="1" t="str">
        <v/>
      </c>
      <c r="R337" s="1">
        <f t="shared" si="31"/>
        <v>0</v>
      </c>
      <c r="S337" s="1">
        <f t="shared" si="32"/>
        <v>0</v>
      </c>
      <c r="T337" s="1">
        <f t="shared" si="33"/>
        <v>0</v>
      </c>
      <c r="U337" s="1">
        <f t="shared" si="34"/>
        <v>0</v>
      </c>
      <c r="V337" s="1">
        <f t="shared" si="35"/>
        <v>1</v>
      </c>
    </row>
    <row r="338" x14ac:dyDescent="0.25">
      <c r="A338" s="1">
        <v>336</v>
      </c>
      <c r="B338" s="1" t="str">
        <v>Karim Velasco</v>
      </c>
      <c r="C338" s="1" t="str">
        <v>PNUD</v>
      </c>
      <c r="D338" s="1" t="str">
        <v>Entrevista de actores clave</v>
      </c>
      <c r="E338" s="1" t="str">
        <v>Multilaterales</v>
      </c>
      <c r="F338" s="1" t="str">
        <v>Distrito Judicial: Cajamarca</v>
      </c>
      <c r="G338" s="1" t="str">
        <v>IJM</v>
      </c>
      <c r="H338" s="1" t="str">
        <v>Sí</v>
      </c>
      <c r="I338" s="2">
        <v>46178</v>
      </c>
      <c r="J338" s="2" t="str">
        <v/>
      </c>
      <c r="K338" s="2" t="str">
        <v/>
      </c>
      <c r="L338" s="1" t="str">
        <v>Realizada completa</v>
      </c>
      <c r="M338" s="2" t="str">
        <v/>
      </c>
      <c r="N338" s="2" t="str">
        <v/>
      </c>
      <c r="O338" s="1" t="str">
        <v>Realizada completa</v>
      </c>
      <c r="P338" s="1" t="str">
        <v/>
      </c>
      <c r="Q338" s="1" t="str">
        <v>A distancia asistido</v>
      </c>
      <c r="R338" s="1">
        <f t="shared" si="31"/>
        <v>1</v>
      </c>
      <c r="S338" s="1">
        <f t="shared" si="32"/>
        <v>0</v>
      </c>
      <c r="T338" s="1">
        <f t="shared" si="33"/>
        <v>0</v>
      </c>
      <c r="U338" s="1">
        <f t="shared" si="34"/>
        <v>1</v>
      </c>
      <c r="V338" s="1">
        <f t="shared" si="35"/>
        <v>0</v>
      </c>
    </row>
    <row r="339" x14ac:dyDescent="0.25">
      <c r="A339" s="1">
        <v>337</v>
      </c>
      <c r="B339" s="1" t="str">
        <v>Antonino De Leo</v>
      </c>
      <c r="C339" s="1" t="str">
        <v>UNODC - Oficina de las Naciones Unidas contra la Droga y el Delito</v>
      </c>
      <c r="D339" s="1" t="str">
        <v>Entrevista de actores clave</v>
      </c>
      <c r="E339" s="1" t="str">
        <v>Multilaterales</v>
      </c>
      <c r="F339" s="1" t="str">
        <v>Distrito Judicial: Ucayali</v>
      </c>
      <c r="G339" s="1" t="str">
        <v>IJM</v>
      </c>
      <c r="H339" s="1" t="str">
        <v>No</v>
      </c>
      <c r="I339" s="2">
        <v>46171</v>
      </c>
      <c r="J339" s="2" t="str">
        <v/>
      </c>
      <c r="K339" s="2" t="str">
        <v/>
      </c>
      <c r="L339" s="1" t="str">
        <v>Sin respuesta</v>
      </c>
      <c r="M339" s="2" t="str">
        <v/>
      </c>
      <c r="N339" s="2" t="str">
        <v/>
      </c>
      <c r="O339" s="1" t="str">
        <v>Sin respuesta</v>
      </c>
      <c r="P339" s="1" t="str">
        <v/>
      </c>
      <c r="Q339" s="1" t="str">
        <v/>
      </c>
      <c r="R339" s="1">
        <f t="shared" si="31"/>
        <v>0</v>
      </c>
      <c r="S339" s="1">
        <f t="shared" si="32"/>
        <v>0</v>
      </c>
      <c r="T339" s="1">
        <f t="shared" si="33"/>
        <v>0</v>
      </c>
      <c r="U339" s="1">
        <f t="shared" si="34"/>
        <v>0</v>
      </c>
      <c r="V339" s="1">
        <f t="shared" si="35"/>
        <v>1</v>
      </c>
    </row>
    <row r="340" x14ac:dyDescent="0.25">
      <c r="A340" s="1">
        <v>338</v>
      </c>
      <c r="B340" s="1" t="str">
        <v>José Roberto Piqueras Bouillon</v>
      </c>
      <c r="C340" s="1" t="str">
        <v>AECID</v>
      </c>
      <c r="D340" s="1" t="str">
        <v>Entrevista de actores clave</v>
      </c>
      <c r="E340" s="1" t="str">
        <v>Multilaterales</v>
      </c>
      <c r="F340" s="1" t="str">
        <v>Nacional</v>
      </c>
      <c r="G340" s="1" t="str">
        <v>IJM</v>
      </c>
      <c r="H340" s="1" t="str">
        <v>Sí</v>
      </c>
      <c r="I340" s="2" t="str">
        <v/>
      </c>
      <c r="J340" s="2" t="str">
        <v/>
      </c>
      <c r="K340" s="2" t="str">
        <v/>
      </c>
      <c r="L340" s="1" t="str">
        <v>Rechazada</v>
      </c>
      <c r="M340" s="2" t="str">
        <v/>
      </c>
      <c r="N340" s="2" t="str">
        <v/>
      </c>
      <c r="O340" s="1" t="str">
        <v>Rechazada</v>
      </c>
      <c r="P340" s="1" t="str">
        <v/>
      </c>
      <c r="Q340" s="1" t="str">
        <v/>
      </c>
      <c r="R340" s="1">
        <f t="shared" si="31"/>
        <v>1</v>
      </c>
      <c r="S340" s="1">
        <f t="shared" si="32"/>
        <v>0</v>
      </c>
      <c r="T340" s="1">
        <f t="shared" si="33"/>
        <v>0</v>
      </c>
      <c r="U340" s="1">
        <f t="shared" si="34"/>
        <v>0</v>
      </c>
      <c r="V340" s="1">
        <f t="shared" si="35"/>
        <v>0</v>
      </c>
    </row>
    <row r="341" x14ac:dyDescent="0.25">
      <c r="A341" s="1">
        <v>339</v>
      </c>
      <c r="B341" s="1" t="str">
        <v>Teresina Muñoz Najar</v>
      </c>
      <c r="C341" s="1" t="str">
        <v>Independiente</v>
      </c>
      <c r="D341" s="1" t="str">
        <v>Entrevista de actores clave</v>
      </c>
      <c r="E341" s="1" t="str">
        <v>Prensa</v>
      </c>
      <c r="F341" s="1" t="str">
        <v>Nacional</v>
      </c>
      <c r="G341" s="1" t="str">
        <v>IJM</v>
      </c>
      <c r="H341" s="1" t="str">
        <v>No</v>
      </c>
      <c r="I341" s="2">
        <v>46171</v>
      </c>
      <c r="J341" s="2" t="str">
        <v/>
      </c>
      <c r="K341" s="2" t="str">
        <v/>
      </c>
      <c r="L341" s="1" t="str">
        <v>Sin respuesta</v>
      </c>
      <c r="M341" s="2" t="str">
        <v/>
      </c>
      <c r="N341" s="2" t="str">
        <v/>
      </c>
      <c r="O341" s="1" t="str">
        <v>Sin respuesta</v>
      </c>
      <c r="P341" s="1" t="str">
        <v/>
      </c>
      <c r="Q341" s="1" t="str">
        <v/>
      </c>
      <c r="R341" s="1">
        <f t="shared" si="31"/>
        <v>0</v>
      </c>
      <c r="S341" s="1">
        <f t="shared" si="32"/>
        <v>0</v>
      </c>
      <c r="T341" s="1">
        <f t="shared" si="33"/>
        <v>0</v>
      </c>
      <c r="U341" s="1">
        <f t="shared" si="34"/>
        <v>0</v>
      </c>
      <c r="V341" s="1">
        <f t="shared" si="35"/>
        <v>1</v>
      </c>
    </row>
    <row r="342" x14ac:dyDescent="0.25">
      <c r="A342" s="1">
        <v>340</v>
      </c>
      <c r="B342" s="1" t="str">
        <v>Zoila Merino Roque</v>
      </c>
      <c r="C342" s="1" t="str">
        <v>Organización Regional de los Pueblos Indígenas del Oriente</v>
      </c>
      <c r="D342" s="1" t="str">
        <v>Entrevista de actores clave</v>
      </c>
      <c r="E342" s="1" t="str">
        <v>Actores locales</v>
      </c>
      <c r="F342" s="1" t="str">
        <v>Distrito Judicial: Loreto</v>
      </c>
      <c r="G342" s="1" t="str">
        <v>IJM</v>
      </c>
      <c r="H342" s="1" t="str">
        <v>No</v>
      </c>
      <c r="I342" s="2">
        <v>46171</v>
      </c>
      <c r="J342" s="2" t="str">
        <v/>
      </c>
      <c r="K342" s="2" t="str">
        <v/>
      </c>
      <c r="L342" s="1" t="str">
        <v>Sin respuesta</v>
      </c>
      <c r="M342" s="2" t="str">
        <v/>
      </c>
      <c r="N342" s="2" t="str">
        <v/>
      </c>
      <c r="O342" s="1" t="str">
        <v>Sin respuesta</v>
      </c>
      <c r="P342" s="1" t="str">
        <v/>
      </c>
      <c r="Q342" s="1" t="str">
        <v/>
      </c>
      <c r="R342" s="1">
        <f t="shared" si="31"/>
        <v>0</v>
      </c>
      <c r="S342" s="1">
        <f t="shared" si="32"/>
        <v>0</v>
      </c>
      <c r="T342" s="1">
        <f t="shared" si="33"/>
        <v>0</v>
      </c>
      <c r="U342" s="1">
        <f t="shared" si="34"/>
        <v>0</v>
      </c>
      <c r="V342" s="1">
        <f t="shared" si="35"/>
        <v>1</v>
      </c>
    </row>
    <row r="343" x14ac:dyDescent="0.25">
      <c r="A343" s="1">
        <v>341</v>
      </c>
      <c r="B343" s="1" t="str">
        <v>Judith Nunta Guimaraes</v>
      </c>
      <c r="C343" s="1" t="str">
        <v>Organización Regional Aidesep Ucayali</v>
      </c>
      <c r="D343" s="1" t="str">
        <v>Entrevista de actores clave</v>
      </c>
      <c r="E343" s="1" t="str">
        <v>Actores locales</v>
      </c>
      <c r="F343" s="1" t="str">
        <v>Distrito Judicial: Ucayali</v>
      </c>
      <c r="G343" s="1" t="str">
        <v>IJM</v>
      </c>
      <c r="H343" s="1" t="str">
        <v>No</v>
      </c>
      <c r="I343" s="2">
        <v>46171</v>
      </c>
      <c r="J343" s="2" t="str">
        <v/>
      </c>
      <c r="K343" s="2" t="str">
        <v/>
      </c>
      <c r="L343" s="1" t="str">
        <v>Sin respuesta</v>
      </c>
      <c r="M343" s="2" t="str">
        <v/>
      </c>
      <c r="N343" s="2" t="str">
        <v/>
      </c>
      <c r="O343" s="1" t="str">
        <v>Sin respuesta</v>
      </c>
      <c r="P343" s="1" t="str">
        <v/>
      </c>
      <c r="Q343" s="1" t="str">
        <v/>
      </c>
      <c r="R343" s="1">
        <f t="shared" si="31"/>
        <v>0</v>
      </c>
      <c r="S343" s="1">
        <f t="shared" si="32"/>
        <v>0</v>
      </c>
      <c r="T343" s="1">
        <f t="shared" si="33"/>
        <v>0</v>
      </c>
      <c r="U343" s="1">
        <f t="shared" si="34"/>
        <v>0</v>
      </c>
      <c r="V343" s="1">
        <f t="shared" si="35"/>
        <v>1</v>
      </c>
    </row>
    <row r="344" x14ac:dyDescent="0.25">
      <c r="A344" s="1">
        <v>342</v>
      </c>
      <c r="B344" s="1" t="str">
        <v>Wilson Anthony Siancas</v>
      </c>
      <c r="C344" s="1" t="str">
        <v>Convoca</v>
      </c>
      <c r="D344" s="1" t="str">
        <v>Entrevista de actores clave</v>
      </c>
      <c r="E344" s="1" t="str">
        <v>Prensa</v>
      </c>
      <c r="F344" s="1" t="str">
        <v>Nacional</v>
      </c>
      <c r="G344" s="1" t="str">
        <v>IJM</v>
      </c>
      <c r="H344" s="1" t="str">
        <v>No</v>
      </c>
      <c r="I344" s="2">
        <v>46171</v>
      </c>
      <c r="J344" s="2" t="str">
        <v/>
      </c>
      <c r="K344" s="2" t="str">
        <v/>
      </c>
      <c r="L344" s="1" t="str">
        <v>Sin respuesta</v>
      </c>
      <c r="M344" s="2" t="str">
        <v/>
      </c>
      <c r="N344" s="2" t="str">
        <v/>
      </c>
      <c r="O344" s="1" t="str">
        <v>Sin respuesta</v>
      </c>
      <c r="P344" s="1" t="str">
        <v/>
      </c>
      <c r="Q344" s="1" t="str">
        <v/>
      </c>
      <c r="R344" s="1">
        <f t="shared" si="31"/>
        <v>0</v>
      </c>
      <c r="S344" s="1">
        <f t="shared" si="32"/>
        <v>0</v>
      </c>
      <c r="T344" s="1">
        <f t="shared" si="33"/>
        <v>0</v>
      </c>
      <c r="U344" s="1">
        <f t="shared" si="34"/>
        <v>0</v>
      </c>
      <c r="V344" s="1">
        <f t="shared" si="35"/>
        <v>1</v>
      </c>
    </row>
    <row r="345" x14ac:dyDescent="0.25">
      <c r="A345" s="1">
        <v>343</v>
      </c>
      <c r="B345" s="1" t="str">
        <v>Estefany Luján Quispe</v>
      </c>
      <c r="C345" s="1" t="str">
        <v>La República</v>
      </c>
      <c r="D345" s="1" t="str">
        <v>Entrevista de actores clave</v>
      </c>
      <c r="E345" s="1" t="str">
        <v>Prensa</v>
      </c>
      <c r="F345" s="1" t="str">
        <v>Nacional</v>
      </c>
      <c r="G345" s="1" t="str">
        <v>IJM</v>
      </c>
      <c r="H345" s="1" t="str">
        <v>No</v>
      </c>
      <c r="I345" s="2" t="str">
        <v/>
      </c>
      <c r="J345" s="2" t="str">
        <v/>
      </c>
      <c r="K345" s="2" t="str">
        <v/>
      </c>
      <c r="L345" s="1" t="str">
        <v/>
      </c>
      <c r="M345" s="2" t="str">
        <v/>
      </c>
      <c r="N345" s="2" t="str">
        <v/>
      </c>
      <c r="O345" s="1" t="str">
        <v/>
      </c>
      <c r="P345" s="1" t="str">
        <v/>
      </c>
      <c r="Q345" s="1" t="str">
        <v/>
      </c>
      <c r="R345" s="1">
        <f t="shared" si="31"/>
        <v>0</v>
      </c>
      <c r="S345" s="1">
        <f t="shared" si="32"/>
        <v>0</v>
      </c>
      <c r="T345" s="1">
        <f t="shared" si="33"/>
        <v>0</v>
      </c>
      <c r="U345" s="1">
        <f t="shared" si="34"/>
        <v>0</v>
      </c>
      <c r="V345" s="1">
        <f t="shared" si="35"/>
        <v>0</v>
      </c>
    </row>
    <row r="346" x14ac:dyDescent="0.25">
      <c r="A346" s="1">
        <v>344</v>
      </c>
      <c r="B346" s="1" t="str">
        <v>Katherine Subirana Abanto</v>
      </c>
      <c r="C346" s="1" t="str">
        <v>IDEHPUCP</v>
      </c>
      <c r="D346" s="1" t="str">
        <v>Entrevista de actores clave</v>
      </c>
      <c r="E346" s="1" t="str">
        <v>Prensa</v>
      </c>
      <c r="F346" s="1" t="str">
        <v>Nacional</v>
      </c>
      <c r="G346" s="1" t="str">
        <v>IJM</v>
      </c>
      <c r="H346" s="1" t="str">
        <v>No</v>
      </c>
      <c r="I346" s="2" t="str">
        <v/>
      </c>
      <c r="J346" s="2" t="str">
        <v/>
      </c>
      <c r="K346" s="2" t="str">
        <v/>
      </c>
      <c r="L346" s="1" t="str">
        <v/>
      </c>
      <c r="M346" s="2" t="str">
        <v/>
      </c>
      <c r="N346" s="2" t="str">
        <v/>
      </c>
      <c r="O346" s="1" t="str">
        <v/>
      </c>
      <c r="P346" s="1" t="str">
        <v/>
      </c>
      <c r="Q346" s="1" t="str">
        <v/>
      </c>
      <c r="R346" s="1">
        <f t="shared" si="31"/>
        <v>0</v>
      </c>
      <c r="S346" s="1">
        <f t="shared" si="32"/>
        <v>0</v>
      </c>
      <c r="T346" s="1">
        <f t="shared" si="33"/>
        <v>0</v>
      </c>
      <c r="U346" s="1">
        <f t="shared" si="34"/>
        <v>0</v>
      </c>
      <c r="V346" s="1">
        <f t="shared" si="35"/>
        <v>0</v>
      </c>
    </row>
    <row r="347" x14ac:dyDescent="0.25">
      <c r="A347" s="1">
        <v>345</v>
      </c>
      <c r="B347" s="1" t="str">
        <v>Lourdes Fernández Calvo</v>
      </c>
      <c r="C347" s="1" t="str">
        <v>Mongabay</v>
      </c>
      <c r="D347" s="1" t="str">
        <v>Entrevista de actores clave</v>
      </c>
      <c r="E347" s="1" t="str">
        <v>Prensa</v>
      </c>
      <c r="F347" s="1" t="str">
        <v>Nacional</v>
      </c>
      <c r="G347" s="1" t="str">
        <v>IJM</v>
      </c>
      <c r="H347" s="1" t="str">
        <v>Sí</v>
      </c>
      <c r="I347" s="2">
        <v>46182</v>
      </c>
      <c r="J347" s="2" t="str">
        <v/>
      </c>
      <c r="K347" s="2" t="str">
        <v/>
      </c>
      <c r="L347" s="1" t="str">
        <v>Realizada completa</v>
      </c>
      <c r="M347" s="2" t="str">
        <v/>
      </c>
      <c r="N347" s="2" t="str">
        <v/>
      </c>
      <c r="O347" s="1" t="str">
        <v>Realizada completa</v>
      </c>
      <c r="P347" s="1" t="str">
        <v/>
      </c>
      <c r="Q347" s="1" t="str">
        <v>A distancia asistido</v>
      </c>
      <c r="R347" s="1">
        <f t="shared" si="31"/>
        <v>1</v>
      </c>
      <c r="S347" s="1">
        <f t="shared" si="32"/>
        <v>0</v>
      </c>
      <c r="T347" s="1">
        <f t="shared" si="33"/>
        <v>0</v>
      </c>
      <c r="U347" s="1">
        <f t="shared" si="34"/>
        <v>1</v>
      </c>
      <c r="V347" s="1">
        <f t="shared" si="35"/>
        <v>0</v>
      </c>
    </row>
    <row r="348" x14ac:dyDescent="0.25">
      <c r="A348" s="1">
        <v>346</v>
      </c>
      <c r="B348" s="1" t="str">
        <v>Graciela Tiburcio Loayza</v>
      </c>
      <c r="C348" s="1" t="str">
        <v>Contranoticia</v>
      </c>
      <c r="D348" s="1" t="str">
        <v>Entrevista de actores clave</v>
      </c>
      <c r="E348" s="1" t="str">
        <v>Prensa</v>
      </c>
      <c r="F348" s="1" t="str">
        <v>Nacional</v>
      </c>
      <c r="G348" s="1" t="str">
        <v>IJM</v>
      </c>
      <c r="H348" s="1" t="str">
        <v>No</v>
      </c>
      <c r="I348" s="2">
        <v>46171</v>
      </c>
      <c r="J348" s="2" t="str">
        <v/>
      </c>
      <c r="K348" s="2" t="str">
        <v/>
      </c>
      <c r="L348" s="1" t="str">
        <v>Sin respuesta</v>
      </c>
      <c r="M348" s="2" t="str">
        <v/>
      </c>
      <c r="N348" s="2" t="str">
        <v/>
      </c>
      <c r="O348" s="1" t="str">
        <v>Sin respuesta</v>
      </c>
      <c r="P348" s="1" t="str">
        <v/>
      </c>
      <c r="Q348" s="1" t="str">
        <v/>
      </c>
      <c r="R348" s="1">
        <f t="shared" si="31"/>
        <v>0</v>
      </c>
      <c r="S348" s="1">
        <f t="shared" si="32"/>
        <v>0</v>
      </c>
      <c r="T348" s="1">
        <f t="shared" si="33"/>
        <v>0</v>
      </c>
      <c r="U348" s="1">
        <f t="shared" si="34"/>
        <v>0</v>
      </c>
      <c r="V348" s="1">
        <f t="shared" si="35"/>
        <v>1</v>
      </c>
    </row>
    <row r="349" x14ac:dyDescent="0.25">
      <c r="A349" s="1">
        <v>347</v>
      </c>
      <c r="B349" s="1" t="str">
        <v>Graciela Reátegui</v>
      </c>
      <c r="C349" s="1" t="str">
        <v>FECONAU – Federación de Comunidades Nativas de Ucayali y Afluentes</v>
      </c>
      <c r="D349" s="1" t="str">
        <v>Entrevista de actores clave</v>
      </c>
      <c r="E349" s="1" t="str">
        <v>Actores locales</v>
      </c>
      <c r="F349" s="1" t="str">
        <v>Distrito Judicial: Ucayali</v>
      </c>
      <c r="G349" s="1" t="str">
        <v>IJM</v>
      </c>
      <c r="H349" s="1" t="str">
        <v>No</v>
      </c>
      <c r="I349" s="2">
        <v>46171</v>
      </c>
      <c r="J349" s="2">
        <v>46177</v>
      </c>
      <c r="K349" s="2" t="str">
        <v/>
      </c>
      <c r="L349" s="1" t="str">
        <v>En coordinación</v>
      </c>
      <c r="M349" s="2" t="str">
        <v/>
      </c>
      <c r="N349" s="2" t="str">
        <v/>
      </c>
      <c r="O349" s="1" t="str">
        <v>En coordinación</v>
      </c>
      <c r="P349" s="1" t="str">
        <v/>
      </c>
      <c r="Q349" s="1" t="str">
        <v/>
      </c>
      <c r="R349" s="1">
        <f t="shared" si="31"/>
        <v>0</v>
      </c>
      <c r="S349" s="1">
        <f t="shared" si="32"/>
        <v>1</v>
      </c>
      <c r="T349" s="1">
        <f t="shared" si="33"/>
        <v>0</v>
      </c>
      <c r="U349" s="1">
        <f t="shared" si="34"/>
        <v>0</v>
      </c>
      <c r="V349" s="1">
        <f t="shared" si="35"/>
        <v>0</v>
      </c>
    </row>
    <row r="350" x14ac:dyDescent="0.25">
      <c r="A350" s="1">
        <v>348</v>
      </c>
      <c r="B350" s="1" t="str">
        <v>Amalia Añez</v>
      </c>
      <c r="C350" s="1" t="str">
        <v>FENAMAD – Federación Nativa del Río Madre de Dios y Afluentes</v>
      </c>
      <c r="D350" s="1" t="str">
        <v>Entrevista de actores clave</v>
      </c>
      <c r="E350" s="1" t="str">
        <v>Actores locales</v>
      </c>
      <c r="F350" s="1" t="str">
        <v>Nacional</v>
      </c>
      <c r="G350" s="1" t="str">
        <v>IJM</v>
      </c>
      <c r="H350" s="1" t="str">
        <v>No</v>
      </c>
      <c r="I350" s="2" t="str">
        <v/>
      </c>
      <c r="J350" s="2" t="str">
        <v/>
      </c>
      <c r="K350" s="2" t="str">
        <v/>
      </c>
      <c r="L350" s="1" t="str">
        <v/>
      </c>
      <c r="M350" s="2" t="str">
        <v/>
      </c>
      <c r="N350" s="2" t="str">
        <v/>
      </c>
      <c r="O350" s="1" t="str">
        <v/>
      </c>
      <c r="P350" s="1" t="str">
        <v/>
      </c>
      <c r="Q350" s="1" t="str">
        <v/>
      </c>
      <c r="R350" s="1">
        <f t="shared" si="31"/>
        <v>0</v>
      </c>
      <c r="S350" s="1">
        <f t="shared" si="32"/>
        <v>0</v>
      </c>
      <c r="T350" s="1">
        <f t="shared" si="33"/>
        <v>0</v>
      </c>
      <c r="U350" s="1">
        <f t="shared" si="34"/>
        <v>0</v>
      </c>
      <c r="V350" s="1">
        <f t="shared" si="35"/>
        <v>0</v>
      </c>
    </row>
    <row r="351" x14ac:dyDescent="0.25">
      <c r="A351" s="1">
        <v>349</v>
      </c>
      <c r="B351" s="1" t="str">
        <v>Jimena Chavez</v>
      </c>
      <c r="C351" s="1" t="str">
        <v>DVV International</v>
      </c>
      <c r="D351" s="1" t="str">
        <v>Entrevista de actores clave</v>
      </c>
      <c r="E351" s="1" t="str">
        <v>Actores locales</v>
      </c>
      <c r="F351" s="1" t="str">
        <v>Nacional</v>
      </c>
      <c r="G351" s="1" t="str">
        <v>IJM</v>
      </c>
      <c r="H351" s="1" t="str">
        <v>No</v>
      </c>
      <c r="I351" s="2">
        <v>46171</v>
      </c>
      <c r="J351" s="2" t="str">
        <v/>
      </c>
      <c r="K351" s="2" t="str">
        <v/>
      </c>
      <c r="L351" s="1" t="str">
        <v>sin respuesta</v>
      </c>
      <c r="M351" s="2" t="str">
        <v/>
      </c>
      <c r="N351" s="2" t="str">
        <v/>
      </c>
      <c r="O351" s="1" t="str">
        <v>sin respuesta</v>
      </c>
      <c r="P351" s="1" t="str">
        <v/>
      </c>
      <c r="Q351" s="1" t="str">
        <v/>
      </c>
      <c r="R351" s="1">
        <f t="shared" si="31"/>
        <v>0</v>
      </c>
      <c r="S351" s="1">
        <f t="shared" si="32"/>
        <v>0</v>
      </c>
      <c r="T351" s="1">
        <f t="shared" si="33"/>
        <v>0</v>
      </c>
      <c r="U351" s="1">
        <f t="shared" si="34"/>
        <v>0</v>
      </c>
      <c r="V351" s="1">
        <f t="shared" si="35"/>
        <v>1</v>
      </c>
    </row>
    <row r="352" x14ac:dyDescent="0.25">
      <c r="A352" s="1">
        <v>350</v>
      </c>
      <c r="B352" s="1" t="str">
        <v>Susana Gonzalez</v>
      </c>
      <c r="C352" s="1" t="str">
        <v>Asociación de mujeres de Gamarra</v>
      </c>
      <c r="D352" s="1" t="str">
        <v>Entrevista de actores clave</v>
      </c>
      <c r="E352" s="1" t="str">
        <v>Acompañantes</v>
      </c>
      <c r="F352" s="1" t="str">
        <v>Distrito Judicial: Lima Norte</v>
      </c>
      <c r="G352" s="1" t="str">
        <v>IJM</v>
      </c>
      <c r="H352" s="1" t="str">
        <v>No</v>
      </c>
      <c r="I352" s="2">
        <v>46171</v>
      </c>
      <c r="J352" s="2" t="str">
        <v/>
      </c>
      <c r="K352" s="2" t="str">
        <v/>
      </c>
      <c r="L352" s="1" t="str">
        <v>sin respuesta</v>
      </c>
      <c r="M352" s="2" t="str">
        <v/>
      </c>
      <c r="N352" s="2" t="str">
        <v/>
      </c>
      <c r="O352" s="1" t="str">
        <v>sin respuesta</v>
      </c>
      <c r="P352" s="1" t="str">
        <v/>
      </c>
      <c r="Q352" s="1" t="str">
        <v/>
      </c>
      <c r="R352" s="1">
        <f t="shared" si="31"/>
        <v>0</v>
      </c>
      <c r="S352" s="1">
        <f t="shared" si="32"/>
        <v>0</v>
      </c>
      <c r="T352" s="1">
        <f t="shared" si="33"/>
        <v>0</v>
      </c>
      <c r="U352" s="1">
        <f t="shared" si="34"/>
        <v>0</v>
      </c>
      <c r="V352" s="1">
        <f t="shared" si="35"/>
        <v>1</v>
      </c>
    </row>
    <row r="353" x14ac:dyDescent="0.25">
      <c r="A353" s="1">
        <v>351</v>
      </c>
      <c r="B353" s="1" t="str">
        <v>Giannina Castro Gamarra</v>
      </c>
      <c r="C353" s="1" t="str">
        <v>Asociación de mujeres empresarias del Perú (AMEP)</v>
      </c>
      <c r="D353" s="1" t="str">
        <v>Entrevista de actores clave</v>
      </c>
      <c r="E353" s="1" t="str">
        <v>Acompañantes</v>
      </c>
      <c r="F353" s="1" t="str">
        <v>Nacional</v>
      </c>
      <c r="G353" s="1" t="str">
        <v>IJM</v>
      </c>
      <c r="H353" s="1" t="str">
        <v>Sí</v>
      </c>
      <c r="I353" s="2">
        <v>46171</v>
      </c>
      <c r="J353" s="2" t="str">
        <v/>
      </c>
      <c r="K353" s="2" t="str">
        <v/>
      </c>
      <c r="L353" s="1" t="str">
        <v>Realizada completa</v>
      </c>
      <c r="M353" s="2" t="str">
        <v/>
      </c>
      <c r="N353" s="2" t="str">
        <v/>
      </c>
      <c r="O353" s="1" t="str">
        <v>Realizada completa</v>
      </c>
      <c r="P353" s="1" t="str">
        <v/>
      </c>
      <c r="Q353" s="1" t="str">
        <v>A distancia asistido</v>
      </c>
      <c r="R353" s="1">
        <f t="shared" si="31"/>
        <v>1</v>
      </c>
      <c r="S353" s="1">
        <f t="shared" si="32"/>
        <v>0</v>
      </c>
      <c r="T353" s="1">
        <f t="shared" si="33"/>
        <v>0</v>
      </c>
      <c r="U353" s="1">
        <f t="shared" si="34"/>
        <v>1</v>
      </c>
      <c r="V353" s="1">
        <f t="shared" si="35"/>
        <v>0</v>
      </c>
    </row>
    <row r="354" x14ac:dyDescent="0.25">
      <c r="A354" s="1">
        <v>352</v>
      </c>
      <c r="B354" s="1" t="str">
        <v>Carmen Arróspide Poblete</v>
      </c>
      <c r="C354" s="1" t="str">
        <v>Red Nacional de Mujeres Empresarias y Emprendedoras (RENAMEE)</v>
      </c>
      <c r="D354" s="1" t="str">
        <v>Entrevista de actores clave</v>
      </c>
      <c r="E354" s="1" t="str">
        <v>Acompañantes</v>
      </c>
      <c r="F354" s="1" t="str">
        <v>Nacional</v>
      </c>
      <c r="G354" s="1" t="str">
        <v>IJM</v>
      </c>
      <c r="H354" s="1" t="str">
        <v>No</v>
      </c>
      <c r="I354" s="2">
        <v>46171</v>
      </c>
      <c r="J354" s="2" t="str">
        <v/>
      </c>
      <c r="K354" s="2" t="str">
        <v/>
      </c>
      <c r="L354" s="1" t="str">
        <v>sin respuesta</v>
      </c>
      <c r="M354" s="2" t="str">
        <v/>
      </c>
      <c r="N354" s="2" t="str">
        <v/>
      </c>
      <c r="O354" s="1" t="str">
        <v>sin respuesta</v>
      </c>
      <c r="P354" s="1" t="str">
        <v/>
      </c>
      <c r="Q354" s="1" t="str">
        <v/>
      </c>
      <c r="R354" s="1">
        <f t="shared" si="31"/>
        <v>0</v>
      </c>
      <c r="S354" s="1">
        <f t="shared" si="32"/>
        <v>0</v>
      </c>
      <c r="T354" s="1">
        <f t="shared" si="33"/>
        <v>0</v>
      </c>
      <c r="U354" s="1">
        <f t="shared" si="34"/>
        <v>0</v>
      </c>
      <c r="V354" s="1">
        <f t="shared" si="35"/>
        <v>1</v>
      </c>
    </row>
    <row r="355" x14ac:dyDescent="0.25">
      <c r="A355" s="1">
        <v>353</v>
      </c>
      <c r="B355" s="1" t="str">
        <v>Carolina Vera Torres</v>
      </c>
      <c r="C355" s="1" t="str">
        <v>PUCP</v>
      </c>
      <c r="D355" s="1" t="str">
        <v>Entrevista de actores clave</v>
      </c>
      <c r="E355" s="1" t="str">
        <v>Actores locales</v>
      </c>
      <c r="F355" s="1" t="str">
        <v>Nacional</v>
      </c>
      <c r="G355" s="1" t="str">
        <v>IJM</v>
      </c>
      <c r="H355" s="1" t="str">
        <v>No</v>
      </c>
      <c r="I355" s="2">
        <v>46171</v>
      </c>
      <c r="J355" s="2" t="str">
        <v/>
      </c>
      <c r="K355" s="2" t="str">
        <v/>
      </c>
      <c r="L355" s="1" t="str">
        <v>sin respuesta</v>
      </c>
      <c r="M355" s="2" t="str">
        <v/>
      </c>
      <c r="N355" s="2" t="str">
        <v/>
      </c>
      <c r="O355" s="1" t="str">
        <v>sin respuesta</v>
      </c>
      <c r="P355" s="1" t="str">
        <v/>
      </c>
      <c r="Q355" s="1" t="str">
        <v/>
      </c>
      <c r="R355" s="1">
        <f t="shared" si="31"/>
        <v>0</v>
      </c>
      <c r="S355" s="1">
        <f t="shared" si="32"/>
        <v>0</v>
      </c>
      <c r="T355" s="1">
        <f t="shared" si="33"/>
        <v>0</v>
      </c>
      <c r="U355" s="1">
        <f t="shared" si="34"/>
        <v>0</v>
      </c>
      <c r="V355" s="1">
        <f t="shared" si="35"/>
        <v>1</v>
      </c>
    </row>
    <row r="356" x14ac:dyDescent="0.25">
      <c r="A356" s="1">
        <v>354</v>
      </c>
      <c r="B356" s="1" t="str">
        <v>Elena Reyes</v>
      </c>
      <c r="C356" s="1" t="str">
        <v>Especialista en Género</v>
      </c>
      <c r="D356" s="1" t="str">
        <v>Entrevista de actores clave</v>
      </c>
      <c r="E356" s="1" t="str">
        <v>Actores locales</v>
      </c>
      <c r="F356" s="1" t="str">
        <v>Nacional</v>
      </c>
      <c r="G356" s="1" t="str">
        <v>IJM</v>
      </c>
      <c r="H356" s="1" t="str">
        <v>No</v>
      </c>
      <c r="I356" s="2">
        <v>46171</v>
      </c>
      <c r="J356" s="2" t="str">
        <v/>
      </c>
      <c r="K356" s="2" t="str">
        <v/>
      </c>
      <c r="L356" s="1" t="str">
        <v>sin respuesta</v>
      </c>
      <c r="M356" s="2" t="str">
        <v/>
      </c>
      <c r="N356" s="2" t="str">
        <v/>
      </c>
      <c r="O356" s="1" t="str">
        <v>sin respuesta</v>
      </c>
      <c r="P356" s="1" t="str">
        <v/>
      </c>
      <c r="Q356" s="1" t="str">
        <v/>
      </c>
      <c r="R356" s="1">
        <f t="shared" si="31"/>
        <v>0</v>
      </c>
      <c r="S356" s="1">
        <f t="shared" si="32"/>
        <v>0</v>
      </c>
      <c r="T356" s="1">
        <f t="shared" si="33"/>
        <v>0</v>
      </c>
      <c r="U356" s="1">
        <f t="shared" si="34"/>
        <v>0</v>
      </c>
      <c r="V356" s="1">
        <f t="shared" si="35"/>
        <v>1</v>
      </c>
    </row>
    <row r="357" x14ac:dyDescent="0.25">
      <c r="A357" s="1">
        <v>355</v>
      </c>
      <c r="B357" s="1" t="str">
        <v>Keyland Allca Chacaliaza</v>
      </c>
      <c r="C357" s="1" t="str">
        <v>Lideranda ORG</v>
      </c>
      <c r="D357" s="1" t="str">
        <v>Entrevista de actores clave</v>
      </c>
      <c r="E357" s="1" t="str">
        <v>Acompañantes</v>
      </c>
      <c r="F357" s="1" t="str">
        <v>Nacional</v>
      </c>
      <c r="G357" s="1" t="str">
        <v>IJM</v>
      </c>
      <c r="H357" s="1" t="str">
        <v>No</v>
      </c>
      <c r="I357" s="2">
        <v>46171</v>
      </c>
      <c r="J357" s="2" t="str">
        <v/>
      </c>
      <c r="K357" s="2" t="str">
        <v/>
      </c>
      <c r="L357" s="1" t="str">
        <v>sin respuesta</v>
      </c>
      <c r="M357" s="2" t="str">
        <v/>
      </c>
      <c r="N357" s="2" t="str">
        <v/>
      </c>
      <c r="O357" s="1" t="str">
        <v>sin respuesta</v>
      </c>
      <c r="P357" s="1" t="str">
        <v/>
      </c>
      <c r="Q357" s="1" t="str">
        <v/>
      </c>
      <c r="R357" s="1">
        <f t="shared" si="31"/>
        <v>0</v>
      </c>
      <c r="S357" s="1">
        <f t="shared" si="32"/>
        <v>0</v>
      </c>
      <c r="T357" s="1">
        <f t="shared" si="33"/>
        <v>0</v>
      </c>
      <c r="U357" s="1">
        <f t="shared" si="34"/>
        <v>0</v>
      </c>
      <c r="V357" s="1">
        <f t="shared" si="35"/>
        <v>1</v>
      </c>
    </row>
    <row r="358" x14ac:dyDescent="0.25">
      <c r="A358" s="1">
        <v>356</v>
      </c>
      <c r="B358" s="1" t="str">
        <v>Magaly Ávila</v>
      </c>
      <c r="C358" s="1" t="str">
        <v>Proetica</v>
      </c>
      <c r="D358" s="1" t="str">
        <v>Entrevista de actores clave</v>
      </c>
      <c r="E358" s="1" t="str">
        <v>Actores locales</v>
      </c>
      <c r="F358" s="1" t="str">
        <v>Nacional</v>
      </c>
      <c r="G358" s="1" t="str">
        <v>IJM</v>
      </c>
      <c r="H358" s="1" t="str">
        <v>No</v>
      </c>
      <c r="I358" s="2">
        <v>46202</v>
      </c>
      <c r="J358" s="2" t="str">
        <v/>
      </c>
      <c r="K358" s="2" t="str">
        <v/>
      </c>
      <c r="L358" s="1" t="str">
        <v>sin respuesta</v>
      </c>
      <c r="M358" s="2" t="str">
        <v/>
      </c>
      <c r="N358" s="2" t="str">
        <v/>
      </c>
      <c r="O358" s="1" t="str">
        <v>sin respuesta</v>
      </c>
      <c r="P358" s="1" t="str">
        <v/>
      </c>
      <c r="Q358" s="1" t="str">
        <v/>
      </c>
      <c r="R358" s="1">
        <f t="shared" si="31"/>
        <v>0</v>
      </c>
      <c r="S358" s="1">
        <f t="shared" si="32"/>
        <v>0</v>
      </c>
      <c r="T358" s="1">
        <f t="shared" si="33"/>
        <v>0</v>
      </c>
      <c r="U358" s="1">
        <f t="shared" si="34"/>
        <v>0</v>
      </c>
      <c r="V358" s="1">
        <f t="shared" si="35"/>
        <v>1</v>
      </c>
    </row>
    <row r="359" x14ac:dyDescent="0.25">
      <c r="A359" s="1">
        <v>357</v>
      </c>
      <c r="B359" s="1" t="str">
        <v>Adhely Bellido Castro</v>
      </c>
      <c r="C359" s="1" t="str">
        <v>RED NACIONAL DE JÓVENES PARLAMENTARIOS</v>
      </c>
      <c r="D359" s="1" t="str">
        <v>Entrevista de actores clave</v>
      </c>
      <c r="E359" s="1" t="str">
        <v>Acompañantes</v>
      </c>
      <c r="F359" s="1" t="str">
        <v>Nacional</v>
      </c>
      <c r="G359" s="1" t="str">
        <v>IJM</v>
      </c>
      <c r="H359" s="1" t="str">
        <v>No</v>
      </c>
      <c r="I359" s="2">
        <v>46110</v>
      </c>
      <c r="J359" s="2" t="str">
        <v/>
      </c>
      <c r="K359" s="2" t="str">
        <v/>
      </c>
      <c r="L359" s="1" t="str">
        <v>sin respuesta</v>
      </c>
      <c r="M359" s="2" t="str">
        <v/>
      </c>
      <c r="N359" s="2" t="str">
        <v/>
      </c>
      <c r="O359" s="1" t="str">
        <v>sin respuesta</v>
      </c>
      <c r="P359" s="1" t="str">
        <v/>
      </c>
      <c r="Q359" s="1" t="str">
        <v/>
      </c>
      <c r="R359" s="1">
        <f t="shared" si="31"/>
        <v>0</v>
      </c>
      <c r="S359" s="1">
        <f t="shared" si="32"/>
        <v>0</v>
      </c>
      <c r="T359" s="1">
        <f t="shared" si="33"/>
        <v>0</v>
      </c>
      <c r="U359" s="1">
        <f t="shared" si="34"/>
        <v>0</v>
      </c>
      <c r="V359" s="1">
        <f t="shared" si="35"/>
        <v>1</v>
      </c>
    </row>
    <row r="360" x14ac:dyDescent="0.25">
      <c r="A360" s="1">
        <v>358</v>
      </c>
      <c r="B360" s="1" t="str">
        <v>Lourdes Maritza Jesús Soplin Servan</v>
      </c>
      <c r="C360" s="1" t="str">
        <v>Taller de Estudios Parlamentarios - TAEP</v>
      </c>
      <c r="D360" s="1" t="str">
        <v>Entrevista de actores clave</v>
      </c>
      <c r="E360" s="1" t="str">
        <v>Actores locales</v>
      </c>
      <c r="F360" s="1" t="str">
        <v>Nacional</v>
      </c>
      <c r="G360" s="1" t="str">
        <v>IJM</v>
      </c>
      <c r="H360" s="1" t="str">
        <v>No</v>
      </c>
      <c r="I360" s="2" t="str">
        <v/>
      </c>
      <c r="J360" s="2" t="str">
        <v/>
      </c>
      <c r="K360" s="2" t="str">
        <v/>
      </c>
      <c r="L360" s="1" t="str">
        <v/>
      </c>
      <c r="M360" s="2" t="str">
        <v/>
      </c>
      <c r="N360" s="2" t="str">
        <v/>
      </c>
      <c r="O360" s="1" t="str">
        <v/>
      </c>
      <c r="P360" s="1" t="str">
        <v/>
      </c>
      <c r="Q360" s="1" t="str">
        <v/>
      </c>
      <c r="R360" s="1">
        <f t="shared" si="31"/>
        <v>0</v>
      </c>
      <c r="S360" s="1">
        <f t="shared" si="32"/>
        <v>0</v>
      </c>
      <c r="T360" s="1">
        <f t="shared" si="33"/>
        <v>0</v>
      </c>
      <c r="U360" s="1">
        <f t="shared" si="34"/>
        <v>0</v>
      </c>
      <c r="V360" s="1">
        <f t="shared" si="35"/>
        <v>0</v>
      </c>
    </row>
    <row r="361" x14ac:dyDescent="0.25">
      <c r="A361" s="1">
        <v>359</v>
      </c>
      <c r="B361" s="1" t="str">
        <v>Carmen Espinoza</v>
      </c>
      <c r="C361" s="1" t="str">
        <v>Manuela Ramos</v>
      </c>
      <c r="D361" s="1" t="str">
        <v>Entrevista de actores clave</v>
      </c>
      <c r="E361" s="1" t="str">
        <v>Actores locales</v>
      </c>
      <c r="F361" s="1" t="str">
        <v>Nacional</v>
      </c>
      <c r="G361" s="1" t="str">
        <v>IJM</v>
      </c>
      <c r="H361" s="1" t="str">
        <v>No</v>
      </c>
      <c r="I361" s="2">
        <v>46110</v>
      </c>
      <c r="J361" s="2" t="str">
        <v/>
      </c>
      <c r="K361" s="2" t="str">
        <v/>
      </c>
      <c r="L361" s="1" t="str">
        <v>sin respuesta</v>
      </c>
      <c r="M361" s="2" t="str">
        <v/>
      </c>
      <c r="N361" s="2" t="str">
        <v/>
      </c>
      <c r="O361" s="1" t="str">
        <v>sin respuesta</v>
      </c>
      <c r="P361" s="1" t="str">
        <v/>
      </c>
      <c r="Q361" s="1" t="str">
        <v/>
      </c>
      <c r="R361" s="1">
        <f t="shared" si="31"/>
        <v>0</v>
      </c>
      <c r="S361" s="1">
        <f t="shared" si="32"/>
        <v>0</v>
      </c>
      <c r="T361" s="1">
        <f t="shared" si="33"/>
        <v>0</v>
      </c>
      <c r="U361" s="1">
        <f t="shared" si="34"/>
        <v>0</v>
      </c>
      <c r="V361" s="1">
        <f t="shared" si="35"/>
        <v>1</v>
      </c>
    </row>
    <row r="362" x14ac:dyDescent="0.25">
      <c r="A362" s="1">
        <v>360</v>
      </c>
      <c r="B362" s="1" t="str">
        <v>Leonor Perez-Durand</v>
      </c>
      <c r="C362" s="1" t="str">
        <v>Teleoleo</v>
      </c>
      <c r="D362" s="1" t="str">
        <v>Entrevista de actores clave</v>
      </c>
      <c r="E362" s="1" t="str">
        <v>Prensa</v>
      </c>
      <c r="F362" s="1" t="str">
        <v>Nacional</v>
      </c>
      <c r="G362" s="1" t="str">
        <v/>
      </c>
      <c r="H362" s="1" t="str">
        <v>Sí</v>
      </c>
      <c r="I362" s="2" t="str">
        <v/>
      </c>
      <c r="J362" s="2" t="str">
        <v/>
      </c>
      <c r="K362" s="2" t="str">
        <v/>
      </c>
      <c r="L362" s="1" t="str">
        <v>Realizada completa</v>
      </c>
      <c r="M362" s="2">
        <v>46165</v>
      </c>
      <c r="N362" s="2" t="str">
        <v/>
      </c>
      <c r="O362" s="1" t="str">
        <v>Realizada completa</v>
      </c>
      <c r="P362" s="1" t="str">
        <v/>
      </c>
      <c r="Q362" s="1" t="str">
        <v>A distancia asistido</v>
      </c>
      <c r="R362" s="1">
        <f t="shared" si="31"/>
        <v>1</v>
      </c>
      <c r="S362" s="1">
        <f t="shared" si="32"/>
        <v>0</v>
      </c>
      <c r="T362" s="1">
        <f t="shared" si="33"/>
        <v>0</v>
      </c>
      <c r="U362" s="1">
        <f t="shared" si="34"/>
        <v>1</v>
      </c>
      <c r="V362" s="1">
        <f t="shared" si="35"/>
        <v>0</v>
      </c>
    </row>
    <row r="363" x14ac:dyDescent="0.25">
      <c r="A363" s="1">
        <v>361</v>
      </c>
      <c r="B363" s="1" t="str">
        <v>Beatriz Gamarra</v>
      </c>
      <c r="C363" s="1" t="str">
        <v>UNICEF</v>
      </c>
      <c r="D363" s="1" t="str">
        <v>Entrevista de actores clave</v>
      </c>
      <c r="E363" s="1" t="str">
        <v>Multilaterales</v>
      </c>
      <c r="F363" s="1" t="str">
        <v>Nacional</v>
      </c>
      <c r="G363" s="1" t="str">
        <v/>
      </c>
      <c r="H363" s="1" t="str">
        <v>Sí</v>
      </c>
      <c r="I363" s="2" t="str">
        <v/>
      </c>
      <c r="J363" s="2" t="str">
        <v/>
      </c>
      <c r="K363" s="2" t="str">
        <v/>
      </c>
      <c r="L363" s="1" t="str">
        <v>Realizada completa</v>
      </c>
      <c r="M363" s="2">
        <v>46175</v>
      </c>
      <c r="N363" s="2" t="str">
        <v/>
      </c>
      <c r="O363" s="1" t="str">
        <v>Realizada completa</v>
      </c>
      <c r="P363" s="1" t="str">
        <v/>
      </c>
      <c r="Q363" s="1" t="str">
        <v>A distancia asistido</v>
      </c>
      <c r="R363" s="1">
        <f t="shared" si="31"/>
        <v>1</v>
      </c>
      <c r="S363" s="1">
        <f t="shared" si="32"/>
        <v>0</v>
      </c>
      <c r="T363" s="1">
        <f t="shared" si="33"/>
        <v>0</v>
      </c>
      <c r="U363" s="1">
        <f t="shared" si="34"/>
        <v>1</v>
      </c>
      <c r="V363" s="1">
        <f t="shared" si="35"/>
        <v>0</v>
      </c>
    </row>
    <row r="364" x14ac:dyDescent="0.25">
      <c r="A364" s="1">
        <v>362</v>
      </c>
      <c r="B364" s="1" t="str">
        <v>Ayesha Dávila Torres</v>
      </c>
      <c r="C364" s="1" t="str">
        <v>Cresiendo</v>
      </c>
      <c r="D364" s="1" t="str">
        <v>Entrevista de actores clave</v>
      </c>
      <c r="E364" s="1" t="str">
        <v>Actores locales</v>
      </c>
      <c r="F364" s="1" t="str">
        <v>Nacional</v>
      </c>
      <c r="G364" s="1" t="str">
        <v>IJM</v>
      </c>
      <c r="H364" s="1" t="str">
        <v>Sí</v>
      </c>
      <c r="I364" s="2" t="str">
        <v/>
      </c>
      <c r="J364" s="2" t="str">
        <v/>
      </c>
      <c r="K364" s="2" t="str">
        <v/>
      </c>
      <c r="L364" s="1" t="str">
        <v>Realizada completa</v>
      </c>
      <c r="M364" s="2">
        <v>46163</v>
      </c>
      <c r="N364" s="2" t="str">
        <v/>
      </c>
      <c r="O364" s="1" t="str">
        <v>Realizada completa</v>
      </c>
      <c r="P364" s="1" t="str">
        <v/>
      </c>
      <c r="Q364" s="1" t="str">
        <v>A distancia asistido</v>
      </c>
    </row>
    <row r="365" x14ac:dyDescent="0.25">
      <c r="A365" s="1">
        <v>363</v>
      </c>
      <c r="B365" s="1" t="str">
        <v>Pedro Martín Fuentes Sotelo</v>
      </c>
      <c r="C365" s="1" t="str">
        <v>Defensa Pública</v>
      </c>
      <c r="D365" s="1" t="str">
        <v>Entrevista de actores clave</v>
      </c>
      <c r="E365" s="1" t="str">
        <v/>
      </c>
      <c r="F365" s="1" t="str">
        <v>Nacional</v>
      </c>
      <c r="G365" s="1" t="str">
        <v/>
      </c>
      <c r="H365" s="1" t="str">
        <v>no</v>
      </c>
      <c r="I365" s="2">
        <v>46171</v>
      </c>
      <c r="J365" s="2" t="str">
        <v/>
      </c>
      <c r="K365" s="2" t="str">
        <v/>
      </c>
      <c r="L365" s="1" t="str">
        <v>sin respuesta</v>
      </c>
      <c r="M365" s="2" t="str">
        <v/>
      </c>
      <c r="N365" s="2" t="str">
        <v/>
      </c>
      <c r="O365" s="1" t="str">
        <v>sin respuesta</v>
      </c>
      <c r="P365" s="1" t="str">
        <v/>
      </c>
      <c r="Q365" s="1" t="str">
        <v/>
      </c>
    </row>
    <row r="366" x14ac:dyDescent="0.25">
      <c r="A366" s="1">
        <v>364</v>
      </c>
      <c r="B366" s="1" t="str">
        <v>Eysler Nieto</v>
      </c>
      <c r="C366" s="1" t="str">
        <v>Paz y esperanza </v>
      </c>
      <c r="D366" s="1" t="str">
        <v>Entrevista de actores clave</v>
      </c>
      <c r="E366" s="1" t="str">
        <v>Multilaterales</v>
      </c>
      <c r="F366" s="1" t="str">
        <v>Distrito Judicial: Huánuco</v>
      </c>
      <c r="G366" s="1" t="str">
        <v>IJM</v>
      </c>
      <c r="H366" s="1" t="str">
        <v>Sí</v>
      </c>
      <c r="I366" s="2">
        <v>46189</v>
      </c>
      <c r="J366" s="2" t="str">
        <v/>
      </c>
      <c r="K366" s="2" t="str">
        <v/>
      </c>
      <c r="L366" s="1" t="str">
        <v>Realizada completa</v>
      </c>
      <c r="M366" s="2" t="str">
        <v/>
      </c>
      <c r="N366" s="2" t="str">
        <v/>
      </c>
      <c r="O366" s="1" t="str">
        <v>Realizada completa</v>
      </c>
      <c r="P366" s="1" t="str">
        <v/>
      </c>
      <c r="Q366" s="1" t="str">
        <v>A distancia asistido</v>
      </c>
    </row>
    <row r="367" x14ac:dyDescent="0.25">
      <c r="A367" s="1">
        <v>365</v>
      </c>
      <c r="B367" s="1" t="str">
        <v>Elga Prado</v>
      </c>
      <c r="C367" s="1" t="str">
        <v>Manuela Ramos</v>
      </c>
      <c r="D367" s="1" t="str">
        <v>Entrevista de actores clave</v>
      </c>
      <c r="E367" s="1" t="str">
        <v>Actores locales</v>
      </c>
      <c r="F367" s="1" t="str">
        <v>Nacional</v>
      </c>
      <c r="G367" s="1" t="str">
        <v/>
      </c>
      <c r="H367" s="1" t="str">
        <v/>
      </c>
      <c r="I367" s="2" t="str">
        <v/>
      </c>
      <c r="J367" s="2" t="str">
        <v/>
      </c>
      <c r="K367" s="2" t="str">
        <v/>
      </c>
      <c r="L367" s="1" t="str">
        <v>Realizada completa</v>
      </c>
      <c r="M367" s="2" t="str">
        <v/>
      </c>
      <c r="N367" s="2" t="str">
        <v/>
      </c>
      <c r="O367" s="1" t="str">
        <v>Realizada completa</v>
      </c>
      <c r="P367" s="1" t="str">
        <v/>
      </c>
      <c r="Q367" s="1" t="str">
        <v>A distancia asistido</v>
      </c>
    </row>
    <row r="368" x14ac:dyDescent="0.25">
      <c r="A368" s="1">
        <v>366</v>
      </c>
      <c r="B368" s="1" t="str">
        <v>Katherine Flores</v>
      </c>
      <c r="C368" s="1" t="str">
        <v>Familias Unidas Por Justicia</v>
      </c>
      <c r="D368" s="1" t="str">
        <v>Entrevista de actores clave</v>
      </c>
      <c r="E368" s="1" t="str">
        <v>Actores locales</v>
      </c>
      <c r="F368" s="1" t="str">
        <v>Nacional</v>
      </c>
      <c r="G368" s="1" t="str">
        <v/>
      </c>
      <c r="H368" s="1" t="str">
        <v/>
      </c>
      <c r="I368" s="2" t="str">
        <v/>
      </c>
      <c r="J368" s="2" t="str">
        <v/>
      </c>
      <c r="K368" s="2" t="str">
        <v/>
      </c>
      <c r="L368" s="1" t="str">
        <v>Realizada completa</v>
      </c>
      <c r="M368" s="2" t="str">
        <v/>
      </c>
      <c r="N368" s="2" t="str">
        <v/>
      </c>
      <c r="O368" s="1" t="str">
        <v>Realizada completa</v>
      </c>
      <c r="P368" s="1" t="str">
        <v/>
      </c>
      <c r="Q368" s="1" t="str">
        <v>A distancia asistido</v>
      </c>
    </row>
    <row r="369" x14ac:dyDescent="0.25">
      <c r="A369" s="1">
        <v>366</v>
      </c>
      <c r="B369" s="1" t="str">
        <v>Giovanna Maria Cavero Mogollon</v>
      </c>
      <c r="C369" s="1" t="str">
        <v>Save The Children</v>
      </c>
      <c r="D369" s="1" t="str">
        <v>Entrevista de actores clave</v>
      </c>
      <c r="E369" s="1" t="str">
        <v>Multilaterales</v>
      </c>
      <c r="F369" s="1" t="str">
        <v>Nacional</v>
      </c>
      <c r="G369" s="1" t="str">
        <v/>
      </c>
      <c r="H369" s="1" t="str">
        <v/>
      </c>
      <c r="I369" s="2" t="str">
        <v/>
      </c>
      <c r="J369" s="2" t="str">
        <v/>
      </c>
      <c r="K369" s="2" t="str">
        <v/>
      </c>
      <c r="L369" s="1" t="str">
        <v>Realizada completa</v>
      </c>
      <c r="M369" s="2" t="str">
        <v/>
      </c>
      <c r="N369" s="2" t="str">
        <v/>
      </c>
      <c r="O369" s="1" t="str">
        <v>Realizada completa</v>
      </c>
      <c r="P369" s="1" t="str">
        <v/>
      </c>
      <c r="Q369" s="1" t="str">
        <v>A distancia asistido</v>
      </c>
    </row>
    <row r="370" x14ac:dyDescent="0.25">
      <c r="A370" s="1">
        <v>367</v>
      </c>
      <c r="B370" s="1" t="str">
        <v>Lina Amelia Maldonado Córdova</v>
      </c>
      <c r="C370" s="1" t="str">
        <v>Ministerio Público (Fiscalía)</v>
      </c>
      <c r="D370" s="1" t="str">
        <v>Entrevista de actores clave</v>
      </c>
      <c r="E370" s="1" t="str">
        <v>Funcionarios del Sistema</v>
      </c>
      <c r="F370" s="1" t="str">
        <v/>
      </c>
      <c r="G370" s="1" t="str">
        <v>IJM</v>
      </c>
      <c r="H370" s="1" t="str">
        <v>Sí</v>
      </c>
      <c r="I370" s="2">
        <v>46197</v>
      </c>
      <c r="J370" s="2" t="str">
        <v/>
      </c>
      <c r="K370" s="2" t="str">
        <v/>
      </c>
      <c r="L370" s="1" t="str">
        <v>Aceptada</v>
      </c>
      <c r="M370" s="2" t="str">
        <v/>
      </c>
      <c r="N370" s="2" t="str">
        <v/>
      </c>
      <c r="O370" s="1" t="str">
        <v>Aceptada</v>
      </c>
      <c r="P370" s="1" t="str">
        <v/>
      </c>
      <c r="Q370" s="1" t="str">
        <v/>
      </c>
    </row>
    <row r="371" x14ac:dyDescent="0.25">
      <c r="A371" s="1" t="str">
        <v/>
      </c>
      <c r="B371" s="1" t="str">
        <v/>
      </c>
      <c r="C371" s="1" t="str">
        <v/>
      </c>
      <c r="D371" s="1" t="str">
        <v/>
      </c>
      <c r="E371" s="1" t="str">
        <v/>
      </c>
      <c r="F371" s="1" t="str">
        <v/>
      </c>
      <c r="G371" s="1" t="str">
        <v/>
      </c>
      <c r="H371" s="1" t="str">
        <v/>
      </c>
      <c r="I371" s="2" t="str">
        <v/>
      </c>
      <c r="J371" s="2" t="str">
        <v/>
      </c>
      <c r="K371" s="2" t="str">
        <v/>
      </c>
      <c r="L371" s="1" t="str">
        <v/>
      </c>
      <c r="M371" s="2" t="str">
        <v/>
      </c>
      <c r="N371" s="2" t="str">
        <v/>
      </c>
      <c r="O371" s="1" t="str">
        <v/>
      </c>
      <c r="P371" s="1" t="str">
        <v/>
      </c>
      <c r="Q371" s="1" t="str">
        <v/>
      </c>
    </row>
    <row r="372" x14ac:dyDescent="0.25">
      <c r="A372" s="1" t="str">
        <v/>
      </c>
      <c r="B372" s="1" t="str">
        <v/>
      </c>
      <c r="C372" s="1" t="str">
        <v/>
      </c>
      <c r="D372" s="1" t="str">
        <v/>
      </c>
      <c r="E372" s="1" t="str">
        <v/>
      </c>
      <c r="F372" s="1" t="str">
        <v/>
      </c>
      <c r="G372" s="1" t="str">
        <v/>
      </c>
      <c r="H372" s="1" t="str">
        <v/>
      </c>
      <c r="I372" s="2" t="str">
        <v/>
      </c>
      <c r="J372" s="2" t="str">
        <v/>
      </c>
      <c r="K372" s="2" t="str">
        <v/>
      </c>
      <c r="L372" s="1" t="str">
        <v/>
      </c>
      <c r="M372" s="2" t="str">
        <v/>
      </c>
      <c r="N372" s="2" t="str">
        <v/>
      </c>
      <c r="O372" s="1" t="str">
        <v/>
      </c>
      <c r="P372" s="1" t="str">
        <v/>
      </c>
      <c r="Q372" s="1" t="str">
        <v/>
      </c>
    </row>
    <row r="373" x14ac:dyDescent="0.25">
      <c r="A373" s="1" t="str">
        <v/>
      </c>
      <c r="B373" s="1" t="str">
        <v/>
      </c>
      <c r="C373" s="1" t="str">
        <v/>
      </c>
      <c r="D373" s="1" t="str">
        <v/>
      </c>
      <c r="E373" s="1" t="str">
        <v/>
      </c>
      <c r="F373" s="1" t="str">
        <v/>
      </c>
      <c r="G373" s="1" t="str">
        <v/>
      </c>
      <c r="H373" s="1" t="str">
        <v/>
      </c>
      <c r="I373" s="2" t="str">
        <v/>
      </c>
      <c r="J373" s="2" t="str">
        <v/>
      </c>
      <c r="K373" s="2" t="str">
        <v/>
      </c>
      <c r="L373" s="1" t="str">
        <v/>
      </c>
      <c r="M373" s="2" t="str">
        <v/>
      </c>
      <c r="N373" s="2" t="str">
        <v/>
      </c>
      <c r="O373" s="1" t="str">
        <v/>
      </c>
      <c r="P373" s="1" t="str">
        <v/>
      </c>
      <c r="Q373" s="1" t="str">
        <v/>
      </c>
    </row>
    <row r="374" x14ac:dyDescent="0.25">
      <c r="A374" s="1" t="str">
        <v/>
      </c>
      <c r="B374" s="1" t="str">
        <v/>
      </c>
      <c r="C374" s="1" t="str">
        <v/>
      </c>
      <c r="D374" s="1" t="str">
        <v/>
      </c>
      <c r="E374" s="1" t="str">
        <v/>
      </c>
      <c r="F374" s="1" t="str">
        <v/>
      </c>
      <c r="G374" s="1" t="str">
        <v/>
      </c>
      <c r="H374" s="1" t="str">
        <v/>
      </c>
      <c r="I374" s="2" t="str">
        <v/>
      </c>
      <c r="J374" s="2" t="str">
        <v/>
      </c>
      <c r="K374" s="2" t="str">
        <v/>
      </c>
      <c r="L374" s="1" t="str">
        <v/>
      </c>
      <c r="M374" s="2" t="str">
        <v/>
      </c>
      <c r="N374" s="2" t="str">
        <v/>
      </c>
      <c r="O374" s="1" t="str">
        <v/>
      </c>
      <c r="P374" s="1" t="str">
        <v/>
      </c>
      <c r="Q374" s="1" t="str">
        <v/>
      </c>
    </row>
    <row r="375" x14ac:dyDescent="0.25">
      <c r="A375" s="1" t="str">
        <v/>
      </c>
      <c r="B375" s="1" t="str">
        <v/>
      </c>
      <c r="C375" s="1" t="str">
        <v/>
      </c>
      <c r="D375" s="1" t="str">
        <v/>
      </c>
      <c r="E375" s="1" t="str">
        <v/>
      </c>
      <c r="F375" s="1" t="str">
        <v/>
      </c>
      <c r="G375" s="1" t="str">
        <v/>
      </c>
      <c r="H375" s="1" t="str">
        <v/>
      </c>
      <c r="I375" s="2" t="str">
        <v/>
      </c>
      <c r="J375" s="2" t="str">
        <v/>
      </c>
      <c r="K375" s="2" t="str">
        <v/>
      </c>
      <c r="L375" s="1" t="str">
        <v/>
      </c>
      <c r="M375" s="2" t="str">
        <v/>
      </c>
      <c r="N375" s="2" t="str">
        <v/>
      </c>
      <c r="O375" s="1" t="str">
        <v/>
      </c>
      <c r="P375" s="1" t="str">
        <v/>
      </c>
      <c r="Q375" s="1" t="str">
        <v/>
      </c>
    </row>
    <row r="376" x14ac:dyDescent="0.25">
      <c r="A376" s="1" t="str">
        <v/>
      </c>
      <c r="B376" s="1" t="str">
        <v/>
      </c>
      <c r="C376" s="1" t="str">
        <v/>
      </c>
      <c r="D376" s="1" t="str">
        <v/>
      </c>
      <c r="E376" s="1" t="str">
        <v/>
      </c>
      <c r="F376" s="1" t="str">
        <v/>
      </c>
      <c r="G376" s="1" t="str">
        <v/>
      </c>
      <c r="H376" s="1" t="str">
        <v/>
      </c>
      <c r="I376" s="2" t="str">
        <v/>
      </c>
      <c r="J376" s="2" t="str">
        <v/>
      </c>
      <c r="K376" s="2" t="str">
        <v/>
      </c>
      <c r="L376" s="1" t="str">
        <v/>
      </c>
      <c r="M376" s="2" t="str">
        <v/>
      </c>
      <c r="N376" s="2" t="str">
        <v/>
      </c>
      <c r="O376" s="1" t="str">
        <v/>
      </c>
      <c r="P376" s="1" t="str">
        <v/>
      </c>
      <c r="Q376" s="1" t="str">
        <v/>
      </c>
    </row>
    <row r="377" x14ac:dyDescent="0.25">
      <c r="A377" s="1" t="str">
        <v/>
      </c>
      <c r="B377" s="1" t="str">
        <v/>
      </c>
      <c r="C377" s="1" t="str">
        <v/>
      </c>
      <c r="D377" s="1" t="str">
        <v/>
      </c>
      <c r="E377" s="1" t="str">
        <v/>
      </c>
      <c r="F377" s="1" t="str">
        <v/>
      </c>
      <c r="G377" s="1" t="str">
        <v/>
      </c>
      <c r="H377" s="1" t="str">
        <v/>
      </c>
      <c r="I377" s="2" t="str">
        <v/>
      </c>
      <c r="J377" s="2" t="str">
        <v/>
      </c>
      <c r="K377" s="2" t="str">
        <v/>
      </c>
      <c r="L377" s="1" t="str">
        <v/>
      </c>
      <c r="M377" s="2" t="str">
        <v/>
      </c>
      <c r="N377" s="2" t="str">
        <v/>
      </c>
      <c r="O377" s="1" t="str">
        <v/>
      </c>
      <c r="P377" s="1" t="str">
        <v/>
      </c>
      <c r="Q377" s="1" t="str">
        <v/>
      </c>
    </row>
    <row r="378" x14ac:dyDescent="0.25">
      <c r="A378" s="1" t="str">
        <v/>
      </c>
      <c r="B378" s="1" t="str">
        <v/>
      </c>
      <c r="C378" s="1" t="str">
        <v/>
      </c>
      <c r="D378" s="1" t="str">
        <v/>
      </c>
      <c r="E378" s="1" t="str">
        <v/>
      </c>
      <c r="F378" s="1" t="str">
        <v/>
      </c>
      <c r="G378" s="1" t="str">
        <v/>
      </c>
      <c r="H378" s="1" t="str">
        <v/>
      </c>
      <c r="I378" s="2" t="str">
        <v/>
      </c>
      <c r="J378" s="2" t="str">
        <v/>
      </c>
      <c r="K378" s="2" t="str">
        <v/>
      </c>
      <c r="L378" s="1" t="str">
        <v/>
      </c>
      <c r="M378" s="2" t="str">
        <v/>
      </c>
      <c r="N378" s="2" t="str">
        <v/>
      </c>
      <c r="O378" s="1" t="str">
        <v/>
      </c>
      <c r="P378" s="1" t="str">
        <v/>
      </c>
      <c r="Q378" s="1" t="str">
        <v/>
      </c>
    </row>
    <row r="379" x14ac:dyDescent="0.25">
      <c r="A379" s="1" t="str">
        <v/>
      </c>
      <c r="B379" s="1" t="str">
        <v/>
      </c>
      <c r="C379" s="1" t="str">
        <v/>
      </c>
      <c r="D379" s="1" t="str">
        <v/>
      </c>
      <c r="E379" s="1" t="str">
        <v/>
      </c>
      <c r="F379" s="1" t="str">
        <v/>
      </c>
      <c r="G379" s="1" t="str">
        <v/>
      </c>
      <c r="H379" s="1" t="str">
        <v/>
      </c>
      <c r="I379" s="2" t="str">
        <v/>
      </c>
      <c r="J379" s="2" t="str">
        <v/>
      </c>
      <c r="K379" s="2" t="str">
        <v/>
      </c>
      <c r="L379" s="1" t="str">
        <v/>
      </c>
      <c r="M379" s="2" t="str">
        <v/>
      </c>
      <c r="N379" s="2" t="str">
        <v/>
      </c>
      <c r="O379" s="1" t="str">
        <v/>
      </c>
      <c r="P379" s="1" t="str">
        <v/>
      </c>
      <c r="Q379" s="1" t="str">
        <v/>
      </c>
    </row>
    <row r="380" x14ac:dyDescent="0.25">
      <c r="A380" s="1" t="str">
        <v/>
      </c>
      <c r="B380" s="1" t="str">
        <v/>
      </c>
      <c r="C380" s="1" t="str">
        <v/>
      </c>
      <c r="D380" s="1" t="str">
        <v/>
      </c>
      <c r="E380" s="1" t="str">
        <v/>
      </c>
      <c r="F380" s="1" t="str">
        <v/>
      </c>
      <c r="G380" s="1" t="str">
        <v/>
      </c>
      <c r="H380" s="1" t="str">
        <v/>
      </c>
      <c r="I380" s="2" t="str">
        <v/>
      </c>
      <c r="J380" s="2" t="str">
        <v/>
      </c>
      <c r="K380" s="2" t="str">
        <v/>
      </c>
      <c r="L380" s="1" t="str">
        <v/>
      </c>
      <c r="M380" s="2" t="str">
        <v/>
      </c>
      <c r="N380" s="2" t="str">
        <v/>
      </c>
      <c r="O380" s="1" t="str">
        <v/>
      </c>
      <c r="P380" s="1" t="str">
        <v/>
      </c>
      <c r="Q380" s="1" t="str">
        <v/>
      </c>
    </row>
    <row r="381" x14ac:dyDescent="0.25">
      <c r="A381" s="1" t="str">
        <v/>
      </c>
      <c r="B381" s="1" t="str">
        <v/>
      </c>
      <c r="C381" s="1" t="str">
        <v/>
      </c>
      <c r="D381" s="1" t="str">
        <v/>
      </c>
      <c r="E381" s="1" t="str">
        <v/>
      </c>
      <c r="F381" s="1" t="str">
        <v/>
      </c>
      <c r="G381" s="1" t="str">
        <v/>
      </c>
      <c r="H381" s="1" t="str">
        <v/>
      </c>
      <c r="I381" s="2" t="str">
        <v/>
      </c>
      <c r="J381" s="2" t="str">
        <v/>
      </c>
      <c r="K381" s="2" t="str">
        <v/>
      </c>
      <c r="L381" s="1" t="str">
        <v/>
      </c>
      <c r="M381" s="2" t="str">
        <v/>
      </c>
      <c r="N381" s="2" t="str">
        <v/>
      </c>
      <c r="O381" s="1" t="str">
        <v/>
      </c>
      <c r="P381" s="1" t="str">
        <v/>
      </c>
      <c r="Q381" s="1" t="str">
        <v/>
      </c>
    </row>
    <row r="382" x14ac:dyDescent="0.25">
      <c r="A382" s="1" t="str">
        <v/>
      </c>
      <c r="B382" s="1" t="str">
        <v/>
      </c>
      <c r="C382" s="1" t="str">
        <v/>
      </c>
      <c r="D382" s="1" t="str">
        <v/>
      </c>
      <c r="E382" s="1" t="str">
        <v/>
      </c>
      <c r="F382" s="1" t="str">
        <v/>
      </c>
      <c r="G382" s="1" t="str">
        <v/>
      </c>
      <c r="H382" s="1" t="str">
        <v/>
      </c>
      <c r="I382" s="2" t="str">
        <v/>
      </c>
      <c r="J382" s="2" t="str">
        <v/>
      </c>
      <c r="K382" s="2" t="str">
        <v/>
      </c>
      <c r="L382" s="1" t="str">
        <v/>
      </c>
      <c r="M382" s="2" t="str">
        <v/>
      </c>
      <c r="N382" s="2" t="str">
        <v/>
      </c>
      <c r="O382" s="1" t="str">
        <v/>
      </c>
      <c r="P382" s="1" t="str">
        <v/>
      </c>
      <c r="Q382" s="1" t="str">
        <v/>
      </c>
    </row>
    <row r="383" x14ac:dyDescent="0.25">
      <c r="A383" s="1" t="str">
        <v/>
      </c>
      <c r="B383" s="1" t="str">
        <v/>
      </c>
      <c r="C383" s="1" t="str">
        <v/>
      </c>
      <c r="D383" s="1" t="str">
        <v/>
      </c>
      <c r="E383" s="1" t="str">
        <v/>
      </c>
      <c r="F383" s="1" t="str">
        <v/>
      </c>
      <c r="G383" s="1" t="str">
        <v/>
      </c>
      <c r="H383" s="1" t="str">
        <v/>
      </c>
      <c r="I383" s="2" t="str">
        <v/>
      </c>
      <c r="J383" s="2" t="str">
        <v/>
      </c>
      <c r="K383" s="2" t="str">
        <v/>
      </c>
      <c r="L383" s="1" t="str">
        <v/>
      </c>
      <c r="M383" s="2" t="str">
        <v/>
      </c>
      <c r="N383" s="2" t="str">
        <v/>
      </c>
      <c r="O383" s="1" t="str">
        <v/>
      </c>
      <c r="P383" s="1" t="str">
        <v/>
      </c>
      <c r="Q383" s="1" t="str">
        <v/>
      </c>
    </row>
    <row r="384" x14ac:dyDescent="0.25">
      <c r="A384" s="1" t="str">
        <v/>
      </c>
      <c r="B384" s="1" t="str">
        <v/>
      </c>
      <c r="C384" s="1" t="str">
        <v/>
      </c>
      <c r="D384" s="1" t="str">
        <v/>
      </c>
      <c r="E384" s="1" t="str">
        <v/>
      </c>
      <c r="F384" s="1" t="str">
        <v/>
      </c>
      <c r="G384" s="1" t="str">
        <v/>
      </c>
      <c r="H384" s="1" t="str">
        <v/>
      </c>
      <c r="I384" s="2" t="str">
        <v/>
      </c>
      <c r="J384" s="2" t="str">
        <v/>
      </c>
      <c r="K384" s="2" t="str">
        <v/>
      </c>
      <c r="L384" s="1" t="str">
        <v/>
      </c>
      <c r="M384" s="2" t="str">
        <v/>
      </c>
      <c r="N384" s="2" t="str">
        <v/>
      </c>
      <c r="O384" s="1" t="str">
        <v/>
      </c>
      <c r="P384" s="1" t="str">
        <v/>
      </c>
      <c r="Q384" s="1" t="str">
        <v/>
      </c>
    </row>
    <row r="385" x14ac:dyDescent="0.25">
      <c r="A385" s="1" t="str">
        <v/>
      </c>
      <c r="B385" s="1" t="str">
        <v/>
      </c>
      <c r="C385" s="1" t="str">
        <v/>
      </c>
      <c r="D385" s="1" t="str">
        <v/>
      </c>
      <c r="E385" s="1" t="str">
        <v/>
      </c>
      <c r="F385" s="1" t="str">
        <v/>
      </c>
      <c r="G385" s="1" t="str">
        <v/>
      </c>
      <c r="H385" s="1" t="str">
        <v/>
      </c>
      <c r="I385" s="2" t="str">
        <v/>
      </c>
      <c r="J385" s="2" t="str">
        <v/>
      </c>
      <c r="K385" s="2" t="str">
        <v/>
      </c>
      <c r="L385" s="1" t="str">
        <v/>
      </c>
      <c r="M385" s="2" t="str">
        <v/>
      </c>
      <c r="N385" s="2" t="str">
        <v/>
      </c>
      <c r="O385" s="1" t="str">
        <v/>
      </c>
      <c r="P385" s="1" t="str">
        <v/>
      </c>
      <c r="Q385" s="1" t="str">
        <v/>
      </c>
    </row>
    <row r="386" x14ac:dyDescent="0.25">
      <c r="A386" s="1" t="str">
        <v/>
      </c>
      <c r="B386" s="1" t="str">
        <v/>
      </c>
      <c r="C386" s="1" t="str">
        <v/>
      </c>
      <c r="D386" s="1" t="str">
        <v/>
      </c>
      <c r="E386" s="1" t="str">
        <v/>
      </c>
      <c r="F386" s="1" t="str">
        <v/>
      </c>
      <c r="G386" s="1" t="str">
        <v/>
      </c>
      <c r="H386" s="1" t="str">
        <v/>
      </c>
      <c r="I386" s="2" t="str">
        <v/>
      </c>
      <c r="J386" s="2" t="str">
        <v/>
      </c>
      <c r="K386" s="2" t="str">
        <v/>
      </c>
      <c r="L386" s="1" t="str">
        <v/>
      </c>
      <c r="M386" s="2" t="str">
        <v/>
      </c>
      <c r="N386" s="2" t="str">
        <v/>
      </c>
      <c r="O386" s="1" t="str">
        <v/>
      </c>
      <c r="P386" s="1" t="str">
        <v/>
      </c>
      <c r="Q386" s="1" t="str">
        <v/>
      </c>
    </row>
    <row r="387" x14ac:dyDescent="0.25">
      <c r="A387" s="1" t="str">
        <v/>
      </c>
      <c r="B387" s="1" t="str">
        <v/>
      </c>
      <c r="C387" s="1" t="str">
        <v/>
      </c>
      <c r="D387" s="1" t="str">
        <v/>
      </c>
      <c r="E387" s="1" t="str">
        <v/>
      </c>
      <c r="F387" s="1" t="str">
        <v/>
      </c>
      <c r="G387" s="1" t="str">
        <v/>
      </c>
      <c r="H387" s="1" t="str">
        <v/>
      </c>
      <c r="I387" s="2" t="str">
        <v/>
      </c>
      <c r="J387" s="2" t="str">
        <v/>
      </c>
      <c r="K387" s="2" t="str">
        <v/>
      </c>
      <c r="L387" s="1" t="str">
        <v/>
      </c>
      <c r="M387" s="2" t="str">
        <v/>
      </c>
      <c r="N387" s="2" t="str">
        <v/>
      </c>
      <c r="O387" s="1" t="str">
        <v/>
      </c>
      <c r="P387" s="1" t="str">
        <v/>
      </c>
      <c r="Q387" s="1" t="str">
        <v/>
      </c>
    </row>
    <row r="388" x14ac:dyDescent="0.25">
      <c r="A388" s="1" t="str">
        <v/>
      </c>
      <c r="B388" s="1" t="str">
        <v/>
      </c>
      <c r="C388" s="1" t="str">
        <v/>
      </c>
      <c r="D388" s="1" t="str">
        <v/>
      </c>
      <c r="E388" s="1" t="str">
        <v/>
      </c>
      <c r="F388" s="1" t="str">
        <v/>
      </c>
      <c r="G388" s="1" t="str">
        <v/>
      </c>
      <c r="H388" s="1" t="str">
        <v/>
      </c>
      <c r="I388" s="2" t="str">
        <v/>
      </c>
      <c r="J388" s="2" t="str">
        <v/>
      </c>
      <c r="K388" s="2" t="str">
        <v/>
      </c>
      <c r="L388" s="1" t="str">
        <v/>
      </c>
      <c r="M388" s="2" t="str">
        <v/>
      </c>
      <c r="N388" s="2" t="str">
        <v/>
      </c>
      <c r="O388" s="1" t="str">
        <v/>
      </c>
      <c r="P388" s="1" t="str">
        <v/>
      </c>
      <c r="Q388" s="1" t="str">
        <v/>
      </c>
    </row>
    <row r="389" x14ac:dyDescent="0.25">
      <c r="A389" s="1" t="str">
        <v/>
      </c>
      <c r="B389" s="1" t="str">
        <v/>
      </c>
      <c r="C389" s="1" t="str">
        <v/>
      </c>
      <c r="D389" s="1" t="str">
        <v/>
      </c>
      <c r="E389" s="1" t="str">
        <v/>
      </c>
      <c r="F389" s="1" t="str">
        <v/>
      </c>
      <c r="G389" s="1" t="str">
        <v/>
      </c>
      <c r="H389" s="1" t="str">
        <v/>
      </c>
      <c r="I389" s="2" t="str">
        <v/>
      </c>
      <c r="J389" s="2" t="str">
        <v/>
      </c>
      <c r="K389" s="2" t="str">
        <v/>
      </c>
      <c r="L389" s="1" t="str">
        <v/>
      </c>
      <c r="M389" s="2" t="str">
        <v/>
      </c>
      <c r="N389" s="2" t="str">
        <v/>
      </c>
      <c r="O389" s="1" t="str">
        <v/>
      </c>
      <c r="P389" s="1" t="str">
        <v/>
      </c>
      <c r="Q389" s="1" t="str">
        <v/>
      </c>
    </row>
    <row r="390" x14ac:dyDescent="0.25">
      <c r="A390" s="1" t="str">
        <v/>
      </c>
      <c r="B390" s="1" t="str">
        <v/>
      </c>
      <c r="C390" s="1" t="str">
        <v/>
      </c>
      <c r="D390" s="1" t="str">
        <v/>
      </c>
      <c r="E390" s="1" t="str">
        <v/>
      </c>
      <c r="F390" s="1" t="str">
        <v/>
      </c>
      <c r="G390" s="1" t="str">
        <v/>
      </c>
      <c r="H390" s="1" t="str">
        <v/>
      </c>
      <c r="I390" s="2" t="str">
        <v/>
      </c>
      <c r="J390" s="2" t="str">
        <v/>
      </c>
      <c r="K390" s="2" t="str">
        <v/>
      </c>
      <c r="L390" s="1" t="str">
        <v/>
      </c>
      <c r="M390" s="2" t="str">
        <v/>
      </c>
      <c r="N390" s="2" t="str">
        <v/>
      </c>
      <c r="O390" s="1" t="str">
        <v/>
      </c>
      <c r="P390" s="1" t="str">
        <v/>
      </c>
      <c r="Q390" s="1" t="str">
        <v/>
      </c>
    </row>
    <row r="391" x14ac:dyDescent="0.25">
      <c r="A391" s="1" t="str">
        <v/>
      </c>
      <c r="B391" s="1" t="str">
        <v/>
      </c>
      <c r="C391" s="1" t="str">
        <v/>
      </c>
      <c r="D391" s="1" t="str">
        <v/>
      </c>
      <c r="E391" s="1" t="str">
        <v/>
      </c>
      <c r="F391" s="1" t="str">
        <v/>
      </c>
      <c r="G391" s="1" t="str">
        <v/>
      </c>
      <c r="H391" s="1" t="str">
        <v/>
      </c>
      <c r="I391" s="2" t="str">
        <v/>
      </c>
      <c r="J391" s="2" t="str">
        <v/>
      </c>
      <c r="K391" s="2" t="str">
        <v/>
      </c>
      <c r="L391" s="1" t="str">
        <v/>
      </c>
      <c r="M391" s="2" t="str">
        <v/>
      </c>
      <c r="N391" s="2" t="str">
        <v/>
      </c>
      <c r="O391" s="1" t="str">
        <v/>
      </c>
      <c r="P391" s="1" t="str">
        <v/>
      </c>
      <c r="Q391" s="1" t="str">
        <v/>
      </c>
    </row>
    <row r="392" x14ac:dyDescent="0.25">
      <c r="A392" s="1" t="str">
        <v/>
      </c>
      <c r="B392" s="1" t="str">
        <v/>
      </c>
      <c r="C392" s="1" t="str">
        <v/>
      </c>
      <c r="D392" s="1" t="str">
        <v/>
      </c>
      <c r="E392" s="1" t="str">
        <v/>
      </c>
      <c r="F392" s="1" t="str">
        <v/>
      </c>
      <c r="G392" s="1" t="str">
        <v/>
      </c>
      <c r="H392" s="1" t="str">
        <v/>
      </c>
      <c r="I392" s="2" t="str">
        <v/>
      </c>
      <c r="J392" s="2" t="str">
        <v/>
      </c>
      <c r="K392" s="2" t="str">
        <v/>
      </c>
      <c r="L392" s="1" t="str">
        <v/>
      </c>
      <c r="M392" s="2" t="str">
        <v/>
      </c>
      <c r="N392" s="2" t="str">
        <v/>
      </c>
      <c r="O392" s="1" t="str">
        <v/>
      </c>
      <c r="P392" s="1" t="str">
        <v/>
      </c>
      <c r="Q392" s="1" t="str">
        <v/>
      </c>
    </row>
    <row r="393" x14ac:dyDescent="0.25">
      <c r="A393" s="1" t="str">
        <v/>
      </c>
      <c r="B393" s="1" t="str">
        <v/>
      </c>
      <c r="C393" s="1" t="str">
        <v/>
      </c>
      <c r="D393" s="1" t="str">
        <v/>
      </c>
      <c r="E393" s="1" t="str">
        <v/>
      </c>
      <c r="F393" s="1" t="str">
        <v/>
      </c>
      <c r="G393" s="1" t="str">
        <v/>
      </c>
      <c r="H393" s="1" t="str">
        <v/>
      </c>
      <c r="I393" s="2" t="str">
        <v/>
      </c>
      <c r="J393" s="2" t="str">
        <v/>
      </c>
      <c r="K393" s="2" t="str">
        <v/>
      </c>
      <c r="L393" s="1" t="str">
        <v/>
      </c>
      <c r="M393" s="2" t="str">
        <v/>
      </c>
      <c r="N393" s="2" t="str">
        <v/>
      </c>
      <c r="O393" s="1" t="str">
        <v/>
      </c>
      <c r="P393" s="1" t="str">
        <v/>
      </c>
      <c r="Q393" s="1" t="str">
        <v/>
      </c>
    </row>
    <row r="394" x14ac:dyDescent="0.25">
      <c r="A394" s="1" t="str">
        <v/>
      </c>
      <c r="B394" s="1" t="str">
        <v/>
      </c>
      <c r="C394" s="1" t="str">
        <v/>
      </c>
      <c r="D394" s="1" t="str">
        <v/>
      </c>
      <c r="E394" s="1" t="str">
        <v/>
      </c>
      <c r="F394" s="1" t="str">
        <v/>
      </c>
      <c r="G394" s="1" t="str">
        <v/>
      </c>
      <c r="H394" s="1" t="str">
        <v/>
      </c>
      <c r="I394" s="2" t="str">
        <v/>
      </c>
      <c r="J394" s="2" t="str">
        <v/>
      </c>
      <c r="K394" s="2" t="str">
        <v/>
      </c>
      <c r="L394" s="1" t="str">
        <v/>
      </c>
      <c r="M394" s="2" t="str">
        <v/>
      </c>
      <c r="N394" s="2" t="str">
        <v/>
      </c>
      <c r="O394" s="1" t="str">
        <v/>
      </c>
      <c r="P394" s="1" t="str">
        <v/>
      </c>
      <c r="Q394" s="1" t="str">
        <v/>
      </c>
    </row>
    <row r="395" x14ac:dyDescent="0.25">
      <c r="A395" s="1" t="str">
        <v/>
      </c>
      <c r="B395" s="1" t="str">
        <v/>
      </c>
      <c r="C395" s="1" t="str">
        <v/>
      </c>
      <c r="D395" s="1" t="str">
        <v/>
      </c>
      <c r="E395" s="1" t="str">
        <v/>
      </c>
      <c r="F395" s="1" t="str">
        <v/>
      </c>
      <c r="G395" s="1" t="str">
        <v/>
      </c>
      <c r="H395" s="1" t="str">
        <v/>
      </c>
      <c r="I395" s="2" t="str">
        <v/>
      </c>
      <c r="J395" s="2" t="str">
        <v/>
      </c>
      <c r="K395" s="2" t="str">
        <v/>
      </c>
      <c r="L395" s="1" t="str">
        <v/>
      </c>
      <c r="M395" s="2" t="str">
        <v/>
      </c>
      <c r="N395" s="2" t="str">
        <v/>
      </c>
      <c r="O395" s="1" t="str">
        <v/>
      </c>
      <c r="P395" s="1" t="str">
        <v/>
      </c>
      <c r="Q395" s="1" t="str">
        <v/>
      </c>
    </row>
    <row r="396" x14ac:dyDescent="0.25">
      <c r="A396" s="1" t="str">
        <v/>
      </c>
      <c r="B396" s="1" t="str">
        <v/>
      </c>
      <c r="C396" s="1" t="str">
        <v/>
      </c>
      <c r="D396" s="1" t="str">
        <v/>
      </c>
      <c r="E396" s="1" t="str">
        <v/>
      </c>
      <c r="F396" s="1" t="str">
        <v/>
      </c>
      <c r="G396" s="1" t="str">
        <v/>
      </c>
      <c r="H396" s="1" t="str">
        <v/>
      </c>
      <c r="I396" s="2" t="str">
        <v/>
      </c>
      <c r="J396" s="2" t="str">
        <v/>
      </c>
      <c r="K396" s="2" t="str">
        <v/>
      </c>
      <c r="L396" s="1" t="str">
        <v/>
      </c>
      <c r="M396" s="2" t="str">
        <v/>
      </c>
      <c r="N396" s="2" t="str">
        <v/>
      </c>
      <c r="O396" s="1" t="str">
        <v/>
      </c>
      <c r="P396" s="1" t="str">
        <v/>
      </c>
      <c r="Q396" s="1" t="str">
        <v/>
      </c>
    </row>
    <row r="397" x14ac:dyDescent="0.25">
      <c r="A397" s="1" t="str">
        <v/>
      </c>
      <c r="B397" s="1" t="str">
        <v/>
      </c>
      <c r="C397" s="1" t="str">
        <v/>
      </c>
      <c r="D397" s="1" t="str">
        <v/>
      </c>
      <c r="E397" s="1" t="str">
        <v/>
      </c>
      <c r="F397" s="1" t="str">
        <v/>
      </c>
      <c r="G397" s="1" t="str">
        <v/>
      </c>
      <c r="H397" s="1" t="str">
        <v/>
      </c>
      <c r="I397" s="2" t="str">
        <v/>
      </c>
      <c r="J397" s="2" t="str">
        <v/>
      </c>
      <c r="K397" s="2" t="str">
        <v/>
      </c>
      <c r="L397" s="1" t="str">
        <v/>
      </c>
      <c r="M397" s="2" t="str">
        <v/>
      </c>
      <c r="N397" s="2" t="str">
        <v/>
      </c>
      <c r="O397" s="1" t="str">
        <v/>
      </c>
      <c r="P397" s="1" t="str">
        <v/>
      </c>
      <c r="Q397" s="1" t="str">
        <v/>
      </c>
    </row>
    <row r="398" x14ac:dyDescent="0.25">
      <c r="A398" s="1" t="str">
        <v/>
      </c>
      <c r="B398" s="1" t="str">
        <v/>
      </c>
      <c r="C398" s="1" t="str">
        <v/>
      </c>
      <c r="D398" s="1" t="str">
        <v/>
      </c>
      <c r="E398" s="1" t="str">
        <v/>
      </c>
      <c r="F398" s="1" t="str">
        <v/>
      </c>
      <c r="G398" s="1" t="str">
        <v/>
      </c>
      <c r="H398" s="1" t="str">
        <v/>
      </c>
      <c r="I398" s="2" t="str">
        <v/>
      </c>
      <c r="J398" s="2" t="str">
        <v/>
      </c>
      <c r="K398" s="2" t="str">
        <v/>
      </c>
      <c r="L398" s="1" t="str">
        <v/>
      </c>
      <c r="M398" s="2" t="str">
        <v/>
      </c>
      <c r="N398" s="2" t="str">
        <v/>
      </c>
      <c r="O398" s="1" t="str">
        <v/>
      </c>
      <c r="P398" s="1" t="str">
        <v/>
      </c>
      <c r="Q398" s="1" t="str">
        <v/>
      </c>
    </row>
    <row r="399" x14ac:dyDescent="0.25">
      <c r="A399" s="1" t="str">
        <v/>
      </c>
      <c r="B399" s="1" t="str">
        <v/>
      </c>
      <c r="C399" s="1" t="str">
        <v/>
      </c>
      <c r="D399" s="1" t="str">
        <v/>
      </c>
      <c r="E399" s="1" t="str">
        <v/>
      </c>
      <c r="F399" s="1" t="str">
        <v/>
      </c>
      <c r="G399" s="1" t="str">
        <v/>
      </c>
      <c r="H399" s="1" t="str">
        <v/>
      </c>
      <c r="I399" s="2" t="str">
        <v/>
      </c>
      <c r="J399" s="2" t="str">
        <v/>
      </c>
      <c r="K399" s="2" t="str">
        <v/>
      </c>
      <c r="L399" s="1" t="str">
        <v/>
      </c>
      <c r="M399" s="2" t="str">
        <v/>
      </c>
      <c r="N399" s="2" t="str">
        <v/>
      </c>
      <c r="O399" s="1" t="str">
        <v/>
      </c>
      <c r="P399" s="1" t="str">
        <v/>
      </c>
      <c r="Q399" s="1" t="str">
        <v/>
      </c>
    </row>
    <row r="400" x14ac:dyDescent="0.25">
      <c r="A400" s="1" t="str">
        <v/>
      </c>
      <c r="B400" s="1" t="str">
        <v/>
      </c>
      <c r="C400" s="1" t="str">
        <v/>
      </c>
      <c r="D400" s="1" t="str">
        <v/>
      </c>
      <c r="E400" s="1" t="str">
        <v/>
      </c>
      <c r="F400" s="1" t="str">
        <v/>
      </c>
      <c r="G400" s="1" t="str">
        <v/>
      </c>
      <c r="H400" s="1" t="str">
        <v/>
      </c>
      <c r="I400" s="2" t="str">
        <v/>
      </c>
      <c r="J400" s="2" t="str">
        <v/>
      </c>
      <c r="K400" s="2" t="str">
        <v/>
      </c>
      <c r="L400" s="1" t="str">
        <v/>
      </c>
      <c r="M400" s="2" t="str">
        <v/>
      </c>
      <c r="N400" s="2" t="str">
        <v/>
      </c>
      <c r="O400" s="1" t="str">
        <v/>
      </c>
      <c r="P400" s="1" t="str">
        <v/>
      </c>
      <c r="Q400" s="1" t="str">
        <v/>
      </c>
    </row>
    <row r="401" x14ac:dyDescent="0.25">
      <c r="A401" s="1" t="str">
        <v/>
      </c>
      <c r="B401" s="1" t="str">
        <v/>
      </c>
      <c r="C401" s="1" t="str">
        <v/>
      </c>
      <c r="D401" s="1" t="str">
        <v/>
      </c>
      <c r="E401" s="1" t="str">
        <v/>
      </c>
      <c r="F401" s="1" t="str">
        <v/>
      </c>
      <c r="G401" s="1" t="str">
        <v/>
      </c>
      <c r="H401" s="1" t="str">
        <v/>
      </c>
      <c r="I401" s="2" t="str">
        <v/>
      </c>
      <c r="J401" s="2" t="str">
        <v/>
      </c>
      <c r="K401" s="2" t="str">
        <v/>
      </c>
      <c r="L401" s="1" t="str">
        <v/>
      </c>
      <c r="M401" s="2" t="str">
        <v/>
      </c>
      <c r="N401" s="2" t="str">
        <v/>
      </c>
      <c r="O401" s="1" t="str">
        <v/>
      </c>
      <c r="P401" s="1" t="str">
        <v/>
      </c>
      <c r="Q401" s="1" t="str">
        <v/>
      </c>
    </row>
    <row r="402" x14ac:dyDescent="0.25">
      <c r="A402" s="1" t="str">
        <v/>
      </c>
      <c r="B402" s="1" t="str">
        <v/>
      </c>
      <c r="C402" s="1" t="str">
        <v/>
      </c>
      <c r="D402" s="1" t="str">
        <v/>
      </c>
      <c r="E402" s="1" t="str">
        <v/>
      </c>
      <c r="F402" s="1" t="str">
        <v/>
      </c>
      <c r="G402" s="1" t="str">
        <v/>
      </c>
      <c r="H402" s="1" t="str">
        <v/>
      </c>
      <c r="I402" s="2" t="str">
        <v/>
      </c>
      <c r="J402" s="2" t="str">
        <v/>
      </c>
      <c r="K402" s="2" t="str">
        <v/>
      </c>
      <c r="L402" s="1" t="str">
        <v/>
      </c>
      <c r="M402" s="2" t="str">
        <v/>
      </c>
      <c r="N402" s="2" t="str">
        <v/>
      </c>
      <c r="O402" s="1" t="str">
        <v/>
      </c>
      <c r="P402" s="1" t="str">
        <v/>
      </c>
      <c r="Q402" s="1" t="str">
        <v/>
      </c>
    </row>
    <row r="403" x14ac:dyDescent="0.25">
      <c r="A403" s="1" t="str">
        <v/>
      </c>
      <c r="B403" s="1" t="str">
        <v/>
      </c>
      <c r="C403" s="1" t="str">
        <v/>
      </c>
      <c r="D403" s="1" t="str">
        <v/>
      </c>
      <c r="E403" s="1" t="str">
        <v/>
      </c>
      <c r="F403" s="1" t="str">
        <v/>
      </c>
      <c r="G403" s="1" t="str">
        <v/>
      </c>
      <c r="H403" s="1" t="str">
        <v/>
      </c>
      <c r="I403" s="2" t="str">
        <v/>
      </c>
      <c r="J403" s="2" t="str">
        <v/>
      </c>
      <c r="K403" s="2" t="str">
        <v/>
      </c>
      <c r="L403" s="1" t="str">
        <v/>
      </c>
      <c r="M403" s="2" t="str">
        <v/>
      </c>
      <c r="N403" s="2" t="str">
        <v/>
      </c>
      <c r="O403" s="1" t="str">
        <v/>
      </c>
      <c r="P403" s="1" t="str">
        <v/>
      </c>
      <c r="Q403" s="1" t="str">
        <v/>
      </c>
    </row>
    <row r="404" x14ac:dyDescent="0.25">
      <c r="A404" s="1" t="str">
        <v/>
      </c>
      <c r="B404" s="1" t="str">
        <v/>
      </c>
      <c r="C404" s="1" t="str">
        <v/>
      </c>
      <c r="D404" s="1" t="str">
        <v/>
      </c>
      <c r="E404" s="1" t="str">
        <v/>
      </c>
      <c r="F404" s="1" t="str">
        <v/>
      </c>
      <c r="G404" s="1" t="str">
        <v/>
      </c>
      <c r="H404" s="1" t="str">
        <v/>
      </c>
      <c r="I404" s="2" t="str">
        <v/>
      </c>
      <c r="J404" s="2" t="str">
        <v/>
      </c>
      <c r="K404" s="2" t="str">
        <v/>
      </c>
      <c r="L404" s="1" t="str">
        <v/>
      </c>
      <c r="M404" s="2" t="str">
        <v/>
      </c>
      <c r="N404" s="2" t="str">
        <v/>
      </c>
      <c r="O404" s="1" t="str">
        <v/>
      </c>
      <c r="P404" s="1" t="str">
        <v/>
      </c>
      <c r="Q404" s="1" t="str">
        <v/>
      </c>
    </row>
    <row r="405" x14ac:dyDescent="0.25">
      <c r="A405" s="1" t="str">
        <v/>
      </c>
      <c r="B405" s="1" t="str">
        <v/>
      </c>
      <c r="C405" s="1" t="str">
        <v/>
      </c>
      <c r="D405" s="1" t="str">
        <v/>
      </c>
      <c r="E405" s="1" t="str">
        <v/>
      </c>
      <c r="F405" s="1" t="str">
        <v/>
      </c>
      <c r="G405" s="1" t="str">
        <v/>
      </c>
      <c r="H405" s="1" t="str">
        <v/>
      </c>
      <c r="I405" s="2" t="str">
        <v/>
      </c>
      <c r="J405" s="2" t="str">
        <v/>
      </c>
      <c r="K405" s="2" t="str">
        <v/>
      </c>
      <c r="L405" s="1" t="str">
        <v/>
      </c>
      <c r="M405" s="2" t="str">
        <v/>
      </c>
      <c r="N405" s="2" t="str">
        <v/>
      </c>
      <c r="O405" s="1" t="str">
        <v/>
      </c>
      <c r="P405" s="1" t="str">
        <v/>
      </c>
      <c r="Q405" s="1" t="str">
        <v/>
      </c>
    </row>
    <row r="406" x14ac:dyDescent="0.25">
      <c r="A406" s="1" t="str">
        <v/>
      </c>
      <c r="B406" s="1" t="str">
        <v/>
      </c>
      <c r="C406" s="1" t="str">
        <v/>
      </c>
      <c r="D406" s="1" t="str">
        <v/>
      </c>
      <c r="E406" s="1" t="str">
        <v/>
      </c>
      <c r="F406" s="1" t="str">
        <v/>
      </c>
      <c r="G406" s="1" t="str">
        <v/>
      </c>
      <c r="H406" s="1" t="str">
        <v/>
      </c>
      <c r="I406" s="2" t="str">
        <v/>
      </c>
      <c r="J406" s="2" t="str">
        <v/>
      </c>
      <c r="K406" s="2" t="str">
        <v/>
      </c>
      <c r="L406" s="1" t="str">
        <v/>
      </c>
      <c r="M406" s="2" t="str">
        <v/>
      </c>
      <c r="N406" s="2" t="str">
        <v/>
      </c>
      <c r="O406" s="1" t="str">
        <v/>
      </c>
      <c r="P406" s="1" t="str">
        <v/>
      </c>
      <c r="Q406" s="1" t="str">
        <v/>
      </c>
    </row>
    <row r="407" x14ac:dyDescent="0.25">
      <c r="A407" s="1" t="str">
        <v/>
      </c>
      <c r="B407" s="1" t="str">
        <v/>
      </c>
      <c r="C407" s="1" t="str">
        <v/>
      </c>
      <c r="D407" s="1" t="str">
        <v/>
      </c>
      <c r="E407" s="1" t="str">
        <v/>
      </c>
      <c r="F407" s="1" t="str">
        <v/>
      </c>
      <c r="G407" s="1" t="str">
        <v/>
      </c>
      <c r="H407" s="1" t="str">
        <v/>
      </c>
      <c r="I407" s="2" t="str">
        <v/>
      </c>
      <c r="J407" s="2" t="str">
        <v/>
      </c>
      <c r="K407" s="2" t="str">
        <v/>
      </c>
      <c r="L407" s="1" t="str">
        <v/>
      </c>
      <c r="M407" s="2" t="str">
        <v/>
      </c>
      <c r="N407" s="2" t="str">
        <v/>
      </c>
      <c r="O407" s="1" t="str">
        <v/>
      </c>
      <c r="P407" s="1" t="str">
        <v/>
      </c>
      <c r="Q407" s="1" t="str">
        <v/>
      </c>
    </row>
    <row r="408" x14ac:dyDescent="0.25">
      <c r="A408" s="1" t="str">
        <v/>
      </c>
      <c r="B408" s="1" t="str">
        <v/>
      </c>
      <c r="C408" s="1" t="str">
        <v/>
      </c>
      <c r="D408" s="1" t="str">
        <v/>
      </c>
      <c r="E408" s="1" t="str">
        <v/>
      </c>
      <c r="F408" s="1" t="str">
        <v/>
      </c>
      <c r="G408" s="1" t="str">
        <v/>
      </c>
      <c r="H408" s="1" t="str">
        <v/>
      </c>
      <c r="I408" s="2" t="str">
        <v/>
      </c>
      <c r="J408" s="2" t="str">
        <v/>
      </c>
      <c r="K408" s="2" t="str">
        <v/>
      </c>
      <c r="L408" s="1" t="str">
        <v/>
      </c>
      <c r="M408" s="2" t="str">
        <v/>
      </c>
      <c r="N408" s="2" t="str">
        <v/>
      </c>
      <c r="O408" s="1" t="str">
        <v/>
      </c>
      <c r="P408" s="1" t="str">
        <v/>
      </c>
      <c r="Q408" s="1" t="str">
        <v/>
      </c>
    </row>
    <row r="409" x14ac:dyDescent="0.25">
      <c r="A409" s="1" t="str">
        <v/>
      </c>
      <c r="B409" s="1" t="str">
        <v/>
      </c>
      <c r="C409" s="1" t="str">
        <v/>
      </c>
      <c r="D409" s="1" t="str">
        <v/>
      </c>
      <c r="E409" s="1" t="str">
        <v/>
      </c>
      <c r="F409" s="1" t="str">
        <v/>
      </c>
      <c r="G409" s="1" t="str">
        <v/>
      </c>
      <c r="H409" s="1" t="str">
        <v/>
      </c>
      <c r="I409" s="2" t="str">
        <v/>
      </c>
      <c r="J409" s="2" t="str">
        <v/>
      </c>
      <c r="K409" s="2" t="str">
        <v/>
      </c>
      <c r="L409" s="1" t="str">
        <v/>
      </c>
      <c r="M409" s="2" t="str">
        <v/>
      </c>
      <c r="N409" s="2" t="str">
        <v/>
      </c>
      <c r="O409" s="1" t="str">
        <v/>
      </c>
      <c r="P409" s="1" t="str">
        <v/>
      </c>
      <c r="Q409" s="1" t="str">
        <v/>
      </c>
    </row>
    <row r="410" x14ac:dyDescent="0.25">
      <c r="A410" s="1" t="str">
        <v/>
      </c>
      <c r="B410" s="1" t="str">
        <v/>
      </c>
      <c r="C410" s="1" t="str">
        <v/>
      </c>
      <c r="D410" s="1" t="str">
        <v/>
      </c>
      <c r="E410" s="1" t="str">
        <v/>
      </c>
      <c r="F410" s="1" t="str">
        <v/>
      </c>
      <c r="G410" s="1" t="str">
        <v/>
      </c>
      <c r="H410" s="1" t="str">
        <v/>
      </c>
      <c r="I410" s="2" t="str">
        <v/>
      </c>
      <c r="J410" s="2" t="str">
        <v/>
      </c>
      <c r="K410" s="2" t="str">
        <v/>
      </c>
      <c r="L410" s="1" t="str">
        <v/>
      </c>
      <c r="M410" s="2" t="str">
        <v/>
      </c>
      <c r="N410" s="2" t="str">
        <v/>
      </c>
      <c r="O410" s="1" t="str">
        <v/>
      </c>
      <c r="P410" s="1" t="str">
        <v/>
      </c>
      <c r="Q410" s="1" t="str">
        <v/>
      </c>
    </row>
    <row r="411" x14ac:dyDescent="0.25">
      <c r="A411" s="1" t="str">
        <v/>
      </c>
      <c r="B411" s="1" t="str">
        <v/>
      </c>
      <c r="C411" s="1" t="str">
        <v/>
      </c>
      <c r="D411" s="1" t="str">
        <v/>
      </c>
      <c r="E411" s="1" t="str">
        <v/>
      </c>
      <c r="F411" s="1" t="str">
        <v/>
      </c>
      <c r="G411" s="1" t="str">
        <v/>
      </c>
      <c r="H411" s="1" t="str">
        <v/>
      </c>
      <c r="I411" s="2" t="str">
        <v/>
      </c>
      <c r="J411" s="2" t="str">
        <v/>
      </c>
      <c r="K411" s="2" t="str">
        <v/>
      </c>
      <c r="L411" s="1" t="str">
        <v/>
      </c>
      <c r="M411" s="2" t="str">
        <v/>
      </c>
      <c r="N411" s="2" t="str">
        <v/>
      </c>
      <c r="O411" s="1" t="str">
        <v/>
      </c>
      <c r="P411" s="1" t="str">
        <v/>
      </c>
      <c r="Q411" s="1" t="str">
        <v/>
      </c>
    </row>
    <row r="412" x14ac:dyDescent="0.25">
      <c r="A412" s="1" t="str">
        <v/>
      </c>
      <c r="B412" s="1" t="str">
        <v/>
      </c>
      <c r="C412" s="1" t="str">
        <v/>
      </c>
      <c r="D412" s="1" t="str">
        <v/>
      </c>
      <c r="E412" s="1" t="str">
        <v/>
      </c>
      <c r="F412" s="1" t="str">
        <v/>
      </c>
      <c r="G412" s="1" t="str">
        <v/>
      </c>
      <c r="H412" s="1" t="str">
        <v/>
      </c>
      <c r="I412" s="2" t="str">
        <v/>
      </c>
      <c r="J412" s="2" t="str">
        <v/>
      </c>
      <c r="K412" s="2" t="str">
        <v/>
      </c>
      <c r="L412" s="1" t="str">
        <v/>
      </c>
      <c r="M412" s="2" t="str">
        <v/>
      </c>
      <c r="N412" s="2" t="str">
        <v/>
      </c>
      <c r="O412" s="1" t="str">
        <v/>
      </c>
      <c r="P412" s="1" t="str">
        <v/>
      </c>
      <c r="Q412" s="1" t="str">
        <v/>
      </c>
    </row>
    <row r="413" x14ac:dyDescent="0.25">
      <c r="A413" s="1" t="str">
        <v/>
      </c>
      <c r="B413" s="1" t="str">
        <v/>
      </c>
      <c r="C413" s="1" t="str">
        <v/>
      </c>
      <c r="D413" s="1" t="str">
        <v/>
      </c>
      <c r="E413" s="1" t="str">
        <v/>
      </c>
      <c r="F413" s="1" t="str">
        <v/>
      </c>
      <c r="G413" s="1" t="str">
        <v/>
      </c>
      <c r="H413" s="1" t="str">
        <v/>
      </c>
      <c r="I413" s="2" t="str">
        <v/>
      </c>
      <c r="J413" s="2" t="str">
        <v/>
      </c>
      <c r="K413" s="2" t="str">
        <v/>
      </c>
      <c r="L413" s="1" t="str">
        <v/>
      </c>
      <c r="M413" s="2" t="str">
        <v/>
      </c>
      <c r="N413" s="2" t="str">
        <v/>
      </c>
      <c r="O413" s="1" t="str">
        <v/>
      </c>
      <c r="P413" s="1" t="str">
        <v/>
      </c>
      <c r="Q413" s="1" t="str">
        <v/>
      </c>
    </row>
    <row r="414" x14ac:dyDescent="0.25">
      <c r="A414" s="1" t="str">
        <v/>
      </c>
      <c r="B414" s="1" t="str">
        <v/>
      </c>
      <c r="C414" s="1" t="str">
        <v/>
      </c>
      <c r="D414" s="1" t="str">
        <v/>
      </c>
      <c r="E414" s="1" t="str">
        <v/>
      </c>
      <c r="F414" s="1" t="str">
        <v/>
      </c>
      <c r="G414" s="1" t="str">
        <v/>
      </c>
      <c r="H414" s="1" t="str">
        <v/>
      </c>
      <c r="I414" s="2" t="str">
        <v/>
      </c>
      <c r="J414" s="2" t="str">
        <v/>
      </c>
      <c r="K414" s="2" t="str">
        <v/>
      </c>
      <c r="L414" s="1" t="str">
        <v/>
      </c>
      <c r="M414" s="2" t="str">
        <v/>
      </c>
      <c r="N414" s="2" t="str">
        <v/>
      </c>
      <c r="O414" s="1" t="str">
        <v/>
      </c>
      <c r="P414" s="1" t="str">
        <v/>
      </c>
      <c r="Q414" s="1" t="str">
        <v/>
      </c>
    </row>
    <row r="415" x14ac:dyDescent="0.25">
      <c r="A415" s="1" t="str">
        <v/>
      </c>
      <c r="B415" s="1" t="str">
        <v/>
      </c>
      <c r="C415" s="1" t="str">
        <v/>
      </c>
      <c r="D415" s="1" t="str">
        <v/>
      </c>
      <c r="E415" s="1" t="str">
        <v/>
      </c>
      <c r="F415" s="1" t="str">
        <v/>
      </c>
      <c r="G415" s="1" t="str">
        <v/>
      </c>
      <c r="H415" s="1" t="str">
        <v/>
      </c>
      <c r="I415" s="2" t="str">
        <v/>
      </c>
      <c r="J415" s="2" t="str">
        <v/>
      </c>
      <c r="K415" s="2" t="str">
        <v/>
      </c>
      <c r="L415" s="1" t="str">
        <v/>
      </c>
      <c r="M415" s="2" t="str">
        <v/>
      </c>
      <c r="N415" s="2" t="str">
        <v/>
      </c>
      <c r="O415" s="1" t="str">
        <v/>
      </c>
      <c r="P415" s="1" t="str">
        <v/>
      </c>
      <c r="Q415" s="1" t="str">
        <v/>
      </c>
    </row>
    <row r="416" x14ac:dyDescent="0.25">
      <c r="A416" s="1" t="str">
        <v/>
      </c>
      <c r="B416" s="1" t="str">
        <v/>
      </c>
      <c r="C416" s="1" t="str">
        <v/>
      </c>
      <c r="D416" s="1" t="str">
        <v/>
      </c>
      <c r="E416" s="1" t="str">
        <v/>
      </c>
      <c r="F416" s="1" t="str">
        <v/>
      </c>
      <c r="G416" s="1" t="str">
        <v/>
      </c>
      <c r="H416" s="1" t="str">
        <v/>
      </c>
      <c r="I416" s="2" t="str">
        <v/>
      </c>
      <c r="J416" s="2" t="str">
        <v/>
      </c>
      <c r="K416" s="2" t="str">
        <v/>
      </c>
      <c r="L416" s="1" t="str">
        <v/>
      </c>
      <c r="M416" s="2" t="str">
        <v/>
      </c>
      <c r="N416" s="2" t="str">
        <v/>
      </c>
      <c r="O416" s="1" t="str">
        <v/>
      </c>
      <c r="P416" s="1" t="str">
        <v/>
      </c>
      <c r="Q416" s="1" t="str">
        <v/>
      </c>
    </row>
    <row r="417" x14ac:dyDescent="0.25">
      <c r="A417" s="1" t="str">
        <v/>
      </c>
      <c r="B417" s="1" t="str">
        <v/>
      </c>
      <c r="C417" s="1" t="str">
        <v/>
      </c>
      <c r="D417" s="1" t="str">
        <v/>
      </c>
      <c r="E417" s="1" t="str">
        <v/>
      </c>
      <c r="F417" s="1" t="str">
        <v/>
      </c>
      <c r="G417" s="1" t="str">
        <v/>
      </c>
      <c r="H417" s="1" t="str">
        <v/>
      </c>
      <c r="I417" s="2" t="str">
        <v/>
      </c>
      <c r="J417" s="2" t="str">
        <v/>
      </c>
      <c r="K417" s="2" t="str">
        <v/>
      </c>
      <c r="L417" s="1" t="str">
        <v/>
      </c>
      <c r="M417" s="2" t="str">
        <v/>
      </c>
      <c r="N417" s="2" t="str">
        <v/>
      </c>
      <c r="O417" s="1" t="str">
        <v/>
      </c>
      <c r="P417" s="1" t="str">
        <v/>
      </c>
      <c r="Q417" s="1" t="str">
        <v/>
      </c>
    </row>
    <row r="418" x14ac:dyDescent="0.25">
      <c r="A418" s="1" t="str">
        <v/>
      </c>
      <c r="B418" s="1" t="str">
        <v/>
      </c>
      <c r="C418" s="1" t="str">
        <v/>
      </c>
      <c r="D418" s="1" t="str">
        <v/>
      </c>
      <c r="E418" s="1" t="str">
        <v/>
      </c>
      <c r="F418" s="1" t="str">
        <v/>
      </c>
      <c r="G418" s="1" t="str">
        <v/>
      </c>
      <c r="H418" s="1" t="str">
        <v/>
      </c>
      <c r="I418" s="2" t="str">
        <v/>
      </c>
      <c r="J418" s="2" t="str">
        <v/>
      </c>
      <c r="K418" s="2" t="str">
        <v/>
      </c>
      <c r="L418" s="1" t="str">
        <v/>
      </c>
      <c r="M418" s="2" t="str">
        <v/>
      </c>
      <c r="N418" s="2" t="str">
        <v/>
      </c>
      <c r="O418" s="1" t="str">
        <v/>
      </c>
      <c r="P418" s="1" t="str">
        <v/>
      </c>
      <c r="Q418" s="1" t="str">
        <v/>
      </c>
    </row>
    <row r="419" x14ac:dyDescent="0.25">
      <c r="A419" s="1" t="str">
        <v/>
      </c>
      <c r="B419" s="1" t="str">
        <v/>
      </c>
      <c r="C419" s="1" t="str">
        <v/>
      </c>
      <c r="D419" s="1" t="str">
        <v/>
      </c>
      <c r="E419" s="1" t="str">
        <v/>
      </c>
      <c r="F419" s="1" t="str">
        <v/>
      </c>
      <c r="G419" s="1" t="str">
        <v/>
      </c>
      <c r="H419" s="1" t="str">
        <v/>
      </c>
      <c r="I419" s="2" t="str">
        <v/>
      </c>
      <c r="J419" s="2" t="str">
        <v/>
      </c>
      <c r="K419" s="2" t="str">
        <v/>
      </c>
      <c r="L419" s="1" t="str">
        <v/>
      </c>
      <c r="M419" s="2" t="str">
        <v/>
      </c>
      <c r="N419" s="2" t="str">
        <v/>
      </c>
      <c r="O419" s="1" t="str">
        <v/>
      </c>
      <c r="P419" s="1" t="str">
        <v/>
      </c>
      <c r="Q419" s="1" t="str">
        <v/>
      </c>
    </row>
    <row r="420" x14ac:dyDescent="0.25">
      <c r="A420" s="1" t="str">
        <v/>
      </c>
      <c r="B420" s="1" t="str">
        <v/>
      </c>
      <c r="C420" s="1" t="str">
        <v/>
      </c>
      <c r="D420" s="1" t="str">
        <v/>
      </c>
      <c r="E420" s="1" t="str">
        <v/>
      </c>
      <c r="F420" s="1" t="str">
        <v/>
      </c>
      <c r="G420" s="1" t="str">
        <v/>
      </c>
      <c r="H420" s="1" t="str">
        <v/>
      </c>
      <c r="I420" s="2" t="str">
        <v/>
      </c>
      <c r="J420" s="2" t="str">
        <v/>
      </c>
      <c r="K420" s="2" t="str">
        <v/>
      </c>
      <c r="L420" s="1" t="str">
        <v/>
      </c>
      <c r="M420" s="2" t="str">
        <v/>
      </c>
      <c r="N420" s="2" t="str">
        <v/>
      </c>
      <c r="O420" s="1" t="str">
        <v/>
      </c>
      <c r="P420" s="1" t="str">
        <v/>
      </c>
      <c r="Q420" s="1" t="str">
        <v/>
      </c>
    </row>
    <row r="421" x14ac:dyDescent="0.25">
      <c r="A421" s="1" t="str">
        <v/>
      </c>
      <c r="B421" s="1" t="str">
        <v/>
      </c>
      <c r="C421" s="1" t="str">
        <v/>
      </c>
      <c r="D421" s="1" t="str">
        <v/>
      </c>
      <c r="E421" s="1" t="str">
        <v/>
      </c>
      <c r="F421" s="1" t="str">
        <v/>
      </c>
      <c r="G421" s="1" t="str">
        <v/>
      </c>
      <c r="H421" s="1" t="str">
        <v/>
      </c>
      <c r="I421" s="2" t="str">
        <v/>
      </c>
      <c r="J421" s="2" t="str">
        <v/>
      </c>
      <c r="K421" s="2" t="str">
        <v/>
      </c>
      <c r="L421" s="1" t="str">
        <v/>
      </c>
      <c r="M421" s="2" t="str">
        <v/>
      </c>
      <c r="N421" s="2" t="str">
        <v/>
      </c>
      <c r="O421" s="1" t="str">
        <v/>
      </c>
      <c r="P421" s="1" t="str">
        <v/>
      </c>
      <c r="Q421" s="1" t="str">
        <v/>
      </c>
    </row>
    <row r="422" x14ac:dyDescent="0.25">
      <c r="A422" s="1" t="str">
        <v/>
      </c>
      <c r="B422" s="1" t="str">
        <v/>
      </c>
      <c r="C422" s="1" t="str">
        <v/>
      </c>
      <c r="D422" s="1" t="str">
        <v/>
      </c>
      <c r="E422" s="1" t="str">
        <v/>
      </c>
      <c r="F422" s="1" t="str">
        <v/>
      </c>
      <c r="G422" s="1" t="str">
        <v/>
      </c>
      <c r="H422" s="1" t="str">
        <v/>
      </c>
      <c r="I422" s="2" t="str">
        <v/>
      </c>
      <c r="J422" s="2" t="str">
        <v/>
      </c>
      <c r="K422" s="2" t="str">
        <v/>
      </c>
      <c r="L422" s="1" t="str">
        <v/>
      </c>
      <c r="M422" s="2" t="str">
        <v/>
      </c>
      <c r="N422" s="2" t="str">
        <v/>
      </c>
      <c r="O422" s="1" t="str">
        <v/>
      </c>
      <c r="P422" s="1" t="str">
        <v/>
      </c>
      <c r="Q422" s="1" t="str">
        <v/>
      </c>
    </row>
    <row r="423" x14ac:dyDescent="0.25">
      <c r="A423" s="1" t="str">
        <v/>
      </c>
      <c r="B423" s="1" t="str">
        <v/>
      </c>
      <c r="C423" s="1" t="str">
        <v/>
      </c>
      <c r="D423" s="1" t="str">
        <v/>
      </c>
      <c r="E423" s="1" t="str">
        <v/>
      </c>
      <c r="F423" s="1" t="str">
        <v/>
      </c>
      <c r="G423" s="1" t="str">
        <v/>
      </c>
      <c r="H423" s="1" t="str">
        <v/>
      </c>
      <c r="I423" s="2" t="str">
        <v/>
      </c>
      <c r="J423" s="2" t="str">
        <v/>
      </c>
      <c r="K423" s="2" t="str">
        <v/>
      </c>
      <c r="L423" s="1" t="str">
        <v/>
      </c>
      <c r="M423" s="2" t="str">
        <v/>
      </c>
      <c r="N423" s="2" t="str">
        <v/>
      </c>
      <c r="O423" s="1" t="str">
        <v/>
      </c>
      <c r="P423" s="1" t="str">
        <v/>
      </c>
      <c r="Q423" s="1" t="str">
        <v/>
      </c>
    </row>
    <row r="424" x14ac:dyDescent="0.25">
      <c r="A424" s="1" t="str">
        <v/>
      </c>
      <c r="B424" s="1" t="str">
        <v/>
      </c>
      <c r="C424" s="1" t="str">
        <v/>
      </c>
      <c r="D424" s="1" t="str">
        <v/>
      </c>
      <c r="E424" s="1" t="str">
        <v/>
      </c>
      <c r="F424" s="1" t="str">
        <v/>
      </c>
      <c r="G424" s="1" t="str">
        <v/>
      </c>
      <c r="H424" s="1" t="str">
        <v/>
      </c>
      <c r="I424" s="2" t="str">
        <v/>
      </c>
      <c r="J424" s="2" t="str">
        <v/>
      </c>
      <c r="K424" s="2" t="str">
        <v/>
      </c>
      <c r="L424" s="1" t="str">
        <v/>
      </c>
      <c r="M424" s="2" t="str">
        <v/>
      </c>
      <c r="N424" s="2" t="str">
        <v/>
      </c>
      <c r="O424" s="1" t="str">
        <v/>
      </c>
      <c r="P424" s="1" t="str">
        <v/>
      </c>
      <c r="Q424" s="1" t="str">
        <v/>
      </c>
    </row>
    <row r="425" x14ac:dyDescent="0.25">
      <c r="A425" s="1" t="str">
        <v/>
      </c>
      <c r="B425" s="1" t="str">
        <v/>
      </c>
      <c r="C425" s="1" t="str">
        <v/>
      </c>
      <c r="D425" s="1" t="str">
        <v/>
      </c>
      <c r="E425" s="1" t="str">
        <v/>
      </c>
      <c r="F425" s="1" t="str">
        <v/>
      </c>
      <c r="G425" s="1" t="str">
        <v/>
      </c>
      <c r="H425" s="1" t="str">
        <v/>
      </c>
      <c r="I425" s="2" t="str">
        <v/>
      </c>
      <c r="J425" s="2" t="str">
        <v/>
      </c>
      <c r="K425" s="2" t="str">
        <v/>
      </c>
      <c r="L425" s="1" t="str">
        <v/>
      </c>
      <c r="M425" s="2" t="str">
        <v/>
      </c>
      <c r="N425" s="2" t="str">
        <v/>
      </c>
      <c r="O425" s="1" t="str">
        <v/>
      </c>
      <c r="P425" s="1" t="str">
        <v/>
      </c>
      <c r="Q425" s="1" t="str">
        <v/>
      </c>
    </row>
    <row r="426" x14ac:dyDescent="0.25">
      <c r="A426" s="1" t="str">
        <v/>
      </c>
      <c r="B426" s="1" t="str">
        <v/>
      </c>
      <c r="C426" s="1" t="str">
        <v/>
      </c>
      <c r="D426" s="1" t="str">
        <v/>
      </c>
      <c r="E426" s="1" t="str">
        <v/>
      </c>
      <c r="F426" s="1" t="str">
        <v/>
      </c>
      <c r="G426" s="1" t="str">
        <v/>
      </c>
      <c r="H426" s="1" t="str">
        <v/>
      </c>
      <c r="I426" s="2" t="str">
        <v/>
      </c>
      <c r="J426" s="2" t="str">
        <v/>
      </c>
      <c r="K426" s="2" t="str">
        <v/>
      </c>
      <c r="L426" s="1" t="str">
        <v/>
      </c>
      <c r="M426" s="2" t="str">
        <v/>
      </c>
      <c r="N426" s="2" t="str">
        <v/>
      </c>
      <c r="O426" s="1" t="str">
        <v/>
      </c>
      <c r="P426" s="1" t="str">
        <v/>
      </c>
      <c r="Q426" s="1" t="str">
        <v/>
      </c>
    </row>
    <row r="427" x14ac:dyDescent="0.25">
      <c r="A427" s="1" t="str">
        <v/>
      </c>
      <c r="B427" s="1" t="str">
        <v/>
      </c>
      <c r="C427" s="1" t="str">
        <v/>
      </c>
      <c r="D427" s="1" t="str">
        <v/>
      </c>
      <c r="E427" s="1" t="str">
        <v/>
      </c>
      <c r="F427" s="1" t="str">
        <v/>
      </c>
      <c r="G427" s="1" t="str">
        <v/>
      </c>
      <c r="H427" s="1" t="str">
        <v/>
      </c>
      <c r="I427" s="2" t="str">
        <v/>
      </c>
      <c r="J427" s="2" t="str">
        <v/>
      </c>
      <c r="K427" s="2" t="str">
        <v/>
      </c>
      <c r="L427" s="1" t="str">
        <v/>
      </c>
      <c r="M427" s="2" t="str">
        <v/>
      </c>
      <c r="N427" s="2" t="str">
        <v/>
      </c>
      <c r="O427" s="1" t="str">
        <v/>
      </c>
      <c r="P427" s="1" t="str">
        <v/>
      </c>
      <c r="Q427" s="1" t="str">
        <v/>
      </c>
    </row>
    <row r="428" x14ac:dyDescent="0.25">
      <c r="A428" s="1" t="str">
        <v/>
      </c>
      <c r="B428" s="1" t="str">
        <v/>
      </c>
      <c r="C428" s="1" t="str">
        <v/>
      </c>
      <c r="D428" s="1" t="str">
        <v/>
      </c>
      <c r="E428" s="1" t="str">
        <v/>
      </c>
      <c r="F428" s="1" t="str">
        <v/>
      </c>
      <c r="G428" s="1" t="str">
        <v/>
      </c>
      <c r="H428" s="1" t="str">
        <v/>
      </c>
      <c r="I428" s="2" t="str">
        <v/>
      </c>
      <c r="J428" s="2" t="str">
        <v/>
      </c>
      <c r="K428" s="2" t="str">
        <v/>
      </c>
      <c r="L428" s="1" t="str">
        <v/>
      </c>
      <c r="M428" s="2" t="str">
        <v/>
      </c>
      <c r="N428" s="2" t="str">
        <v/>
      </c>
      <c r="O428" s="1" t="str">
        <v/>
      </c>
      <c r="P428" s="1" t="str">
        <v/>
      </c>
      <c r="Q428" s="1" t="str">
        <v/>
      </c>
    </row>
    <row r="429" x14ac:dyDescent="0.25">
      <c r="A429" s="1" t="str">
        <v/>
      </c>
      <c r="B429" s="1" t="str">
        <v/>
      </c>
      <c r="C429" s="1" t="str">
        <v/>
      </c>
      <c r="D429" s="1" t="str">
        <v/>
      </c>
      <c r="E429" s="1" t="str">
        <v/>
      </c>
      <c r="F429" s="1" t="str">
        <v/>
      </c>
      <c r="G429" s="1" t="str">
        <v/>
      </c>
      <c r="H429" s="1" t="str">
        <v/>
      </c>
      <c r="I429" s="2" t="str">
        <v/>
      </c>
      <c r="J429" s="2" t="str">
        <v/>
      </c>
      <c r="K429" s="2" t="str">
        <v/>
      </c>
      <c r="L429" s="1" t="str">
        <v/>
      </c>
      <c r="M429" s="2" t="str">
        <v/>
      </c>
      <c r="N429" s="2" t="str">
        <v/>
      </c>
      <c r="O429" s="1" t="str">
        <v/>
      </c>
      <c r="P429" s="1" t="str">
        <v/>
      </c>
      <c r="Q429" s="1" t="str">
        <v/>
      </c>
    </row>
    <row r="430" x14ac:dyDescent="0.25">
      <c r="A430" s="1" t="str">
        <v/>
      </c>
      <c r="B430" s="1" t="str">
        <v/>
      </c>
      <c r="C430" s="1" t="str">
        <v/>
      </c>
      <c r="D430" s="1" t="str">
        <v/>
      </c>
      <c r="E430" s="1" t="str">
        <v/>
      </c>
      <c r="F430" s="1" t="str">
        <v/>
      </c>
      <c r="G430" s="1" t="str">
        <v/>
      </c>
      <c r="H430" s="1" t="str">
        <v/>
      </c>
      <c r="I430" s="2" t="str">
        <v/>
      </c>
      <c r="J430" s="2" t="str">
        <v/>
      </c>
      <c r="K430" s="2" t="str">
        <v/>
      </c>
      <c r="L430" s="1" t="str">
        <v/>
      </c>
      <c r="M430" s="2" t="str">
        <v/>
      </c>
      <c r="N430" s="2" t="str">
        <v/>
      </c>
      <c r="O430" s="1" t="str">
        <v/>
      </c>
      <c r="P430" s="1" t="str">
        <v/>
      </c>
      <c r="Q430" s="1" t="str">
        <v/>
      </c>
    </row>
    <row r="431" x14ac:dyDescent="0.25">
      <c r="A431" s="1" t="str">
        <v/>
      </c>
      <c r="B431" s="1" t="str">
        <v/>
      </c>
      <c r="C431" s="1" t="str">
        <v/>
      </c>
      <c r="D431" s="1" t="str">
        <v/>
      </c>
      <c r="E431" s="1" t="str">
        <v/>
      </c>
      <c r="F431" s="1" t="str">
        <v/>
      </c>
      <c r="G431" s="1" t="str">
        <v/>
      </c>
      <c r="H431" s="1" t="str">
        <v/>
      </c>
      <c r="I431" s="2" t="str">
        <v/>
      </c>
      <c r="J431" s="2" t="str">
        <v/>
      </c>
      <c r="K431" s="2" t="str">
        <v/>
      </c>
      <c r="L431" s="1" t="str">
        <v/>
      </c>
      <c r="M431" s="2" t="str">
        <v/>
      </c>
      <c r="N431" s="2" t="str">
        <v/>
      </c>
      <c r="O431" s="1" t="str">
        <v/>
      </c>
      <c r="P431" s="1" t="str">
        <v/>
      </c>
      <c r="Q431" s="1" t="str">
        <v/>
      </c>
    </row>
    <row r="432" x14ac:dyDescent="0.25">
      <c r="A432" s="1" t="str">
        <v/>
      </c>
      <c r="B432" s="1" t="str">
        <v/>
      </c>
      <c r="C432" s="1" t="str">
        <v/>
      </c>
      <c r="D432" s="1" t="str">
        <v/>
      </c>
      <c r="E432" s="1" t="str">
        <v/>
      </c>
      <c r="F432" s="1" t="str">
        <v/>
      </c>
      <c r="G432" s="1" t="str">
        <v/>
      </c>
      <c r="H432" s="1" t="str">
        <v/>
      </c>
      <c r="I432" s="2" t="str">
        <v/>
      </c>
      <c r="J432" s="2" t="str">
        <v/>
      </c>
      <c r="K432" s="2" t="str">
        <v/>
      </c>
      <c r="L432" s="1" t="str">
        <v/>
      </c>
      <c r="M432" s="2" t="str">
        <v/>
      </c>
      <c r="N432" s="2" t="str">
        <v/>
      </c>
      <c r="O432" s="1" t="str">
        <v/>
      </c>
      <c r="P432" s="1" t="str">
        <v/>
      </c>
      <c r="Q432" s="1" t="str">
        <v/>
      </c>
    </row>
    <row r="433" x14ac:dyDescent="0.25">
      <c r="A433" s="1" t="str">
        <v/>
      </c>
      <c r="B433" s="1" t="str">
        <v/>
      </c>
      <c r="C433" s="1" t="str">
        <v/>
      </c>
      <c r="D433" s="1" t="str">
        <v/>
      </c>
      <c r="E433" s="1" t="str">
        <v/>
      </c>
      <c r="F433" s="1" t="str">
        <v/>
      </c>
      <c r="G433" s="1" t="str">
        <v/>
      </c>
      <c r="H433" s="1" t="str">
        <v/>
      </c>
      <c r="I433" s="2" t="str">
        <v/>
      </c>
      <c r="J433" s="2" t="str">
        <v/>
      </c>
      <c r="K433" s="2" t="str">
        <v/>
      </c>
      <c r="L433" s="1" t="str">
        <v/>
      </c>
      <c r="M433" s="2" t="str">
        <v/>
      </c>
      <c r="N433" s="2" t="str">
        <v/>
      </c>
      <c r="O433" s="1" t="str">
        <v/>
      </c>
      <c r="P433" s="1" t="str">
        <v/>
      </c>
      <c r="Q433" s="1" t="str">
        <v/>
      </c>
    </row>
    <row r="434" x14ac:dyDescent="0.25">
      <c r="A434" s="1" t="str">
        <v/>
      </c>
      <c r="B434" s="1" t="str">
        <v/>
      </c>
      <c r="C434" s="1" t="str">
        <v/>
      </c>
      <c r="D434" s="1" t="str">
        <v/>
      </c>
      <c r="E434" s="1" t="str">
        <v/>
      </c>
      <c r="F434" s="1" t="str">
        <v/>
      </c>
      <c r="G434" s="1" t="str">
        <v/>
      </c>
      <c r="H434" s="1" t="str">
        <v/>
      </c>
      <c r="I434" s="2" t="str">
        <v/>
      </c>
      <c r="J434" s="2" t="str">
        <v/>
      </c>
      <c r="K434" s="2" t="str">
        <v/>
      </c>
      <c r="L434" s="1" t="str">
        <v/>
      </c>
      <c r="M434" s="2" t="str">
        <v/>
      </c>
      <c r="N434" s="2" t="str">
        <v/>
      </c>
      <c r="O434" s="1" t="str">
        <v/>
      </c>
      <c r="P434" s="1" t="str">
        <v/>
      </c>
      <c r="Q434" s="1" t="str">
        <v/>
      </c>
    </row>
    <row r="435" x14ac:dyDescent="0.25">
      <c r="A435" s="1" t="str">
        <v/>
      </c>
      <c r="B435" s="1" t="str">
        <v/>
      </c>
      <c r="C435" s="1" t="str">
        <v/>
      </c>
      <c r="D435" s="1" t="str">
        <v/>
      </c>
      <c r="E435" s="1" t="str">
        <v/>
      </c>
      <c r="F435" s="1" t="str">
        <v/>
      </c>
      <c r="G435" s="1" t="str">
        <v/>
      </c>
      <c r="H435" s="1" t="str">
        <v/>
      </c>
      <c r="I435" s="2" t="str">
        <v/>
      </c>
      <c r="J435" s="2" t="str">
        <v/>
      </c>
      <c r="K435" s="2" t="str">
        <v/>
      </c>
      <c r="L435" s="1" t="str">
        <v/>
      </c>
      <c r="M435" s="2" t="str">
        <v/>
      </c>
      <c r="N435" s="2" t="str">
        <v/>
      </c>
      <c r="O435" s="1" t="str">
        <v/>
      </c>
      <c r="P435" s="1" t="str">
        <v/>
      </c>
      <c r="Q435" s="1" t="str">
        <v/>
      </c>
    </row>
    <row r="436" x14ac:dyDescent="0.25">
      <c r="A436" s="1" t="str">
        <v/>
      </c>
      <c r="B436" s="1" t="str">
        <v/>
      </c>
      <c r="C436" s="1" t="str">
        <v/>
      </c>
      <c r="D436" s="1" t="str">
        <v/>
      </c>
      <c r="E436" s="1" t="str">
        <v/>
      </c>
      <c r="F436" s="1" t="str">
        <v/>
      </c>
      <c r="G436" s="1" t="str">
        <v/>
      </c>
      <c r="H436" s="1" t="str">
        <v/>
      </c>
      <c r="I436" s="2" t="str">
        <v/>
      </c>
      <c r="J436" s="2" t="str">
        <v/>
      </c>
      <c r="K436" s="2" t="str">
        <v/>
      </c>
      <c r="L436" s="1" t="str">
        <v/>
      </c>
      <c r="M436" s="2" t="str">
        <v/>
      </c>
      <c r="N436" s="2" t="str">
        <v/>
      </c>
      <c r="O436" s="1" t="str">
        <v/>
      </c>
      <c r="P436" s="1" t="str">
        <v/>
      </c>
      <c r="Q436" s="1" t="str">
        <v/>
      </c>
    </row>
    <row r="437" x14ac:dyDescent="0.25">
      <c r="A437" s="1" t="str">
        <v/>
      </c>
      <c r="B437" s="1" t="str">
        <v/>
      </c>
      <c r="C437" s="1" t="str">
        <v/>
      </c>
      <c r="D437" s="1" t="str">
        <v/>
      </c>
      <c r="E437" s="1" t="str">
        <v/>
      </c>
      <c r="F437" s="1" t="str">
        <v/>
      </c>
      <c r="G437" s="1" t="str">
        <v/>
      </c>
      <c r="H437" s="1" t="str">
        <v/>
      </c>
      <c r="I437" s="2" t="str">
        <v/>
      </c>
      <c r="J437" s="2" t="str">
        <v/>
      </c>
      <c r="K437" s="2" t="str">
        <v/>
      </c>
      <c r="L437" s="1" t="str">
        <v/>
      </c>
      <c r="M437" s="2" t="str">
        <v/>
      </c>
      <c r="N437" s="2" t="str">
        <v/>
      </c>
      <c r="O437" s="1" t="str">
        <v/>
      </c>
      <c r="P437" s="1" t="str">
        <v/>
      </c>
      <c r="Q437" s="1" t="str">
        <v/>
      </c>
    </row>
    <row r="438" x14ac:dyDescent="0.25">
      <c r="A438" s="1" t="str">
        <v/>
      </c>
      <c r="B438" s="1" t="str">
        <v/>
      </c>
      <c r="C438" s="1" t="str">
        <v/>
      </c>
      <c r="D438" s="1" t="str">
        <v/>
      </c>
      <c r="E438" s="1" t="str">
        <v/>
      </c>
      <c r="F438" s="1" t="str">
        <v/>
      </c>
      <c r="G438" s="1" t="str">
        <v/>
      </c>
      <c r="H438" s="1" t="str">
        <v/>
      </c>
      <c r="I438" s="2" t="str">
        <v/>
      </c>
      <c r="J438" s="2" t="str">
        <v/>
      </c>
      <c r="K438" s="2" t="str">
        <v/>
      </c>
      <c r="L438" s="1" t="str">
        <v/>
      </c>
      <c r="M438" s="2" t="str">
        <v/>
      </c>
      <c r="N438" s="2" t="str">
        <v/>
      </c>
      <c r="O438" s="1" t="str">
        <v/>
      </c>
      <c r="P438" s="1" t="str">
        <v/>
      </c>
      <c r="Q438" s="1" t="str">
        <v/>
      </c>
    </row>
    <row r="439" x14ac:dyDescent="0.25">
      <c r="A439" s="1" t="str">
        <v/>
      </c>
      <c r="B439" s="1" t="str">
        <v/>
      </c>
      <c r="C439" s="1" t="str">
        <v/>
      </c>
      <c r="D439" s="1" t="str">
        <v/>
      </c>
      <c r="E439" s="1" t="str">
        <v/>
      </c>
      <c r="F439" s="1" t="str">
        <v/>
      </c>
      <c r="G439" s="1" t="str">
        <v/>
      </c>
      <c r="H439" s="1" t="str">
        <v/>
      </c>
      <c r="I439" s="2" t="str">
        <v/>
      </c>
      <c r="J439" s="2" t="str">
        <v/>
      </c>
      <c r="K439" s="2" t="str">
        <v/>
      </c>
      <c r="L439" s="1" t="str">
        <v/>
      </c>
      <c r="M439" s="2" t="str">
        <v/>
      </c>
      <c r="N439" s="2" t="str">
        <v/>
      </c>
      <c r="O439" s="1" t="str">
        <v/>
      </c>
      <c r="P439" s="1" t="str">
        <v/>
      </c>
      <c r="Q439" s="1" t="str">
        <v/>
      </c>
    </row>
    <row r="440" x14ac:dyDescent="0.25">
      <c r="A440" s="1" t="str">
        <v/>
      </c>
      <c r="B440" s="1" t="str">
        <v/>
      </c>
      <c r="C440" s="1" t="str">
        <v/>
      </c>
      <c r="D440" s="1" t="str">
        <v/>
      </c>
      <c r="E440" s="1" t="str">
        <v/>
      </c>
      <c r="F440" s="1" t="str">
        <v/>
      </c>
      <c r="G440" s="1" t="str">
        <v/>
      </c>
      <c r="H440" s="1" t="str">
        <v/>
      </c>
      <c r="I440" s="2" t="str">
        <v/>
      </c>
      <c r="J440" s="2" t="str">
        <v/>
      </c>
      <c r="K440" s="2" t="str">
        <v/>
      </c>
      <c r="L440" s="1" t="str">
        <v/>
      </c>
      <c r="M440" s="2" t="str">
        <v/>
      </c>
      <c r="N440" s="2" t="str">
        <v/>
      </c>
      <c r="O440" s="1" t="str">
        <v/>
      </c>
      <c r="P440" s="1" t="str">
        <v/>
      </c>
      <c r="Q440" s="1" t="str">
        <v/>
      </c>
    </row>
    <row r="441" x14ac:dyDescent="0.25">
      <c r="A441" s="1" t="str">
        <v/>
      </c>
      <c r="B441" s="1" t="str">
        <v/>
      </c>
      <c r="C441" s="1" t="str">
        <v/>
      </c>
      <c r="D441" s="1" t="str">
        <v/>
      </c>
      <c r="E441" s="1" t="str">
        <v/>
      </c>
      <c r="F441" s="1" t="str">
        <v/>
      </c>
      <c r="G441" s="1" t="str">
        <v/>
      </c>
      <c r="H441" s="1" t="str">
        <v/>
      </c>
      <c r="I441" s="2" t="str">
        <v/>
      </c>
      <c r="J441" s="2" t="str">
        <v/>
      </c>
      <c r="K441" s="2" t="str">
        <v/>
      </c>
      <c r="L441" s="1" t="str">
        <v/>
      </c>
      <c r="M441" s="2" t="str">
        <v/>
      </c>
      <c r="N441" s="2" t="str">
        <v/>
      </c>
      <c r="O441" s="1" t="str">
        <v/>
      </c>
      <c r="P441" s="1" t="str">
        <v/>
      </c>
      <c r="Q441" s="1" t="str">
        <v/>
      </c>
    </row>
    <row r="442" x14ac:dyDescent="0.25">
      <c r="A442" s="1" t="str">
        <v/>
      </c>
      <c r="B442" s="1" t="str">
        <v/>
      </c>
      <c r="C442" s="1" t="str">
        <v/>
      </c>
      <c r="D442" s="1" t="str">
        <v/>
      </c>
      <c r="E442" s="1" t="str">
        <v/>
      </c>
      <c r="F442" s="1" t="str">
        <v/>
      </c>
      <c r="G442" s="1" t="str">
        <v/>
      </c>
      <c r="H442" s="1" t="str">
        <v/>
      </c>
      <c r="I442" s="2" t="str">
        <v/>
      </c>
      <c r="J442" s="2" t="str">
        <v/>
      </c>
      <c r="K442" s="2" t="str">
        <v/>
      </c>
      <c r="L442" s="1" t="str">
        <v/>
      </c>
      <c r="M442" s="2" t="str">
        <v/>
      </c>
      <c r="N442" s="2" t="str">
        <v/>
      </c>
      <c r="O442" s="1" t="str">
        <v/>
      </c>
      <c r="P442" s="1" t="str">
        <v/>
      </c>
      <c r="Q442" s="1" t="str">
        <v/>
      </c>
    </row>
    <row r="443" x14ac:dyDescent="0.25">
      <c r="A443" s="1" t="str">
        <v/>
      </c>
      <c r="B443" s="1" t="str">
        <v/>
      </c>
      <c r="C443" s="1" t="str">
        <v/>
      </c>
      <c r="D443" s="1" t="str">
        <v/>
      </c>
      <c r="E443" s="1" t="str">
        <v/>
      </c>
      <c r="F443" s="1" t="str">
        <v/>
      </c>
      <c r="G443" s="1" t="str">
        <v/>
      </c>
      <c r="H443" s="1" t="str">
        <v/>
      </c>
      <c r="I443" s="2" t="str">
        <v/>
      </c>
      <c r="J443" s="2" t="str">
        <v/>
      </c>
      <c r="K443" s="2" t="str">
        <v/>
      </c>
      <c r="L443" s="1" t="str">
        <v/>
      </c>
      <c r="M443" s="2" t="str">
        <v/>
      </c>
      <c r="N443" s="2" t="str">
        <v/>
      </c>
      <c r="O443" s="1" t="str">
        <v/>
      </c>
      <c r="P443" s="1" t="str">
        <v/>
      </c>
      <c r="Q443" s="1" t="str">
        <v/>
      </c>
    </row>
    <row r="444" x14ac:dyDescent="0.25">
      <c r="A444" s="1" t="str">
        <v/>
      </c>
      <c r="B444" s="1" t="str">
        <v/>
      </c>
      <c r="C444" s="1" t="str">
        <v/>
      </c>
      <c r="D444" s="1" t="str">
        <v/>
      </c>
      <c r="E444" s="1" t="str">
        <v/>
      </c>
      <c r="F444" s="1" t="str">
        <v/>
      </c>
      <c r="G444" s="1" t="str">
        <v/>
      </c>
      <c r="H444" s="1" t="str">
        <v/>
      </c>
      <c r="I444" s="2" t="str">
        <v/>
      </c>
      <c r="J444" s="2" t="str">
        <v/>
      </c>
      <c r="K444" s="2" t="str">
        <v/>
      </c>
      <c r="L444" s="1" t="str">
        <v/>
      </c>
      <c r="M444" s="2" t="str">
        <v/>
      </c>
      <c r="N444" s="2" t="str">
        <v/>
      </c>
      <c r="O444" s="1" t="str">
        <v/>
      </c>
      <c r="P444" s="1" t="str">
        <v/>
      </c>
      <c r="Q444" s="1" t="str">
        <v/>
      </c>
    </row>
    <row r="445" x14ac:dyDescent="0.25">
      <c r="A445" s="1" t="str">
        <v/>
      </c>
      <c r="B445" s="1" t="str">
        <v/>
      </c>
      <c r="C445" s="1" t="str">
        <v/>
      </c>
      <c r="D445" s="1" t="str">
        <v/>
      </c>
      <c r="E445" s="1" t="str">
        <v/>
      </c>
      <c r="F445" s="1" t="str">
        <v/>
      </c>
      <c r="G445" s="1" t="str">
        <v/>
      </c>
      <c r="H445" s="1" t="str">
        <v/>
      </c>
      <c r="I445" s="2" t="str">
        <v/>
      </c>
      <c r="J445" s="2" t="str">
        <v/>
      </c>
      <c r="K445" s="2" t="str">
        <v/>
      </c>
      <c r="L445" s="1" t="str">
        <v/>
      </c>
      <c r="M445" s="2" t="str">
        <v/>
      </c>
      <c r="N445" s="2" t="str">
        <v/>
      </c>
      <c r="O445" s="1" t="str">
        <v/>
      </c>
      <c r="P445" s="1" t="str">
        <v/>
      </c>
      <c r="Q445" s="1" t="str">
        <v/>
      </c>
    </row>
    <row r="446" x14ac:dyDescent="0.25">
      <c r="A446" s="1" t="str">
        <v/>
      </c>
      <c r="B446" s="1" t="str">
        <v/>
      </c>
      <c r="C446" s="1" t="str">
        <v/>
      </c>
      <c r="D446" s="1" t="str">
        <v/>
      </c>
      <c r="E446" s="1" t="str">
        <v/>
      </c>
      <c r="F446" s="1" t="str">
        <v/>
      </c>
      <c r="G446" s="1" t="str">
        <v/>
      </c>
      <c r="H446" s="1" t="str">
        <v/>
      </c>
      <c r="I446" s="2" t="str">
        <v/>
      </c>
      <c r="J446" s="2" t="str">
        <v/>
      </c>
      <c r="K446" s="2" t="str">
        <v/>
      </c>
      <c r="L446" s="1" t="str">
        <v/>
      </c>
      <c r="M446" s="2" t="str">
        <v/>
      </c>
      <c r="N446" s="2" t="str">
        <v/>
      </c>
      <c r="O446" s="1" t="str">
        <v/>
      </c>
      <c r="P446" s="1" t="str">
        <v/>
      </c>
      <c r="Q446" s="1" t="str">
        <v/>
      </c>
    </row>
    <row r="447" x14ac:dyDescent="0.25">
      <c r="A447" s="1" t="str">
        <v/>
      </c>
      <c r="B447" s="1" t="str">
        <v/>
      </c>
      <c r="C447" s="1" t="str">
        <v/>
      </c>
      <c r="D447" s="1" t="str">
        <v/>
      </c>
      <c r="E447" s="1" t="str">
        <v/>
      </c>
      <c r="F447" s="1" t="str">
        <v/>
      </c>
      <c r="G447" s="1" t="str">
        <v/>
      </c>
      <c r="H447" s="1" t="str">
        <v/>
      </c>
      <c r="I447" s="2" t="str">
        <v/>
      </c>
      <c r="J447" s="2" t="str">
        <v/>
      </c>
      <c r="K447" s="2" t="str">
        <v/>
      </c>
      <c r="L447" s="1" t="str">
        <v/>
      </c>
      <c r="M447" s="2" t="str">
        <v/>
      </c>
      <c r="N447" s="2" t="str">
        <v/>
      </c>
      <c r="O447" s="1" t="str">
        <v/>
      </c>
      <c r="P447" s="1" t="str">
        <v/>
      </c>
      <c r="Q447" s="1" t="str">
        <v/>
      </c>
    </row>
    <row r="448" x14ac:dyDescent="0.25">
      <c r="A448" s="1" t="str">
        <v/>
      </c>
      <c r="B448" s="1" t="str">
        <v/>
      </c>
      <c r="C448" s="1" t="str">
        <v/>
      </c>
      <c r="D448" s="1" t="str">
        <v/>
      </c>
      <c r="E448" s="1" t="str">
        <v/>
      </c>
      <c r="F448" s="1" t="str">
        <v/>
      </c>
      <c r="G448" s="1" t="str">
        <v/>
      </c>
      <c r="H448" s="1" t="str">
        <v/>
      </c>
      <c r="I448" s="2" t="str">
        <v/>
      </c>
      <c r="J448" s="2" t="str">
        <v/>
      </c>
      <c r="K448" s="2" t="str">
        <v/>
      </c>
      <c r="L448" s="1" t="str">
        <v/>
      </c>
      <c r="M448" s="2" t="str">
        <v/>
      </c>
      <c r="N448" s="2" t="str">
        <v/>
      </c>
      <c r="O448" s="1" t="str">
        <v/>
      </c>
      <c r="P448" s="1" t="str">
        <v/>
      </c>
      <c r="Q448" s="1" t="str">
        <v/>
      </c>
    </row>
    <row r="449" x14ac:dyDescent="0.25">
      <c r="A449" s="1" t="str">
        <v/>
      </c>
      <c r="B449" s="1" t="str">
        <v/>
      </c>
      <c r="C449" s="1" t="str">
        <v/>
      </c>
      <c r="D449" s="1" t="str">
        <v/>
      </c>
      <c r="E449" s="1" t="str">
        <v/>
      </c>
      <c r="F449" s="1" t="str">
        <v/>
      </c>
      <c r="G449" s="1" t="str">
        <v/>
      </c>
      <c r="H449" s="1" t="str">
        <v/>
      </c>
      <c r="I449" s="2" t="str">
        <v/>
      </c>
      <c r="J449" s="2" t="str">
        <v/>
      </c>
      <c r="K449" s="2" t="str">
        <v/>
      </c>
      <c r="L449" s="1" t="str">
        <v/>
      </c>
      <c r="M449" s="2" t="str">
        <v/>
      </c>
      <c r="N449" s="2" t="str">
        <v/>
      </c>
      <c r="O449" s="1" t="str">
        <v/>
      </c>
      <c r="P449" s="1" t="str">
        <v/>
      </c>
      <c r="Q449" s="1" t="str">
        <v/>
      </c>
    </row>
    <row r="450" x14ac:dyDescent="0.25">
      <c r="A450" s="1" t="str">
        <v/>
      </c>
      <c r="B450" s="1" t="str">
        <v/>
      </c>
      <c r="C450" s="1" t="str">
        <v/>
      </c>
      <c r="D450" s="1" t="str">
        <v/>
      </c>
      <c r="E450" s="1" t="str">
        <v/>
      </c>
      <c r="F450" s="1" t="str">
        <v/>
      </c>
      <c r="G450" s="1" t="str">
        <v/>
      </c>
      <c r="H450" s="1" t="str">
        <v/>
      </c>
      <c r="I450" s="2" t="str">
        <v/>
      </c>
      <c r="J450" s="2" t="str">
        <v/>
      </c>
      <c r="K450" s="2" t="str">
        <v/>
      </c>
      <c r="L450" s="1" t="str">
        <v/>
      </c>
      <c r="M450" s="2" t="str">
        <v/>
      </c>
      <c r="N450" s="2" t="str">
        <v/>
      </c>
      <c r="O450" s="1" t="str">
        <v/>
      </c>
      <c r="P450" s="1" t="str">
        <v/>
      </c>
      <c r="Q450" s="1" t="str">
        <v/>
      </c>
    </row>
    <row r="451" x14ac:dyDescent="0.25">
      <c r="A451" s="1" t="str">
        <v/>
      </c>
      <c r="B451" s="1" t="str">
        <v/>
      </c>
      <c r="C451" s="1" t="str">
        <v/>
      </c>
      <c r="D451" s="1" t="str">
        <v/>
      </c>
      <c r="E451" s="1" t="str">
        <v/>
      </c>
      <c r="F451" s="1" t="str">
        <v/>
      </c>
      <c r="G451" s="1" t="str">
        <v/>
      </c>
      <c r="H451" s="1" t="str">
        <v/>
      </c>
      <c r="I451" s="2" t="str">
        <v/>
      </c>
      <c r="J451" s="2" t="str">
        <v/>
      </c>
      <c r="K451" s="2" t="str">
        <v/>
      </c>
      <c r="L451" s="1" t="str">
        <v/>
      </c>
      <c r="M451" s="2" t="str">
        <v/>
      </c>
      <c r="N451" s="2" t="str">
        <v/>
      </c>
      <c r="O451" s="1" t="str">
        <v/>
      </c>
      <c r="P451" s="1" t="str">
        <v/>
      </c>
      <c r="Q451" s="1" t="str">
        <v/>
      </c>
    </row>
    <row r="452" x14ac:dyDescent="0.25">
      <c r="A452" s="1" t="str">
        <v/>
      </c>
      <c r="B452" s="1" t="str">
        <v/>
      </c>
      <c r="C452" s="1" t="str">
        <v/>
      </c>
      <c r="D452" s="1" t="str">
        <v/>
      </c>
      <c r="E452" s="1" t="str">
        <v/>
      </c>
      <c r="F452" s="1" t="str">
        <v/>
      </c>
      <c r="G452" s="1" t="str">
        <v/>
      </c>
      <c r="H452" s="1" t="str">
        <v/>
      </c>
      <c r="I452" s="2" t="str">
        <v/>
      </c>
      <c r="J452" s="2" t="str">
        <v/>
      </c>
      <c r="K452" s="2" t="str">
        <v/>
      </c>
      <c r="L452" s="1" t="str">
        <v/>
      </c>
      <c r="M452" s="2" t="str">
        <v/>
      </c>
      <c r="N452" s="2" t="str">
        <v/>
      </c>
      <c r="O452" s="1" t="str">
        <v/>
      </c>
      <c r="P452" s="1" t="str">
        <v/>
      </c>
      <c r="Q452" s="1" t="str">
        <v/>
      </c>
    </row>
    <row r="453" x14ac:dyDescent="0.25">
      <c r="A453" s="1" t="str">
        <v/>
      </c>
      <c r="B453" s="1" t="str">
        <v/>
      </c>
      <c r="C453" s="1" t="str">
        <v/>
      </c>
      <c r="D453" s="1" t="str">
        <v/>
      </c>
      <c r="E453" s="1" t="str">
        <v/>
      </c>
      <c r="F453" s="1" t="str">
        <v/>
      </c>
      <c r="G453" s="1" t="str">
        <v/>
      </c>
      <c r="H453" s="1" t="str">
        <v/>
      </c>
      <c r="I453" s="2" t="str">
        <v/>
      </c>
      <c r="J453" s="2" t="str">
        <v/>
      </c>
      <c r="K453" s="2" t="str">
        <v/>
      </c>
      <c r="L453" s="1" t="str">
        <v/>
      </c>
      <c r="M453" s="2" t="str">
        <v/>
      </c>
      <c r="N453" s="2" t="str">
        <v/>
      </c>
      <c r="O453" s="1" t="str">
        <v/>
      </c>
      <c r="P453" s="1" t="str">
        <v/>
      </c>
      <c r="Q453" s="1" t="str">
        <v/>
      </c>
    </row>
    <row r="454" x14ac:dyDescent="0.25">
      <c r="A454" s="1" t="str">
        <v/>
      </c>
      <c r="B454" s="1" t="str">
        <v/>
      </c>
      <c r="C454" s="1" t="str">
        <v/>
      </c>
      <c r="D454" s="1" t="str">
        <v/>
      </c>
      <c r="E454" s="1" t="str">
        <v/>
      </c>
      <c r="F454" s="1" t="str">
        <v/>
      </c>
      <c r="G454" s="1" t="str">
        <v/>
      </c>
      <c r="H454" s="1" t="str">
        <v/>
      </c>
      <c r="I454" s="2" t="str">
        <v/>
      </c>
      <c r="J454" s="2" t="str">
        <v/>
      </c>
      <c r="K454" s="2" t="str">
        <v/>
      </c>
      <c r="L454" s="1" t="str">
        <v/>
      </c>
      <c r="M454" s="2" t="str">
        <v/>
      </c>
      <c r="N454" s="2" t="str">
        <v/>
      </c>
      <c r="O454" s="1" t="str">
        <v/>
      </c>
      <c r="P454" s="1" t="str">
        <v/>
      </c>
      <c r="Q454" s="1" t="str">
        <v/>
      </c>
    </row>
    <row r="455" x14ac:dyDescent="0.25">
      <c r="A455" s="1" t="str">
        <v/>
      </c>
      <c r="B455" s="1" t="str">
        <v/>
      </c>
      <c r="C455" s="1" t="str">
        <v/>
      </c>
      <c r="D455" s="1" t="str">
        <v/>
      </c>
      <c r="E455" s="1" t="str">
        <v/>
      </c>
      <c r="F455" s="1" t="str">
        <v/>
      </c>
      <c r="G455" s="1" t="str">
        <v/>
      </c>
      <c r="H455" s="1" t="str">
        <v/>
      </c>
      <c r="I455" s="2" t="str">
        <v/>
      </c>
      <c r="J455" s="2" t="str">
        <v/>
      </c>
      <c r="K455" s="2" t="str">
        <v/>
      </c>
      <c r="L455" s="1" t="str">
        <v/>
      </c>
      <c r="M455" s="2" t="str">
        <v/>
      </c>
      <c r="N455" s="2" t="str">
        <v/>
      </c>
      <c r="O455" s="1" t="str">
        <v/>
      </c>
      <c r="P455" s="1" t="str">
        <v/>
      </c>
      <c r="Q455" s="1" t="str">
        <v/>
      </c>
    </row>
    <row r="456" x14ac:dyDescent="0.25">
      <c r="A456" s="1" t="str">
        <v/>
      </c>
      <c r="B456" s="1" t="str">
        <v/>
      </c>
      <c r="C456" s="1" t="str">
        <v/>
      </c>
      <c r="D456" s="1" t="str">
        <v/>
      </c>
      <c r="E456" s="1" t="str">
        <v/>
      </c>
      <c r="F456" s="1" t="str">
        <v/>
      </c>
      <c r="G456" s="1" t="str">
        <v/>
      </c>
      <c r="H456" s="1" t="str">
        <v/>
      </c>
      <c r="I456" s="2" t="str">
        <v/>
      </c>
      <c r="J456" s="2" t="str">
        <v/>
      </c>
      <c r="K456" s="2" t="str">
        <v/>
      </c>
      <c r="L456" s="1" t="str">
        <v/>
      </c>
      <c r="M456" s="2" t="str">
        <v/>
      </c>
      <c r="N456" s="2" t="str">
        <v/>
      </c>
      <c r="O456" s="1" t="str">
        <v/>
      </c>
      <c r="P456" s="1" t="str">
        <v/>
      </c>
      <c r="Q456" s="1" t="str">
        <v/>
      </c>
    </row>
    <row r="457" x14ac:dyDescent="0.25">
      <c r="A457" s="1" t="str">
        <v/>
      </c>
      <c r="B457" s="1" t="str">
        <v/>
      </c>
      <c r="C457" s="1" t="str">
        <v/>
      </c>
      <c r="D457" s="1" t="str">
        <v/>
      </c>
      <c r="E457" s="1" t="str">
        <v/>
      </c>
      <c r="F457" s="1" t="str">
        <v/>
      </c>
      <c r="G457" s="1" t="str">
        <v/>
      </c>
      <c r="H457" s="1" t="str">
        <v/>
      </c>
      <c r="I457" s="2" t="str">
        <v/>
      </c>
      <c r="J457" s="2" t="str">
        <v/>
      </c>
      <c r="K457" s="2" t="str">
        <v/>
      </c>
      <c r="L457" s="1" t="str">
        <v/>
      </c>
      <c r="M457" s="2" t="str">
        <v/>
      </c>
      <c r="N457" s="2" t="str">
        <v/>
      </c>
      <c r="O457" s="1" t="str">
        <v/>
      </c>
      <c r="P457" s="1" t="str">
        <v/>
      </c>
      <c r="Q457" s="1" t="str">
        <v/>
      </c>
    </row>
    <row r="458" x14ac:dyDescent="0.25">
      <c r="A458" s="1" t="str">
        <v/>
      </c>
      <c r="B458" s="1" t="str">
        <v/>
      </c>
      <c r="C458" s="1" t="str">
        <v/>
      </c>
      <c r="D458" s="1" t="str">
        <v/>
      </c>
      <c r="E458" s="1" t="str">
        <v/>
      </c>
      <c r="F458" s="1" t="str">
        <v/>
      </c>
      <c r="G458" s="1" t="str">
        <v/>
      </c>
      <c r="H458" s="1" t="str">
        <v/>
      </c>
      <c r="I458" s="2" t="str">
        <v/>
      </c>
      <c r="J458" s="2" t="str">
        <v/>
      </c>
      <c r="K458" s="2" t="str">
        <v/>
      </c>
      <c r="L458" s="1" t="str">
        <v/>
      </c>
      <c r="M458" s="2" t="str">
        <v/>
      </c>
      <c r="N458" s="2" t="str">
        <v/>
      </c>
      <c r="O458" s="1" t="str">
        <v/>
      </c>
      <c r="P458" s="1" t="str">
        <v/>
      </c>
      <c r="Q458" s="1" t="str">
        <v/>
      </c>
    </row>
    <row r="459" x14ac:dyDescent="0.25">
      <c r="A459" s="1" t="str">
        <v/>
      </c>
      <c r="B459" s="1" t="str">
        <v/>
      </c>
      <c r="C459" s="1" t="str">
        <v/>
      </c>
      <c r="D459" s="1" t="str">
        <v/>
      </c>
      <c r="E459" s="1" t="str">
        <v/>
      </c>
      <c r="F459" s="1" t="str">
        <v/>
      </c>
      <c r="G459" s="1" t="str">
        <v/>
      </c>
      <c r="H459" s="1" t="str">
        <v/>
      </c>
      <c r="I459" s="2" t="str">
        <v/>
      </c>
      <c r="J459" s="2" t="str">
        <v/>
      </c>
      <c r="K459" s="2" t="str">
        <v/>
      </c>
      <c r="L459" s="1" t="str">
        <v/>
      </c>
      <c r="M459" s="2" t="str">
        <v/>
      </c>
      <c r="N459" s="2" t="str">
        <v/>
      </c>
      <c r="O459" s="1" t="str">
        <v/>
      </c>
      <c r="P459" s="1" t="str">
        <v/>
      </c>
      <c r="Q459" s="1" t="str">
        <v/>
      </c>
    </row>
    <row r="460" x14ac:dyDescent="0.25">
      <c r="A460" s="1" t="str">
        <v/>
      </c>
      <c r="B460" s="1" t="str">
        <v/>
      </c>
      <c r="C460" s="1" t="str">
        <v/>
      </c>
      <c r="D460" s="1" t="str">
        <v/>
      </c>
      <c r="E460" s="1" t="str">
        <v/>
      </c>
      <c r="F460" s="1" t="str">
        <v/>
      </c>
      <c r="G460" s="1" t="str">
        <v/>
      </c>
      <c r="H460" s="1" t="str">
        <v/>
      </c>
      <c r="I460" s="2" t="str">
        <v/>
      </c>
      <c r="J460" s="2" t="str">
        <v/>
      </c>
      <c r="K460" s="2" t="str">
        <v/>
      </c>
      <c r="L460" s="1" t="str">
        <v/>
      </c>
      <c r="M460" s="2" t="str">
        <v/>
      </c>
      <c r="N460" s="2" t="str">
        <v/>
      </c>
      <c r="O460" s="1" t="str">
        <v/>
      </c>
      <c r="P460" s="1" t="str">
        <v/>
      </c>
      <c r="Q460" s="1" t="str">
        <v/>
      </c>
    </row>
    <row r="461" x14ac:dyDescent="0.25">
      <c r="A461" s="1" t="str">
        <v/>
      </c>
      <c r="B461" s="1" t="str">
        <v/>
      </c>
      <c r="C461" s="1" t="str">
        <v/>
      </c>
      <c r="D461" s="1" t="str">
        <v/>
      </c>
      <c r="E461" s="1" t="str">
        <v/>
      </c>
      <c r="F461" s="1" t="str">
        <v/>
      </c>
      <c r="G461" s="1" t="str">
        <v/>
      </c>
      <c r="H461" s="1" t="str">
        <v/>
      </c>
      <c r="I461" s="2" t="str">
        <v/>
      </c>
      <c r="J461" s="2" t="str">
        <v/>
      </c>
      <c r="K461" s="2" t="str">
        <v/>
      </c>
      <c r="L461" s="1" t="str">
        <v/>
      </c>
      <c r="M461" s="2" t="str">
        <v/>
      </c>
      <c r="N461" s="2" t="str">
        <v/>
      </c>
      <c r="O461" s="1" t="str">
        <v/>
      </c>
      <c r="P461" s="1" t="str">
        <v/>
      </c>
      <c r="Q461" s="1" t="str">
        <v/>
      </c>
    </row>
    <row r="462" x14ac:dyDescent="0.25">
      <c r="A462" s="1" t="str">
        <v/>
      </c>
      <c r="B462" s="1" t="str">
        <v/>
      </c>
      <c r="C462" s="1" t="str">
        <v/>
      </c>
      <c r="D462" s="1" t="str">
        <v/>
      </c>
      <c r="E462" s="1" t="str">
        <v/>
      </c>
      <c r="F462" s="1" t="str">
        <v/>
      </c>
      <c r="G462" s="1" t="str">
        <v/>
      </c>
      <c r="H462" s="1" t="str">
        <v/>
      </c>
      <c r="I462" s="2" t="str">
        <v/>
      </c>
      <c r="J462" s="2" t="str">
        <v/>
      </c>
      <c r="K462" s="2" t="str">
        <v/>
      </c>
      <c r="L462" s="1" t="str">
        <v/>
      </c>
      <c r="M462" s="2" t="str">
        <v/>
      </c>
      <c r="N462" s="2" t="str">
        <v/>
      </c>
      <c r="O462" s="1" t="str">
        <v/>
      </c>
      <c r="P462" s="1" t="str">
        <v/>
      </c>
      <c r="Q462" s="1" t="str">
        <v/>
      </c>
    </row>
    <row r="463" x14ac:dyDescent="0.25">
      <c r="A463" s="1" t="str">
        <v/>
      </c>
      <c r="B463" s="1" t="str">
        <v/>
      </c>
      <c r="C463" s="1" t="str">
        <v/>
      </c>
      <c r="D463" s="1" t="str">
        <v/>
      </c>
      <c r="E463" s="1" t="str">
        <v/>
      </c>
      <c r="F463" s="1" t="str">
        <v/>
      </c>
      <c r="G463" s="1" t="str">
        <v/>
      </c>
      <c r="H463" s="1" t="str">
        <v/>
      </c>
      <c r="I463" s="2" t="str">
        <v/>
      </c>
      <c r="J463" s="2" t="str">
        <v/>
      </c>
      <c r="K463" s="2" t="str">
        <v/>
      </c>
      <c r="L463" s="1" t="str">
        <v/>
      </c>
      <c r="M463" s="2" t="str">
        <v/>
      </c>
      <c r="N463" s="2" t="str">
        <v/>
      </c>
      <c r="O463" s="1" t="str">
        <v/>
      </c>
      <c r="P463" s="1" t="str">
        <v/>
      </c>
      <c r="Q463" s="1" t="str">
        <v/>
      </c>
    </row>
    <row r="464" x14ac:dyDescent="0.25">
      <c r="A464" s="1" t="str">
        <v/>
      </c>
      <c r="B464" s="1" t="str">
        <v/>
      </c>
      <c r="C464" s="1" t="str">
        <v/>
      </c>
      <c r="D464" s="1" t="str">
        <v/>
      </c>
      <c r="E464" s="1" t="str">
        <v/>
      </c>
      <c r="F464" s="1" t="str">
        <v/>
      </c>
      <c r="G464" s="1" t="str">
        <v/>
      </c>
      <c r="H464" s="1" t="str">
        <v/>
      </c>
      <c r="I464" s="2" t="str">
        <v/>
      </c>
      <c r="J464" s="2" t="str">
        <v/>
      </c>
      <c r="K464" s="2" t="str">
        <v/>
      </c>
      <c r="L464" s="1" t="str">
        <v/>
      </c>
      <c r="M464" s="2" t="str">
        <v/>
      </c>
      <c r="N464" s="2" t="str">
        <v/>
      </c>
      <c r="O464" s="1" t="str">
        <v/>
      </c>
      <c r="P464" s="1" t="str">
        <v/>
      </c>
      <c r="Q464" s="1" t="str">
        <v/>
      </c>
    </row>
    <row r="465" x14ac:dyDescent="0.25">
      <c r="A465" s="1" t="str">
        <v/>
      </c>
      <c r="B465" s="1" t="str">
        <v/>
      </c>
      <c r="C465" s="1" t="str">
        <v/>
      </c>
      <c r="D465" s="1" t="str">
        <v/>
      </c>
      <c r="E465" s="1" t="str">
        <v/>
      </c>
      <c r="F465" s="1" t="str">
        <v/>
      </c>
      <c r="G465" s="1" t="str">
        <v/>
      </c>
      <c r="H465" s="1" t="str">
        <v/>
      </c>
      <c r="I465" s="2" t="str">
        <v/>
      </c>
      <c r="J465" s="2" t="str">
        <v/>
      </c>
      <c r="K465" s="2" t="str">
        <v/>
      </c>
      <c r="L465" s="1" t="str">
        <v/>
      </c>
      <c r="M465" s="2" t="str">
        <v/>
      </c>
      <c r="N465" s="2" t="str">
        <v/>
      </c>
      <c r="O465" s="1" t="str">
        <v/>
      </c>
      <c r="P465" s="1" t="str">
        <v/>
      </c>
      <c r="Q465" s="1" t="str">
        <v/>
      </c>
    </row>
    <row r="466" x14ac:dyDescent="0.25">
      <c r="A466" s="1" t="str">
        <v/>
      </c>
      <c r="B466" s="1" t="str">
        <v/>
      </c>
      <c r="C466" s="1" t="str">
        <v/>
      </c>
      <c r="D466" s="1" t="str">
        <v/>
      </c>
      <c r="E466" s="1" t="str">
        <v/>
      </c>
      <c r="F466" s="1" t="str">
        <v/>
      </c>
      <c r="G466" s="1" t="str">
        <v/>
      </c>
      <c r="H466" s="1" t="str">
        <v/>
      </c>
      <c r="I466" s="2" t="str">
        <v/>
      </c>
      <c r="J466" s="2" t="str">
        <v/>
      </c>
      <c r="K466" s="2" t="str">
        <v/>
      </c>
      <c r="L466" s="1" t="str">
        <v/>
      </c>
      <c r="M466" s="2" t="str">
        <v/>
      </c>
      <c r="N466" s="2" t="str">
        <v/>
      </c>
      <c r="O466" s="1" t="str">
        <v/>
      </c>
      <c r="P466" s="1" t="str">
        <v/>
      </c>
      <c r="Q466" s="1" t="str">
        <v/>
      </c>
    </row>
    <row r="467" x14ac:dyDescent="0.25">
      <c r="A467" s="1" t="str">
        <v/>
      </c>
      <c r="B467" s="1" t="str">
        <v/>
      </c>
      <c r="C467" s="1" t="str">
        <v/>
      </c>
      <c r="D467" s="1" t="str">
        <v/>
      </c>
      <c r="E467" s="1" t="str">
        <v/>
      </c>
      <c r="F467" s="1" t="str">
        <v/>
      </c>
      <c r="G467" s="1" t="str">
        <v/>
      </c>
      <c r="H467" s="1" t="str">
        <v/>
      </c>
      <c r="I467" s="2" t="str">
        <v/>
      </c>
      <c r="J467" s="2" t="str">
        <v/>
      </c>
      <c r="K467" s="2" t="str">
        <v/>
      </c>
      <c r="L467" s="1" t="str">
        <v/>
      </c>
      <c r="M467" s="2" t="str">
        <v/>
      </c>
      <c r="N467" s="2" t="str">
        <v/>
      </c>
      <c r="O467" s="1" t="str">
        <v/>
      </c>
      <c r="P467" s="1" t="str">
        <v/>
      </c>
      <c r="Q467" s="1" t="str">
        <v/>
      </c>
    </row>
    <row r="468" x14ac:dyDescent="0.25">
      <c r="A468" s="1" t="str">
        <v/>
      </c>
      <c r="B468" s="1" t="str">
        <v/>
      </c>
      <c r="C468" s="1" t="str">
        <v/>
      </c>
      <c r="D468" s="1" t="str">
        <v/>
      </c>
      <c r="E468" s="1" t="str">
        <v/>
      </c>
      <c r="F468" s="1" t="str">
        <v/>
      </c>
      <c r="G468" s="1" t="str">
        <v/>
      </c>
      <c r="H468" s="1" t="str">
        <v/>
      </c>
      <c r="I468" s="2" t="str">
        <v/>
      </c>
      <c r="J468" s="2" t="str">
        <v/>
      </c>
      <c r="K468" s="2" t="str">
        <v/>
      </c>
      <c r="L468" s="1" t="str">
        <v/>
      </c>
      <c r="M468" s="2" t="str">
        <v/>
      </c>
      <c r="N468" s="2" t="str">
        <v/>
      </c>
      <c r="O468" s="1" t="str">
        <v/>
      </c>
      <c r="P468" s="1" t="str">
        <v/>
      </c>
      <c r="Q468" s="1" t="str">
        <v/>
      </c>
    </row>
    <row r="469" x14ac:dyDescent="0.25">
      <c r="A469" s="1" t="str">
        <v/>
      </c>
      <c r="B469" s="1" t="str">
        <v/>
      </c>
      <c r="C469" s="1" t="str">
        <v/>
      </c>
      <c r="D469" s="1" t="str">
        <v/>
      </c>
      <c r="E469" s="1" t="str">
        <v/>
      </c>
      <c r="F469" s="1" t="str">
        <v/>
      </c>
      <c r="G469" s="1" t="str">
        <v/>
      </c>
      <c r="H469" s="1" t="str">
        <v/>
      </c>
      <c r="I469" s="2" t="str">
        <v/>
      </c>
      <c r="J469" s="2" t="str">
        <v/>
      </c>
      <c r="K469" s="2" t="str">
        <v/>
      </c>
      <c r="L469" s="1" t="str">
        <v/>
      </c>
      <c r="M469" s="2" t="str">
        <v/>
      </c>
      <c r="N469" s="2" t="str">
        <v/>
      </c>
      <c r="O469" s="1" t="str">
        <v/>
      </c>
      <c r="P469" s="1" t="str">
        <v/>
      </c>
      <c r="Q469" s="1" t="str">
        <v/>
      </c>
    </row>
    <row r="470" x14ac:dyDescent="0.25">
      <c r="A470" s="1" t="str">
        <v/>
      </c>
      <c r="B470" s="1" t="str">
        <v/>
      </c>
      <c r="C470" s="1" t="str">
        <v/>
      </c>
      <c r="D470" s="1" t="str">
        <v/>
      </c>
      <c r="E470" s="1" t="str">
        <v/>
      </c>
      <c r="F470" s="1" t="str">
        <v/>
      </c>
      <c r="G470" s="1" t="str">
        <v/>
      </c>
      <c r="H470" s="1" t="str">
        <v/>
      </c>
      <c r="I470" s="2" t="str">
        <v/>
      </c>
      <c r="J470" s="2" t="str">
        <v/>
      </c>
      <c r="K470" s="2" t="str">
        <v/>
      </c>
      <c r="L470" s="1" t="str">
        <v/>
      </c>
      <c r="M470" s="2" t="str">
        <v/>
      </c>
      <c r="N470" s="2" t="str">
        <v/>
      </c>
      <c r="O470" s="1" t="str">
        <v/>
      </c>
      <c r="P470" s="1" t="str">
        <v/>
      </c>
      <c r="Q470" s="1" t="str">
        <v/>
      </c>
    </row>
    <row r="471" x14ac:dyDescent="0.25">
      <c r="A471" s="1" t="str">
        <v/>
      </c>
      <c r="B471" s="1" t="str">
        <v/>
      </c>
      <c r="C471" s="1" t="str">
        <v/>
      </c>
      <c r="D471" s="1" t="str">
        <v/>
      </c>
      <c r="E471" s="1" t="str">
        <v/>
      </c>
      <c r="F471" s="1" t="str">
        <v/>
      </c>
      <c r="G471" s="1" t="str">
        <v/>
      </c>
      <c r="H471" s="1" t="str">
        <v/>
      </c>
      <c r="I471" s="2" t="str">
        <v/>
      </c>
      <c r="J471" s="2" t="str">
        <v/>
      </c>
      <c r="K471" s="2" t="str">
        <v/>
      </c>
      <c r="L471" s="1" t="str">
        <v/>
      </c>
      <c r="M471" s="2" t="str">
        <v/>
      </c>
      <c r="N471" s="2" t="str">
        <v/>
      </c>
      <c r="O471" s="1" t="str">
        <v/>
      </c>
      <c r="P471" s="1" t="str">
        <v/>
      </c>
      <c r="Q471" s="1" t="str">
        <v/>
      </c>
    </row>
    <row r="472" x14ac:dyDescent="0.25">
      <c r="A472" s="1" t="str">
        <v/>
      </c>
      <c r="B472" s="1" t="str">
        <v/>
      </c>
      <c r="C472" s="1" t="str">
        <v/>
      </c>
      <c r="D472" s="1" t="str">
        <v/>
      </c>
      <c r="E472" s="1" t="str">
        <v/>
      </c>
      <c r="F472" s="1" t="str">
        <v/>
      </c>
      <c r="G472" s="1" t="str">
        <v/>
      </c>
      <c r="H472" s="1" t="str">
        <v/>
      </c>
      <c r="I472" s="2" t="str">
        <v/>
      </c>
      <c r="J472" s="2" t="str">
        <v/>
      </c>
      <c r="K472" s="2" t="str">
        <v/>
      </c>
      <c r="L472" s="1" t="str">
        <v/>
      </c>
      <c r="M472" s="2" t="str">
        <v/>
      </c>
      <c r="N472" s="2" t="str">
        <v/>
      </c>
      <c r="O472" s="1" t="str">
        <v/>
      </c>
      <c r="P472" s="1" t="str">
        <v/>
      </c>
      <c r="Q472" s="1" t="str">
        <v/>
      </c>
    </row>
    <row r="473" x14ac:dyDescent="0.25">
      <c r="A473" s="1" t="str">
        <v/>
      </c>
      <c r="B473" s="1" t="str">
        <v/>
      </c>
      <c r="C473" s="1" t="str">
        <v/>
      </c>
      <c r="D473" s="1" t="str">
        <v/>
      </c>
      <c r="E473" s="1" t="str">
        <v/>
      </c>
      <c r="F473" s="1" t="str">
        <v/>
      </c>
      <c r="G473" s="1" t="str">
        <v/>
      </c>
      <c r="H473" s="1" t="str">
        <v/>
      </c>
      <c r="I473" s="2" t="str">
        <v/>
      </c>
      <c r="J473" s="2" t="str">
        <v/>
      </c>
      <c r="K473" s="2" t="str">
        <v/>
      </c>
      <c r="L473" s="1" t="str">
        <v/>
      </c>
      <c r="M473" s="2" t="str">
        <v/>
      </c>
      <c r="N473" s="2" t="str">
        <v/>
      </c>
      <c r="O473" s="1" t="str">
        <v/>
      </c>
      <c r="P473" s="1" t="str">
        <v/>
      </c>
      <c r="Q473" s="1" t="str">
        <v/>
      </c>
    </row>
    <row r="474" x14ac:dyDescent="0.25">
      <c r="A474" s="1" t="str">
        <v/>
      </c>
      <c r="B474" s="1" t="str">
        <v/>
      </c>
      <c r="C474" s="1" t="str">
        <v/>
      </c>
      <c r="D474" s="1" t="str">
        <v/>
      </c>
      <c r="E474" s="1" t="str">
        <v/>
      </c>
      <c r="F474" s="1" t="str">
        <v/>
      </c>
      <c r="G474" s="1" t="str">
        <v/>
      </c>
      <c r="H474" s="1" t="str">
        <v/>
      </c>
      <c r="I474" s="2" t="str">
        <v/>
      </c>
      <c r="J474" s="2" t="str">
        <v/>
      </c>
      <c r="K474" s="2" t="str">
        <v/>
      </c>
      <c r="L474" s="1" t="str">
        <v/>
      </c>
      <c r="M474" s="2" t="str">
        <v/>
      </c>
      <c r="N474" s="2" t="str">
        <v/>
      </c>
      <c r="O474" s="1" t="str">
        <v/>
      </c>
      <c r="P474" s="1" t="str">
        <v/>
      </c>
      <c r="Q474" s="1" t="str">
        <v/>
      </c>
    </row>
    <row r="475" x14ac:dyDescent="0.25">
      <c r="A475" s="1" t="str">
        <v/>
      </c>
      <c r="B475" s="1" t="str">
        <v/>
      </c>
      <c r="C475" s="1" t="str">
        <v/>
      </c>
      <c r="D475" s="1" t="str">
        <v/>
      </c>
      <c r="E475" s="1" t="str">
        <v/>
      </c>
      <c r="F475" s="1" t="str">
        <v/>
      </c>
      <c r="G475" s="1" t="str">
        <v/>
      </c>
      <c r="H475" s="1" t="str">
        <v/>
      </c>
      <c r="I475" s="2" t="str">
        <v/>
      </c>
      <c r="J475" s="2" t="str">
        <v/>
      </c>
      <c r="K475" s="2" t="str">
        <v/>
      </c>
      <c r="L475" s="1" t="str">
        <v/>
      </c>
      <c r="M475" s="2" t="str">
        <v/>
      </c>
      <c r="N475" s="2" t="str">
        <v/>
      </c>
      <c r="O475" s="1" t="str">
        <v/>
      </c>
      <c r="P475" s="1" t="str">
        <v/>
      </c>
      <c r="Q475" s="1" t="str">
        <v/>
      </c>
    </row>
    <row r="476" x14ac:dyDescent="0.25">
      <c r="A476" s="1" t="str">
        <v/>
      </c>
      <c r="B476" s="1" t="str">
        <v/>
      </c>
      <c r="C476" s="1" t="str">
        <v/>
      </c>
      <c r="D476" s="1" t="str">
        <v/>
      </c>
      <c r="E476" s="1" t="str">
        <v/>
      </c>
      <c r="F476" s="1" t="str">
        <v/>
      </c>
      <c r="G476" s="1" t="str">
        <v/>
      </c>
      <c r="H476" s="1" t="str">
        <v/>
      </c>
      <c r="I476" s="2" t="str">
        <v/>
      </c>
      <c r="J476" s="2" t="str">
        <v/>
      </c>
      <c r="K476" s="2" t="str">
        <v/>
      </c>
      <c r="L476" s="1" t="str">
        <v/>
      </c>
      <c r="M476" s="2" t="str">
        <v/>
      </c>
      <c r="N476" s="2" t="str">
        <v/>
      </c>
      <c r="O476" s="1" t="str">
        <v/>
      </c>
      <c r="P476" s="1" t="str">
        <v/>
      </c>
      <c r="Q476" s="1" t="str">
        <v/>
      </c>
    </row>
    <row r="477" x14ac:dyDescent="0.25">
      <c r="A477" s="1" t="str">
        <v/>
      </c>
      <c r="B477" s="1" t="str">
        <v/>
      </c>
      <c r="C477" s="1" t="str">
        <v/>
      </c>
      <c r="D477" s="1" t="str">
        <v/>
      </c>
      <c r="E477" s="1" t="str">
        <v/>
      </c>
      <c r="F477" s="1" t="str">
        <v/>
      </c>
      <c r="G477" s="1" t="str">
        <v/>
      </c>
      <c r="H477" s="1" t="str">
        <v/>
      </c>
      <c r="I477" s="2" t="str">
        <v/>
      </c>
      <c r="J477" s="2" t="str">
        <v/>
      </c>
      <c r="K477" s="2" t="str">
        <v/>
      </c>
      <c r="L477" s="1" t="str">
        <v/>
      </c>
      <c r="M477" s="2" t="str">
        <v/>
      </c>
      <c r="N477" s="2" t="str">
        <v/>
      </c>
      <c r="O477" s="1" t="str">
        <v/>
      </c>
      <c r="P477" s="1" t="str">
        <v/>
      </c>
      <c r="Q477" s="1" t="str">
        <v/>
      </c>
    </row>
    <row r="478" x14ac:dyDescent="0.25">
      <c r="A478" s="1" t="str">
        <v/>
      </c>
      <c r="B478" s="1" t="str">
        <v/>
      </c>
      <c r="C478" s="1" t="str">
        <v/>
      </c>
      <c r="D478" s="1" t="str">
        <v/>
      </c>
      <c r="E478" s="1" t="str">
        <v/>
      </c>
      <c r="F478" s="1" t="str">
        <v/>
      </c>
      <c r="G478" s="1" t="str">
        <v/>
      </c>
      <c r="H478" s="1" t="str">
        <v/>
      </c>
      <c r="I478" s="2" t="str">
        <v/>
      </c>
      <c r="J478" s="2" t="str">
        <v/>
      </c>
      <c r="K478" s="2" t="str">
        <v/>
      </c>
      <c r="L478" s="1" t="str">
        <v/>
      </c>
      <c r="M478" s="2" t="str">
        <v/>
      </c>
      <c r="N478" s="2" t="str">
        <v/>
      </c>
      <c r="O478" s="1" t="str">
        <v/>
      </c>
      <c r="P478" s="1" t="str">
        <v/>
      </c>
      <c r="Q478" s="1" t="str">
        <v/>
      </c>
    </row>
    <row r="479" x14ac:dyDescent="0.25">
      <c r="A479" s="1" t="str">
        <v/>
      </c>
      <c r="B479" s="1" t="str">
        <v/>
      </c>
      <c r="C479" s="1" t="str">
        <v/>
      </c>
      <c r="D479" s="1" t="str">
        <v/>
      </c>
      <c r="E479" s="1" t="str">
        <v/>
      </c>
      <c r="F479" s="1" t="str">
        <v/>
      </c>
      <c r="G479" s="1" t="str">
        <v/>
      </c>
      <c r="H479" s="1" t="str">
        <v/>
      </c>
      <c r="I479" s="2" t="str">
        <v/>
      </c>
      <c r="J479" s="2" t="str">
        <v/>
      </c>
      <c r="K479" s="2" t="str">
        <v/>
      </c>
      <c r="L479" s="1" t="str">
        <v/>
      </c>
      <c r="M479" s="2" t="str">
        <v/>
      </c>
      <c r="N479" s="2" t="str">
        <v/>
      </c>
      <c r="O479" s="1" t="str">
        <v/>
      </c>
      <c r="P479" s="1" t="str">
        <v/>
      </c>
      <c r="Q479" s="1" t="str">
        <v/>
      </c>
    </row>
    <row r="480" x14ac:dyDescent="0.25">
      <c r="A480" s="1" t="str">
        <v/>
      </c>
      <c r="B480" s="1" t="str">
        <v/>
      </c>
      <c r="C480" s="1" t="str">
        <v/>
      </c>
      <c r="D480" s="1" t="str">
        <v/>
      </c>
      <c r="E480" s="1" t="str">
        <v/>
      </c>
      <c r="F480" s="1" t="str">
        <v/>
      </c>
      <c r="G480" s="1" t="str">
        <v/>
      </c>
      <c r="H480" s="1" t="str">
        <v/>
      </c>
      <c r="I480" s="2" t="str">
        <v/>
      </c>
      <c r="J480" s="2" t="str">
        <v/>
      </c>
      <c r="K480" s="2" t="str">
        <v/>
      </c>
      <c r="L480" s="1" t="str">
        <v/>
      </c>
      <c r="M480" s="2" t="str">
        <v/>
      </c>
      <c r="N480" s="2" t="str">
        <v/>
      </c>
      <c r="O480" s="1" t="str">
        <v/>
      </c>
      <c r="P480" s="1" t="str">
        <v/>
      </c>
      <c r="Q480" s="1" t="str">
        <v/>
      </c>
    </row>
    <row r="481" x14ac:dyDescent="0.25">
      <c r="A481" s="1" t="str">
        <v/>
      </c>
      <c r="B481" s="1" t="str">
        <v/>
      </c>
      <c r="C481" s="1" t="str">
        <v/>
      </c>
      <c r="D481" s="1" t="str">
        <v/>
      </c>
      <c r="E481" s="1" t="str">
        <v/>
      </c>
      <c r="F481" s="1" t="str">
        <v/>
      </c>
      <c r="G481" s="1" t="str">
        <v/>
      </c>
      <c r="H481" s="1" t="str">
        <v/>
      </c>
      <c r="I481" s="2" t="str">
        <v/>
      </c>
      <c r="J481" s="2" t="str">
        <v/>
      </c>
      <c r="K481" s="2" t="str">
        <v/>
      </c>
      <c r="L481" s="1" t="str">
        <v/>
      </c>
      <c r="M481" s="2" t="str">
        <v/>
      </c>
      <c r="N481" s="2" t="str">
        <v/>
      </c>
      <c r="O481" s="1" t="str">
        <v/>
      </c>
      <c r="P481" s="1" t="str">
        <v/>
      </c>
      <c r="Q481" s="1" t="str">
        <v/>
      </c>
    </row>
    <row r="482" x14ac:dyDescent="0.25">
      <c r="A482" s="1" t="str">
        <v/>
      </c>
      <c r="B482" s="1" t="str">
        <v/>
      </c>
      <c r="C482" s="1" t="str">
        <v/>
      </c>
      <c r="D482" s="1" t="str">
        <v/>
      </c>
      <c r="E482" s="1" t="str">
        <v/>
      </c>
      <c r="F482" s="1" t="str">
        <v/>
      </c>
      <c r="G482" s="1" t="str">
        <v/>
      </c>
      <c r="H482" s="1" t="str">
        <v/>
      </c>
      <c r="I482" s="2" t="str">
        <v/>
      </c>
      <c r="J482" s="2" t="str">
        <v/>
      </c>
      <c r="K482" s="2" t="str">
        <v/>
      </c>
      <c r="L482" s="1" t="str">
        <v/>
      </c>
      <c r="M482" s="2" t="str">
        <v/>
      </c>
      <c r="N482" s="2" t="str">
        <v/>
      </c>
      <c r="O482" s="1" t="str">
        <v/>
      </c>
      <c r="P482" s="1" t="str">
        <v/>
      </c>
      <c r="Q482" s="1" t="str">
        <v/>
      </c>
    </row>
    <row r="483" x14ac:dyDescent="0.25">
      <c r="A483" s="1" t="str">
        <v/>
      </c>
      <c r="B483" s="1" t="str">
        <v/>
      </c>
      <c r="C483" s="1" t="str">
        <v/>
      </c>
      <c r="D483" s="1" t="str">
        <v/>
      </c>
      <c r="E483" s="1" t="str">
        <v/>
      </c>
      <c r="F483" s="1" t="str">
        <v/>
      </c>
      <c r="G483" s="1" t="str">
        <v/>
      </c>
      <c r="H483" s="1" t="str">
        <v/>
      </c>
      <c r="I483" s="2" t="str">
        <v/>
      </c>
      <c r="J483" s="2" t="str">
        <v/>
      </c>
      <c r="K483" s="2" t="str">
        <v/>
      </c>
      <c r="L483" s="1" t="str">
        <v/>
      </c>
      <c r="M483" s="2" t="str">
        <v/>
      </c>
      <c r="N483" s="2" t="str">
        <v/>
      </c>
      <c r="O483" s="1" t="str">
        <v/>
      </c>
      <c r="P483" s="1" t="str">
        <v/>
      </c>
      <c r="Q483" s="1" t="str">
        <v/>
      </c>
    </row>
    <row r="484" x14ac:dyDescent="0.25">
      <c r="A484" s="1" t="str">
        <v/>
      </c>
      <c r="B484" s="1" t="str">
        <v/>
      </c>
      <c r="C484" s="1" t="str">
        <v/>
      </c>
      <c r="D484" s="1" t="str">
        <v/>
      </c>
      <c r="E484" s="1" t="str">
        <v/>
      </c>
      <c r="F484" s="1" t="str">
        <v/>
      </c>
      <c r="G484" s="1" t="str">
        <v/>
      </c>
      <c r="H484" s="1" t="str">
        <v/>
      </c>
      <c r="I484" s="2" t="str">
        <v/>
      </c>
      <c r="J484" s="2" t="str">
        <v/>
      </c>
      <c r="K484" s="2" t="str">
        <v/>
      </c>
      <c r="L484" s="1" t="str">
        <v/>
      </c>
      <c r="M484" s="2" t="str">
        <v/>
      </c>
      <c r="N484" s="2" t="str">
        <v/>
      </c>
      <c r="O484" s="1" t="str">
        <v/>
      </c>
      <c r="P484" s="1" t="str">
        <v/>
      </c>
      <c r="Q484" s="1" t="str">
        <v/>
      </c>
    </row>
    <row r="485" x14ac:dyDescent="0.25">
      <c r="A485" s="1" t="str">
        <v/>
      </c>
      <c r="B485" s="1" t="str">
        <v/>
      </c>
      <c r="C485" s="1" t="str">
        <v/>
      </c>
      <c r="D485" s="1" t="str">
        <v/>
      </c>
      <c r="E485" s="1" t="str">
        <v/>
      </c>
      <c r="F485" s="1" t="str">
        <v/>
      </c>
      <c r="G485" s="1" t="str">
        <v/>
      </c>
      <c r="H485" s="1" t="str">
        <v/>
      </c>
      <c r="I485" s="2" t="str">
        <v/>
      </c>
      <c r="J485" s="2" t="str">
        <v/>
      </c>
      <c r="K485" s="2" t="str">
        <v/>
      </c>
      <c r="L485" s="1" t="str">
        <v/>
      </c>
      <c r="M485" s="2" t="str">
        <v/>
      </c>
      <c r="N485" s="2" t="str">
        <v/>
      </c>
      <c r="O485" s="1" t="str">
        <v/>
      </c>
      <c r="P485" s="1" t="str">
        <v/>
      </c>
      <c r="Q485" s="1" t="str">
        <v/>
      </c>
    </row>
    <row r="486" x14ac:dyDescent="0.25">
      <c r="A486" s="1" t="str">
        <v/>
      </c>
      <c r="B486" s="1" t="str">
        <v/>
      </c>
      <c r="C486" s="1" t="str">
        <v/>
      </c>
      <c r="D486" s="1" t="str">
        <v/>
      </c>
      <c r="E486" s="1" t="str">
        <v/>
      </c>
      <c r="F486" s="1" t="str">
        <v/>
      </c>
      <c r="G486" s="1" t="str">
        <v/>
      </c>
      <c r="H486" s="1" t="str">
        <v/>
      </c>
      <c r="I486" s="2" t="str">
        <v/>
      </c>
      <c r="J486" s="2" t="str">
        <v/>
      </c>
      <c r="K486" s="2" t="str">
        <v/>
      </c>
      <c r="L486" s="1" t="str">
        <v/>
      </c>
      <c r="M486" s="2" t="str">
        <v/>
      </c>
      <c r="N486" s="2" t="str">
        <v/>
      </c>
      <c r="O486" s="1" t="str">
        <v/>
      </c>
      <c r="P486" s="1" t="str">
        <v/>
      </c>
      <c r="Q486" s="1" t="str">
        <v/>
      </c>
    </row>
    <row r="487" x14ac:dyDescent="0.25">
      <c r="A487" s="1" t="str">
        <v/>
      </c>
      <c r="B487" s="1" t="str">
        <v/>
      </c>
      <c r="C487" s="1" t="str">
        <v/>
      </c>
      <c r="D487" s="1" t="str">
        <v/>
      </c>
      <c r="E487" s="1" t="str">
        <v/>
      </c>
      <c r="F487" s="1" t="str">
        <v/>
      </c>
      <c r="G487" s="1" t="str">
        <v/>
      </c>
      <c r="H487" s="1" t="str">
        <v/>
      </c>
      <c r="I487" s="2" t="str">
        <v/>
      </c>
      <c r="J487" s="2" t="str">
        <v/>
      </c>
      <c r="K487" s="2" t="str">
        <v/>
      </c>
      <c r="L487" s="1" t="str">
        <v/>
      </c>
      <c r="M487" s="2" t="str">
        <v/>
      </c>
      <c r="N487" s="2" t="str">
        <v/>
      </c>
      <c r="O487" s="1" t="str">
        <v/>
      </c>
      <c r="P487" s="1" t="str">
        <v/>
      </c>
      <c r="Q487" s="1" t="str">
        <v/>
      </c>
    </row>
    <row r="488" x14ac:dyDescent="0.25">
      <c r="A488" s="1" t="str">
        <v/>
      </c>
      <c r="B488" s="1" t="str">
        <v/>
      </c>
      <c r="C488" s="1" t="str">
        <v/>
      </c>
      <c r="D488" s="1" t="str">
        <v/>
      </c>
      <c r="E488" s="1" t="str">
        <v/>
      </c>
      <c r="F488" s="1" t="str">
        <v/>
      </c>
      <c r="G488" s="1" t="str">
        <v/>
      </c>
      <c r="H488" s="1" t="str">
        <v/>
      </c>
      <c r="I488" s="2" t="str">
        <v/>
      </c>
      <c r="J488" s="2" t="str">
        <v/>
      </c>
      <c r="K488" s="2" t="str">
        <v/>
      </c>
      <c r="L488" s="1" t="str">
        <v/>
      </c>
      <c r="M488" s="2" t="str">
        <v/>
      </c>
      <c r="N488" s="2" t="str">
        <v/>
      </c>
      <c r="O488" s="1" t="str">
        <v/>
      </c>
      <c r="P488" s="1" t="str">
        <v/>
      </c>
      <c r="Q488" s="1" t="str">
        <v/>
      </c>
    </row>
    <row r="489" x14ac:dyDescent="0.25">
      <c r="A489" s="1" t="str">
        <v/>
      </c>
      <c r="B489" s="1" t="str">
        <v/>
      </c>
      <c r="C489" s="1" t="str">
        <v/>
      </c>
      <c r="D489" s="1" t="str">
        <v/>
      </c>
      <c r="E489" s="1" t="str">
        <v/>
      </c>
      <c r="F489" s="1" t="str">
        <v/>
      </c>
      <c r="G489" s="1" t="str">
        <v/>
      </c>
      <c r="H489" s="1" t="str">
        <v/>
      </c>
      <c r="I489" s="2" t="str">
        <v/>
      </c>
      <c r="J489" s="2" t="str">
        <v/>
      </c>
      <c r="K489" s="2" t="str">
        <v/>
      </c>
      <c r="L489" s="1" t="str">
        <v/>
      </c>
      <c r="M489" s="2" t="str">
        <v/>
      </c>
      <c r="N489" s="2" t="str">
        <v/>
      </c>
      <c r="O489" s="1" t="str">
        <v/>
      </c>
      <c r="P489" s="1" t="str">
        <v/>
      </c>
      <c r="Q489" s="1" t="str">
        <v/>
      </c>
    </row>
    <row r="490" x14ac:dyDescent="0.25">
      <c r="A490" s="1" t="str">
        <v/>
      </c>
      <c r="B490" s="1" t="str">
        <v/>
      </c>
      <c r="C490" s="1" t="str">
        <v/>
      </c>
      <c r="D490" s="1" t="str">
        <v/>
      </c>
      <c r="E490" s="1" t="str">
        <v/>
      </c>
      <c r="F490" s="1" t="str">
        <v/>
      </c>
      <c r="G490" s="1" t="str">
        <v/>
      </c>
      <c r="H490" s="1" t="str">
        <v/>
      </c>
      <c r="I490" s="2" t="str">
        <v/>
      </c>
      <c r="J490" s="2" t="str">
        <v/>
      </c>
      <c r="K490" s="2" t="str">
        <v/>
      </c>
      <c r="L490" s="1" t="str">
        <v/>
      </c>
      <c r="M490" s="2" t="str">
        <v/>
      </c>
      <c r="N490" s="2" t="str">
        <v/>
      </c>
      <c r="O490" s="1" t="str">
        <v/>
      </c>
      <c r="P490" s="1" t="str">
        <v/>
      </c>
      <c r="Q490" s="1" t="str">
        <v/>
      </c>
    </row>
    <row r="491" x14ac:dyDescent="0.25">
      <c r="A491" s="1" t="str">
        <v/>
      </c>
      <c r="B491" s="1" t="str">
        <v/>
      </c>
      <c r="C491" s="1" t="str">
        <v/>
      </c>
      <c r="D491" s="1" t="str">
        <v/>
      </c>
      <c r="E491" s="1" t="str">
        <v/>
      </c>
      <c r="F491" s="1" t="str">
        <v/>
      </c>
      <c r="G491" s="1" t="str">
        <v/>
      </c>
      <c r="H491" s="1" t="str">
        <v/>
      </c>
      <c r="I491" s="2" t="str">
        <v/>
      </c>
      <c r="J491" s="2" t="str">
        <v/>
      </c>
      <c r="K491" s="2" t="str">
        <v/>
      </c>
      <c r="L491" s="1" t="str">
        <v/>
      </c>
      <c r="M491" s="2" t="str">
        <v/>
      </c>
      <c r="N491" s="2" t="str">
        <v/>
      </c>
      <c r="O491" s="1" t="str">
        <v/>
      </c>
      <c r="P491" s="1" t="str">
        <v/>
      </c>
      <c r="Q491" s="1" t="str">
        <v/>
      </c>
    </row>
    <row r="492" x14ac:dyDescent="0.25">
      <c r="A492" s="1" t="str">
        <v/>
      </c>
      <c r="B492" s="1" t="str">
        <v/>
      </c>
      <c r="C492" s="1" t="str">
        <v/>
      </c>
      <c r="D492" s="1" t="str">
        <v/>
      </c>
      <c r="E492" s="1" t="str">
        <v/>
      </c>
      <c r="F492" s="1" t="str">
        <v/>
      </c>
      <c r="G492" s="1" t="str">
        <v/>
      </c>
      <c r="H492" s="1" t="str">
        <v/>
      </c>
      <c r="I492" s="2" t="str">
        <v/>
      </c>
      <c r="J492" s="2" t="str">
        <v/>
      </c>
      <c r="K492" s="2" t="str">
        <v/>
      </c>
      <c r="L492" s="1" t="str">
        <v/>
      </c>
      <c r="M492" s="2" t="str">
        <v/>
      </c>
      <c r="N492" s="2" t="str">
        <v/>
      </c>
      <c r="O492" s="1" t="str">
        <v/>
      </c>
      <c r="P492" s="1" t="str">
        <v/>
      </c>
      <c r="Q492" s="1" t="str">
        <v/>
      </c>
    </row>
    <row r="493" x14ac:dyDescent="0.25">
      <c r="A493" s="1" t="str">
        <v/>
      </c>
      <c r="B493" s="1" t="str">
        <v/>
      </c>
      <c r="C493" s="1" t="str">
        <v/>
      </c>
      <c r="D493" s="1" t="str">
        <v/>
      </c>
      <c r="E493" s="1" t="str">
        <v/>
      </c>
      <c r="F493" s="1" t="str">
        <v/>
      </c>
      <c r="G493" s="1" t="str">
        <v/>
      </c>
      <c r="H493" s="1" t="str">
        <v/>
      </c>
      <c r="I493" s="2" t="str">
        <v/>
      </c>
      <c r="J493" s="2" t="str">
        <v/>
      </c>
      <c r="K493" s="2" t="str">
        <v/>
      </c>
      <c r="L493" s="1" t="str">
        <v/>
      </c>
      <c r="M493" s="2" t="str">
        <v/>
      </c>
      <c r="N493" s="2" t="str">
        <v/>
      </c>
      <c r="O493" s="1" t="str">
        <v/>
      </c>
      <c r="P493" s="1" t="str">
        <v/>
      </c>
      <c r="Q493" s="1" t="str">
        <v/>
      </c>
    </row>
    <row r="494" x14ac:dyDescent="0.25">
      <c r="A494" s="1" t="str">
        <v/>
      </c>
      <c r="B494" s="1" t="str">
        <v/>
      </c>
      <c r="C494" s="1" t="str">
        <v/>
      </c>
      <c r="D494" s="1" t="str">
        <v/>
      </c>
      <c r="E494" s="1" t="str">
        <v/>
      </c>
      <c r="F494" s="1" t="str">
        <v/>
      </c>
      <c r="G494" s="1" t="str">
        <v/>
      </c>
      <c r="H494" s="1" t="str">
        <v/>
      </c>
      <c r="I494" s="2" t="str">
        <v/>
      </c>
      <c r="J494" s="2" t="str">
        <v/>
      </c>
      <c r="K494" s="2" t="str">
        <v/>
      </c>
      <c r="L494" s="1" t="str">
        <v/>
      </c>
      <c r="M494" s="2" t="str">
        <v/>
      </c>
      <c r="N494" s="2" t="str">
        <v/>
      </c>
      <c r="O494" s="1" t="str">
        <v/>
      </c>
      <c r="P494" s="1" t="str">
        <v/>
      </c>
      <c r="Q494" s="1" t="str">
        <v/>
      </c>
    </row>
    <row r="495" x14ac:dyDescent="0.25">
      <c r="A495" s="1" t="str">
        <v/>
      </c>
      <c r="B495" s="1" t="str">
        <v/>
      </c>
      <c r="C495" s="1" t="str">
        <v/>
      </c>
      <c r="D495" s="1" t="str">
        <v/>
      </c>
      <c r="E495" s="1" t="str">
        <v/>
      </c>
      <c r="F495" s="1" t="str">
        <v/>
      </c>
      <c r="G495" s="1" t="str">
        <v/>
      </c>
      <c r="H495" s="1" t="str">
        <v/>
      </c>
      <c r="I495" s="2" t="str">
        <v/>
      </c>
      <c r="J495" s="2" t="str">
        <v/>
      </c>
      <c r="K495" s="2" t="str">
        <v/>
      </c>
      <c r="L495" s="1" t="str">
        <v/>
      </c>
      <c r="M495" s="2" t="str">
        <v/>
      </c>
      <c r="N495" s="2" t="str">
        <v/>
      </c>
      <c r="O495" s="1" t="str">
        <v/>
      </c>
      <c r="P495" s="1" t="str">
        <v/>
      </c>
      <c r="Q495" s="1" t="str">
        <v/>
      </c>
    </row>
    <row r="496" x14ac:dyDescent="0.25">
      <c r="A496" s="1" t="str">
        <v/>
      </c>
      <c r="B496" s="1" t="str">
        <v/>
      </c>
      <c r="C496" s="1" t="str">
        <v/>
      </c>
      <c r="D496" s="1" t="str">
        <v/>
      </c>
      <c r="E496" s="1" t="str">
        <v/>
      </c>
      <c r="F496" s="1" t="str">
        <v/>
      </c>
      <c r="G496" s="1" t="str">
        <v/>
      </c>
      <c r="H496" s="1" t="str">
        <v/>
      </c>
      <c r="I496" s="2" t="str">
        <v/>
      </c>
      <c r="J496" s="2" t="str">
        <v/>
      </c>
      <c r="K496" s="2" t="str">
        <v/>
      </c>
      <c r="L496" s="1" t="str">
        <v/>
      </c>
      <c r="M496" s="2" t="str">
        <v/>
      </c>
      <c r="N496" s="2" t="str">
        <v/>
      </c>
      <c r="O496" s="1" t="str">
        <v/>
      </c>
      <c r="P496" s="1" t="str">
        <v/>
      </c>
      <c r="Q496" s="1" t="str">
        <v/>
      </c>
    </row>
    <row r="497" x14ac:dyDescent="0.25">
      <c r="A497" s="1" t="str">
        <v/>
      </c>
      <c r="B497" s="1" t="str">
        <v/>
      </c>
      <c r="C497" s="1" t="str">
        <v/>
      </c>
      <c r="D497" s="1" t="str">
        <v/>
      </c>
      <c r="E497" s="1" t="str">
        <v/>
      </c>
      <c r="F497" s="1" t="str">
        <v/>
      </c>
      <c r="G497" s="1" t="str">
        <v/>
      </c>
      <c r="H497" s="1" t="str">
        <v/>
      </c>
      <c r="I497" s="2" t="str">
        <v/>
      </c>
      <c r="J497" s="2" t="str">
        <v/>
      </c>
      <c r="K497" s="2" t="str">
        <v/>
      </c>
      <c r="L497" s="1" t="str">
        <v/>
      </c>
      <c r="M497" s="2" t="str">
        <v/>
      </c>
      <c r="N497" s="2" t="str">
        <v/>
      </c>
      <c r="O497" s="1" t="str">
        <v/>
      </c>
      <c r="P497" s="1" t="str">
        <v/>
      </c>
      <c r="Q497" s="1" t="str">
        <v/>
      </c>
    </row>
    <row r="498" x14ac:dyDescent="0.25">
      <c r="A498" s="1" t="str">
        <v/>
      </c>
      <c r="B498" s="1" t="str">
        <v/>
      </c>
      <c r="C498" s="1" t="str">
        <v/>
      </c>
      <c r="D498" s="1" t="str">
        <v/>
      </c>
      <c r="E498" s="1" t="str">
        <v/>
      </c>
      <c r="F498" s="1" t="str">
        <v/>
      </c>
      <c r="G498" s="1" t="str">
        <v/>
      </c>
      <c r="H498" s="1" t="str">
        <v/>
      </c>
      <c r="I498" s="2" t="str">
        <v/>
      </c>
      <c r="J498" s="2" t="str">
        <v/>
      </c>
      <c r="K498" s="2" t="str">
        <v/>
      </c>
      <c r="L498" s="1" t="str">
        <v/>
      </c>
      <c r="M498" s="2" t="str">
        <v/>
      </c>
      <c r="N498" s="2" t="str">
        <v/>
      </c>
      <c r="O498" s="1" t="str">
        <v/>
      </c>
      <c r="P498" s="1" t="str">
        <v/>
      </c>
      <c r="Q498" s="1" t="str">
        <v/>
      </c>
    </row>
    <row r="499" x14ac:dyDescent="0.25">
      <c r="A499" s="1" t="str">
        <v/>
      </c>
      <c r="B499" s="1" t="str">
        <v/>
      </c>
      <c r="C499" s="1" t="str">
        <v/>
      </c>
      <c r="D499" s="1" t="str">
        <v/>
      </c>
      <c r="E499" s="1" t="str">
        <v/>
      </c>
      <c r="F499" s="1" t="str">
        <v/>
      </c>
      <c r="G499" s="1" t="str">
        <v/>
      </c>
      <c r="H499" s="1" t="str">
        <v/>
      </c>
      <c r="I499" s="2" t="str">
        <v/>
      </c>
      <c r="J499" s="2" t="str">
        <v/>
      </c>
      <c r="K499" s="2" t="str">
        <v/>
      </c>
      <c r="L499" s="1" t="str">
        <v/>
      </c>
      <c r="M499" s="2" t="str">
        <v/>
      </c>
      <c r="N499" s="2" t="str">
        <v/>
      </c>
      <c r="O499" s="1" t="str">
        <v/>
      </c>
      <c r="P499" s="1" t="str">
        <v/>
      </c>
      <c r="Q499" s="1" t="str">
        <v/>
      </c>
    </row>
    <row r="500" x14ac:dyDescent="0.25">
      <c r="A500" s="1" t="str">
        <v/>
      </c>
      <c r="B500" s="1" t="str">
        <v/>
      </c>
      <c r="C500" s="1" t="str">
        <v/>
      </c>
      <c r="D500" s="1" t="str">
        <v/>
      </c>
      <c r="E500" s="1" t="str">
        <v/>
      </c>
      <c r="F500" s="1" t="str">
        <v/>
      </c>
      <c r="G500" s="1" t="str">
        <v/>
      </c>
      <c r="H500" s="1" t="str">
        <v/>
      </c>
      <c r="I500" s="2" t="str">
        <v/>
      </c>
      <c r="J500" s="2" t="str">
        <v/>
      </c>
      <c r="K500" s="2" t="str">
        <v/>
      </c>
      <c r="L500" s="1" t="str">
        <v/>
      </c>
      <c r="M500" s="2" t="str">
        <v/>
      </c>
      <c r="N500" s="2" t="str">
        <v/>
      </c>
      <c r="O500" s="1" t="str">
        <v/>
      </c>
      <c r="P500" s="1" t="str">
        <v/>
      </c>
      <c r="Q500" s="1" t="str">
        <v/>
      </c>
    </row>
    <row r="501" x14ac:dyDescent="0.25">
      <c r="A501" s="1" t="str">
        <v/>
      </c>
      <c r="B501" s="1" t="str">
        <v/>
      </c>
      <c r="C501" s="1" t="str">
        <v/>
      </c>
      <c r="D501" s="1" t="str">
        <v/>
      </c>
      <c r="E501" s="1" t="str">
        <v/>
      </c>
      <c r="F501" s="1" t="str">
        <v/>
      </c>
      <c r="G501" s="1" t="str">
        <v/>
      </c>
      <c r="H501" s="1" t="str">
        <v/>
      </c>
      <c r="I501" s="2" t="str">
        <v/>
      </c>
      <c r="J501" s="2" t="str">
        <v/>
      </c>
      <c r="K501" s="2" t="str">
        <v/>
      </c>
      <c r="L501" s="1" t="str">
        <v/>
      </c>
      <c r="M501" s="2" t="str">
        <v/>
      </c>
      <c r="N501" s="2" t="str">
        <v/>
      </c>
      <c r="O501" s="1" t="str">
        <v/>
      </c>
      <c r="P501" s="1" t="str">
        <v/>
      </c>
      <c r="Q501" s="1" t="str">
        <v/>
      </c>
    </row>
    <row r="502" x14ac:dyDescent="0.25">
      <c r="A502" s="1" t="str">
        <v/>
      </c>
      <c r="B502" s="1" t="str">
        <v/>
      </c>
      <c r="C502" s="1" t="str">
        <v/>
      </c>
      <c r="D502" s="1" t="str">
        <v/>
      </c>
      <c r="E502" s="1" t="str">
        <v/>
      </c>
      <c r="F502" s="1" t="str">
        <v/>
      </c>
      <c r="G502" s="1" t="str">
        <v/>
      </c>
      <c r="H502" s="1" t="str">
        <v/>
      </c>
      <c r="I502" s="2" t="str">
        <v/>
      </c>
      <c r="J502" s="2" t="str">
        <v/>
      </c>
      <c r="K502" s="2" t="str">
        <v/>
      </c>
      <c r="L502" s="1" t="str">
        <v/>
      </c>
      <c r="M502" s="2" t="str">
        <v/>
      </c>
      <c r="N502" s="2" t="str">
        <v/>
      </c>
      <c r="O502" s="1" t="str">
        <v/>
      </c>
      <c r="P502" s="1" t="str">
        <v/>
      </c>
      <c r="Q502" s="1" t="str">
        <v/>
      </c>
    </row>
    <row r="503" x14ac:dyDescent="0.25">
      <c r="A503" s="1" t="str">
        <v/>
      </c>
      <c r="B503" s="1" t="str">
        <v/>
      </c>
      <c r="C503" s="1" t="str">
        <v/>
      </c>
      <c r="D503" s="1" t="str">
        <v/>
      </c>
      <c r="E503" s="1" t="str">
        <v/>
      </c>
      <c r="F503" s="1" t="str">
        <v/>
      </c>
      <c r="G503" s="1" t="str">
        <v/>
      </c>
      <c r="H503" s="1" t="str">
        <v/>
      </c>
      <c r="I503" s="2" t="str">
        <v/>
      </c>
      <c r="J503" s="2" t="str">
        <v/>
      </c>
      <c r="K503" s="2" t="str">
        <v/>
      </c>
      <c r="L503" s="1" t="str">
        <v/>
      </c>
      <c r="M503" s="2" t="str">
        <v/>
      </c>
      <c r="N503" s="2" t="str">
        <v/>
      </c>
      <c r="O503" s="1" t="str">
        <v/>
      </c>
      <c r="P503" s="1" t="str">
        <v/>
      </c>
      <c r="Q503" s="1" t="str">
        <v/>
      </c>
    </row>
    <row r="504" x14ac:dyDescent="0.25">
      <c r="A504" s="1" t="str">
        <v/>
      </c>
      <c r="B504" s="1" t="str">
        <v/>
      </c>
      <c r="C504" s="1" t="str">
        <v/>
      </c>
      <c r="D504" s="1" t="str">
        <v/>
      </c>
      <c r="E504" s="1" t="str">
        <v/>
      </c>
      <c r="F504" s="1" t="str">
        <v/>
      </c>
      <c r="G504" s="1" t="str">
        <v/>
      </c>
      <c r="H504" s="1" t="str">
        <v/>
      </c>
      <c r="I504" s="2" t="str">
        <v/>
      </c>
      <c r="J504" s="2" t="str">
        <v/>
      </c>
      <c r="K504" s="2" t="str">
        <v/>
      </c>
      <c r="L504" s="1" t="str">
        <v/>
      </c>
      <c r="M504" s="2" t="str">
        <v/>
      </c>
      <c r="N504" s="2" t="str">
        <v/>
      </c>
      <c r="O504" s="1" t="str">
        <v/>
      </c>
      <c r="P504" s="1" t="str">
        <v/>
      </c>
      <c r="Q504" s="1" t="str">
        <v/>
      </c>
    </row>
    <row r="505" x14ac:dyDescent="0.25">
      <c r="A505" s="1" t="str">
        <v/>
      </c>
      <c r="B505" s="1" t="str">
        <v/>
      </c>
      <c r="C505" s="1" t="str">
        <v/>
      </c>
      <c r="D505" s="1" t="str">
        <v/>
      </c>
      <c r="E505" s="1" t="str">
        <v/>
      </c>
      <c r="F505" s="1" t="str">
        <v/>
      </c>
      <c r="G505" s="1" t="str">
        <v/>
      </c>
      <c r="H505" s="1" t="str">
        <v/>
      </c>
      <c r="I505" s="2" t="str">
        <v/>
      </c>
      <c r="J505" s="2" t="str">
        <v/>
      </c>
      <c r="K505" s="2" t="str">
        <v/>
      </c>
      <c r="L505" s="1" t="str">
        <v/>
      </c>
      <c r="M505" s="2" t="str">
        <v/>
      </c>
      <c r="N505" s="2" t="str">
        <v/>
      </c>
      <c r="O505" s="1" t="str">
        <v/>
      </c>
      <c r="P505" s="1" t="str">
        <v/>
      </c>
      <c r="Q505" s="1" t="str">
        <v/>
      </c>
    </row>
    <row r="506" x14ac:dyDescent="0.25">
      <c r="A506" s="1" t="str">
        <v/>
      </c>
      <c r="B506" s="1" t="str">
        <v/>
      </c>
      <c r="C506" s="1" t="str">
        <v/>
      </c>
      <c r="D506" s="1" t="str">
        <v/>
      </c>
      <c r="E506" s="1" t="str">
        <v/>
      </c>
      <c r="F506" s="1" t="str">
        <v/>
      </c>
      <c r="G506" s="1" t="str">
        <v/>
      </c>
      <c r="H506" s="1" t="str">
        <v/>
      </c>
      <c r="I506" s="2" t="str">
        <v/>
      </c>
      <c r="J506" s="2" t="str">
        <v/>
      </c>
      <c r="K506" s="2" t="str">
        <v/>
      </c>
      <c r="L506" s="1" t="str">
        <v/>
      </c>
      <c r="M506" s="2" t="str">
        <v/>
      </c>
      <c r="N506" s="2" t="str">
        <v/>
      </c>
      <c r="O506" s="1" t="str">
        <v/>
      </c>
      <c r="P506" s="1" t="str">
        <v/>
      </c>
      <c r="Q506" s="1" t="str">
        <v/>
      </c>
    </row>
    <row r="507" x14ac:dyDescent="0.25">
      <c r="A507" s="1" t="str">
        <v/>
      </c>
      <c r="B507" s="1" t="str">
        <v/>
      </c>
      <c r="C507" s="1" t="str">
        <v/>
      </c>
      <c r="D507" s="1" t="str">
        <v/>
      </c>
      <c r="E507" s="1" t="str">
        <v/>
      </c>
      <c r="F507" s="1" t="str">
        <v/>
      </c>
      <c r="G507" s="1" t="str">
        <v/>
      </c>
      <c r="H507" s="1" t="str">
        <v/>
      </c>
      <c r="I507" s="2" t="str">
        <v/>
      </c>
      <c r="J507" s="2" t="str">
        <v/>
      </c>
      <c r="K507" s="2" t="str">
        <v/>
      </c>
      <c r="L507" s="1" t="str">
        <v/>
      </c>
      <c r="M507" s="2" t="str">
        <v/>
      </c>
      <c r="N507" s="2" t="str">
        <v/>
      </c>
      <c r="O507" s="1" t="str">
        <v/>
      </c>
      <c r="P507" s="1" t="str">
        <v/>
      </c>
      <c r="Q507" s="1" t="str">
        <v/>
      </c>
    </row>
    <row r="508" x14ac:dyDescent="0.25">
      <c r="A508" s="1" t="str">
        <v/>
      </c>
      <c r="B508" s="1" t="str">
        <v/>
      </c>
      <c r="C508" s="1" t="str">
        <v/>
      </c>
      <c r="D508" s="1" t="str">
        <v/>
      </c>
      <c r="E508" s="1" t="str">
        <v/>
      </c>
      <c r="F508" s="1" t="str">
        <v/>
      </c>
      <c r="G508" s="1" t="str">
        <v/>
      </c>
      <c r="H508" s="1" t="str">
        <v/>
      </c>
      <c r="I508" s="2" t="str">
        <v/>
      </c>
      <c r="J508" s="2" t="str">
        <v/>
      </c>
      <c r="K508" s="2" t="str">
        <v/>
      </c>
      <c r="L508" s="1" t="str">
        <v/>
      </c>
      <c r="M508" s="2" t="str">
        <v/>
      </c>
      <c r="N508" s="2" t="str">
        <v/>
      </c>
      <c r="O508" s="1" t="str">
        <v/>
      </c>
      <c r="P508" s="1" t="str">
        <v/>
      </c>
      <c r="Q508" s="1" t="str">
        <v/>
      </c>
    </row>
    <row r="509" x14ac:dyDescent="0.25">
      <c r="A509" s="1" t="str">
        <v/>
      </c>
      <c r="B509" s="1" t="str">
        <v/>
      </c>
      <c r="C509" s="1" t="str">
        <v/>
      </c>
      <c r="D509" s="1" t="str">
        <v/>
      </c>
      <c r="E509" s="1" t="str">
        <v/>
      </c>
      <c r="F509" s="1" t="str">
        <v/>
      </c>
      <c r="G509" s="1" t="str">
        <v/>
      </c>
      <c r="H509" s="1" t="str">
        <v/>
      </c>
      <c r="I509" s="2" t="str">
        <v/>
      </c>
      <c r="J509" s="2" t="str">
        <v/>
      </c>
      <c r="K509" s="2" t="str">
        <v/>
      </c>
      <c r="L509" s="1" t="str">
        <v/>
      </c>
      <c r="M509" s="2" t="str">
        <v/>
      </c>
      <c r="N509" s="2" t="str">
        <v/>
      </c>
      <c r="O509" s="1" t="str">
        <v/>
      </c>
      <c r="P509" s="1" t="str">
        <v/>
      </c>
      <c r="Q509" s="1" t="str">
        <v/>
      </c>
    </row>
    <row r="510" x14ac:dyDescent="0.25">
      <c r="A510" s="1" t="str">
        <v/>
      </c>
      <c r="B510" s="1" t="str">
        <v/>
      </c>
      <c r="C510" s="1" t="str">
        <v/>
      </c>
      <c r="D510" s="1" t="str">
        <v/>
      </c>
      <c r="E510" s="1" t="str">
        <v/>
      </c>
      <c r="F510" s="1" t="str">
        <v/>
      </c>
      <c r="G510" s="1" t="str">
        <v/>
      </c>
      <c r="H510" s="1" t="str">
        <v/>
      </c>
      <c r="I510" s="2" t="str">
        <v/>
      </c>
      <c r="J510" s="2" t="str">
        <v/>
      </c>
      <c r="K510" s="2" t="str">
        <v/>
      </c>
      <c r="L510" s="1" t="str">
        <v/>
      </c>
      <c r="M510" s="2" t="str">
        <v/>
      </c>
      <c r="N510" s="2" t="str">
        <v/>
      </c>
      <c r="O510" s="1" t="str">
        <v/>
      </c>
      <c r="P510" s="1" t="str">
        <v/>
      </c>
      <c r="Q510" s="1" t="str">
        <v/>
      </c>
    </row>
    <row r="511" x14ac:dyDescent="0.25">
      <c r="A511" s="1" t="str">
        <v/>
      </c>
      <c r="B511" s="1" t="str">
        <v/>
      </c>
      <c r="C511" s="1" t="str">
        <v/>
      </c>
      <c r="D511" s="1" t="str">
        <v/>
      </c>
      <c r="E511" s="1" t="str">
        <v/>
      </c>
      <c r="F511" s="1" t="str">
        <v/>
      </c>
      <c r="G511" s="1" t="str">
        <v/>
      </c>
      <c r="H511" s="1" t="str">
        <v/>
      </c>
      <c r="I511" s="2" t="str">
        <v/>
      </c>
      <c r="J511" s="2" t="str">
        <v/>
      </c>
      <c r="K511" s="2" t="str">
        <v/>
      </c>
      <c r="L511" s="1" t="str">
        <v/>
      </c>
      <c r="M511" s="2" t="str">
        <v/>
      </c>
      <c r="N511" s="2" t="str">
        <v/>
      </c>
      <c r="O511" s="1" t="str">
        <v/>
      </c>
      <c r="P511" s="1" t="str">
        <v/>
      </c>
      <c r="Q511" s="1" t="str">
        <v/>
      </c>
    </row>
    <row r="512" x14ac:dyDescent="0.25">
      <c r="A512" s="1" t="str">
        <v/>
      </c>
      <c r="B512" s="1" t="str">
        <v/>
      </c>
      <c r="C512" s="1" t="str">
        <v/>
      </c>
      <c r="D512" s="1" t="str">
        <v/>
      </c>
      <c r="E512" s="1" t="str">
        <v/>
      </c>
      <c r="F512" s="1" t="str">
        <v/>
      </c>
      <c r="G512" s="1" t="str">
        <v/>
      </c>
      <c r="H512" s="1" t="str">
        <v/>
      </c>
      <c r="I512" s="2" t="str">
        <v/>
      </c>
      <c r="J512" s="2" t="str">
        <v/>
      </c>
      <c r="K512" s="2" t="str">
        <v/>
      </c>
      <c r="L512" s="1" t="str">
        <v/>
      </c>
      <c r="M512" s="2" t="str">
        <v/>
      </c>
      <c r="N512" s="2" t="str">
        <v/>
      </c>
      <c r="O512" s="1" t="str">
        <v/>
      </c>
      <c r="P512" s="1" t="str">
        <v/>
      </c>
      <c r="Q512" s="1" t="str">
        <v/>
      </c>
    </row>
    <row r="513" x14ac:dyDescent="0.25">
      <c r="A513" s="1" t="str">
        <v/>
      </c>
      <c r="B513" s="1" t="str">
        <v/>
      </c>
      <c r="C513" s="1" t="str">
        <v/>
      </c>
      <c r="D513" s="1" t="str">
        <v/>
      </c>
      <c r="E513" s="1" t="str">
        <v/>
      </c>
      <c r="F513" s="1" t="str">
        <v/>
      </c>
      <c r="G513" s="1" t="str">
        <v/>
      </c>
      <c r="H513" s="1" t="str">
        <v/>
      </c>
      <c r="I513" s="2" t="str">
        <v/>
      </c>
      <c r="J513" s="2" t="str">
        <v/>
      </c>
      <c r="K513" s="2" t="str">
        <v/>
      </c>
      <c r="L513" s="1" t="str">
        <v/>
      </c>
      <c r="M513" s="2" t="str">
        <v/>
      </c>
      <c r="N513" s="2" t="str">
        <v/>
      </c>
      <c r="O513" s="1" t="str">
        <v/>
      </c>
      <c r="P513" s="1" t="str">
        <v/>
      </c>
      <c r="Q513" s="1" t="str">
        <v/>
      </c>
    </row>
    <row r="514" x14ac:dyDescent="0.25">
      <c r="A514" s="1" t="str">
        <v/>
      </c>
      <c r="B514" s="1" t="str">
        <v/>
      </c>
      <c r="C514" s="1" t="str">
        <v/>
      </c>
      <c r="D514" s="1" t="str">
        <v/>
      </c>
      <c r="E514" s="1" t="str">
        <v/>
      </c>
      <c r="F514" s="1" t="str">
        <v/>
      </c>
      <c r="G514" s="1" t="str">
        <v/>
      </c>
      <c r="H514" s="1" t="str">
        <v/>
      </c>
      <c r="I514" s="2" t="str">
        <v/>
      </c>
      <c r="J514" s="2" t="str">
        <v/>
      </c>
      <c r="K514" s="2" t="str">
        <v/>
      </c>
      <c r="L514" s="1" t="str">
        <v/>
      </c>
      <c r="M514" s="2" t="str">
        <v/>
      </c>
      <c r="N514" s="2" t="str">
        <v/>
      </c>
      <c r="O514" s="1" t="str">
        <v/>
      </c>
      <c r="P514" s="1" t="str">
        <v/>
      </c>
      <c r="Q514" s="1" t="str">
        <v/>
      </c>
    </row>
    <row r="515" x14ac:dyDescent="0.25">
      <c r="A515" s="1" t="str">
        <v/>
      </c>
      <c r="B515" s="1" t="str">
        <v/>
      </c>
      <c r="C515" s="1" t="str">
        <v/>
      </c>
      <c r="D515" s="1" t="str">
        <v/>
      </c>
      <c r="E515" s="1" t="str">
        <v/>
      </c>
      <c r="F515" s="1" t="str">
        <v/>
      </c>
      <c r="G515" s="1" t="str">
        <v/>
      </c>
      <c r="H515" s="1" t="str">
        <v/>
      </c>
      <c r="I515" s="2" t="str">
        <v/>
      </c>
      <c r="J515" s="2" t="str">
        <v/>
      </c>
      <c r="K515" s="2" t="str">
        <v/>
      </c>
      <c r="L515" s="1" t="str">
        <v/>
      </c>
      <c r="M515" s="2" t="str">
        <v/>
      </c>
      <c r="N515" s="2" t="str">
        <v/>
      </c>
      <c r="O515" s="1" t="str">
        <v/>
      </c>
      <c r="P515" s="1" t="str">
        <v/>
      </c>
      <c r="Q515" s="1" t="str">
        <v/>
      </c>
    </row>
    <row r="516" x14ac:dyDescent="0.25">
      <c r="A516" s="1" t="str">
        <v/>
      </c>
      <c r="B516" s="1" t="str">
        <v/>
      </c>
      <c r="C516" s="1" t="str">
        <v/>
      </c>
      <c r="D516" s="1" t="str">
        <v/>
      </c>
      <c r="E516" s="1" t="str">
        <v/>
      </c>
      <c r="F516" s="1" t="str">
        <v/>
      </c>
      <c r="G516" s="1" t="str">
        <v/>
      </c>
      <c r="H516" s="1" t="str">
        <v/>
      </c>
      <c r="I516" s="2" t="str">
        <v/>
      </c>
      <c r="J516" s="2" t="str">
        <v/>
      </c>
      <c r="K516" s="2" t="str">
        <v/>
      </c>
      <c r="L516" s="1" t="str">
        <v/>
      </c>
      <c r="M516" s="2" t="str">
        <v/>
      </c>
      <c r="N516" s="2" t="str">
        <v/>
      </c>
      <c r="O516" s="1" t="str">
        <v/>
      </c>
      <c r="P516" s="1" t="str">
        <v/>
      </c>
      <c r="Q516" s="1" t="str">
        <v/>
      </c>
    </row>
    <row r="517" x14ac:dyDescent="0.25">
      <c r="A517" s="1" t="str">
        <v/>
      </c>
      <c r="B517" s="1" t="str">
        <v/>
      </c>
      <c r="C517" s="1" t="str">
        <v/>
      </c>
      <c r="D517" s="1" t="str">
        <v/>
      </c>
      <c r="E517" s="1" t="str">
        <v/>
      </c>
      <c r="F517" s="1" t="str">
        <v/>
      </c>
      <c r="G517" s="1" t="str">
        <v/>
      </c>
      <c r="H517" s="1" t="str">
        <v/>
      </c>
      <c r="I517" s="2" t="str">
        <v/>
      </c>
      <c r="J517" s="2" t="str">
        <v/>
      </c>
      <c r="K517" s="2" t="str">
        <v/>
      </c>
      <c r="L517" s="1" t="str">
        <v/>
      </c>
      <c r="M517" s="2" t="str">
        <v/>
      </c>
      <c r="N517" s="2" t="str">
        <v/>
      </c>
      <c r="O517" s="1" t="str">
        <v/>
      </c>
      <c r="P517" s="1" t="str">
        <v/>
      </c>
      <c r="Q517" s="1" t="str">
        <v/>
      </c>
    </row>
    <row r="518" x14ac:dyDescent="0.25">
      <c r="A518" s="1" t="str">
        <v/>
      </c>
      <c r="B518" s="1" t="str">
        <v/>
      </c>
      <c r="C518" s="1" t="str">
        <v/>
      </c>
      <c r="D518" s="1" t="str">
        <v/>
      </c>
      <c r="E518" s="1" t="str">
        <v/>
      </c>
      <c r="F518" s="1" t="str">
        <v/>
      </c>
      <c r="G518" s="1" t="str">
        <v/>
      </c>
      <c r="H518" s="1" t="str">
        <v/>
      </c>
      <c r="I518" s="2" t="str">
        <v/>
      </c>
      <c r="J518" s="2" t="str">
        <v/>
      </c>
      <c r="K518" s="2" t="str">
        <v/>
      </c>
      <c r="L518" s="1" t="str">
        <v/>
      </c>
      <c r="M518" s="2" t="str">
        <v/>
      </c>
      <c r="N518" s="2" t="str">
        <v/>
      </c>
      <c r="O518" s="1" t="str">
        <v/>
      </c>
      <c r="P518" s="1" t="str">
        <v/>
      </c>
      <c r="Q518" s="1" t="str">
        <v/>
      </c>
    </row>
    <row r="519" x14ac:dyDescent="0.25">
      <c r="A519" s="1" t="str">
        <v/>
      </c>
      <c r="B519" s="1" t="str">
        <v/>
      </c>
      <c r="C519" s="1" t="str">
        <v/>
      </c>
      <c r="D519" s="1" t="str">
        <v/>
      </c>
      <c r="E519" s="1" t="str">
        <v/>
      </c>
      <c r="F519" s="1" t="str">
        <v/>
      </c>
      <c r="G519" s="1" t="str">
        <v/>
      </c>
      <c r="H519" s="1" t="str">
        <v/>
      </c>
      <c r="I519" s="2" t="str">
        <v/>
      </c>
      <c r="J519" s="2" t="str">
        <v/>
      </c>
      <c r="K519" s="2" t="str">
        <v/>
      </c>
      <c r="L519" s="1" t="str">
        <v/>
      </c>
      <c r="M519" s="2" t="str">
        <v/>
      </c>
      <c r="N519" s="2" t="str">
        <v/>
      </c>
      <c r="O519" s="1" t="str">
        <v/>
      </c>
      <c r="P519" s="1" t="str">
        <v/>
      </c>
      <c r="Q519" s="1" t="str">
        <v/>
      </c>
    </row>
    <row r="520" x14ac:dyDescent="0.25">
      <c r="A520" s="1" t="str">
        <v/>
      </c>
      <c r="B520" s="1" t="str">
        <v/>
      </c>
      <c r="C520" s="1" t="str">
        <v/>
      </c>
      <c r="D520" s="1" t="str">
        <v/>
      </c>
      <c r="E520" s="1" t="str">
        <v/>
      </c>
      <c r="F520" s="1" t="str">
        <v/>
      </c>
      <c r="G520" s="1" t="str">
        <v/>
      </c>
      <c r="H520" s="1" t="str">
        <v/>
      </c>
      <c r="I520" s="2" t="str">
        <v/>
      </c>
      <c r="J520" s="2" t="str">
        <v/>
      </c>
      <c r="K520" s="2" t="str">
        <v/>
      </c>
      <c r="L520" s="1" t="str">
        <v/>
      </c>
      <c r="M520" s="2" t="str">
        <v/>
      </c>
      <c r="N520" s="2" t="str">
        <v/>
      </c>
      <c r="O520" s="1" t="str">
        <v/>
      </c>
      <c r="P520" s="1" t="str">
        <v/>
      </c>
      <c r="Q520" s="1" t="str">
        <v/>
      </c>
    </row>
    <row r="521" x14ac:dyDescent="0.25">
      <c r="A521" s="1" t="str">
        <v/>
      </c>
      <c r="B521" s="1" t="str">
        <v/>
      </c>
      <c r="C521" s="1" t="str">
        <v/>
      </c>
      <c r="D521" s="1" t="str">
        <v/>
      </c>
      <c r="E521" s="1" t="str">
        <v/>
      </c>
      <c r="F521" s="1" t="str">
        <v/>
      </c>
      <c r="G521" s="1" t="str">
        <v/>
      </c>
      <c r="H521" s="1" t="str">
        <v/>
      </c>
      <c r="I521" s="2" t="str">
        <v/>
      </c>
      <c r="J521" s="2" t="str">
        <v/>
      </c>
      <c r="K521" s="2" t="str">
        <v/>
      </c>
      <c r="L521" s="1" t="str">
        <v/>
      </c>
      <c r="M521" s="2" t="str">
        <v/>
      </c>
      <c r="N521" s="2" t="str">
        <v/>
      </c>
      <c r="O521" s="1" t="str">
        <v/>
      </c>
      <c r="P521" s="1" t="str">
        <v/>
      </c>
      <c r="Q521" s="1" t="str">
        <v/>
      </c>
    </row>
    <row r="522" x14ac:dyDescent="0.25">
      <c r="A522" s="1" t="str">
        <v/>
      </c>
      <c r="B522" s="1" t="str">
        <v/>
      </c>
      <c r="C522" s="1" t="str">
        <v/>
      </c>
      <c r="D522" s="1" t="str">
        <v/>
      </c>
      <c r="E522" s="1" t="str">
        <v/>
      </c>
      <c r="F522" s="1" t="str">
        <v/>
      </c>
      <c r="G522" s="1" t="str">
        <v/>
      </c>
      <c r="H522" s="1" t="str">
        <v/>
      </c>
      <c r="I522" s="2" t="str">
        <v/>
      </c>
      <c r="J522" s="2" t="str">
        <v/>
      </c>
      <c r="K522" s="2" t="str">
        <v/>
      </c>
      <c r="L522" s="1" t="str">
        <v/>
      </c>
      <c r="M522" s="2" t="str">
        <v/>
      </c>
      <c r="N522" s="2" t="str">
        <v/>
      </c>
      <c r="O522" s="1" t="str">
        <v/>
      </c>
      <c r="P522" s="1" t="str">
        <v/>
      </c>
      <c r="Q522" s="1" t="str">
        <v/>
      </c>
    </row>
    <row r="523" x14ac:dyDescent="0.25">
      <c r="A523" s="1" t="str">
        <v/>
      </c>
      <c r="B523" s="1" t="str">
        <v/>
      </c>
      <c r="C523" s="1" t="str">
        <v/>
      </c>
      <c r="D523" s="1" t="str">
        <v/>
      </c>
      <c r="E523" s="1" t="str">
        <v/>
      </c>
      <c r="F523" s="1" t="str">
        <v/>
      </c>
      <c r="G523" s="1" t="str">
        <v/>
      </c>
      <c r="H523" s="1" t="str">
        <v/>
      </c>
      <c r="I523" s="2" t="str">
        <v/>
      </c>
      <c r="J523" s="2" t="str">
        <v/>
      </c>
      <c r="K523" s="2" t="str">
        <v/>
      </c>
      <c r="L523" s="1" t="str">
        <v/>
      </c>
      <c r="M523" s="2" t="str">
        <v/>
      </c>
      <c r="N523" s="2" t="str">
        <v/>
      </c>
      <c r="O523" s="1" t="str">
        <v/>
      </c>
      <c r="P523" s="1" t="str">
        <v/>
      </c>
      <c r="Q523" s="1" t="str">
        <v/>
      </c>
    </row>
    <row r="524" x14ac:dyDescent="0.25">
      <c r="A524" s="1" t="str">
        <v/>
      </c>
      <c r="B524" s="1" t="str">
        <v/>
      </c>
      <c r="C524" s="1" t="str">
        <v/>
      </c>
      <c r="D524" s="1" t="str">
        <v/>
      </c>
      <c r="E524" s="1" t="str">
        <v/>
      </c>
      <c r="F524" s="1" t="str">
        <v/>
      </c>
      <c r="G524" s="1" t="str">
        <v/>
      </c>
      <c r="H524" s="1" t="str">
        <v/>
      </c>
      <c r="I524" s="2" t="str">
        <v/>
      </c>
      <c r="J524" s="2" t="str">
        <v/>
      </c>
      <c r="K524" s="2" t="str">
        <v/>
      </c>
      <c r="L524" s="1" t="str">
        <v/>
      </c>
      <c r="M524" s="2" t="str">
        <v/>
      </c>
      <c r="N524" s="2" t="str">
        <v/>
      </c>
      <c r="O524" s="1" t="str">
        <v/>
      </c>
      <c r="P524" s="1" t="str">
        <v/>
      </c>
      <c r="Q524" s="1" t="str">
        <v/>
      </c>
    </row>
    <row r="525" x14ac:dyDescent="0.25">
      <c r="A525" s="1" t="str">
        <v/>
      </c>
      <c r="B525" s="1" t="str">
        <v/>
      </c>
      <c r="C525" s="1" t="str">
        <v/>
      </c>
      <c r="D525" s="1" t="str">
        <v/>
      </c>
      <c r="E525" s="1" t="str">
        <v/>
      </c>
      <c r="F525" s="1" t="str">
        <v/>
      </c>
      <c r="G525" s="1" t="str">
        <v/>
      </c>
      <c r="H525" s="1" t="str">
        <v/>
      </c>
      <c r="I525" s="2" t="str">
        <v/>
      </c>
      <c r="J525" s="2" t="str">
        <v/>
      </c>
      <c r="K525" s="2" t="str">
        <v/>
      </c>
      <c r="L525" s="1" t="str">
        <v/>
      </c>
      <c r="M525" s="2" t="str">
        <v/>
      </c>
      <c r="N525" s="2" t="str">
        <v/>
      </c>
      <c r="O525" s="1" t="str">
        <v/>
      </c>
      <c r="P525" s="1" t="str">
        <v/>
      </c>
      <c r="Q525" s="1" t="str">
        <v/>
      </c>
    </row>
    <row r="526" x14ac:dyDescent="0.25">
      <c r="A526" s="1" t="str">
        <v/>
      </c>
      <c r="B526" s="1" t="str">
        <v/>
      </c>
      <c r="C526" s="1" t="str">
        <v/>
      </c>
      <c r="D526" s="1" t="str">
        <v/>
      </c>
      <c r="E526" s="1" t="str">
        <v/>
      </c>
      <c r="F526" s="1" t="str">
        <v/>
      </c>
      <c r="G526" s="1" t="str">
        <v/>
      </c>
      <c r="H526" s="1" t="str">
        <v/>
      </c>
      <c r="I526" s="2" t="str">
        <v/>
      </c>
      <c r="J526" s="2" t="str">
        <v/>
      </c>
      <c r="K526" s="2" t="str">
        <v/>
      </c>
      <c r="L526" s="1" t="str">
        <v/>
      </c>
      <c r="M526" s="2" t="str">
        <v/>
      </c>
      <c r="N526" s="2" t="str">
        <v/>
      </c>
      <c r="O526" s="1" t="str">
        <v/>
      </c>
      <c r="P526" s="1" t="str">
        <v/>
      </c>
      <c r="Q526" s="1" t="str">
        <v/>
      </c>
    </row>
    <row r="527" x14ac:dyDescent="0.25">
      <c r="A527" s="1" t="str">
        <v/>
      </c>
      <c r="B527" s="1" t="str">
        <v/>
      </c>
      <c r="C527" s="1" t="str">
        <v/>
      </c>
      <c r="D527" s="1" t="str">
        <v/>
      </c>
      <c r="E527" s="1" t="str">
        <v/>
      </c>
      <c r="F527" s="1" t="str">
        <v/>
      </c>
      <c r="G527" s="1" t="str">
        <v/>
      </c>
      <c r="H527" s="1" t="str">
        <v/>
      </c>
      <c r="I527" s="2" t="str">
        <v/>
      </c>
      <c r="J527" s="2" t="str">
        <v/>
      </c>
      <c r="K527" s="2" t="str">
        <v/>
      </c>
      <c r="L527" s="1" t="str">
        <v/>
      </c>
      <c r="M527" s="2" t="str">
        <v/>
      </c>
      <c r="N527" s="2" t="str">
        <v/>
      </c>
      <c r="O527" s="1" t="str">
        <v/>
      </c>
      <c r="P527" s="1" t="str">
        <v/>
      </c>
      <c r="Q527" s="1" t="str">
        <v/>
      </c>
    </row>
    <row r="528" x14ac:dyDescent="0.25">
      <c r="A528" s="1" t="str">
        <v/>
      </c>
      <c r="B528" s="1" t="str">
        <v/>
      </c>
      <c r="C528" s="1" t="str">
        <v/>
      </c>
      <c r="D528" s="1" t="str">
        <v/>
      </c>
      <c r="E528" s="1" t="str">
        <v/>
      </c>
      <c r="F528" s="1" t="str">
        <v/>
      </c>
      <c r="G528" s="1" t="str">
        <v/>
      </c>
      <c r="H528" s="1" t="str">
        <v/>
      </c>
      <c r="I528" s="2" t="str">
        <v/>
      </c>
      <c r="J528" s="2" t="str">
        <v/>
      </c>
      <c r="K528" s="2" t="str">
        <v/>
      </c>
      <c r="L528" s="1" t="str">
        <v/>
      </c>
      <c r="M528" s="2" t="str">
        <v/>
      </c>
      <c r="N528" s="2" t="str">
        <v/>
      </c>
      <c r="O528" s="1" t="str">
        <v/>
      </c>
      <c r="P528" s="1" t="str">
        <v/>
      </c>
      <c r="Q528" s="1" t="str">
        <v/>
      </c>
    </row>
    <row r="529" x14ac:dyDescent="0.25">
      <c r="A529" s="1" t="str">
        <v/>
      </c>
      <c r="B529" s="1" t="str">
        <v/>
      </c>
      <c r="C529" s="1" t="str">
        <v/>
      </c>
      <c r="D529" s="1" t="str">
        <v/>
      </c>
      <c r="E529" s="1" t="str">
        <v/>
      </c>
      <c r="F529" s="1" t="str">
        <v/>
      </c>
      <c r="G529" s="1" t="str">
        <v/>
      </c>
      <c r="H529" s="1" t="str">
        <v/>
      </c>
      <c r="I529" s="2" t="str">
        <v/>
      </c>
      <c r="J529" s="2" t="str">
        <v/>
      </c>
      <c r="K529" s="2" t="str">
        <v/>
      </c>
      <c r="L529" s="1" t="str">
        <v/>
      </c>
      <c r="M529" s="2" t="str">
        <v/>
      </c>
      <c r="N529" s="2" t="str">
        <v/>
      </c>
      <c r="O529" s="1" t="str">
        <v/>
      </c>
      <c r="P529" s="1" t="str">
        <v/>
      </c>
      <c r="Q529" s="1" t="str">
        <v/>
      </c>
    </row>
    <row r="530" x14ac:dyDescent="0.25">
      <c r="A530" s="1" t="str">
        <v/>
      </c>
      <c r="B530" s="1" t="str">
        <v/>
      </c>
      <c r="C530" s="1" t="str">
        <v/>
      </c>
      <c r="D530" s="1" t="str">
        <v/>
      </c>
      <c r="E530" s="1" t="str">
        <v/>
      </c>
      <c r="F530" s="1" t="str">
        <v/>
      </c>
      <c r="G530" s="1" t="str">
        <v/>
      </c>
      <c r="H530" s="1" t="str">
        <v/>
      </c>
      <c r="I530" s="2" t="str">
        <v/>
      </c>
      <c r="J530" s="2" t="str">
        <v/>
      </c>
      <c r="K530" s="2" t="str">
        <v/>
      </c>
      <c r="L530" s="1" t="str">
        <v/>
      </c>
      <c r="M530" s="2" t="str">
        <v/>
      </c>
      <c r="N530" s="2" t="str">
        <v/>
      </c>
      <c r="O530" s="1" t="str">
        <v/>
      </c>
      <c r="P530" s="1" t="str">
        <v/>
      </c>
      <c r="Q530" s="1" t="str">
        <v/>
      </c>
    </row>
    <row r="531" x14ac:dyDescent="0.25">
      <c r="A531" s="1" t="str">
        <v/>
      </c>
      <c r="B531" s="1" t="str">
        <v/>
      </c>
      <c r="C531" s="1" t="str">
        <v/>
      </c>
      <c r="D531" s="1" t="str">
        <v/>
      </c>
      <c r="E531" s="1" t="str">
        <v/>
      </c>
      <c r="F531" s="1" t="str">
        <v/>
      </c>
      <c r="G531" s="1" t="str">
        <v/>
      </c>
      <c r="H531" s="1" t="str">
        <v/>
      </c>
      <c r="I531" s="2" t="str">
        <v/>
      </c>
      <c r="J531" s="2" t="str">
        <v/>
      </c>
      <c r="K531" s="2" t="str">
        <v/>
      </c>
      <c r="L531" s="1" t="str">
        <v/>
      </c>
      <c r="M531" s="2" t="str">
        <v/>
      </c>
      <c r="N531" s="2" t="str">
        <v/>
      </c>
      <c r="O531" s="1" t="str">
        <v/>
      </c>
      <c r="P531" s="1" t="str">
        <v/>
      </c>
      <c r="Q531" s="1" t="str">
        <v/>
      </c>
    </row>
    <row r="532" x14ac:dyDescent="0.25">
      <c r="A532" s="1" t="str">
        <v/>
      </c>
      <c r="B532" s="1" t="str">
        <v/>
      </c>
      <c r="C532" s="1" t="str">
        <v/>
      </c>
      <c r="D532" s="1" t="str">
        <v/>
      </c>
      <c r="E532" s="1" t="str">
        <v/>
      </c>
      <c r="F532" s="1" t="str">
        <v/>
      </c>
      <c r="G532" s="1" t="str">
        <v/>
      </c>
      <c r="H532" s="1" t="str">
        <v/>
      </c>
      <c r="I532" s="2" t="str">
        <v/>
      </c>
      <c r="J532" s="2" t="str">
        <v/>
      </c>
      <c r="K532" s="2" t="str">
        <v/>
      </c>
      <c r="L532" s="1" t="str">
        <v/>
      </c>
      <c r="M532" s="2" t="str">
        <v/>
      </c>
      <c r="N532" s="2" t="str">
        <v/>
      </c>
      <c r="O532" s="1" t="str">
        <v/>
      </c>
      <c r="P532" s="1" t="str">
        <v/>
      </c>
      <c r="Q532" s="1" t="str">
        <v/>
      </c>
    </row>
    <row r="533" x14ac:dyDescent="0.25">
      <c r="A533" s="1" t="str">
        <v/>
      </c>
      <c r="B533" s="1" t="str">
        <v/>
      </c>
      <c r="C533" s="1" t="str">
        <v/>
      </c>
      <c r="D533" s="1" t="str">
        <v/>
      </c>
      <c r="E533" s="1" t="str">
        <v/>
      </c>
      <c r="F533" s="1" t="str">
        <v/>
      </c>
      <c r="G533" s="1" t="str">
        <v/>
      </c>
      <c r="H533" s="1" t="str">
        <v/>
      </c>
      <c r="I533" s="2" t="str">
        <v/>
      </c>
      <c r="J533" s="2" t="str">
        <v/>
      </c>
      <c r="K533" s="2" t="str">
        <v/>
      </c>
      <c r="L533" s="1" t="str">
        <v/>
      </c>
      <c r="M533" s="2" t="str">
        <v/>
      </c>
      <c r="N533" s="2" t="str">
        <v/>
      </c>
      <c r="O533" s="1" t="str">
        <v/>
      </c>
      <c r="P533" s="1" t="str">
        <v/>
      </c>
      <c r="Q533" s="1" t="str">
        <v/>
      </c>
    </row>
    <row r="534" x14ac:dyDescent="0.25">
      <c r="A534" s="1" t="str">
        <v/>
      </c>
      <c r="B534" s="1" t="str">
        <v/>
      </c>
      <c r="C534" s="1" t="str">
        <v/>
      </c>
      <c r="D534" s="1" t="str">
        <v/>
      </c>
      <c r="E534" s="1" t="str">
        <v/>
      </c>
      <c r="F534" s="1" t="str">
        <v/>
      </c>
      <c r="G534" s="1" t="str">
        <v/>
      </c>
      <c r="H534" s="1" t="str">
        <v/>
      </c>
      <c r="I534" s="2" t="str">
        <v/>
      </c>
      <c r="J534" s="2" t="str">
        <v/>
      </c>
      <c r="K534" s="2" t="str">
        <v/>
      </c>
      <c r="L534" s="1" t="str">
        <v/>
      </c>
      <c r="M534" s="2" t="str">
        <v/>
      </c>
      <c r="N534" s="2" t="str">
        <v/>
      </c>
      <c r="O534" s="1" t="str">
        <v/>
      </c>
      <c r="P534" s="1" t="str">
        <v/>
      </c>
      <c r="Q534" s="1" t="str">
        <v/>
      </c>
    </row>
    <row r="535" x14ac:dyDescent="0.25">
      <c r="A535" s="1" t="str">
        <v/>
      </c>
      <c r="B535" s="1" t="str">
        <v/>
      </c>
      <c r="C535" s="1" t="str">
        <v/>
      </c>
      <c r="D535" s="1" t="str">
        <v/>
      </c>
      <c r="E535" s="1" t="str">
        <v/>
      </c>
      <c r="F535" s="1" t="str">
        <v/>
      </c>
      <c r="G535" s="1" t="str">
        <v/>
      </c>
      <c r="H535" s="1" t="str">
        <v/>
      </c>
      <c r="I535" s="2" t="str">
        <v/>
      </c>
      <c r="J535" s="2" t="str">
        <v/>
      </c>
      <c r="K535" s="2" t="str">
        <v/>
      </c>
      <c r="L535" s="1" t="str">
        <v/>
      </c>
      <c r="M535" s="2" t="str">
        <v/>
      </c>
      <c r="N535" s="2" t="str">
        <v/>
      </c>
      <c r="O535" s="1" t="str">
        <v/>
      </c>
      <c r="P535" s="1" t="str">
        <v/>
      </c>
      <c r="Q535" s="1" t="str">
        <v/>
      </c>
    </row>
    <row r="536" x14ac:dyDescent="0.25">
      <c r="A536" s="1" t="str">
        <v/>
      </c>
      <c r="B536" s="1" t="str">
        <v/>
      </c>
      <c r="C536" s="1" t="str">
        <v/>
      </c>
      <c r="D536" s="1" t="str">
        <v/>
      </c>
      <c r="E536" s="1" t="str">
        <v/>
      </c>
      <c r="F536" s="1" t="str">
        <v/>
      </c>
      <c r="G536" s="1" t="str">
        <v/>
      </c>
      <c r="H536" s="1" t="str">
        <v/>
      </c>
      <c r="I536" s="2" t="str">
        <v/>
      </c>
      <c r="J536" s="2" t="str">
        <v/>
      </c>
      <c r="K536" s="2" t="str">
        <v/>
      </c>
      <c r="L536" s="1" t="str">
        <v/>
      </c>
      <c r="M536" s="2" t="str">
        <v/>
      </c>
      <c r="N536" s="2" t="str">
        <v/>
      </c>
      <c r="O536" s="1" t="str">
        <v/>
      </c>
      <c r="P536" s="1" t="str">
        <v/>
      </c>
      <c r="Q536" s="1" t="str">
        <v/>
      </c>
    </row>
    <row r="537" x14ac:dyDescent="0.25">
      <c r="A537" s="1" t="str">
        <v/>
      </c>
      <c r="B537" s="1" t="str">
        <v/>
      </c>
      <c r="C537" s="1" t="str">
        <v/>
      </c>
      <c r="D537" s="1" t="str">
        <v/>
      </c>
      <c r="E537" s="1" t="str">
        <v/>
      </c>
      <c r="F537" s="1" t="str">
        <v/>
      </c>
      <c r="G537" s="1" t="str">
        <v/>
      </c>
      <c r="H537" s="1" t="str">
        <v/>
      </c>
      <c r="I537" s="2" t="str">
        <v/>
      </c>
      <c r="J537" s="2" t="str">
        <v/>
      </c>
      <c r="K537" s="2" t="str">
        <v/>
      </c>
      <c r="L537" s="1" t="str">
        <v/>
      </c>
      <c r="M537" s="2" t="str">
        <v/>
      </c>
      <c r="N537" s="2" t="str">
        <v/>
      </c>
      <c r="O537" s="1" t="str">
        <v/>
      </c>
      <c r="P537" s="1" t="str">
        <v/>
      </c>
      <c r="Q537" s="1" t="str">
        <v/>
      </c>
    </row>
    <row r="538" x14ac:dyDescent="0.25">
      <c r="A538" s="1" t="str">
        <v/>
      </c>
      <c r="B538" s="1" t="str">
        <v/>
      </c>
      <c r="C538" s="1" t="str">
        <v/>
      </c>
      <c r="D538" s="1" t="str">
        <v/>
      </c>
      <c r="E538" s="1" t="str">
        <v/>
      </c>
      <c r="F538" s="1" t="str">
        <v/>
      </c>
      <c r="G538" s="1" t="str">
        <v/>
      </c>
      <c r="H538" s="1" t="str">
        <v/>
      </c>
      <c r="I538" s="2" t="str">
        <v/>
      </c>
      <c r="J538" s="2" t="str">
        <v/>
      </c>
      <c r="K538" s="2" t="str">
        <v/>
      </c>
      <c r="L538" s="1" t="str">
        <v/>
      </c>
      <c r="M538" s="2" t="str">
        <v/>
      </c>
      <c r="N538" s="2" t="str">
        <v/>
      </c>
      <c r="O538" s="1" t="str">
        <v/>
      </c>
      <c r="P538" s="1" t="str">
        <v/>
      </c>
      <c r="Q538" s="1" t="str">
        <v/>
      </c>
    </row>
    <row r="539" x14ac:dyDescent="0.25">
      <c r="A539" s="1" t="str">
        <v/>
      </c>
      <c r="B539" s="1" t="str">
        <v/>
      </c>
      <c r="C539" s="1" t="str">
        <v/>
      </c>
      <c r="D539" s="1" t="str">
        <v/>
      </c>
      <c r="E539" s="1" t="str">
        <v/>
      </c>
      <c r="F539" s="1" t="str">
        <v/>
      </c>
      <c r="G539" s="1" t="str">
        <v/>
      </c>
      <c r="H539" s="1" t="str">
        <v/>
      </c>
      <c r="I539" s="2" t="str">
        <v/>
      </c>
      <c r="J539" s="2" t="str">
        <v/>
      </c>
      <c r="K539" s="2" t="str">
        <v/>
      </c>
      <c r="L539" s="1" t="str">
        <v/>
      </c>
      <c r="M539" s="2" t="str">
        <v/>
      </c>
      <c r="N539" s="2" t="str">
        <v/>
      </c>
      <c r="O539" s="1" t="str">
        <v/>
      </c>
      <c r="P539" s="1" t="str">
        <v/>
      </c>
      <c r="Q539" s="1" t="str">
        <v/>
      </c>
    </row>
    <row r="540" x14ac:dyDescent="0.25">
      <c r="A540" s="1" t="str">
        <v/>
      </c>
      <c r="B540" s="1" t="str">
        <v/>
      </c>
      <c r="C540" s="1" t="str">
        <v/>
      </c>
      <c r="D540" s="1" t="str">
        <v/>
      </c>
      <c r="E540" s="1" t="str">
        <v/>
      </c>
      <c r="F540" s="1" t="str">
        <v/>
      </c>
      <c r="G540" s="1" t="str">
        <v/>
      </c>
      <c r="H540" s="1" t="str">
        <v/>
      </c>
      <c r="I540" s="2" t="str">
        <v/>
      </c>
      <c r="J540" s="2" t="str">
        <v/>
      </c>
      <c r="K540" s="2" t="str">
        <v/>
      </c>
      <c r="L540" s="1" t="str">
        <v/>
      </c>
      <c r="M540" s="2" t="str">
        <v/>
      </c>
      <c r="N540" s="2" t="str">
        <v/>
      </c>
      <c r="O540" s="1" t="str">
        <v/>
      </c>
      <c r="P540" s="1" t="str">
        <v/>
      </c>
      <c r="Q540" s="1" t="str">
        <v/>
      </c>
    </row>
    <row r="541" x14ac:dyDescent="0.25">
      <c r="A541" s="1" t="str">
        <v/>
      </c>
      <c r="B541" s="1" t="str">
        <v/>
      </c>
      <c r="C541" s="1" t="str">
        <v/>
      </c>
      <c r="D541" s="1" t="str">
        <v/>
      </c>
      <c r="E541" s="1" t="str">
        <v/>
      </c>
      <c r="F541" s="1" t="str">
        <v/>
      </c>
      <c r="G541" s="1" t="str">
        <v/>
      </c>
      <c r="H541" s="1" t="str">
        <v/>
      </c>
      <c r="I541" s="2" t="str">
        <v/>
      </c>
      <c r="J541" s="2" t="str">
        <v/>
      </c>
      <c r="K541" s="2" t="str">
        <v/>
      </c>
      <c r="L541" s="1" t="str">
        <v/>
      </c>
      <c r="M541" s="2" t="str">
        <v/>
      </c>
      <c r="N541" s="2" t="str">
        <v/>
      </c>
      <c r="O541" s="1" t="str">
        <v/>
      </c>
      <c r="P541" s="1" t="str">
        <v/>
      </c>
      <c r="Q541" s="1" t="str">
        <v/>
      </c>
    </row>
    <row r="542" x14ac:dyDescent="0.25">
      <c r="A542" s="1" t="str">
        <v/>
      </c>
      <c r="B542" s="1" t="str">
        <v/>
      </c>
      <c r="C542" s="1" t="str">
        <v/>
      </c>
      <c r="D542" s="1" t="str">
        <v/>
      </c>
      <c r="E542" s="1" t="str">
        <v/>
      </c>
      <c r="F542" s="1" t="str">
        <v/>
      </c>
      <c r="G542" s="1" t="str">
        <v/>
      </c>
      <c r="H542" s="1" t="str">
        <v/>
      </c>
      <c r="I542" s="2" t="str">
        <v/>
      </c>
      <c r="J542" s="2" t="str">
        <v/>
      </c>
      <c r="K542" s="2" t="str">
        <v/>
      </c>
      <c r="L542" s="1" t="str">
        <v/>
      </c>
      <c r="M542" s="2" t="str">
        <v/>
      </c>
      <c r="N542" s="2" t="str">
        <v/>
      </c>
      <c r="O542" s="1" t="str">
        <v/>
      </c>
      <c r="P542" s="1" t="str">
        <v/>
      </c>
      <c r="Q542" s="1" t="str">
        <v/>
      </c>
    </row>
    <row r="543" x14ac:dyDescent="0.25">
      <c r="A543" s="1" t="str">
        <v/>
      </c>
      <c r="B543" s="1" t="str">
        <v/>
      </c>
      <c r="C543" s="1" t="str">
        <v/>
      </c>
      <c r="D543" s="1" t="str">
        <v/>
      </c>
      <c r="E543" s="1" t="str">
        <v/>
      </c>
      <c r="F543" s="1" t="str">
        <v/>
      </c>
      <c r="G543" s="1" t="str">
        <v/>
      </c>
      <c r="H543" s="1" t="str">
        <v/>
      </c>
      <c r="I543" s="2" t="str">
        <v/>
      </c>
      <c r="J543" s="2" t="str">
        <v/>
      </c>
      <c r="K543" s="2" t="str">
        <v/>
      </c>
      <c r="L543" s="1" t="str">
        <v/>
      </c>
      <c r="M543" s="2" t="str">
        <v/>
      </c>
      <c r="N543" s="2" t="str">
        <v/>
      </c>
      <c r="O543" s="1" t="str">
        <v/>
      </c>
      <c r="P543" s="1" t="str">
        <v/>
      </c>
      <c r="Q543" s="1" t="str">
        <v/>
      </c>
    </row>
    <row r="544" x14ac:dyDescent="0.25">
      <c r="A544" s="1" t="str">
        <v/>
      </c>
      <c r="B544" s="1" t="str">
        <v/>
      </c>
      <c r="C544" s="1" t="str">
        <v/>
      </c>
      <c r="D544" s="1" t="str">
        <v/>
      </c>
      <c r="E544" s="1" t="str">
        <v/>
      </c>
      <c r="F544" s="1" t="str">
        <v/>
      </c>
      <c r="G544" s="1" t="str">
        <v/>
      </c>
      <c r="H544" s="1" t="str">
        <v/>
      </c>
      <c r="I544" s="2" t="str">
        <v/>
      </c>
      <c r="J544" s="2" t="str">
        <v/>
      </c>
      <c r="K544" s="2" t="str">
        <v/>
      </c>
      <c r="L544" s="1" t="str">
        <v/>
      </c>
      <c r="M544" s="2" t="str">
        <v/>
      </c>
      <c r="N544" s="2" t="str">
        <v/>
      </c>
      <c r="O544" s="1" t="str">
        <v/>
      </c>
      <c r="P544" s="1" t="str">
        <v/>
      </c>
      <c r="Q544" s="1" t="str">
        <v/>
      </c>
    </row>
    <row r="545" x14ac:dyDescent="0.25">
      <c r="A545" s="1" t="str">
        <v/>
      </c>
      <c r="B545" s="1" t="str">
        <v/>
      </c>
      <c r="C545" s="1" t="str">
        <v/>
      </c>
      <c r="D545" s="1" t="str">
        <v/>
      </c>
      <c r="E545" s="1" t="str">
        <v/>
      </c>
      <c r="F545" s="1" t="str">
        <v/>
      </c>
      <c r="G545" s="1" t="str">
        <v/>
      </c>
      <c r="H545" s="1" t="str">
        <v/>
      </c>
      <c r="I545" s="2" t="str">
        <v/>
      </c>
      <c r="J545" s="2" t="str">
        <v/>
      </c>
      <c r="K545" s="2" t="str">
        <v/>
      </c>
      <c r="L545" s="1" t="str">
        <v/>
      </c>
      <c r="M545" s="2" t="str">
        <v/>
      </c>
      <c r="N545" s="2" t="str">
        <v/>
      </c>
      <c r="O545" s="1" t="str">
        <v/>
      </c>
      <c r="P545" s="1" t="str">
        <v/>
      </c>
      <c r="Q545" s="1" t="str">
        <v/>
      </c>
    </row>
    <row r="546" x14ac:dyDescent="0.25">
      <c r="A546" s="1" t="str">
        <v/>
      </c>
      <c r="B546" s="1" t="str">
        <v/>
      </c>
      <c r="C546" s="1" t="str">
        <v/>
      </c>
      <c r="D546" s="1" t="str">
        <v/>
      </c>
      <c r="E546" s="1" t="str">
        <v/>
      </c>
      <c r="F546" s="1" t="str">
        <v/>
      </c>
      <c r="G546" s="1" t="str">
        <v/>
      </c>
      <c r="H546" s="1" t="str">
        <v/>
      </c>
      <c r="I546" s="2" t="str">
        <v/>
      </c>
      <c r="J546" s="2" t="str">
        <v/>
      </c>
      <c r="K546" s="2" t="str">
        <v/>
      </c>
      <c r="L546" s="1" t="str">
        <v/>
      </c>
      <c r="M546" s="2" t="str">
        <v/>
      </c>
      <c r="N546" s="2" t="str">
        <v/>
      </c>
      <c r="O546" s="1" t="str">
        <v/>
      </c>
      <c r="P546" s="1" t="str">
        <v/>
      </c>
      <c r="Q546" s="1" t="str">
        <v/>
      </c>
    </row>
    <row r="547" x14ac:dyDescent="0.25">
      <c r="A547" s="1" t="str">
        <v/>
      </c>
      <c r="B547" s="1" t="str">
        <v/>
      </c>
      <c r="C547" s="1" t="str">
        <v/>
      </c>
      <c r="D547" s="1" t="str">
        <v/>
      </c>
      <c r="E547" s="1" t="str">
        <v/>
      </c>
      <c r="F547" s="1" t="str">
        <v/>
      </c>
      <c r="G547" s="1" t="str">
        <v/>
      </c>
      <c r="H547" s="1" t="str">
        <v/>
      </c>
      <c r="I547" s="2" t="str">
        <v/>
      </c>
      <c r="J547" s="2" t="str">
        <v/>
      </c>
      <c r="K547" s="2" t="str">
        <v/>
      </c>
      <c r="L547" s="1" t="str">
        <v/>
      </c>
      <c r="M547" s="2" t="str">
        <v/>
      </c>
      <c r="N547" s="2" t="str">
        <v/>
      </c>
      <c r="O547" s="1" t="str">
        <v/>
      </c>
      <c r="P547" s="1" t="str">
        <v/>
      </c>
      <c r="Q547" s="1" t="str">
        <v/>
      </c>
    </row>
    <row r="548" x14ac:dyDescent="0.25">
      <c r="A548" s="1" t="str">
        <v/>
      </c>
      <c r="B548" s="1" t="str">
        <v/>
      </c>
      <c r="C548" s="1" t="str">
        <v/>
      </c>
      <c r="D548" s="1" t="str">
        <v/>
      </c>
      <c r="E548" s="1" t="str">
        <v/>
      </c>
      <c r="F548" s="1" t="str">
        <v/>
      </c>
      <c r="G548" s="1" t="str">
        <v/>
      </c>
      <c r="H548" s="1" t="str">
        <v/>
      </c>
      <c r="I548" s="2" t="str">
        <v/>
      </c>
      <c r="J548" s="2" t="str">
        <v/>
      </c>
      <c r="K548" s="2" t="str">
        <v/>
      </c>
      <c r="L548" s="1" t="str">
        <v/>
      </c>
      <c r="M548" s="2" t="str">
        <v/>
      </c>
      <c r="N548" s="2" t="str">
        <v/>
      </c>
      <c r="O548" s="1" t="str">
        <v/>
      </c>
      <c r="P548" s="1" t="str">
        <v/>
      </c>
      <c r="Q548" s="1" t="str">
        <v/>
      </c>
    </row>
    <row r="549" x14ac:dyDescent="0.25">
      <c r="A549" s="1" t="str">
        <v/>
      </c>
      <c r="B549" s="1" t="str">
        <v/>
      </c>
      <c r="C549" s="1" t="str">
        <v/>
      </c>
      <c r="D549" s="1" t="str">
        <v/>
      </c>
      <c r="E549" s="1" t="str">
        <v/>
      </c>
      <c r="F549" s="1" t="str">
        <v/>
      </c>
      <c r="G549" s="1" t="str">
        <v/>
      </c>
      <c r="H549" s="1" t="str">
        <v/>
      </c>
      <c r="I549" s="2" t="str">
        <v/>
      </c>
      <c r="J549" s="2" t="str">
        <v/>
      </c>
      <c r="K549" s="2" t="str">
        <v/>
      </c>
      <c r="L549" s="1" t="str">
        <v/>
      </c>
      <c r="M549" s="2" t="str">
        <v/>
      </c>
      <c r="N549" s="2" t="str">
        <v/>
      </c>
      <c r="O549" s="1" t="str">
        <v/>
      </c>
      <c r="P549" s="1" t="str">
        <v/>
      </c>
      <c r="Q549" s="1" t="str">
        <v/>
      </c>
    </row>
    <row r="550" x14ac:dyDescent="0.25">
      <c r="A550" s="1" t="str">
        <v/>
      </c>
      <c r="B550" s="1" t="str">
        <v/>
      </c>
      <c r="C550" s="1" t="str">
        <v/>
      </c>
      <c r="D550" s="1" t="str">
        <v/>
      </c>
      <c r="E550" s="1" t="str">
        <v/>
      </c>
      <c r="F550" s="1" t="str">
        <v/>
      </c>
      <c r="G550" s="1" t="str">
        <v/>
      </c>
      <c r="H550" s="1" t="str">
        <v/>
      </c>
      <c r="I550" s="2" t="str">
        <v/>
      </c>
      <c r="J550" s="2" t="str">
        <v/>
      </c>
      <c r="K550" s="2" t="str">
        <v/>
      </c>
      <c r="L550" s="1" t="str">
        <v/>
      </c>
      <c r="M550" s="2" t="str">
        <v/>
      </c>
      <c r="N550" s="2" t="str">
        <v/>
      </c>
      <c r="O550" s="1" t="str">
        <v/>
      </c>
      <c r="P550" s="1" t="str">
        <v/>
      </c>
      <c r="Q550" s="1" t="str">
        <v/>
      </c>
    </row>
    <row r="551" x14ac:dyDescent="0.25">
      <c r="A551" s="1" t="str">
        <v/>
      </c>
      <c r="B551" s="1" t="str">
        <v/>
      </c>
      <c r="C551" s="1" t="str">
        <v/>
      </c>
      <c r="D551" s="1" t="str">
        <v/>
      </c>
      <c r="E551" s="1" t="str">
        <v/>
      </c>
      <c r="F551" s="1" t="str">
        <v/>
      </c>
      <c r="G551" s="1" t="str">
        <v/>
      </c>
      <c r="H551" s="1" t="str">
        <v/>
      </c>
      <c r="I551" s="2" t="str">
        <v/>
      </c>
      <c r="J551" s="2" t="str">
        <v/>
      </c>
      <c r="K551" s="2" t="str">
        <v/>
      </c>
      <c r="L551" s="1" t="str">
        <v/>
      </c>
      <c r="M551" s="2" t="str">
        <v/>
      </c>
      <c r="N551" s="2" t="str">
        <v/>
      </c>
      <c r="O551" s="1" t="str">
        <v/>
      </c>
      <c r="P551" s="1" t="str">
        <v/>
      </c>
      <c r="Q551" s="1" t="str">
        <v/>
      </c>
    </row>
    <row r="552" x14ac:dyDescent="0.25">
      <c r="A552" s="1" t="str">
        <v/>
      </c>
      <c r="B552" s="1" t="str">
        <v/>
      </c>
      <c r="C552" s="1" t="str">
        <v/>
      </c>
      <c r="D552" s="1" t="str">
        <v/>
      </c>
      <c r="E552" s="1" t="str">
        <v/>
      </c>
      <c r="F552" s="1" t="str">
        <v/>
      </c>
      <c r="G552" s="1" t="str">
        <v/>
      </c>
      <c r="H552" s="1" t="str">
        <v/>
      </c>
      <c r="I552" s="2" t="str">
        <v/>
      </c>
      <c r="J552" s="2" t="str">
        <v/>
      </c>
      <c r="K552" s="2" t="str">
        <v/>
      </c>
      <c r="L552" s="1" t="str">
        <v/>
      </c>
      <c r="M552" s="2" t="str">
        <v/>
      </c>
      <c r="N552" s="2" t="str">
        <v/>
      </c>
      <c r="O552" s="1" t="str">
        <v/>
      </c>
      <c r="P552" s="1" t="str">
        <v/>
      </c>
      <c r="Q552" s="1" t="str">
        <v/>
      </c>
    </row>
    <row r="553" x14ac:dyDescent="0.25">
      <c r="A553" s="1" t="str">
        <v/>
      </c>
      <c r="B553" s="1" t="str">
        <v/>
      </c>
      <c r="C553" s="1" t="str">
        <v/>
      </c>
      <c r="D553" s="1" t="str">
        <v/>
      </c>
      <c r="E553" s="1" t="str">
        <v/>
      </c>
      <c r="F553" s="1" t="str">
        <v/>
      </c>
      <c r="G553" s="1" t="str">
        <v/>
      </c>
      <c r="H553" s="1" t="str">
        <v/>
      </c>
      <c r="I553" s="2" t="str">
        <v/>
      </c>
      <c r="J553" s="2" t="str">
        <v/>
      </c>
      <c r="K553" s="2" t="str">
        <v/>
      </c>
      <c r="L553" s="1" t="str">
        <v/>
      </c>
      <c r="M553" s="2" t="str">
        <v/>
      </c>
      <c r="N553" s="2" t="str">
        <v/>
      </c>
      <c r="O553" s="1" t="str">
        <v/>
      </c>
      <c r="P553" s="1" t="str">
        <v/>
      </c>
      <c r="Q553" s="1" t="str">
        <v/>
      </c>
    </row>
    <row r="554" x14ac:dyDescent="0.25">
      <c r="A554" s="1" t="str">
        <v/>
      </c>
      <c r="B554" s="1" t="str">
        <v/>
      </c>
      <c r="C554" s="1" t="str">
        <v/>
      </c>
      <c r="D554" s="1" t="str">
        <v/>
      </c>
      <c r="E554" s="1" t="str">
        <v/>
      </c>
      <c r="F554" s="1" t="str">
        <v/>
      </c>
      <c r="G554" s="1" t="str">
        <v/>
      </c>
      <c r="H554" s="1" t="str">
        <v/>
      </c>
      <c r="I554" s="2" t="str">
        <v/>
      </c>
      <c r="J554" s="2" t="str">
        <v/>
      </c>
      <c r="K554" s="2" t="str">
        <v/>
      </c>
      <c r="L554" s="1" t="str">
        <v/>
      </c>
      <c r="M554" s="2" t="str">
        <v/>
      </c>
      <c r="N554" s="2" t="str">
        <v/>
      </c>
      <c r="O554" s="1" t="str">
        <v/>
      </c>
      <c r="P554" s="1" t="str">
        <v/>
      </c>
      <c r="Q554" s="1" t="str">
        <v/>
      </c>
    </row>
    <row r="555" x14ac:dyDescent="0.25">
      <c r="A555" s="1" t="str">
        <v/>
      </c>
      <c r="B555" s="1" t="str">
        <v/>
      </c>
      <c r="C555" s="1" t="str">
        <v/>
      </c>
      <c r="D555" s="1" t="str">
        <v/>
      </c>
      <c r="E555" s="1" t="str">
        <v/>
      </c>
      <c r="F555" s="1" t="str">
        <v/>
      </c>
      <c r="G555" s="1" t="str">
        <v/>
      </c>
      <c r="H555" s="1" t="str">
        <v/>
      </c>
      <c r="I555" s="2" t="str">
        <v/>
      </c>
      <c r="J555" s="2" t="str">
        <v/>
      </c>
      <c r="K555" s="2" t="str">
        <v/>
      </c>
      <c r="L555" s="1" t="str">
        <v/>
      </c>
      <c r="M555" s="2" t="str">
        <v/>
      </c>
      <c r="N555" s="2" t="str">
        <v/>
      </c>
      <c r="O555" s="1" t="str">
        <v/>
      </c>
      <c r="P555" s="1" t="str">
        <v/>
      </c>
      <c r="Q555" s="1" t="str">
        <v/>
      </c>
    </row>
    <row r="556" x14ac:dyDescent="0.25">
      <c r="A556" s="1" t="str">
        <v/>
      </c>
      <c r="B556" s="1" t="str">
        <v/>
      </c>
      <c r="C556" s="1" t="str">
        <v/>
      </c>
      <c r="D556" s="1" t="str">
        <v/>
      </c>
      <c r="E556" s="1" t="str">
        <v/>
      </c>
      <c r="F556" s="1" t="str">
        <v/>
      </c>
      <c r="G556" s="1" t="str">
        <v/>
      </c>
      <c r="H556" s="1" t="str">
        <v/>
      </c>
      <c r="I556" s="2" t="str">
        <v/>
      </c>
      <c r="J556" s="2" t="str">
        <v/>
      </c>
      <c r="K556" s="2" t="str">
        <v/>
      </c>
      <c r="L556" s="1" t="str">
        <v/>
      </c>
      <c r="M556" s="2" t="str">
        <v/>
      </c>
      <c r="N556" s="2" t="str">
        <v/>
      </c>
      <c r="O556" s="1" t="str">
        <v/>
      </c>
      <c r="P556" s="1" t="str">
        <v/>
      </c>
      <c r="Q556" s="1" t="str">
        <v/>
      </c>
    </row>
    <row r="557" x14ac:dyDescent="0.25">
      <c r="A557" s="1" t="str">
        <v/>
      </c>
      <c r="B557" s="1" t="str">
        <v/>
      </c>
      <c r="C557" s="1" t="str">
        <v/>
      </c>
      <c r="D557" s="1" t="str">
        <v/>
      </c>
      <c r="E557" s="1" t="str">
        <v/>
      </c>
      <c r="F557" s="1" t="str">
        <v/>
      </c>
      <c r="G557" s="1" t="str">
        <v/>
      </c>
      <c r="H557" s="1" t="str">
        <v/>
      </c>
      <c r="I557" s="2" t="str">
        <v/>
      </c>
      <c r="J557" s="2" t="str">
        <v/>
      </c>
      <c r="K557" s="2" t="str">
        <v/>
      </c>
      <c r="L557" s="1" t="str">
        <v/>
      </c>
      <c r="M557" s="2" t="str">
        <v/>
      </c>
      <c r="N557" s="2" t="str">
        <v/>
      </c>
      <c r="O557" s="1" t="str">
        <v/>
      </c>
      <c r="P557" s="1" t="str">
        <v/>
      </c>
      <c r="Q557" s="1" t="str">
        <v/>
      </c>
    </row>
    <row r="558" x14ac:dyDescent="0.25">
      <c r="A558" s="1" t="str">
        <v/>
      </c>
      <c r="B558" s="1" t="str">
        <v/>
      </c>
      <c r="C558" s="1" t="str">
        <v/>
      </c>
      <c r="D558" s="1" t="str">
        <v/>
      </c>
      <c r="E558" s="1" t="str">
        <v/>
      </c>
      <c r="F558" s="1" t="str">
        <v/>
      </c>
      <c r="G558" s="1" t="str">
        <v/>
      </c>
      <c r="H558" s="1" t="str">
        <v/>
      </c>
      <c r="I558" s="2" t="str">
        <v/>
      </c>
      <c r="J558" s="2" t="str">
        <v/>
      </c>
      <c r="K558" s="2" t="str">
        <v/>
      </c>
      <c r="L558" s="1" t="str">
        <v/>
      </c>
      <c r="M558" s="2" t="str">
        <v/>
      </c>
      <c r="N558" s="2" t="str">
        <v/>
      </c>
      <c r="O558" s="1" t="str">
        <v/>
      </c>
      <c r="P558" s="1" t="str">
        <v/>
      </c>
      <c r="Q558" s="1" t="str">
        <v/>
      </c>
    </row>
    <row r="559" x14ac:dyDescent="0.25">
      <c r="A559" s="1" t="str">
        <v/>
      </c>
      <c r="B559" s="1" t="str">
        <v/>
      </c>
      <c r="C559" s="1" t="str">
        <v/>
      </c>
      <c r="D559" s="1" t="str">
        <v/>
      </c>
      <c r="E559" s="1" t="str">
        <v/>
      </c>
      <c r="F559" s="1" t="str">
        <v/>
      </c>
      <c r="G559" s="1" t="str">
        <v/>
      </c>
      <c r="H559" s="1" t="str">
        <v/>
      </c>
      <c r="I559" s="2" t="str">
        <v/>
      </c>
      <c r="J559" s="2" t="str">
        <v/>
      </c>
      <c r="K559" s="2" t="str">
        <v/>
      </c>
      <c r="L559" s="1" t="str">
        <v/>
      </c>
      <c r="M559" s="2" t="str">
        <v/>
      </c>
      <c r="N559" s="2" t="str">
        <v/>
      </c>
      <c r="O559" s="1" t="str">
        <v/>
      </c>
      <c r="P559" s="1" t="str">
        <v/>
      </c>
      <c r="Q559" s="1" t="str">
        <v/>
      </c>
    </row>
    <row r="560" x14ac:dyDescent="0.25">
      <c r="A560" s="1" t="str">
        <v/>
      </c>
      <c r="B560" s="1" t="str">
        <v/>
      </c>
      <c r="C560" s="1" t="str">
        <v/>
      </c>
      <c r="D560" s="1" t="str">
        <v/>
      </c>
      <c r="E560" s="1" t="str">
        <v/>
      </c>
      <c r="F560" s="1" t="str">
        <v/>
      </c>
      <c r="G560" s="1" t="str">
        <v/>
      </c>
      <c r="H560" s="1" t="str">
        <v/>
      </c>
      <c r="I560" s="2" t="str">
        <v/>
      </c>
      <c r="J560" s="2" t="str">
        <v/>
      </c>
      <c r="K560" s="2" t="str">
        <v/>
      </c>
      <c r="L560" s="1" t="str">
        <v/>
      </c>
      <c r="M560" s="2" t="str">
        <v/>
      </c>
      <c r="N560" s="2" t="str">
        <v/>
      </c>
      <c r="O560" s="1" t="str">
        <v/>
      </c>
      <c r="P560" s="1" t="str">
        <v/>
      </c>
      <c r="Q560" s="1" t="str">
        <v/>
      </c>
    </row>
    <row r="561" x14ac:dyDescent="0.25">
      <c r="A561" s="1" t="str">
        <v/>
      </c>
      <c r="B561" s="1" t="str">
        <v/>
      </c>
      <c r="C561" s="1" t="str">
        <v/>
      </c>
      <c r="D561" s="1" t="str">
        <v/>
      </c>
      <c r="E561" s="1" t="str">
        <v/>
      </c>
      <c r="F561" s="1" t="str">
        <v/>
      </c>
      <c r="G561" s="1" t="str">
        <v/>
      </c>
      <c r="H561" s="1" t="str">
        <v/>
      </c>
      <c r="I561" s="2" t="str">
        <v/>
      </c>
      <c r="J561" s="2" t="str">
        <v/>
      </c>
      <c r="K561" s="2" t="str">
        <v/>
      </c>
      <c r="L561" s="1" t="str">
        <v/>
      </c>
      <c r="M561" s="2" t="str">
        <v/>
      </c>
      <c r="N561" s="2" t="str">
        <v/>
      </c>
      <c r="O561" s="1" t="str">
        <v/>
      </c>
      <c r="P561" s="1" t="str">
        <v/>
      </c>
      <c r="Q561" s="1" t="str">
        <v/>
      </c>
    </row>
    <row r="562" x14ac:dyDescent="0.25">
      <c r="A562" s="1" t="str">
        <v/>
      </c>
      <c r="B562" s="1" t="str">
        <v/>
      </c>
      <c r="C562" s="1" t="str">
        <v/>
      </c>
      <c r="D562" s="1" t="str">
        <v/>
      </c>
      <c r="E562" s="1" t="str">
        <v/>
      </c>
      <c r="F562" s="1" t="str">
        <v/>
      </c>
      <c r="G562" s="1" t="str">
        <v/>
      </c>
      <c r="H562" s="1" t="str">
        <v/>
      </c>
      <c r="I562" s="2" t="str">
        <v/>
      </c>
      <c r="J562" s="2" t="str">
        <v/>
      </c>
      <c r="K562" s="2" t="str">
        <v/>
      </c>
      <c r="L562" s="1" t="str">
        <v/>
      </c>
      <c r="M562" s="2" t="str">
        <v/>
      </c>
      <c r="N562" s="2" t="str">
        <v/>
      </c>
      <c r="O562" s="1" t="str">
        <v/>
      </c>
      <c r="P562" s="1" t="str">
        <v/>
      </c>
      <c r="Q562" s="1" t="str">
        <v/>
      </c>
    </row>
    <row r="563" x14ac:dyDescent="0.25">
      <c r="A563" s="1" t="str">
        <v/>
      </c>
      <c r="B563" s="1" t="str">
        <v/>
      </c>
      <c r="C563" s="1" t="str">
        <v/>
      </c>
      <c r="D563" s="1" t="str">
        <v/>
      </c>
      <c r="E563" s="1" t="str">
        <v/>
      </c>
      <c r="F563" s="1" t="str">
        <v/>
      </c>
      <c r="G563" s="1" t="str">
        <v/>
      </c>
      <c r="H563" s="1" t="str">
        <v/>
      </c>
      <c r="I563" s="2" t="str">
        <v/>
      </c>
      <c r="J563" s="2" t="str">
        <v/>
      </c>
      <c r="K563" s="2" t="str">
        <v/>
      </c>
      <c r="L563" s="1" t="str">
        <v/>
      </c>
      <c r="M563" s="2" t="str">
        <v/>
      </c>
      <c r="N563" s="2" t="str">
        <v/>
      </c>
      <c r="O563" s="1" t="str">
        <v/>
      </c>
      <c r="P563" s="1" t="str">
        <v/>
      </c>
      <c r="Q563" s="1" t="str">
        <v/>
      </c>
    </row>
    <row r="564" x14ac:dyDescent="0.25">
      <c r="A564" s="1" t="str">
        <v/>
      </c>
      <c r="B564" s="1" t="str">
        <v/>
      </c>
      <c r="C564" s="1" t="str">
        <v/>
      </c>
      <c r="D564" s="1" t="str">
        <v/>
      </c>
      <c r="E564" s="1" t="str">
        <v/>
      </c>
      <c r="F564" s="1" t="str">
        <v/>
      </c>
      <c r="G564" s="1" t="str">
        <v/>
      </c>
      <c r="H564" s="1" t="str">
        <v/>
      </c>
      <c r="I564" s="2" t="str">
        <v/>
      </c>
      <c r="J564" s="2" t="str">
        <v/>
      </c>
      <c r="K564" s="2" t="str">
        <v/>
      </c>
      <c r="L564" s="1" t="str">
        <v/>
      </c>
      <c r="M564" s="2" t="str">
        <v/>
      </c>
      <c r="N564" s="2" t="str">
        <v/>
      </c>
      <c r="O564" s="1" t="str">
        <v/>
      </c>
      <c r="P564" s="1" t="str">
        <v/>
      </c>
      <c r="Q564" s="1" t="str">
        <v/>
      </c>
    </row>
    <row r="565" x14ac:dyDescent="0.25">
      <c r="A565" s="1" t="str">
        <v/>
      </c>
      <c r="B565" s="1" t="str">
        <v/>
      </c>
      <c r="C565" s="1" t="str">
        <v/>
      </c>
      <c r="D565" s="1" t="str">
        <v/>
      </c>
      <c r="E565" s="1" t="str">
        <v/>
      </c>
      <c r="F565" s="1" t="str">
        <v/>
      </c>
      <c r="G565" s="1" t="str">
        <v/>
      </c>
      <c r="H565" s="1" t="str">
        <v/>
      </c>
      <c r="I565" s="2" t="str">
        <v/>
      </c>
      <c r="J565" s="2" t="str">
        <v/>
      </c>
      <c r="K565" s="2" t="str">
        <v/>
      </c>
      <c r="L565" s="1" t="str">
        <v/>
      </c>
      <c r="M565" s="2" t="str">
        <v/>
      </c>
      <c r="N565" s="2" t="str">
        <v/>
      </c>
      <c r="O565" s="1" t="str">
        <v/>
      </c>
      <c r="P565" s="1" t="str">
        <v/>
      </c>
      <c r="Q565" s="1" t="str">
        <v/>
      </c>
    </row>
    <row r="566" x14ac:dyDescent="0.25">
      <c r="A566" s="1" t="str">
        <v/>
      </c>
      <c r="B566" s="1" t="str">
        <v/>
      </c>
      <c r="C566" s="1" t="str">
        <v/>
      </c>
      <c r="D566" s="1" t="str">
        <v/>
      </c>
      <c r="E566" s="1" t="str">
        <v/>
      </c>
      <c r="F566" s="1" t="str">
        <v/>
      </c>
      <c r="G566" s="1" t="str">
        <v/>
      </c>
      <c r="H566" s="1" t="str">
        <v/>
      </c>
      <c r="I566" s="2" t="str">
        <v/>
      </c>
      <c r="J566" s="2" t="str">
        <v/>
      </c>
      <c r="K566" s="2" t="str">
        <v/>
      </c>
      <c r="L566" s="1" t="str">
        <v/>
      </c>
      <c r="M566" s="2" t="str">
        <v/>
      </c>
      <c r="N566" s="2" t="str">
        <v/>
      </c>
      <c r="O566" s="1" t="str">
        <v/>
      </c>
      <c r="P566" s="1" t="str">
        <v/>
      </c>
      <c r="Q566" s="1" t="str">
        <v/>
      </c>
    </row>
    <row r="567" x14ac:dyDescent="0.25">
      <c r="A567" s="1" t="str">
        <v/>
      </c>
      <c r="B567" s="1" t="str">
        <v/>
      </c>
      <c r="C567" s="1" t="str">
        <v/>
      </c>
      <c r="D567" s="1" t="str">
        <v/>
      </c>
      <c r="E567" s="1" t="str">
        <v/>
      </c>
      <c r="F567" s="1" t="str">
        <v/>
      </c>
      <c r="G567" s="1" t="str">
        <v/>
      </c>
      <c r="H567" s="1" t="str">
        <v/>
      </c>
      <c r="I567" s="2" t="str">
        <v/>
      </c>
      <c r="J567" s="2" t="str">
        <v/>
      </c>
      <c r="K567" s="2" t="str">
        <v/>
      </c>
      <c r="L567" s="1" t="str">
        <v/>
      </c>
      <c r="M567" s="2" t="str">
        <v/>
      </c>
      <c r="N567" s="2" t="str">
        <v/>
      </c>
      <c r="O567" s="1" t="str">
        <v/>
      </c>
      <c r="P567" s="1" t="str">
        <v/>
      </c>
      <c r="Q567" s="1" t="str">
        <v/>
      </c>
    </row>
    <row r="568" x14ac:dyDescent="0.25">
      <c r="A568" s="1" t="str">
        <v/>
      </c>
      <c r="B568" s="1" t="str">
        <v/>
      </c>
      <c r="C568" s="1" t="str">
        <v/>
      </c>
      <c r="D568" s="1" t="str">
        <v/>
      </c>
      <c r="E568" s="1" t="str">
        <v/>
      </c>
      <c r="F568" s="1" t="str">
        <v/>
      </c>
      <c r="G568" s="1" t="str">
        <v/>
      </c>
      <c r="H568" s="1" t="str">
        <v/>
      </c>
      <c r="I568" s="2" t="str">
        <v/>
      </c>
      <c r="J568" s="2" t="str">
        <v/>
      </c>
      <c r="K568" s="2" t="str">
        <v/>
      </c>
      <c r="L568" s="1" t="str">
        <v/>
      </c>
      <c r="M568" s="2" t="str">
        <v/>
      </c>
      <c r="N568" s="2" t="str">
        <v/>
      </c>
      <c r="O568" s="1" t="str">
        <v/>
      </c>
      <c r="P568" s="1" t="str">
        <v/>
      </c>
      <c r="Q568" s="1" t="str">
        <v/>
      </c>
    </row>
    <row r="569" x14ac:dyDescent="0.25">
      <c r="A569" s="1" t="str">
        <v/>
      </c>
      <c r="B569" s="1" t="str">
        <v/>
      </c>
      <c r="C569" s="1" t="str">
        <v/>
      </c>
      <c r="D569" s="1" t="str">
        <v/>
      </c>
      <c r="E569" s="1" t="str">
        <v/>
      </c>
      <c r="F569" s="1" t="str">
        <v/>
      </c>
      <c r="G569" s="1" t="str">
        <v/>
      </c>
      <c r="H569" s="1" t="str">
        <v/>
      </c>
      <c r="I569" s="2" t="str">
        <v/>
      </c>
      <c r="J569" s="2" t="str">
        <v/>
      </c>
      <c r="K569" s="2" t="str">
        <v/>
      </c>
      <c r="L569" s="1" t="str">
        <v/>
      </c>
      <c r="M569" s="2" t="str">
        <v/>
      </c>
      <c r="N569" s="2" t="str">
        <v/>
      </c>
      <c r="O569" s="1" t="str">
        <v/>
      </c>
      <c r="P569" s="1" t="str">
        <v/>
      </c>
      <c r="Q569" s="1" t="str">
        <v/>
      </c>
    </row>
    <row r="570" x14ac:dyDescent="0.25">
      <c r="A570" s="1" t="str">
        <v/>
      </c>
      <c r="B570" s="1" t="str">
        <v/>
      </c>
      <c r="C570" s="1" t="str">
        <v/>
      </c>
      <c r="D570" s="1" t="str">
        <v/>
      </c>
      <c r="E570" s="1" t="str">
        <v/>
      </c>
      <c r="F570" s="1" t="str">
        <v/>
      </c>
      <c r="G570" s="1" t="str">
        <v/>
      </c>
      <c r="H570" s="1" t="str">
        <v/>
      </c>
      <c r="I570" s="2" t="str">
        <v/>
      </c>
      <c r="J570" s="2" t="str">
        <v/>
      </c>
      <c r="K570" s="2" t="str">
        <v/>
      </c>
      <c r="L570" s="1" t="str">
        <v/>
      </c>
      <c r="M570" s="2" t="str">
        <v/>
      </c>
      <c r="N570" s="2" t="str">
        <v/>
      </c>
      <c r="O570" s="1" t="str">
        <v/>
      </c>
      <c r="P570" s="1" t="str">
        <v/>
      </c>
      <c r="Q570" s="1" t="str">
        <v/>
      </c>
    </row>
    <row r="571" x14ac:dyDescent="0.25">
      <c r="A571" s="1" t="str">
        <v/>
      </c>
      <c r="B571" s="1" t="str">
        <v/>
      </c>
      <c r="C571" s="1" t="str">
        <v/>
      </c>
      <c r="D571" s="1" t="str">
        <v/>
      </c>
      <c r="E571" s="1" t="str">
        <v/>
      </c>
      <c r="F571" s="1" t="str">
        <v/>
      </c>
      <c r="G571" s="1" t="str">
        <v/>
      </c>
      <c r="H571" s="1" t="str">
        <v/>
      </c>
      <c r="I571" s="2" t="str">
        <v/>
      </c>
      <c r="J571" s="2" t="str">
        <v/>
      </c>
      <c r="K571" s="2" t="str">
        <v/>
      </c>
      <c r="L571" s="1" t="str">
        <v/>
      </c>
      <c r="M571" s="2" t="str">
        <v/>
      </c>
      <c r="N571" s="2" t="str">
        <v/>
      </c>
      <c r="O571" s="1" t="str">
        <v/>
      </c>
      <c r="P571" s="1" t="str">
        <v/>
      </c>
      <c r="Q571" s="1" t="str">
        <v/>
      </c>
    </row>
    <row r="572" x14ac:dyDescent="0.25">
      <c r="A572" s="1" t="str">
        <v/>
      </c>
      <c r="B572" s="1" t="str">
        <v/>
      </c>
      <c r="C572" s="1" t="str">
        <v/>
      </c>
      <c r="D572" s="1" t="str">
        <v/>
      </c>
      <c r="E572" s="1" t="str">
        <v/>
      </c>
      <c r="F572" s="1" t="str">
        <v/>
      </c>
      <c r="G572" s="1" t="str">
        <v/>
      </c>
      <c r="H572" s="1" t="str">
        <v/>
      </c>
      <c r="I572" s="2" t="str">
        <v/>
      </c>
      <c r="J572" s="2" t="str">
        <v/>
      </c>
      <c r="K572" s="2" t="str">
        <v/>
      </c>
      <c r="L572" s="1" t="str">
        <v/>
      </c>
      <c r="M572" s="2" t="str">
        <v/>
      </c>
      <c r="N572" s="2" t="str">
        <v/>
      </c>
      <c r="O572" s="1" t="str">
        <v/>
      </c>
      <c r="P572" s="1" t="str">
        <v/>
      </c>
      <c r="Q572" s="1" t="str">
        <v/>
      </c>
    </row>
    <row r="573" x14ac:dyDescent="0.25">
      <c r="A573" s="1" t="str">
        <v/>
      </c>
      <c r="B573" s="1" t="str">
        <v/>
      </c>
      <c r="C573" s="1" t="str">
        <v/>
      </c>
      <c r="D573" s="1" t="str">
        <v/>
      </c>
      <c r="E573" s="1" t="str">
        <v/>
      </c>
      <c r="F573" s="1" t="str">
        <v/>
      </c>
      <c r="G573" s="1" t="str">
        <v/>
      </c>
      <c r="H573" s="1" t="str">
        <v/>
      </c>
      <c r="I573" s="2" t="str">
        <v/>
      </c>
      <c r="J573" s="2" t="str">
        <v/>
      </c>
      <c r="K573" s="2" t="str">
        <v/>
      </c>
      <c r="L573" s="1" t="str">
        <v/>
      </c>
      <c r="M573" s="2" t="str">
        <v/>
      </c>
      <c r="N573" s="2" t="str">
        <v/>
      </c>
      <c r="O573" s="1" t="str">
        <v/>
      </c>
      <c r="P573" s="1" t="str">
        <v/>
      </c>
      <c r="Q573" s="1" t="str">
        <v/>
      </c>
    </row>
    <row r="574" x14ac:dyDescent="0.25">
      <c r="A574" s="1" t="str">
        <v/>
      </c>
      <c r="B574" s="1" t="str">
        <v/>
      </c>
      <c r="C574" s="1" t="str">
        <v/>
      </c>
      <c r="D574" s="1" t="str">
        <v/>
      </c>
      <c r="E574" s="1" t="str">
        <v/>
      </c>
      <c r="F574" s="1" t="str">
        <v/>
      </c>
      <c r="G574" s="1" t="str">
        <v/>
      </c>
      <c r="H574" s="1" t="str">
        <v/>
      </c>
      <c r="I574" s="2" t="str">
        <v/>
      </c>
      <c r="J574" s="2" t="str">
        <v/>
      </c>
      <c r="K574" s="2" t="str">
        <v/>
      </c>
      <c r="L574" s="1" t="str">
        <v/>
      </c>
      <c r="M574" s="2" t="str">
        <v/>
      </c>
      <c r="N574" s="2" t="str">
        <v/>
      </c>
      <c r="O574" s="1" t="str">
        <v/>
      </c>
      <c r="P574" s="1" t="str">
        <v/>
      </c>
      <c r="Q574" s="1" t="str">
        <v/>
      </c>
    </row>
    <row r="575" x14ac:dyDescent="0.25">
      <c r="A575" s="1" t="str">
        <v/>
      </c>
      <c r="B575" s="1" t="str">
        <v/>
      </c>
      <c r="C575" s="1" t="str">
        <v/>
      </c>
      <c r="D575" s="1" t="str">
        <v/>
      </c>
      <c r="E575" s="1" t="str">
        <v/>
      </c>
      <c r="F575" s="1" t="str">
        <v/>
      </c>
      <c r="G575" s="1" t="str">
        <v/>
      </c>
      <c r="H575" s="1" t="str">
        <v/>
      </c>
      <c r="I575" s="2" t="str">
        <v/>
      </c>
      <c r="J575" s="2" t="str">
        <v/>
      </c>
      <c r="K575" s="2" t="str">
        <v/>
      </c>
      <c r="L575" s="1" t="str">
        <v/>
      </c>
      <c r="M575" s="2" t="str">
        <v/>
      </c>
      <c r="N575" s="2" t="str">
        <v/>
      </c>
      <c r="O575" s="1" t="str">
        <v/>
      </c>
      <c r="P575" s="1" t="str">
        <v/>
      </c>
      <c r="Q575" s="1" t="str">
        <v/>
      </c>
    </row>
    <row r="576" x14ac:dyDescent="0.25">
      <c r="A576" s="1" t="str">
        <v/>
      </c>
      <c r="B576" s="1" t="str">
        <v/>
      </c>
      <c r="C576" s="1" t="str">
        <v/>
      </c>
      <c r="D576" s="1" t="str">
        <v/>
      </c>
      <c r="E576" s="1" t="str">
        <v/>
      </c>
      <c r="F576" s="1" t="str">
        <v/>
      </c>
      <c r="G576" s="1" t="str">
        <v/>
      </c>
      <c r="H576" s="1" t="str">
        <v/>
      </c>
      <c r="I576" s="2" t="str">
        <v/>
      </c>
      <c r="J576" s="2" t="str">
        <v/>
      </c>
      <c r="K576" s="2" t="str">
        <v/>
      </c>
      <c r="L576" s="1" t="str">
        <v/>
      </c>
      <c r="M576" s="2" t="str">
        <v/>
      </c>
      <c r="N576" s="2" t="str">
        <v/>
      </c>
      <c r="O576" s="1" t="str">
        <v/>
      </c>
      <c r="P576" s="1" t="str">
        <v/>
      </c>
      <c r="Q576" s="1" t="str">
        <v/>
      </c>
    </row>
    <row r="577" x14ac:dyDescent="0.25">
      <c r="A577" s="1" t="str">
        <v/>
      </c>
      <c r="B577" s="1" t="str">
        <v/>
      </c>
      <c r="C577" s="1" t="str">
        <v/>
      </c>
      <c r="D577" s="1" t="str">
        <v/>
      </c>
      <c r="E577" s="1" t="str">
        <v/>
      </c>
      <c r="F577" s="1" t="str">
        <v/>
      </c>
      <c r="G577" s="1" t="str">
        <v/>
      </c>
      <c r="H577" s="1" t="str">
        <v/>
      </c>
      <c r="I577" s="2" t="str">
        <v/>
      </c>
      <c r="J577" s="2" t="str">
        <v/>
      </c>
      <c r="K577" s="2" t="str">
        <v/>
      </c>
      <c r="L577" s="1" t="str">
        <v/>
      </c>
      <c r="M577" s="2" t="str">
        <v/>
      </c>
      <c r="N577" s="2" t="str">
        <v/>
      </c>
      <c r="O577" s="1" t="str">
        <v/>
      </c>
      <c r="P577" s="1" t="str">
        <v/>
      </c>
      <c r="Q577" s="1" t="str">
        <v/>
      </c>
    </row>
    <row r="578" x14ac:dyDescent="0.25">
      <c r="A578" s="1" t="str">
        <v/>
      </c>
      <c r="B578" s="1" t="str">
        <v/>
      </c>
      <c r="C578" s="1" t="str">
        <v/>
      </c>
      <c r="D578" s="1" t="str">
        <v/>
      </c>
      <c r="E578" s="1" t="str">
        <v/>
      </c>
      <c r="F578" s="1" t="str">
        <v/>
      </c>
      <c r="G578" s="1" t="str">
        <v/>
      </c>
      <c r="H578" s="1" t="str">
        <v/>
      </c>
      <c r="I578" s="2" t="str">
        <v/>
      </c>
      <c r="J578" s="2" t="str">
        <v/>
      </c>
      <c r="K578" s="2" t="str">
        <v/>
      </c>
      <c r="L578" s="1" t="str">
        <v/>
      </c>
      <c r="M578" s="2" t="str">
        <v/>
      </c>
      <c r="N578" s="2" t="str">
        <v/>
      </c>
      <c r="O578" s="1" t="str">
        <v/>
      </c>
      <c r="P578" s="1" t="str">
        <v/>
      </c>
      <c r="Q578" s="1" t="str">
        <v/>
      </c>
    </row>
    <row r="579" x14ac:dyDescent="0.25">
      <c r="A579" s="1" t="str">
        <v/>
      </c>
      <c r="B579" s="1" t="str">
        <v/>
      </c>
      <c r="C579" s="1" t="str">
        <v/>
      </c>
      <c r="D579" s="1" t="str">
        <v/>
      </c>
      <c r="E579" s="1" t="str">
        <v/>
      </c>
      <c r="F579" s="1" t="str">
        <v/>
      </c>
      <c r="G579" s="1" t="str">
        <v/>
      </c>
      <c r="H579" s="1" t="str">
        <v/>
      </c>
      <c r="I579" s="2" t="str">
        <v/>
      </c>
      <c r="J579" s="2" t="str">
        <v/>
      </c>
      <c r="K579" s="2" t="str">
        <v/>
      </c>
      <c r="L579" s="1" t="str">
        <v/>
      </c>
      <c r="M579" s="2" t="str">
        <v/>
      </c>
      <c r="N579" s="2" t="str">
        <v/>
      </c>
      <c r="O579" s="1" t="str">
        <v/>
      </c>
      <c r="P579" s="1" t="str">
        <v/>
      </c>
      <c r="Q579" s="1" t="str">
        <v/>
      </c>
    </row>
    <row r="580" x14ac:dyDescent="0.25">
      <c r="A580" s="1" t="str">
        <v/>
      </c>
      <c r="B580" s="1" t="str">
        <v/>
      </c>
      <c r="C580" s="1" t="str">
        <v/>
      </c>
      <c r="D580" s="1" t="str">
        <v/>
      </c>
      <c r="E580" s="1" t="str">
        <v/>
      </c>
      <c r="F580" s="1" t="str">
        <v/>
      </c>
      <c r="G580" s="1" t="str">
        <v/>
      </c>
      <c r="H580" s="1" t="str">
        <v/>
      </c>
      <c r="I580" s="2" t="str">
        <v/>
      </c>
      <c r="J580" s="2" t="str">
        <v/>
      </c>
      <c r="K580" s="2" t="str">
        <v/>
      </c>
      <c r="L580" s="1" t="str">
        <v/>
      </c>
      <c r="M580" s="2" t="str">
        <v/>
      </c>
      <c r="N580" s="2" t="str">
        <v/>
      </c>
      <c r="O580" s="1" t="str">
        <v/>
      </c>
      <c r="P580" s="1" t="str">
        <v/>
      </c>
      <c r="Q580" s="1" t="str">
        <v/>
      </c>
    </row>
    <row r="581" x14ac:dyDescent="0.25">
      <c r="A581" s="1" t="str">
        <v/>
      </c>
      <c r="B581" s="1" t="str">
        <v/>
      </c>
      <c r="C581" s="1" t="str">
        <v/>
      </c>
      <c r="D581" s="1" t="str">
        <v/>
      </c>
      <c r="E581" s="1" t="str">
        <v/>
      </c>
      <c r="F581" s="1" t="str">
        <v/>
      </c>
      <c r="G581" s="1" t="str">
        <v/>
      </c>
      <c r="H581" s="1" t="str">
        <v/>
      </c>
      <c r="I581" s="2" t="str">
        <v/>
      </c>
      <c r="J581" s="2" t="str">
        <v/>
      </c>
      <c r="K581" s="2" t="str">
        <v/>
      </c>
      <c r="L581" s="1" t="str">
        <v/>
      </c>
      <c r="M581" s="2" t="str">
        <v/>
      </c>
      <c r="N581" s="2" t="str">
        <v/>
      </c>
      <c r="O581" s="1" t="str">
        <v/>
      </c>
      <c r="P581" s="1" t="str">
        <v/>
      </c>
      <c r="Q581" s="1" t="str">
        <v/>
      </c>
    </row>
    <row r="582" x14ac:dyDescent="0.25">
      <c r="A582" s="1" t="str">
        <v/>
      </c>
      <c r="B582" s="1" t="str">
        <v/>
      </c>
      <c r="C582" s="1" t="str">
        <v/>
      </c>
      <c r="D582" s="1" t="str">
        <v/>
      </c>
      <c r="E582" s="1" t="str">
        <v/>
      </c>
      <c r="F582" s="1" t="str">
        <v/>
      </c>
      <c r="G582" s="1" t="str">
        <v/>
      </c>
      <c r="H582" s="1" t="str">
        <v/>
      </c>
      <c r="I582" s="2" t="str">
        <v/>
      </c>
      <c r="J582" s="2" t="str">
        <v/>
      </c>
      <c r="K582" s="2" t="str">
        <v/>
      </c>
      <c r="L582" s="1" t="str">
        <v/>
      </c>
      <c r="M582" s="2" t="str">
        <v/>
      </c>
      <c r="N582" s="2" t="str">
        <v/>
      </c>
      <c r="O582" s="1" t="str">
        <v/>
      </c>
      <c r="P582" s="1" t="str">
        <v/>
      </c>
      <c r="Q582" s="1" t="str">
        <v/>
      </c>
    </row>
    <row r="583" x14ac:dyDescent="0.25">
      <c r="A583" s="1" t="str">
        <v/>
      </c>
      <c r="B583" s="1" t="str">
        <v/>
      </c>
      <c r="C583" s="1" t="str">
        <v/>
      </c>
      <c r="D583" s="1" t="str">
        <v/>
      </c>
      <c r="E583" s="1" t="str">
        <v/>
      </c>
      <c r="F583" s="1" t="str">
        <v/>
      </c>
      <c r="G583" s="1" t="str">
        <v/>
      </c>
      <c r="H583" s="1" t="str">
        <v/>
      </c>
      <c r="I583" s="2" t="str">
        <v/>
      </c>
      <c r="J583" s="2" t="str">
        <v/>
      </c>
      <c r="K583" s="2" t="str">
        <v/>
      </c>
      <c r="L583" s="1" t="str">
        <v/>
      </c>
      <c r="M583" s="2" t="str">
        <v/>
      </c>
      <c r="N583" s="2" t="str">
        <v/>
      </c>
      <c r="O583" s="1" t="str">
        <v/>
      </c>
      <c r="P583" s="1" t="str">
        <v/>
      </c>
      <c r="Q583" s="1" t="str">
        <v/>
      </c>
    </row>
    <row r="584" x14ac:dyDescent="0.25">
      <c r="A584" s="1" t="str">
        <v/>
      </c>
      <c r="B584" s="1" t="str">
        <v/>
      </c>
      <c r="C584" s="1" t="str">
        <v/>
      </c>
      <c r="D584" s="1" t="str">
        <v/>
      </c>
      <c r="E584" s="1" t="str">
        <v/>
      </c>
      <c r="F584" s="1" t="str">
        <v/>
      </c>
      <c r="G584" s="1" t="str">
        <v/>
      </c>
      <c r="H584" s="1" t="str">
        <v/>
      </c>
      <c r="I584" s="2" t="str">
        <v/>
      </c>
      <c r="J584" s="2" t="str">
        <v/>
      </c>
      <c r="K584" s="2" t="str">
        <v/>
      </c>
      <c r="L584" s="1" t="str">
        <v/>
      </c>
      <c r="M584" s="2" t="str">
        <v/>
      </c>
      <c r="N584" s="2" t="str">
        <v/>
      </c>
      <c r="O584" s="1" t="str">
        <v/>
      </c>
      <c r="P584" s="1" t="str">
        <v/>
      </c>
      <c r="Q584" s="1" t="str">
        <v/>
      </c>
    </row>
    <row r="585" x14ac:dyDescent="0.25">
      <c r="A585" s="1" t="str">
        <v/>
      </c>
      <c r="B585" s="1" t="str">
        <v/>
      </c>
      <c r="C585" s="1" t="str">
        <v/>
      </c>
      <c r="D585" s="1" t="str">
        <v/>
      </c>
      <c r="E585" s="1" t="str">
        <v/>
      </c>
      <c r="F585" s="1" t="str">
        <v/>
      </c>
      <c r="G585" s="1" t="str">
        <v/>
      </c>
      <c r="H585" s="1" t="str">
        <v/>
      </c>
      <c r="I585" s="2" t="str">
        <v/>
      </c>
      <c r="J585" s="2" t="str">
        <v/>
      </c>
      <c r="K585" s="2" t="str">
        <v/>
      </c>
      <c r="L585" s="1" t="str">
        <v/>
      </c>
      <c r="M585" s="2" t="str">
        <v/>
      </c>
      <c r="N585" s="2" t="str">
        <v/>
      </c>
      <c r="O585" s="1" t="str">
        <v/>
      </c>
      <c r="P585" s="1" t="str">
        <v/>
      </c>
      <c r="Q585" s="1" t="str">
        <v/>
      </c>
    </row>
    <row r="586" x14ac:dyDescent="0.25">
      <c r="A586" s="1" t="str">
        <v/>
      </c>
      <c r="B586" s="1" t="str">
        <v/>
      </c>
      <c r="C586" s="1" t="str">
        <v/>
      </c>
      <c r="D586" s="1" t="str">
        <v/>
      </c>
      <c r="E586" s="1" t="str">
        <v/>
      </c>
      <c r="F586" s="1" t="str">
        <v/>
      </c>
      <c r="G586" s="1" t="str">
        <v/>
      </c>
      <c r="H586" s="1" t="str">
        <v/>
      </c>
      <c r="I586" s="2" t="str">
        <v/>
      </c>
      <c r="J586" s="2" t="str">
        <v/>
      </c>
      <c r="K586" s="2" t="str">
        <v/>
      </c>
      <c r="L586" s="1" t="str">
        <v/>
      </c>
      <c r="M586" s="2" t="str">
        <v/>
      </c>
      <c r="N586" s="2" t="str">
        <v/>
      </c>
      <c r="O586" s="1" t="str">
        <v/>
      </c>
      <c r="P586" s="1" t="str">
        <v/>
      </c>
      <c r="Q586" s="1" t="str">
        <v/>
      </c>
    </row>
    <row r="587" x14ac:dyDescent="0.25">
      <c r="A587" s="1" t="str">
        <v/>
      </c>
      <c r="B587" s="1" t="str">
        <v/>
      </c>
      <c r="C587" s="1" t="str">
        <v/>
      </c>
      <c r="D587" s="1" t="str">
        <v/>
      </c>
      <c r="E587" s="1" t="str">
        <v/>
      </c>
      <c r="F587" s="1" t="str">
        <v/>
      </c>
      <c r="G587" s="1" t="str">
        <v/>
      </c>
      <c r="H587" s="1" t="str">
        <v/>
      </c>
      <c r="I587" s="2" t="str">
        <v/>
      </c>
      <c r="J587" s="2" t="str">
        <v/>
      </c>
      <c r="K587" s="2" t="str">
        <v/>
      </c>
      <c r="L587" s="1" t="str">
        <v/>
      </c>
      <c r="M587" s="2" t="str">
        <v/>
      </c>
      <c r="N587" s="2" t="str">
        <v/>
      </c>
      <c r="O587" s="1" t="str">
        <v/>
      </c>
      <c r="P587" s="1" t="str">
        <v/>
      </c>
      <c r="Q587" s="1" t="str">
        <v/>
      </c>
    </row>
    <row r="588" x14ac:dyDescent="0.25">
      <c r="A588" s="1" t="str">
        <v/>
      </c>
      <c r="B588" s="1" t="str">
        <v/>
      </c>
      <c r="C588" s="1" t="str">
        <v/>
      </c>
      <c r="D588" s="1" t="str">
        <v/>
      </c>
      <c r="E588" s="1" t="str">
        <v/>
      </c>
      <c r="F588" s="1" t="str">
        <v/>
      </c>
      <c r="G588" s="1" t="str">
        <v/>
      </c>
      <c r="H588" s="1" t="str">
        <v/>
      </c>
      <c r="I588" s="2" t="str">
        <v/>
      </c>
      <c r="J588" s="2" t="str">
        <v/>
      </c>
      <c r="K588" s="2" t="str">
        <v/>
      </c>
      <c r="L588" s="1" t="str">
        <v/>
      </c>
      <c r="M588" s="2" t="str">
        <v/>
      </c>
      <c r="N588" s="2" t="str">
        <v/>
      </c>
      <c r="O588" s="1" t="str">
        <v/>
      </c>
      <c r="P588" s="1" t="str">
        <v/>
      </c>
      <c r="Q588" s="1" t="str">
        <v/>
      </c>
    </row>
    <row r="589" x14ac:dyDescent="0.25">
      <c r="A589" s="1" t="str">
        <v/>
      </c>
      <c r="B589" s="1" t="str">
        <v/>
      </c>
      <c r="C589" s="1" t="str">
        <v/>
      </c>
      <c r="D589" s="1" t="str">
        <v/>
      </c>
      <c r="E589" s="1" t="str">
        <v/>
      </c>
      <c r="F589" s="1" t="str">
        <v/>
      </c>
      <c r="G589" s="1" t="str">
        <v/>
      </c>
      <c r="H589" s="1" t="str">
        <v/>
      </c>
      <c r="I589" s="2" t="str">
        <v/>
      </c>
      <c r="J589" s="2" t="str">
        <v/>
      </c>
      <c r="K589" s="2" t="str">
        <v/>
      </c>
      <c r="L589" s="1" t="str">
        <v/>
      </c>
      <c r="M589" s="2" t="str">
        <v/>
      </c>
      <c r="N589" s="2" t="str">
        <v/>
      </c>
      <c r="O589" s="1" t="str">
        <v/>
      </c>
      <c r="P589" s="1" t="str">
        <v/>
      </c>
      <c r="Q589" s="1" t="str">
        <v/>
      </c>
    </row>
    <row r="590" x14ac:dyDescent="0.25">
      <c r="A590" s="1" t="str">
        <v/>
      </c>
      <c r="B590" s="1" t="str">
        <v/>
      </c>
      <c r="C590" s="1" t="str">
        <v/>
      </c>
      <c r="D590" s="1" t="str">
        <v/>
      </c>
      <c r="E590" s="1" t="str">
        <v/>
      </c>
      <c r="F590" s="1" t="str">
        <v/>
      </c>
      <c r="G590" s="1" t="str">
        <v/>
      </c>
      <c r="H590" s="1" t="str">
        <v/>
      </c>
      <c r="I590" s="2" t="str">
        <v/>
      </c>
      <c r="J590" s="2" t="str">
        <v/>
      </c>
      <c r="K590" s="2" t="str">
        <v/>
      </c>
      <c r="L590" s="1" t="str">
        <v/>
      </c>
      <c r="M590" s="2" t="str">
        <v/>
      </c>
      <c r="N590" s="2" t="str">
        <v/>
      </c>
      <c r="O590" s="1" t="str">
        <v/>
      </c>
      <c r="P590" s="1" t="str">
        <v/>
      </c>
      <c r="Q590" s="1" t="str">
        <v/>
      </c>
    </row>
    <row r="591" x14ac:dyDescent="0.25">
      <c r="A591" s="1" t="str">
        <v/>
      </c>
      <c r="B591" s="1" t="str">
        <v/>
      </c>
      <c r="C591" s="1" t="str">
        <v/>
      </c>
      <c r="D591" s="1" t="str">
        <v/>
      </c>
      <c r="E591" s="1" t="str">
        <v/>
      </c>
      <c r="F591" s="1" t="str">
        <v/>
      </c>
      <c r="G591" s="1" t="str">
        <v/>
      </c>
      <c r="H591" s="1" t="str">
        <v/>
      </c>
      <c r="I591" s="2" t="str">
        <v/>
      </c>
      <c r="J591" s="2" t="str">
        <v/>
      </c>
      <c r="K591" s="2" t="str">
        <v/>
      </c>
      <c r="L591" s="1" t="str">
        <v/>
      </c>
      <c r="M591" s="2" t="str">
        <v/>
      </c>
      <c r="N591" s="2" t="str">
        <v/>
      </c>
      <c r="O591" s="1" t="str">
        <v/>
      </c>
      <c r="P591" s="1" t="str">
        <v/>
      </c>
      <c r="Q591" s="1" t="str">
        <v/>
      </c>
    </row>
    <row r="592" x14ac:dyDescent="0.25">
      <c r="A592" s="1" t="str">
        <v/>
      </c>
      <c r="B592" s="1" t="str">
        <v/>
      </c>
      <c r="C592" s="1" t="str">
        <v/>
      </c>
      <c r="D592" s="1" t="str">
        <v/>
      </c>
      <c r="E592" s="1" t="str">
        <v/>
      </c>
      <c r="F592" s="1" t="str">
        <v/>
      </c>
      <c r="G592" s="1" t="str">
        <v/>
      </c>
      <c r="H592" s="1" t="str">
        <v/>
      </c>
      <c r="I592" s="2" t="str">
        <v/>
      </c>
      <c r="J592" s="2" t="str">
        <v/>
      </c>
      <c r="K592" s="2" t="str">
        <v/>
      </c>
      <c r="L592" s="1" t="str">
        <v/>
      </c>
      <c r="M592" s="2" t="str">
        <v/>
      </c>
      <c r="N592" s="2" t="str">
        <v/>
      </c>
      <c r="O592" s="1" t="str">
        <v/>
      </c>
      <c r="P592" s="1" t="str">
        <v/>
      </c>
      <c r="Q592" s="1" t="str">
        <v/>
      </c>
    </row>
    <row r="593" x14ac:dyDescent="0.25">
      <c r="A593" s="1" t="str">
        <v/>
      </c>
      <c r="B593" s="1" t="str">
        <v/>
      </c>
      <c r="C593" s="1" t="str">
        <v/>
      </c>
      <c r="D593" s="1" t="str">
        <v/>
      </c>
      <c r="E593" s="1" t="str">
        <v/>
      </c>
      <c r="F593" s="1" t="str">
        <v/>
      </c>
      <c r="G593" s="1" t="str">
        <v/>
      </c>
      <c r="H593" s="1" t="str">
        <v/>
      </c>
      <c r="I593" s="2" t="str">
        <v/>
      </c>
      <c r="J593" s="2" t="str">
        <v/>
      </c>
      <c r="K593" s="2" t="str">
        <v/>
      </c>
      <c r="L593" s="1" t="str">
        <v/>
      </c>
      <c r="M593" s="2" t="str">
        <v/>
      </c>
      <c r="N593" s="2" t="str">
        <v/>
      </c>
      <c r="O593" s="1" t="str">
        <v/>
      </c>
      <c r="P593" s="1" t="str">
        <v/>
      </c>
      <c r="Q593" s="1" t="str">
        <v/>
      </c>
    </row>
    <row r="594" x14ac:dyDescent="0.25">
      <c r="A594" s="1" t="str">
        <v/>
      </c>
      <c r="B594" s="1" t="str">
        <v/>
      </c>
      <c r="C594" s="1" t="str">
        <v/>
      </c>
      <c r="D594" s="1" t="str">
        <v/>
      </c>
      <c r="E594" s="1" t="str">
        <v/>
      </c>
      <c r="F594" s="1" t="str">
        <v/>
      </c>
      <c r="G594" s="1" t="str">
        <v/>
      </c>
      <c r="H594" s="1" t="str">
        <v/>
      </c>
      <c r="I594" s="2" t="str">
        <v/>
      </c>
      <c r="J594" s="2" t="str">
        <v/>
      </c>
      <c r="K594" s="2" t="str">
        <v/>
      </c>
      <c r="L594" s="1" t="str">
        <v/>
      </c>
      <c r="M594" s="2" t="str">
        <v/>
      </c>
      <c r="N594" s="2" t="str">
        <v/>
      </c>
      <c r="O594" s="1" t="str">
        <v/>
      </c>
      <c r="P594" s="1" t="str">
        <v/>
      </c>
      <c r="Q594" s="1" t="str">
        <v/>
      </c>
    </row>
    <row r="595" x14ac:dyDescent="0.25">
      <c r="A595" s="1" t="str">
        <v/>
      </c>
      <c r="B595" s="1" t="str">
        <v/>
      </c>
      <c r="C595" s="1" t="str">
        <v/>
      </c>
      <c r="D595" s="1" t="str">
        <v/>
      </c>
      <c r="E595" s="1" t="str">
        <v/>
      </c>
      <c r="F595" s="1" t="str">
        <v/>
      </c>
      <c r="G595" s="1" t="str">
        <v/>
      </c>
      <c r="H595" s="1" t="str">
        <v/>
      </c>
      <c r="I595" s="2" t="str">
        <v/>
      </c>
      <c r="J595" s="2" t="str">
        <v/>
      </c>
      <c r="K595" s="2" t="str">
        <v/>
      </c>
      <c r="L595" s="1" t="str">
        <v/>
      </c>
      <c r="M595" s="2" t="str">
        <v/>
      </c>
      <c r="N595" s="2" t="str">
        <v/>
      </c>
      <c r="O595" s="1" t="str">
        <v/>
      </c>
      <c r="P595" s="1" t="str">
        <v/>
      </c>
      <c r="Q595" s="1" t="str">
        <v/>
      </c>
    </row>
    <row r="596" x14ac:dyDescent="0.25">
      <c r="A596" s="1" t="str">
        <v/>
      </c>
      <c r="B596" s="1" t="str">
        <v/>
      </c>
      <c r="C596" s="1" t="str">
        <v/>
      </c>
      <c r="D596" s="1" t="str">
        <v/>
      </c>
      <c r="E596" s="1" t="str">
        <v/>
      </c>
      <c r="F596" s="1" t="str">
        <v/>
      </c>
      <c r="G596" s="1" t="str">
        <v/>
      </c>
      <c r="H596" s="1" t="str">
        <v/>
      </c>
      <c r="I596" s="2" t="str">
        <v/>
      </c>
      <c r="J596" s="2" t="str">
        <v/>
      </c>
      <c r="K596" s="2" t="str">
        <v/>
      </c>
      <c r="L596" s="1" t="str">
        <v/>
      </c>
      <c r="M596" s="2" t="str">
        <v/>
      </c>
      <c r="N596" s="2" t="str">
        <v/>
      </c>
      <c r="O596" s="1" t="str">
        <v/>
      </c>
      <c r="P596" s="1" t="str">
        <v/>
      </c>
      <c r="Q596" s="1" t="str">
        <v/>
      </c>
    </row>
    <row r="597" x14ac:dyDescent="0.25">
      <c r="A597" s="1" t="str">
        <v/>
      </c>
      <c r="B597" s="1" t="str">
        <v/>
      </c>
      <c r="C597" s="1" t="str">
        <v/>
      </c>
      <c r="D597" s="1" t="str">
        <v/>
      </c>
      <c r="E597" s="1" t="str">
        <v/>
      </c>
      <c r="F597" s="1" t="str">
        <v/>
      </c>
      <c r="G597" s="1" t="str">
        <v/>
      </c>
      <c r="H597" s="1" t="str">
        <v/>
      </c>
      <c r="I597" s="2" t="str">
        <v/>
      </c>
      <c r="J597" s="2" t="str">
        <v/>
      </c>
      <c r="K597" s="2" t="str">
        <v/>
      </c>
      <c r="L597" s="1" t="str">
        <v/>
      </c>
      <c r="M597" s="2" t="str">
        <v/>
      </c>
      <c r="N597" s="2" t="str">
        <v/>
      </c>
      <c r="O597" s="1" t="str">
        <v/>
      </c>
      <c r="P597" s="1" t="str">
        <v/>
      </c>
      <c r="Q597" s="1" t="str">
        <v/>
      </c>
    </row>
    <row r="598" x14ac:dyDescent="0.25">
      <c r="A598" s="1" t="str">
        <v/>
      </c>
      <c r="B598" s="1" t="str">
        <v/>
      </c>
      <c r="C598" s="1" t="str">
        <v/>
      </c>
      <c r="D598" s="1" t="str">
        <v/>
      </c>
      <c r="E598" s="1" t="str">
        <v/>
      </c>
      <c r="F598" s="1" t="str">
        <v/>
      </c>
      <c r="G598" s="1" t="str">
        <v/>
      </c>
      <c r="H598" s="1" t="str">
        <v/>
      </c>
      <c r="I598" s="2" t="str">
        <v/>
      </c>
      <c r="J598" s="2" t="str">
        <v/>
      </c>
      <c r="K598" s="2" t="str">
        <v/>
      </c>
      <c r="L598" s="1" t="str">
        <v/>
      </c>
      <c r="M598" s="2" t="str">
        <v/>
      </c>
      <c r="N598" s="2" t="str">
        <v/>
      </c>
      <c r="O598" s="1" t="str">
        <v/>
      </c>
      <c r="P598" s="1" t="str">
        <v/>
      </c>
      <c r="Q598" s="1" t="str">
        <v/>
      </c>
    </row>
    <row r="599" x14ac:dyDescent="0.25">
      <c r="A599" s="1" t="str">
        <v/>
      </c>
      <c r="B599" s="1" t="str">
        <v/>
      </c>
      <c r="C599" s="1" t="str">
        <v/>
      </c>
      <c r="D599" s="1" t="str">
        <v/>
      </c>
      <c r="E599" s="1" t="str">
        <v/>
      </c>
      <c r="F599" s="1" t="str">
        <v/>
      </c>
      <c r="G599" s="1" t="str">
        <v/>
      </c>
      <c r="H599" s="1" t="str">
        <v/>
      </c>
      <c r="I599" s="2" t="str">
        <v/>
      </c>
      <c r="J599" s="2" t="str">
        <v/>
      </c>
      <c r="K599" s="2" t="str">
        <v/>
      </c>
      <c r="L599" s="1" t="str">
        <v/>
      </c>
      <c r="M599" s="2" t="str">
        <v/>
      </c>
      <c r="N599" s="2" t="str">
        <v/>
      </c>
      <c r="O599" s="1" t="str">
        <v/>
      </c>
      <c r="P599" s="1" t="str">
        <v/>
      </c>
      <c r="Q599" s="1" t="str">
        <v/>
      </c>
    </row>
    <row r="600" x14ac:dyDescent="0.25">
      <c r="A600" s="1" t="str">
        <v/>
      </c>
      <c r="B600" s="1" t="str">
        <v/>
      </c>
      <c r="C600" s="1" t="str">
        <v/>
      </c>
      <c r="D600" s="1" t="str">
        <v/>
      </c>
      <c r="E600" s="1" t="str">
        <v/>
      </c>
      <c r="F600" s="1" t="str">
        <v/>
      </c>
      <c r="G600" s="1" t="str">
        <v/>
      </c>
      <c r="H600" s="1" t="str">
        <v/>
      </c>
      <c r="I600" s="2" t="str">
        <v/>
      </c>
      <c r="J600" s="2" t="str">
        <v/>
      </c>
      <c r="K600" s="2" t="str">
        <v/>
      </c>
      <c r="L600" s="1" t="str">
        <v/>
      </c>
      <c r="M600" s="2" t="str">
        <v/>
      </c>
      <c r="N600" s="2" t="str">
        <v/>
      </c>
      <c r="O600" s="1" t="str">
        <v/>
      </c>
      <c r="P600" s="1" t="str">
        <v/>
      </c>
      <c r="Q600" s="1" t="str">
        <v/>
      </c>
    </row>
    <row r="601" x14ac:dyDescent="0.25">
      <c r="A601" s="1" t="str">
        <v/>
      </c>
      <c r="B601" s="1" t="str">
        <v/>
      </c>
      <c r="C601" s="1" t="str">
        <v/>
      </c>
      <c r="D601" s="1" t="str">
        <v/>
      </c>
      <c r="E601" s="1" t="str">
        <v/>
      </c>
      <c r="F601" s="1" t="str">
        <v/>
      </c>
      <c r="G601" s="1" t="str">
        <v/>
      </c>
      <c r="H601" s="1" t="str">
        <v/>
      </c>
      <c r="I601" s="2" t="str">
        <v/>
      </c>
      <c r="J601" s="2" t="str">
        <v/>
      </c>
      <c r="K601" s="2" t="str">
        <v/>
      </c>
      <c r="L601" s="1" t="str">
        <v/>
      </c>
      <c r="M601" s="2" t="str">
        <v/>
      </c>
      <c r="N601" s="2" t="str">
        <v/>
      </c>
      <c r="O601" s="1" t="str">
        <v/>
      </c>
      <c r="P601" s="1" t="str">
        <v/>
      </c>
      <c r="Q601" s="1" t="str">
        <v/>
      </c>
    </row>
    <row r="602" x14ac:dyDescent="0.25">
      <c r="A602" s="1" t="str">
        <v/>
      </c>
      <c r="B602" s="1" t="str">
        <v/>
      </c>
      <c r="C602" s="1" t="str">
        <v/>
      </c>
      <c r="D602" s="1" t="str">
        <v/>
      </c>
      <c r="E602" s="1" t="str">
        <v/>
      </c>
      <c r="F602" s="1" t="str">
        <v/>
      </c>
      <c r="G602" s="1" t="str">
        <v/>
      </c>
      <c r="H602" s="1" t="str">
        <v/>
      </c>
      <c r="I602" s="2" t="str">
        <v/>
      </c>
      <c r="J602" s="2" t="str">
        <v/>
      </c>
      <c r="K602" s="2" t="str">
        <v/>
      </c>
      <c r="L602" s="1" t="str">
        <v/>
      </c>
      <c r="M602" s="2" t="str">
        <v/>
      </c>
      <c r="N602" s="2" t="str">
        <v/>
      </c>
      <c r="O602" s="1" t="str">
        <v/>
      </c>
      <c r="P602" s="1" t="str">
        <v/>
      </c>
      <c r="Q602" s="1" t="str">
        <v/>
      </c>
    </row>
    <row r="603" x14ac:dyDescent="0.25">
      <c r="A603" s="1" t="str">
        <v/>
      </c>
      <c r="B603" s="1" t="str">
        <v/>
      </c>
      <c r="C603" s="1" t="str">
        <v/>
      </c>
      <c r="D603" s="1" t="str">
        <v/>
      </c>
      <c r="E603" s="1" t="str">
        <v/>
      </c>
      <c r="F603" s="1" t="str">
        <v/>
      </c>
      <c r="G603" s="1" t="str">
        <v/>
      </c>
      <c r="H603" s="1" t="str">
        <v/>
      </c>
      <c r="I603" s="2" t="str">
        <v/>
      </c>
      <c r="J603" s="2" t="str">
        <v/>
      </c>
      <c r="K603" s="2" t="str">
        <v/>
      </c>
      <c r="L603" s="1" t="str">
        <v/>
      </c>
      <c r="M603" s="2" t="str">
        <v/>
      </c>
      <c r="N603" s="2" t="str">
        <v/>
      </c>
      <c r="O603" s="1" t="str">
        <v/>
      </c>
      <c r="P603" s="1" t="str">
        <v/>
      </c>
      <c r="Q603" s="1" t="str">
        <v/>
      </c>
    </row>
    <row r="604" x14ac:dyDescent="0.25">
      <c r="A604" s="1" t="str">
        <v/>
      </c>
      <c r="B604" s="1" t="str">
        <v/>
      </c>
      <c r="C604" s="1" t="str">
        <v/>
      </c>
      <c r="D604" s="1" t="str">
        <v/>
      </c>
      <c r="E604" s="1" t="str">
        <v/>
      </c>
      <c r="F604" s="1" t="str">
        <v/>
      </c>
      <c r="G604" s="1" t="str">
        <v/>
      </c>
      <c r="H604" s="1" t="str">
        <v/>
      </c>
      <c r="I604" s="2" t="str">
        <v/>
      </c>
      <c r="J604" s="2" t="str">
        <v/>
      </c>
      <c r="K604" s="2" t="str">
        <v/>
      </c>
      <c r="L604" s="1" t="str">
        <v/>
      </c>
      <c r="M604" s="2" t="str">
        <v/>
      </c>
      <c r="N604" s="2" t="str">
        <v/>
      </c>
      <c r="O604" s="1" t="str">
        <v/>
      </c>
      <c r="P604" s="1" t="str">
        <v/>
      </c>
      <c r="Q604" s="1" t="str">
        <v/>
      </c>
    </row>
    <row r="605" x14ac:dyDescent="0.25">
      <c r="A605" s="1" t="str">
        <v/>
      </c>
      <c r="B605" s="1" t="str">
        <v/>
      </c>
      <c r="C605" s="1" t="str">
        <v/>
      </c>
      <c r="D605" s="1" t="str">
        <v/>
      </c>
      <c r="E605" s="1" t="str">
        <v/>
      </c>
      <c r="F605" s="1" t="str">
        <v/>
      </c>
      <c r="G605" s="1" t="str">
        <v/>
      </c>
      <c r="H605" s="1" t="str">
        <v/>
      </c>
      <c r="I605" s="2" t="str">
        <v/>
      </c>
      <c r="J605" s="2" t="str">
        <v/>
      </c>
      <c r="K605" s="2" t="str">
        <v/>
      </c>
      <c r="L605" s="1" t="str">
        <v/>
      </c>
      <c r="M605" s="2" t="str">
        <v/>
      </c>
      <c r="N605" s="2" t="str">
        <v/>
      </c>
      <c r="O605" s="1" t="str">
        <v/>
      </c>
      <c r="P605" s="1" t="str">
        <v/>
      </c>
      <c r="Q605" s="1" t="str">
        <v/>
      </c>
    </row>
    <row r="606" x14ac:dyDescent="0.25">
      <c r="A606" s="1" t="str">
        <v/>
      </c>
      <c r="B606" s="1" t="str">
        <v/>
      </c>
      <c r="C606" s="1" t="str">
        <v/>
      </c>
      <c r="D606" s="1" t="str">
        <v/>
      </c>
      <c r="E606" s="1" t="str">
        <v/>
      </c>
      <c r="F606" s="1" t="str">
        <v/>
      </c>
      <c r="G606" s="1" t="str">
        <v/>
      </c>
      <c r="H606" s="1" t="str">
        <v/>
      </c>
      <c r="I606" s="2" t="str">
        <v/>
      </c>
      <c r="J606" s="2" t="str">
        <v/>
      </c>
      <c r="K606" s="2" t="str">
        <v/>
      </c>
      <c r="L606" s="1" t="str">
        <v/>
      </c>
      <c r="M606" s="2" t="str">
        <v/>
      </c>
      <c r="N606" s="2" t="str">
        <v/>
      </c>
      <c r="O606" s="1" t="str">
        <v/>
      </c>
      <c r="P606" s="1" t="str">
        <v/>
      </c>
      <c r="Q606" s="1" t="str">
        <v/>
      </c>
    </row>
    <row r="607" x14ac:dyDescent="0.25">
      <c r="A607" s="1" t="str">
        <v/>
      </c>
      <c r="B607" s="1" t="str">
        <v/>
      </c>
      <c r="C607" s="1" t="str">
        <v/>
      </c>
      <c r="D607" s="1" t="str">
        <v/>
      </c>
      <c r="E607" s="1" t="str">
        <v/>
      </c>
      <c r="F607" s="1" t="str">
        <v/>
      </c>
      <c r="G607" s="1" t="str">
        <v/>
      </c>
      <c r="H607" s="1" t="str">
        <v/>
      </c>
      <c r="I607" s="2" t="str">
        <v/>
      </c>
      <c r="J607" s="2" t="str">
        <v/>
      </c>
      <c r="K607" s="2" t="str">
        <v/>
      </c>
      <c r="L607" s="1" t="str">
        <v/>
      </c>
      <c r="M607" s="2" t="str">
        <v/>
      </c>
      <c r="N607" s="2" t="str">
        <v/>
      </c>
      <c r="O607" s="1" t="str">
        <v/>
      </c>
      <c r="P607" s="1" t="str">
        <v/>
      </c>
      <c r="Q607" s="1" t="str">
        <v/>
      </c>
    </row>
    <row r="608" x14ac:dyDescent="0.25">
      <c r="A608" s="1" t="str">
        <v/>
      </c>
      <c r="B608" s="1" t="str">
        <v/>
      </c>
      <c r="C608" s="1" t="str">
        <v/>
      </c>
      <c r="D608" s="1" t="str">
        <v/>
      </c>
      <c r="E608" s="1" t="str">
        <v/>
      </c>
      <c r="F608" s="1" t="str">
        <v/>
      </c>
      <c r="G608" s="1" t="str">
        <v/>
      </c>
      <c r="H608" s="1" t="str">
        <v/>
      </c>
      <c r="I608" s="2" t="str">
        <v/>
      </c>
      <c r="J608" s="2" t="str">
        <v/>
      </c>
      <c r="K608" s="2" t="str">
        <v/>
      </c>
      <c r="L608" s="1" t="str">
        <v/>
      </c>
      <c r="M608" s="2" t="str">
        <v/>
      </c>
      <c r="N608" s="2" t="str">
        <v/>
      </c>
      <c r="O608" s="1" t="str">
        <v/>
      </c>
      <c r="P608" s="1" t="str">
        <v/>
      </c>
      <c r="Q608" s="1" t="str">
        <v/>
      </c>
    </row>
    <row r="609" x14ac:dyDescent="0.25">
      <c r="A609" s="1" t="str">
        <v/>
      </c>
      <c r="B609" s="1" t="str">
        <v/>
      </c>
      <c r="C609" s="1" t="str">
        <v/>
      </c>
      <c r="D609" s="1" t="str">
        <v/>
      </c>
      <c r="E609" s="1" t="str">
        <v/>
      </c>
      <c r="F609" s="1" t="str">
        <v/>
      </c>
      <c r="G609" s="1" t="str">
        <v/>
      </c>
      <c r="H609" s="1" t="str">
        <v/>
      </c>
      <c r="I609" s="2" t="str">
        <v/>
      </c>
      <c r="J609" s="2" t="str">
        <v/>
      </c>
      <c r="K609" s="2" t="str">
        <v/>
      </c>
      <c r="L609" s="1" t="str">
        <v/>
      </c>
      <c r="M609" s="2" t="str">
        <v/>
      </c>
      <c r="N609" s="2" t="str">
        <v/>
      </c>
      <c r="O609" s="1" t="str">
        <v/>
      </c>
      <c r="P609" s="1" t="str">
        <v/>
      </c>
      <c r="Q609" s="1" t="str">
        <v/>
      </c>
    </row>
    <row r="610" x14ac:dyDescent="0.25">
      <c r="A610" s="1" t="str">
        <v/>
      </c>
      <c r="B610" s="1" t="str">
        <v/>
      </c>
      <c r="C610" s="1" t="str">
        <v/>
      </c>
      <c r="D610" s="1" t="str">
        <v/>
      </c>
      <c r="E610" s="1" t="str">
        <v/>
      </c>
      <c r="F610" s="1" t="str">
        <v/>
      </c>
      <c r="G610" s="1" t="str">
        <v/>
      </c>
      <c r="H610" s="1" t="str">
        <v/>
      </c>
      <c r="I610" s="2" t="str">
        <v/>
      </c>
      <c r="J610" s="2" t="str">
        <v/>
      </c>
      <c r="K610" s="2" t="str">
        <v/>
      </c>
      <c r="L610" s="1" t="str">
        <v/>
      </c>
      <c r="M610" s="2" t="str">
        <v/>
      </c>
      <c r="N610" s="2" t="str">
        <v/>
      </c>
      <c r="O610" s="1" t="str">
        <v/>
      </c>
      <c r="P610" s="1" t="str">
        <v/>
      </c>
      <c r="Q610" s="1" t="str">
        <v/>
      </c>
    </row>
    <row r="611" x14ac:dyDescent="0.25">
      <c r="A611" s="1" t="str">
        <v/>
      </c>
      <c r="B611" s="1" t="str">
        <v/>
      </c>
      <c r="C611" s="1" t="str">
        <v/>
      </c>
      <c r="D611" s="1" t="str">
        <v/>
      </c>
      <c r="E611" s="1" t="str">
        <v/>
      </c>
      <c r="F611" s="1" t="str">
        <v/>
      </c>
      <c r="G611" s="1" t="str">
        <v/>
      </c>
      <c r="H611" s="1" t="str">
        <v/>
      </c>
      <c r="I611" s="2" t="str">
        <v/>
      </c>
      <c r="J611" s="2" t="str">
        <v/>
      </c>
      <c r="K611" s="2" t="str">
        <v/>
      </c>
      <c r="L611" s="1" t="str">
        <v/>
      </c>
      <c r="M611" s="2" t="str">
        <v/>
      </c>
      <c r="N611" s="2" t="str">
        <v/>
      </c>
      <c r="O611" s="1" t="str">
        <v/>
      </c>
      <c r="P611" s="1" t="str">
        <v/>
      </c>
      <c r="Q611" s="1" t="str">
        <v/>
      </c>
    </row>
    <row r="612" x14ac:dyDescent="0.25">
      <c r="A612" s="1" t="str">
        <v/>
      </c>
      <c r="B612" s="1" t="str">
        <v/>
      </c>
      <c r="C612" s="1" t="str">
        <v/>
      </c>
      <c r="D612" s="1" t="str">
        <v/>
      </c>
      <c r="E612" s="1" t="str">
        <v/>
      </c>
      <c r="F612" s="1" t="str">
        <v/>
      </c>
      <c r="G612" s="1" t="str">
        <v/>
      </c>
      <c r="H612" s="1" t="str">
        <v/>
      </c>
      <c r="I612" s="2" t="str">
        <v/>
      </c>
      <c r="J612" s="2" t="str">
        <v/>
      </c>
      <c r="K612" s="2" t="str">
        <v/>
      </c>
      <c r="L612" s="1" t="str">
        <v/>
      </c>
      <c r="M612" s="2" t="str">
        <v/>
      </c>
      <c r="N612" s="2" t="str">
        <v/>
      </c>
      <c r="O612" s="1" t="str">
        <v/>
      </c>
      <c r="P612" s="1" t="str">
        <v/>
      </c>
      <c r="Q612" s="1" t="str">
        <v/>
      </c>
    </row>
    <row r="613" x14ac:dyDescent="0.25">
      <c r="A613" s="1" t="str">
        <v/>
      </c>
      <c r="B613" s="1" t="str">
        <v/>
      </c>
      <c r="C613" s="1" t="str">
        <v/>
      </c>
      <c r="D613" s="1" t="str">
        <v/>
      </c>
      <c r="E613" s="1" t="str">
        <v/>
      </c>
      <c r="F613" s="1" t="str">
        <v/>
      </c>
      <c r="G613" s="1" t="str">
        <v/>
      </c>
      <c r="H613" s="1" t="str">
        <v/>
      </c>
      <c r="I613" s="2" t="str">
        <v/>
      </c>
      <c r="J613" s="2" t="str">
        <v/>
      </c>
      <c r="K613" s="2" t="str">
        <v/>
      </c>
      <c r="L613" s="1" t="str">
        <v/>
      </c>
      <c r="M613" s="2" t="str">
        <v/>
      </c>
      <c r="N613" s="2" t="str">
        <v/>
      </c>
      <c r="O613" s="1" t="str">
        <v/>
      </c>
      <c r="P613" s="1" t="str">
        <v/>
      </c>
      <c r="Q613" s="1" t="str">
        <v/>
      </c>
    </row>
    <row r="614" x14ac:dyDescent="0.25">
      <c r="A614" s="1" t="str">
        <v/>
      </c>
      <c r="B614" s="1" t="str">
        <v/>
      </c>
      <c r="C614" s="1" t="str">
        <v/>
      </c>
      <c r="D614" s="1" t="str">
        <v/>
      </c>
      <c r="E614" s="1" t="str">
        <v/>
      </c>
      <c r="F614" s="1" t="str">
        <v/>
      </c>
      <c r="G614" s="1" t="str">
        <v/>
      </c>
      <c r="H614" s="1" t="str">
        <v/>
      </c>
      <c r="I614" s="2" t="str">
        <v/>
      </c>
      <c r="J614" s="2" t="str">
        <v/>
      </c>
      <c r="K614" s="2" t="str">
        <v/>
      </c>
      <c r="L614" s="1" t="str">
        <v/>
      </c>
      <c r="M614" s="2" t="str">
        <v/>
      </c>
      <c r="N614" s="2" t="str">
        <v/>
      </c>
      <c r="O614" s="1" t="str">
        <v/>
      </c>
      <c r="P614" s="1" t="str">
        <v/>
      </c>
      <c r="Q614" s="1" t="str">
        <v/>
      </c>
    </row>
    <row r="615" x14ac:dyDescent="0.25">
      <c r="A615" s="1" t="str">
        <v/>
      </c>
      <c r="B615" s="1" t="str">
        <v/>
      </c>
      <c r="C615" s="1" t="str">
        <v/>
      </c>
      <c r="D615" s="1" t="str">
        <v/>
      </c>
      <c r="E615" s="1" t="str">
        <v/>
      </c>
      <c r="F615" s="1" t="str">
        <v/>
      </c>
      <c r="G615" s="1" t="str">
        <v/>
      </c>
      <c r="H615" s="1" t="str">
        <v/>
      </c>
      <c r="I615" s="2" t="str">
        <v/>
      </c>
      <c r="J615" s="2" t="str">
        <v/>
      </c>
      <c r="K615" s="2" t="str">
        <v/>
      </c>
      <c r="L615" s="1" t="str">
        <v/>
      </c>
      <c r="M615" s="2" t="str">
        <v/>
      </c>
      <c r="N615" s="2" t="str">
        <v/>
      </c>
      <c r="O615" s="1" t="str">
        <v/>
      </c>
      <c r="P615" s="1" t="str">
        <v/>
      </c>
      <c r="Q615" s="1" t="str">
        <v/>
      </c>
    </row>
    <row r="616" x14ac:dyDescent="0.25">
      <c r="A616" s="1" t="str">
        <v/>
      </c>
      <c r="B616" s="1" t="str">
        <v/>
      </c>
      <c r="C616" s="1" t="str">
        <v/>
      </c>
      <c r="D616" s="1" t="str">
        <v/>
      </c>
      <c r="E616" s="1" t="str">
        <v/>
      </c>
      <c r="F616" s="1" t="str">
        <v/>
      </c>
      <c r="G616" s="1" t="str">
        <v/>
      </c>
      <c r="H616" s="1" t="str">
        <v/>
      </c>
      <c r="I616" s="2" t="str">
        <v/>
      </c>
      <c r="J616" s="2" t="str">
        <v/>
      </c>
      <c r="K616" s="2" t="str">
        <v/>
      </c>
      <c r="L616" s="1" t="str">
        <v/>
      </c>
      <c r="M616" s="2" t="str">
        <v/>
      </c>
      <c r="N616" s="2" t="str">
        <v/>
      </c>
      <c r="O616" s="1" t="str">
        <v/>
      </c>
      <c r="P616" s="1" t="str">
        <v/>
      </c>
      <c r="Q616" s="1" t="str">
        <v/>
      </c>
    </row>
    <row r="617" x14ac:dyDescent="0.25">
      <c r="A617" s="1" t="str">
        <v/>
      </c>
      <c r="B617" s="1" t="str">
        <v/>
      </c>
      <c r="C617" s="1" t="str">
        <v/>
      </c>
      <c r="D617" s="1" t="str">
        <v/>
      </c>
      <c r="E617" s="1" t="str">
        <v/>
      </c>
      <c r="F617" s="1" t="str">
        <v/>
      </c>
      <c r="G617" s="1" t="str">
        <v/>
      </c>
      <c r="H617" s="1" t="str">
        <v/>
      </c>
      <c r="I617" s="2" t="str">
        <v/>
      </c>
      <c r="J617" s="2" t="str">
        <v/>
      </c>
      <c r="K617" s="2" t="str">
        <v/>
      </c>
      <c r="L617" s="1" t="str">
        <v/>
      </c>
      <c r="M617" s="2" t="str">
        <v/>
      </c>
      <c r="N617" s="2" t="str">
        <v/>
      </c>
      <c r="O617" s="1" t="str">
        <v/>
      </c>
      <c r="P617" s="1" t="str">
        <v/>
      </c>
      <c r="Q617" s="1" t="str">
        <v/>
      </c>
    </row>
    <row r="618" x14ac:dyDescent="0.25">
      <c r="A618" s="1" t="str">
        <v/>
      </c>
      <c r="B618" s="1" t="str">
        <v/>
      </c>
      <c r="C618" s="1" t="str">
        <v/>
      </c>
      <c r="D618" s="1" t="str">
        <v/>
      </c>
      <c r="E618" s="1" t="str">
        <v/>
      </c>
      <c r="F618" s="1" t="str">
        <v/>
      </c>
      <c r="G618" s="1" t="str">
        <v/>
      </c>
      <c r="H618" s="1" t="str">
        <v/>
      </c>
      <c r="I618" s="2" t="str">
        <v/>
      </c>
      <c r="J618" s="2" t="str">
        <v/>
      </c>
      <c r="K618" s="2" t="str">
        <v/>
      </c>
      <c r="L618" s="1" t="str">
        <v/>
      </c>
      <c r="M618" s="2" t="str">
        <v/>
      </c>
      <c r="N618" s="2" t="str">
        <v/>
      </c>
      <c r="O618" s="1" t="str">
        <v/>
      </c>
      <c r="P618" s="1" t="str">
        <v/>
      </c>
      <c r="Q618" s="1" t="str">
        <v/>
      </c>
    </row>
    <row r="619" x14ac:dyDescent="0.25">
      <c r="A619" s="1" t="str">
        <v/>
      </c>
      <c r="B619" s="1" t="str">
        <v/>
      </c>
      <c r="C619" s="1" t="str">
        <v/>
      </c>
      <c r="D619" s="1" t="str">
        <v/>
      </c>
      <c r="E619" s="1" t="str">
        <v/>
      </c>
      <c r="F619" s="1" t="str">
        <v/>
      </c>
      <c r="G619" s="1" t="str">
        <v/>
      </c>
      <c r="H619" s="1" t="str">
        <v/>
      </c>
      <c r="I619" s="2" t="str">
        <v/>
      </c>
      <c r="J619" s="2" t="str">
        <v/>
      </c>
      <c r="K619" s="2" t="str">
        <v/>
      </c>
      <c r="L619" s="1" t="str">
        <v/>
      </c>
      <c r="M619" s="2" t="str">
        <v/>
      </c>
      <c r="N619" s="2" t="str">
        <v/>
      </c>
      <c r="O619" s="1" t="str">
        <v/>
      </c>
      <c r="P619" s="1" t="str">
        <v/>
      </c>
      <c r="Q619" s="1" t="str">
        <v/>
      </c>
    </row>
    <row r="620" x14ac:dyDescent="0.25">
      <c r="A620" s="1" t="str">
        <v/>
      </c>
      <c r="B620" s="1" t="str">
        <v/>
      </c>
      <c r="C620" s="1" t="str">
        <v/>
      </c>
      <c r="D620" s="1" t="str">
        <v/>
      </c>
      <c r="E620" s="1" t="str">
        <v/>
      </c>
      <c r="F620" s="1" t="str">
        <v/>
      </c>
      <c r="G620" s="1" t="str">
        <v/>
      </c>
      <c r="H620" s="1" t="str">
        <v/>
      </c>
      <c r="I620" s="2" t="str">
        <v/>
      </c>
      <c r="J620" s="2" t="str">
        <v/>
      </c>
      <c r="K620" s="2" t="str">
        <v/>
      </c>
      <c r="L620" s="1" t="str">
        <v/>
      </c>
      <c r="M620" s="2" t="str">
        <v/>
      </c>
      <c r="N620" s="2" t="str">
        <v/>
      </c>
      <c r="O620" s="1" t="str">
        <v/>
      </c>
      <c r="P620" s="1" t="str">
        <v/>
      </c>
      <c r="Q620" s="1" t="str">
        <v/>
      </c>
    </row>
    <row r="621" x14ac:dyDescent="0.25">
      <c r="A621" s="1" t="str">
        <v/>
      </c>
      <c r="B621" s="1" t="str">
        <v/>
      </c>
      <c r="C621" s="1" t="str">
        <v/>
      </c>
      <c r="D621" s="1" t="str">
        <v/>
      </c>
      <c r="E621" s="1" t="str">
        <v/>
      </c>
      <c r="F621" s="1" t="str">
        <v/>
      </c>
      <c r="G621" s="1" t="str">
        <v/>
      </c>
      <c r="H621" s="1" t="str">
        <v/>
      </c>
      <c r="I621" s="2" t="str">
        <v/>
      </c>
      <c r="J621" s="2" t="str">
        <v/>
      </c>
      <c r="K621" s="2" t="str">
        <v/>
      </c>
      <c r="L621" s="1" t="str">
        <v/>
      </c>
      <c r="M621" s="2" t="str">
        <v/>
      </c>
      <c r="N621" s="2" t="str">
        <v/>
      </c>
      <c r="O621" s="1" t="str">
        <v/>
      </c>
      <c r="P621" s="1" t="str">
        <v/>
      </c>
      <c r="Q621" s="1" t="str">
        <v/>
      </c>
    </row>
    <row r="622" x14ac:dyDescent="0.25">
      <c r="A622" s="1" t="str">
        <v/>
      </c>
      <c r="B622" s="1" t="str">
        <v/>
      </c>
      <c r="C622" s="1" t="str">
        <v/>
      </c>
      <c r="D622" s="1" t="str">
        <v/>
      </c>
      <c r="E622" s="1" t="str">
        <v/>
      </c>
      <c r="F622" s="1" t="str">
        <v/>
      </c>
      <c r="G622" s="1" t="str">
        <v/>
      </c>
      <c r="H622" s="1" t="str">
        <v/>
      </c>
      <c r="I622" s="2" t="str">
        <v/>
      </c>
      <c r="J622" s="2" t="str">
        <v/>
      </c>
      <c r="K622" s="2" t="str">
        <v/>
      </c>
      <c r="L622" s="1" t="str">
        <v/>
      </c>
      <c r="M622" s="2" t="str">
        <v/>
      </c>
      <c r="N622" s="2" t="str">
        <v/>
      </c>
      <c r="O622" s="1" t="str">
        <v/>
      </c>
      <c r="P622" s="1" t="str">
        <v/>
      </c>
      <c r="Q622" s="1" t="str">
        <v/>
      </c>
    </row>
    <row r="623" x14ac:dyDescent="0.25">
      <c r="A623" s="1" t="str">
        <v/>
      </c>
      <c r="B623" s="1" t="str">
        <v/>
      </c>
      <c r="C623" s="1" t="str">
        <v/>
      </c>
      <c r="D623" s="1" t="str">
        <v/>
      </c>
      <c r="E623" s="1" t="str">
        <v/>
      </c>
      <c r="F623" s="1" t="str">
        <v/>
      </c>
      <c r="G623" s="1" t="str">
        <v/>
      </c>
      <c r="H623" s="1" t="str">
        <v/>
      </c>
      <c r="I623" s="2" t="str">
        <v/>
      </c>
      <c r="J623" s="2" t="str">
        <v/>
      </c>
      <c r="K623" s="2" t="str">
        <v/>
      </c>
      <c r="L623" s="1" t="str">
        <v/>
      </c>
      <c r="M623" s="2" t="str">
        <v/>
      </c>
      <c r="N623" s="2" t="str">
        <v/>
      </c>
      <c r="O623" s="1" t="str">
        <v/>
      </c>
      <c r="P623" s="1" t="str">
        <v/>
      </c>
      <c r="Q623" s="1" t="str">
        <v/>
      </c>
    </row>
    <row r="624" x14ac:dyDescent="0.25">
      <c r="A624" s="1" t="str">
        <v/>
      </c>
      <c r="B624" s="1" t="str">
        <v/>
      </c>
      <c r="C624" s="1" t="str">
        <v/>
      </c>
      <c r="D624" s="1" t="str">
        <v/>
      </c>
      <c r="E624" s="1" t="str">
        <v/>
      </c>
      <c r="F624" s="1" t="str">
        <v/>
      </c>
      <c r="G624" s="1" t="str">
        <v/>
      </c>
      <c r="H624" s="1" t="str">
        <v/>
      </c>
      <c r="I624" s="2" t="str">
        <v/>
      </c>
      <c r="J624" s="2" t="str">
        <v/>
      </c>
      <c r="K624" s="2" t="str">
        <v/>
      </c>
      <c r="L624" s="1" t="str">
        <v/>
      </c>
      <c r="M624" s="2" t="str">
        <v/>
      </c>
      <c r="N624" s="2" t="str">
        <v/>
      </c>
      <c r="O624" s="1" t="str">
        <v/>
      </c>
      <c r="P624" s="1" t="str">
        <v/>
      </c>
      <c r="Q624" s="1" t="str">
        <v/>
      </c>
    </row>
    <row r="625" x14ac:dyDescent="0.25">
      <c r="A625" s="1" t="str">
        <v/>
      </c>
      <c r="B625" s="1" t="str">
        <v/>
      </c>
      <c r="C625" s="1" t="str">
        <v/>
      </c>
      <c r="D625" s="1" t="str">
        <v/>
      </c>
      <c r="E625" s="1" t="str">
        <v/>
      </c>
      <c r="F625" s="1" t="str">
        <v/>
      </c>
      <c r="G625" s="1" t="str">
        <v/>
      </c>
      <c r="H625" s="1" t="str">
        <v/>
      </c>
      <c r="I625" s="2" t="str">
        <v/>
      </c>
      <c r="J625" s="2" t="str">
        <v/>
      </c>
      <c r="K625" s="2" t="str">
        <v/>
      </c>
      <c r="L625" s="1" t="str">
        <v/>
      </c>
      <c r="M625" s="2" t="str">
        <v/>
      </c>
      <c r="N625" s="2" t="str">
        <v/>
      </c>
      <c r="O625" s="1" t="str">
        <v/>
      </c>
      <c r="P625" s="1" t="str">
        <v/>
      </c>
      <c r="Q625" s="1" t="str">
        <v/>
      </c>
    </row>
    <row r="626" x14ac:dyDescent="0.25">
      <c r="A626" s="1" t="str">
        <v/>
      </c>
      <c r="B626" s="1" t="str">
        <v/>
      </c>
      <c r="C626" s="1" t="str">
        <v/>
      </c>
      <c r="D626" s="1" t="str">
        <v/>
      </c>
      <c r="E626" s="1" t="str">
        <v/>
      </c>
      <c r="F626" s="1" t="str">
        <v/>
      </c>
      <c r="G626" s="1" t="str">
        <v/>
      </c>
      <c r="H626" s="1" t="str">
        <v/>
      </c>
      <c r="I626" s="2" t="str">
        <v/>
      </c>
      <c r="J626" s="2" t="str">
        <v/>
      </c>
      <c r="K626" s="2" t="str">
        <v/>
      </c>
      <c r="L626" s="1" t="str">
        <v/>
      </c>
      <c r="M626" s="2" t="str">
        <v/>
      </c>
      <c r="N626" s="2" t="str">
        <v/>
      </c>
      <c r="O626" s="1" t="str">
        <v/>
      </c>
      <c r="P626" s="1" t="str">
        <v/>
      </c>
      <c r="Q626" s="1" t="str">
        <v/>
      </c>
    </row>
    <row r="627" x14ac:dyDescent="0.25">
      <c r="A627" s="1" t="str">
        <v/>
      </c>
      <c r="B627" s="1" t="str">
        <v/>
      </c>
      <c r="C627" s="1" t="str">
        <v/>
      </c>
      <c r="D627" s="1" t="str">
        <v/>
      </c>
      <c r="E627" s="1" t="str">
        <v/>
      </c>
      <c r="F627" s="1" t="str">
        <v/>
      </c>
      <c r="G627" s="1" t="str">
        <v/>
      </c>
      <c r="H627" s="1" t="str">
        <v/>
      </c>
      <c r="I627" s="2" t="str">
        <v/>
      </c>
      <c r="J627" s="2" t="str">
        <v/>
      </c>
      <c r="K627" s="2" t="str">
        <v/>
      </c>
      <c r="L627" s="1" t="str">
        <v/>
      </c>
      <c r="M627" s="2" t="str">
        <v/>
      </c>
      <c r="N627" s="2" t="str">
        <v/>
      </c>
      <c r="O627" s="1" t="str">
        <v/>
      </c>
      <c r="P627" s="1" t="str">
        <v/>
      </c>
      <c r="Q627" s="1" t="str">
        <v/>
      </c>
    </row>
    <row r="628" x14ac:dyDescent="0.25">
      <c r="A628" s="1" t="str">
        <v/>
      </c>
      <c r="B628" s="1" t="str">
        <v/>
      </c>
      <c r="C628" s="1" t="str">
        <v/>
      </c>
      <c r="D628" s="1" t="str">
        <v/>
      </c>
      <c r="E628" s="1" t="str">
        <v/>
      </c>
      <c r="F628" s="1" t="str">
        <v/>
      </c>
      <c r="G628" s="1" t="str">
        <v/>
      </c>
      <c r="H628" s="1" t="str">
        <v/>
      </c>
      <c r="I628" s="2" t="str">
        <v/>
      </c>
      <c r="J628" s="2" t="str">
        <v/>
      </c>
      <c r="K628" s="2" t="str">
        <v/>
      </c>
      <c r="L628" s="1" t="str">
        <v/>
      </c>
      <c r="M628" s="2" t="str">
        <v/>
      </c>
      <c r="N628" s="2" t="str">
        <v/>
      </c>
      <c r="O628" s="1" t="str">
        <v/>
      </c>
      <c r="P628" s="1" t="str">
        <v/>
      </c>
      <c r="Q628" s="1" t="str">
        <v/>
      </c>
    </row>
    <row r="629" x14ac:dyDescent="0.25">
      <c r="A629" s="1" t="str">
        <v/>
      </c>
      <c r="B629" s="1" t="str">
        <v/>
      </c>
      <c r="C629" s="1" t="str">
        <v/>
      </c>
      <c r="D629" s="1" t="str">
        <v/>
      </c>
      <c r="E629" s="1" t="str">
        <v/>
      </c>
      <c r="F629" s="1" t="str">
        <v/>
      </c>
      <c r="G629" s="1" t="str">
        <v/>
      </c>
      <c r="H629" s="1" t="str">
        <v/>
      </c>
      <c r="I629" s="2" t="str">
        <v/>
      </c>
      <c r="J629" s="2" t="str">
        <v/>
      </c>
      <c r="K629" s="2" t="str">
        <v/>
      </c>
      <c r="L629" s="1" t="str">
        <v/>
      </c>
      <c r="M629" s="2" t="str">
        <v/>
      </c>
      <c r="N629" s="2" t="str">
        <v/>
      </c>
      <c r="O629" s="1" t="str">
        <v/>
      </c>
      <c r="P629" s="1" t="str">
        <v/>
      </c>
      <c r="Q629" s="1" t="str">
        <v/>
      </c>
    </row>
    <row r="630" x14ac:dyDescent="0.25">
      <c r="A630" s="1" t="str">
        <v/>
      </c>
      <c r="B630" s="1" t="str">
        <v/>
      </c>
      <c r="C630" s="1" t="str">
        <v/>
      </c>
      <c r="D630" s="1" t="str">
        <v/>
      </c>
      <c r="E630" s="1" t="str">
        <v/>
      </c>
      <c r="F630" s="1" t="str">
        <v/>
      </c>
      <c r="G630" s="1" t="str">
        <v/>
      </c>
      <c r="H630" s="1" t="str">
        <v/>
      </c>
      <c r="I630" s="2" t="str">
        <v/>
      </c>
      <c r="J630" s="2" t="str">
        <v/>
      </c>
      <c r="K630" s="2" t="str">
        <v/>
      </c>
      <c r="L630" s="1" t="str">
        <v/>
      </c>
      <c r="M630" s="2" t="str">
        <v/>
      </c>
      <c r="N630" s="2" t="str">
        <v/>
      </c>
      <c r="O630" s="1" t="str">
        <v/>
      </c>
      <c r="P630" s="1" t="str">
        <v/>
      </c>
      <c r="Q630" s="1" t="str">
        <v/>
      </c>
    </row>
    <row r="631" x14ac:dyDescent="0.25">
      <c r="A631" s="1" t="str">
        <v/>
      </c>
      <c r="B631" s="1" t="str">
        <v/>
      </c>
      <c r="C631" s="1" t="str">
        <v/>
      </c>
      <c r="D631" s="1" t="str">
        <v/>
      </c>
      <c r="E631" s="1" t="str">
        <v/>
      </c>
      <c r="F631" s="1" t="str">
        <v/>
      </c>
      <c r="G631" s="1" t="str">
        <v/>
      </c>
      <c r="H631" s="1" t="str">
        <v/>
      </c>
      <c r="I631" s="2" t="str">
        <v/>
      </c>
      <c r="J631" s="2" t="str">
        <v/>
      </c>
      <c r="K631" s="2" t="str">
        <v/>
      </c>
      <c r="L631" s="1" t="str">
        <v/>
      </c>
      <c r="M631" s="2" t="str">
        <v/>
      </c>
      <c r="N631" s="2" t="str">
        <v/>
      </c>
      <c r="O631" s="1" t="str">
        <v/>
      </c>
      <c r="P631" s="1" t="str">
        <v/>
      </c>
      <c r="Q631" s="1" t="str">
        <v/>
      </c>
    </row>
    <row r="632" x14ac:dyDescent="0.25">
      <c r="A632" s="1" t="str">
        <v/>
      </c>
      <c r="B632" s="1" t="str">
        <v/>
      </c>
      <c r="C632" s="1" t="str">
        <v/>
      </c>
      <c r="D632" s="1" t="str">
        <v/>
      </c>
      <c r="E632" s="1" t="str">
        <v/>
      </c>
      <c r="F632" s="1" t="str">
        <v/>
      </c>
      <c r="G632" s="1" t="str">
        <v/>
      </c>
      <c r="H632" s="1" t="str">
        <v/>
      </c>
      <c r="I632" s="2" t="str">
        <v/>
      </c>
      <c r="J632" s="2" t="str">
        <v/>
      </c>
      <c r="K632" s="2" t="str">
        <v/>
      </c>
      <c r="L632" s="1" t="str">
        <v/>
      </c>
      <c r="M632" s="2" t="str">
        <v/>
      </c>
      <c r="N632" s="2" t="str">
        <v/>
      </c>
      <c r="O632" s="1" t="str">
        <v/>
      </c>
      <c r="P632" s="1" t="str">
        <v/>
      </c>
      <c r="Q632" s="1" t="str">
        <v/>
      </c>
    </row>
    <row r="633" x14ac:dyDescent="0.25">
      <c r="A633" s="1" t="str">
        <v/>
      </c>
      <c r="B633" s="1" t="str">
        <v/>
      </c>
      <c r="C633" s="1" t="str">
        <v/>
      </c>
      <c r="D633" s="1" t="str">
        <v/>
      </c>
      <c r="E633" s="1" t="str">
        <v/>
      </c>
      <c r="F633" s="1" t="str">
        <v/>
      </c>
      <c r="G633" s="1" t="str">
        <v/>
      </c>
      <c r="H633" s="1" t="str">
        <v/>
      </c>
      <c r="I633" s="2" t="str">
        <v/>
      </c>
      <c r="J633" s="2" t="str">
        <v/>
      </c>
      <c r="K633" s="2" t="str">
        <v/>
      </c>
      <c r="L633" s="1" t="str">
        <v/>
      </c>
      <c r="M633" s="2" t="str">
        <v/>
      </c>
      <c r="N633" s="2" t="str">
        <v/>
      </c>
      <c r="O633" s="1" t="str">
        <v/>
      </c>
      <c r="P633" s="1" t="str">
        <v/>
      </c>
      <c r="Q633" s="1" t="str">
        <v/>
      </c>
    </row>
    <row r="634" x14ac:dyDescent="0.25">
      <c r="A634" s="1" t="str">
        <v/>
      </c>
      <c r="B634" s="1" t="str">
        <v/>
      </c>
      <c r="C634" s="1" t="str">
        <v/>
      </c>
      <c r="D634" s="1" t="str">
        <v/>
      </c>
      <c r="E634" s="1" t="str">
        <v/>
      </c>
      <c r="F634" s="1" t="str">
        <v/>
      </c>
      <c r="G634" s="1" t="str">
        <v/>
      </c>
      <c r="H634" s="1" t="str">
        <v/>
      </c>
      <c r="I634" s="2" t="str">
        <v/>
      </c>
      <c r="J634" s="2" t="str">
        <v/>
      </c>
      <c r="K634" s="2" t="str">
        <v/>
      </c>
      <c r="L634" s="1" t="str">
        <v/>
      </c>
      <c r="M634" s="2" t="str">
        <v/>
      </c>
      <c r="N634" s="2" t="str">
        <v/>
      </c>
      <c r="O634" s="1" t="str">
        <v/>
      </c>
      <c r="P634" s="1" t="str">
        <v/>
      </c>
      <c r="Q634" s="1" t="str">
        <v/>
      </c>
    </row>
    <row r="635" x14ac:dyDescent="0.25">
      <c r="A635" s="1" t="str">
        <v/>
      </c>
      <c r="B635" s="1" t="str">
        <v/>
      </c>
      <c r="C635" s="1" t="str">
        <v/>
      </c>
      <c r="D635" s="1" t="str">
        <v/>
      </c>
      <c r="E635" s="1" t="str">
        <v/>
      </c>
      <c r="F635" s="1" t="str">
        <v/>
      </c>
      <c r="G635" s="1" t="str">
        <v/>
      </c>
      <c r="H635" s="1" t="str">
        <v/>
      </c>
      <c r="I635" s="2" t="str">
        <v/>
      </c>
      <c r="J635" s="2" t="str">
        <v/>
      </c>
      <c r="K635" s="2" t="str">
        <v/>
      </c>
      <c r="L635" s="1" t="str">
        <v/>
      </c>
      <c r="M635" s="2" t="str">
        <v/>
      </c>
      <c r="N635" s="2" t="str">
        <v/>
      </c>
      <c r="O635" s="1" t="str">
        <v/>
      </c>
      <c r="P635" s="1" t="str">
        <v/>
      </c>
      <c r="Q635" s="1" t="str">
        <v/>
      </c>
    </row>
    <row r="636" x14ac:dyDescent="0.25">
      <c r="A636" s="1" t="str">
        <v/>
      </c>
      <c r="B636" s="1" t="str">
        <v/>
      </c>
      <c r="C636" s="1" t="str">
        <v/>
      </c>
      <c r="D636" s="1" t="str">
        <v/>
      </c>
      <c r="E636" s="1" t="str">
        <v/>
      </c>
      <c r="F636" s="1" t="str">
        <v/>
      </c>
      <c r="G636" s="1" t="str">
        <v/>
      </c>
      <c r="H636" s="1" t="str">
        <v/>
      </c>
      <c r="I636" s="2" t="str">
        <v/>
      </c>
      <c r="J636" s="2" t="str">
        <v/>
      </c>
      <c r="K636" s="2" t="str">
        <v/>
      </c>
      <c r="L636" s="1" t="str">
        <v/>
      </c>
      <c r="M636" s="2" t="str">
        <v/>
      </c>
      <c r="N636" s="2" t="str">
        <v/>
      </c>
      <c r="O636" s="1" t="str">
        <v/>
      </c>
      <c r="P636" s="1" t="str">
        <v/>
      </c>
      <c r="Q636" s="1" t="str">
        <v/>
      </c>
    </row>
    <row r="637" x14ac:dyDescent="0.25">
      <c r="A637" s="1" t="str">
        <v/>
      </c>
      <c r="B637" s="1" t="str">
        <v/>
      </c>
      <c r="C637" s="1" t="str">
        <v/>
      </c>
      <c r="D637" s="1" t="str">
        <v/>
      </c>
      <c r="E637" s="1" t="str">
        <v/>
      </c>
      <c r="F637" s="1" t="str">
        <v/>
      </c>
      <c r="G637" s="1" t="str">
        <v/>
      </c>
      <c r="H637" s="1" t="str">
        <v/>
      </c>
      <c r="I637" s="2" t="str">
        <v/>
      </c>
      <c r="J637" s="2" t="str">
        <v/>
      </c>
      <c r="K637" s="2" t="str">
        <v/>
      </c>
      <c r="L637" s="1" t="str">
        <v/>
      </c>
      <c r="M637" s="2" t="str">
        <v/>
      </c>
      <c r="N637" s="2" t="str">
        <v/>
      </c>
      <c r="O637" s="1" t="str">
        <v/>
      </c>
      <c r="P637" s="1" t="str">
        <v/>
      </c>
      <c r="Q637" s="1" t="str">
        <v/>
      </c>
    </row>
    <row r="638" x14ac:dyDescent="0.25">
      <c r="A638" s="1" t="str">
        <v/>
      </c>
      <c r="B638" s="1" t="str">
        <v/>
      </c>
      <c r="C638" s="1" t="str">
        <v/>
      </c>
      <c r="D638" s="1" t="str">
        <v/>
      </c>
      <c r="E638" s="1" t="str">
        <v/>
      </c>
      <c r="F638" s="1" t="str">
        <v/>
      </c>
      <c r="G638" s="1" t="str">
        <v/>
      </c>
      <c r="H638" s="1" t="str">
        <v/>
      </c>
      <c r="I638" s="2" t="str">
        <v/>
      </c>
      <c r="J638" s="2" t="str">
        <v/>
      </c>
      <c r="K638" s="2" t="str">
        <v/>
      </c>
      <c r="L638" s="1" t="str">
        <v/>
      </c>
      <c r="M638" s="2" t="str">
        <v/>
      </c>
      <c r="N638" s="2" t="str">
        <v/>
      </c>
      <c r="O638" s="1" t="str">
        <v/>
      </c>
      <c r="P638" s="1" t="str">
        <v/>
      </c>
      <c r="Q638" s="1" t="str">
        <v/>
      </c>
    </row>
    <row r="639" x14ac:dyDescent="0.25">
      <c r="A639" s="1" t="str">
        <v/>
      </c>
      <c r="B639" s="1" t="str">
        <v/>
      </c>
      <c r="C639" s="1" t="str">
        <v/>
      </c>
      <c r="D639" s="1" t="str">
        <v/>
      </c>
      <c r="E639" s="1" t="str">
        <v/>
      </c>
      <c r="F639" s="1" t="str">
        <v/>
      </c>
      <c r="G639" s="1" t="str">
        <v/>
      </c>
      <c r="H639" s="1" t="str">
        <v/>
      </c>
      <c r="I639" s="2" t="str">
        <v/>
      </c>
      <c r="J639" s="2" t="str">
        <v/>
      </c>
      <c r="K639" s="2" t="str">
        <v/>
      </c>
      <c r="L639" s="1" t="str">
        <v/>
      </c>
      <c r="M639" s="2" t="str">
        <v/>
      </c>
      <c r="N639" s="2" t="str">
        <v/>
      </c>
      <c r="O639" s="1" t="str">
        <v/>
      </c>
      <c r="P639" s="1" t="str">
        <v/>
      </c>
      <c r="Q639" s="1" t="str">
        <v/>
      </c>
    </row>
    <row r="640" x14ac:dyDescent="0.25">
      <c r="A640" s="1" t="str">
        <v/>
      </c>
      <c r="B640" s="1" t="str">
        <v/>
      </c>
      <c r="C640" s="1" t="str">
        <v/>
      </c>
      <c r="D640" s="1" t="str">
        <v/>
      </c>
      <c r="E640" s="1" t="str">
        <v/>
      </c>
      <c r="F640" s="1" t="str">
        <v/>
      </c>
      <c r="G640" s="1" t="str">
        <v/>
      </c>
      <c r="H640" s="1" t="str">
        <v/>
      </c>
      <c r="I640" s="2" t="str">
        <v/>
      </c>
      <c r="J640" s="2" t="str">
        <v/>
      </c>
      <c r="K640" s="2" t="str">
        <v/>
      </c>
      <c r="L640" s="1" t="str">
        <v/>
      </c>
      <c r="M640" s="2" t="str">
        <v/>
      </c>
      <c r="N640" s="2" t="str">
        <v/>
      </c>
      <c r="O640" s="1" t="str">
        <v/>
      </c>
      <c r="P640" s="1" t="str">
        <v/>
      </c>
      <c r="Q640" s="1" t="str">
        <v/>
      </c>
    </row>
    <row r="641" x14ac:dyDescent="0.25">
      <c r="A641" s="1" t="str">
        <v/>
      </c>
      <c r="B641" s="1" t="str">
        <v/>
      </c>
      <c r="C641" s="1" t="str">
        <v/>
      </c>
      <c r="D641" s="1" t="str">
        <v/>
      </c>
      <c r="E641" s="1" t="str">
        <v/>
      </c>
      <c r="F641" s="1" t="str">
        <v/>
      </c>
      <c r="G641" s="1" t="str">
        <v/>
      </c>
      <c r="H641" s="1" t="str">
        <v/>
      </c>
      <c r="I641" s="2" t="str">
        <v/>
      </c>
      <c r="J641" s="2" t="str">
        <v/>
      </c>
      <c r="K641" s="2" t="str">
        <v/>
      </c>
      <c r="L641" s="1" t="str">
        <v/>
      </c>
      <c r="M641" s="2" t="str">
        <v/>
      </c>
      <c r="N641" s="2" t="str">
        <v/>
      </c>
      <c r="O641" s="1" t="str">
        <v/>
      </c>
      <c r="P641" s="1" t="str">
        <v/>
      </c>
      <c r="Q641" s="1" t="str">
        <v/>
      </c>
    </row>
    <row r="642" x14ac:dyDescent="0.25">
      <c r="A642" s="1" t="str">
        <v/>
      </c>
      <c r="B642" s="1" t="str">
        <v/>
      </c>
      <c r="C642" s="1" t="str">
        <v/>
      </c>
      <c r="D642" s="1" t="str">
        <v/>
      </c>
      <c r="E642" s="1" t="str">
        <v/>
      </c>
      <c r="F642" s="1" t="str">
        <v/>
      </c>
      <c r="G642" s="1" t="str">
        <v/>
      </c>
      <c r="H642" s="1" t="str">
        <v/>
      </c>
      <c r="I642" s="2" t="str">
        <v/>
      </c>
      <c r="J642" s="2" t="str">
        <v/>
      </c>
      <c r="K642" s="2" t="str">
        <v/>
      </c>
      <c r="L642" s="1" t="str">
        <v/>
      </c>
      <c r="M642" s="2" t="str">
        <v/>
      </c>
      <c r="N642" s="2" t="str">
        <v/>
      </c>
      <c r="O642" s="1" t="str">
        <v/>
      </c>
      <c r="P642" s="1" t="str">
        <v/>
      </c>
      <c r="Q642" s="1" t="str">
        <v/>
      </c>
    </row>
    <row r="643" x14ac:dyDescent="0.25">
      <c r="A643" s="1" t="str">
        <v/>
      </c>
      <c r="B643" s="1" t="str">
        <v/>
      </c>
      <c r="C643" s="1" t="str">
        <v/>
      </c>
      <c r="D643" s="1" t="str">
        <v/>
      </c>
      <c r="E643" s="1" t="str">
        <v/>
      </c>
      <c r="F643" s="1" t="str">
        <v/>
      </c>
      <c r="G643" s="1" t="str">
        <v/>
      </c>
      <c r="H643" s="1" t="str">
        <v/>
      </c>
      <c r="I643" s="2" t="str">
        <v/>
      </c>
      <c r="J643" s="2" t="str">
        <v/>
      </c>
      <c r="K643" s="2" t="str">
        <v/>
      </c>
      <c r="L643" s="1" t="str">
        <v/>
      </c>
      <c r="M643" s="2" t="str">
        <v/>
      </c>
      <c r="N643" s="2" t="str">
        <v/>
      </c>
      <c r="O643" s="1" t="str">
        <v/>
      </c>
      <c r="P643" s="1" t="str">
        <v/>
      </c>
      <c r="Q643" s="1" t="str">
        <v/>
      </c>
    </row>
    <row r="644" x14ac:dyDescent="0.25">
      <c r="A644" s="1" t="str">
        <v/>
      </c>
      <c r="B644" s="1" t="str">
        <v/>
      </c>
      <c r="C644" s="1" t="str">
        <v/>
      </c>
      <c r="D644" s="1" t="str">
        <v/>
      </c>
      <c r="E644" s="1" t="str">
        <v/>
      </c>
      <c r="F644" s="1" t="str">
        <v/>
      </c>
      <c r="G644" s="1" t="str">
        <v/>
      </c>
      <c r="H644" s="1" t="str">
        <v/>
      </c>
      <c r="I644" s="2" t="str">
        <v/>
      </c>
      <c r="J644" s="2" t="str">
        <v/>
      </c>
      <c r="K644" s="2" t="str">
        <v/>
      </c>
      <c r="L644" s="1" t="str">
        <v/>
      </c>
      <c r="M644" s="2" t="str">
        <v/>
      </c>
      <c r="N644" s="2" t="str">
        <v/>
      </c>
      <c r="O644" s="1" t="str">
        <v/>
      </c>
      <c r="P644" s="1" t="str">
        <v/>
      </c>
      <c r="Q644" s="1" t="str">
        <v/>
      </c>
    </row>
    <row r="645" x14ac:dyDescent="0.25">
      <c r="A645" s="1" t="str">
        <v/>
      </c>
      <c r="B645" s="1" t="str">
        <v/>
      </c>
      <c r="C645" s="1" t="str">
        <v/>
      </c>
      <c r="D645" s="1" t="str">
        <v/>
      </c>
      <c r="E645" s="1" t="str">
        <v/>
      </c>
      <c r="F645" s="1" t="str">
        <v/>
      </c>
      <c r="G645" s="1" t="str">
        <v/>
      </c>
      <c r="H645" s="1" t="str">
        <v/>
      </c>
      <c r="I645" s="2" t="str">
        <v/>
      </c>
      <c r="J645" s="2" t="str">
        <v/>
      </c>
      <c r="K645" s="2" t="str">
        <v/>
      </c>
      <c r="L645" s="1" t="str">
        <v/>
      </c>
      <c r="M645" s="2" t="str">
        <v/>
      </c>
      <c r="N645" s="2" t="str">
        <v/>
      </c>
      <c r="O645" s="1" t="str">
        <v/>
      </c>
      <c r="P645" s="1" t="str">
        <v/>
      </c>
      <c r="Q645" s="1" t="str">
        <v/>
      </c>
    </row>
    <row r="646" x14ac:dyDescent="0.25">
      <c r="A646" s="1" t="str">
        <v/>
      </c>
      <c r="B646" s="1" t="str">
        <v/>
      </c>
      <c r="C646" s="1" t="str">
        <v/>
      </c>
      <c r="D646" s="1" t="str">
        <v/>
      </c>
      <c r="E646" s="1" t="str">
        <v/>
      </c>
      <c r="F646" s="1" t="str">
        <v/>
      </c>
      <c r="G646" s="1" t="str">
        <v/>
      </c>
      <c r="H646" s="1" t="str">
        <v/>
      </c>
      <c r="I646" s="2" t="str">
        <v/>
      </c>
      <c r="J646" s="2" t="str">
        <v/>
      </c>
      <c r="K646" s="2" t="str">
        <v/>
      </c>
      <c r="L646" s="1" t="str">
        <v/>
      </c>
      <c r="M646" s="2" t="str">
        <v/>
      </c>
      <c r="N646" s="2" t="str">
        <v/>
      </c>
      <c r="O646" s="1" t="str">
        <v/>
      </c>
      <c r="P646" s="1" t="str">
        <v/>
      </c>
      <c r="Q646" s="1" t="str">
        <v/>
      </c>
    </row>
    <row r="647" x14ac:dyDescent="0.25">
      <c r="A647" s="1" t="str">
        <v/>
      </c>
      <c r="B647" s="1" t="str">
        <v/>
      </c>
      <c r="C647" s="1" t="str">
        <v/>
      </c>
      <c r="D647" s="1" t="str">
        <v/>
      </c>
      <c r="E647" s="1" t="str">
        <v/>
      </c>
      <c r="F647" s="1" t="str">
        <v/>
      </c>
      <c r="G647" s="1" t="str">
        <v/>
      </c>
      <c r="H647" s="1" t="str">
        <v/>
      </c>
      <c r="I647" s="2" t="str">
        <v/>
      </c>
      <c r="J647" s="2" t="str">
        <v/>
      </c>
      <c r="K647" s="2" t="str">
        <v/>
      </c>
      <c r="L647" s="1" t="str">
        <v/>
      </c>
      <c r="M647" s="2" t="str">
        <v/>
      </c>
      <c r="N647" s="2" t="str">
        <v/>
      </c>
      <c r="O647" s="1" t="str">
        <v/>
      </c>
      <c r="P647" s="1" t="str">
        <v/>
      </c>
      <c r="Q647" s="1" t="str">
        <v/>
      </c>
    </row>
    <row r="648" x14ac:dyDescent="0.25">
      <c r="A648" s="1" t="str">
        <v/>
      </c>
      <c r="B648" s="1" t="str">
        <v/>
      </c>
      <c r="C648" s="1" t="str">
        <v/>
      </c>
      <c r="D648" s="1" t="str">
        <v/>
      </c>
      <c r="E648" s="1" t="str">
        <v/>
      </c>
      <c r="F648" s="1" t="str">
        <v/>
      </c>
      <c r="G648" s="1" t="str">
        <v/>
      </c>
      <c r="H648" s="1" t="str">
        <v/>
      </c>
      <c r="I648" s="2" t="str">
        <v/>
      </c>
      <c r="J648" s="2" t="str">
        <v/>
      </c>
      <c r="K648" s="2" t="str">
        <v/>
      </c>
      <c r="L648" s="1" t="str">
        <v/>
      </c>
      <c r="M648" s="2" t="str">
        <v/>
      </c>
      <c r="N648" s="2" t="str">
        <v/>
      </c>
      <c r="O648" s="1" t="str">
        <v/>
      </c>
      <c r="P648" s="1" t="str">
        <v/>
      </c>
      <c r="Q648" s="1" t="str">
        <v/>
      </c>
    </row>
    <row r="649" x14ac:dyDescent="0.25">
      <c r="A649" s="1" t="str">
        <v/>
      </c>
      <c r="B649" s="1" t="str">
        <v/>
      </c>
      <c r="C649" s="1" t="str">
        <v/>
      </c>
      <c r="D649" s="1" t="str">
        <v/>
      </c>
      <c r="E649" s="1" t="str">
        <v/>
      </c>
      <c r="F649" s="1" t="str">
        <v/>
      </c>
      <c r="G649" s="1" t="str">
        <v/>
      </c>
      <c r="H649" s="1" t="str">
        <v/>
      </c>
      <c r="I649" s="2" t="str">
        <v/>
      </c>
      <c r="J649" s="2" t="str">
        <v/>
      </c>
      <c r="K649" s="2" t="str">
        <v/>
      </c>
      <c r="L649" s="1" t="str">
        <v/>
      </c>
      <c r="M649" s="2" t="str">
        <v/>
      </c>
      <c r="N649" s="2" t="str">
        <v/>
      </c>
      <c r="O649" s="1" t="str">
        <v/>
      </c>
      <c r="P649" s="1" t="str">
        <v/>
      </c>
      <c r="Q649" s="1" t="str">
        <v/>
      </c>
    </row>
    <row r="650" x14ac:dyDescent="0.25">
      <c r="A650" s="1" t="str">
        <v/>
      </c>
      <c r="B650" s="1" t="str">
        <v/>
      </c>
      <c r="C650" s="1" t="str">
        <v/>
      </c>
      <c r="D650" s="1" t="str">
        <v/>
      </c>
      <c r="E650" s="1" t="str">
        <v/>
      </c>
      <c r="F650" s="1" t="str">
        <v/>
      </c>
      <c r="G650" s="1" t="str">
        <v/>
      </c>
      <c r="H650" s="1" t="str">
        <v/>
      </c>
      <c r="I650" s="2" t="str">
        <v/>
      </c>
      <c r="J650" s="2" t="str">
        <v/>
      </c>
      <c r="K650" s="2" t="str">
        <v/>
      </c>
      <c r="L650" s="1" t="str">
        <v/>
      </c>
      <c r="M650" s="2" t="str">
        <v/>
      </c>
      <c r="N650" s="2" t="str">
        <v/>
      </c>
      <c r="O650" s="1" t="str">
        <v/>
      </c>
      <c r="P650" s="1" t="str">
        <v/>
      </c>
      <c r="Q650" s="1" t="str">
        <v/>
      </c>
    </row>
    <row r="651" x14ac:dyDescent="0.25">
      <c r="A651" s="1" t="str">
        <v/>
      </c>
      <c r="B651" s="1" t="str">
        <v/>
      </c>
      <c r="C651" s="1" t="str">
        <v/>
      </c>
      <c r="D651" s="1" t="str">
        <v/>
      </c>
      <c r="E651" s="1" t="str">
        <v/>
      </c>
      <c r="F651" s="1" t="str">
        <v/>
      </c>
      <c r="G651" s="1" t="str">
        <v/>
      </c>
      <c r="H651" s="1" t="str">
        <v/>
      </c>
      <c r="I651" s="2" t="str">
        <v/>
      </c>
      <c r="J651" s="2" t="str">
        <v/>
      </c>
      <c r="K651" s="2" t="str">
        <v/>
      </c>
      <c r="L651" s="1" t="str">
        <v/>
      </c>
      <c r="M651" s="2" t="str">
        <v/>
      </c>
      <c r="N651" s="2" t="str">
        <v/>
      </c>
      <c r="O651" s="1" t="str">
        <v/>
      </c>
      <c r="P651" s="1" t="str">
        <v/>
      </c>
      <c r="Q651" s="1" t="str">
        <v/>
      </c>
    </row>
    <row r="652" x14ac:dyDescent="0.25">
      <c r="A652" s="1" t="str">
        <v/>
      </c>
      <c r="B652" s="1" t="str">
        <v/>
      </c>
      <c r="C652" s="1" t="str">
        <v/>
      </c>
      <c r="D652" s="1" t="str">
        <v/>
      </c>
      <c r="E652" s="1" t="str">
        <v/>
      </c>
      <c r="F652" s="1" t="str">
        <v/>
      </c>
      <c r="G652" s="1" t="str">
        <v/>
      </c>
      <c r="H652" s="1" t="str">
        <v/>
      </c>
      <c r="I652" s="2" t="str">
        <v/>
      </c>
      <c r="J652" s="2" t="str">
        <v/>
      </c>
      <c r="K652" s="2" t="str">
        <v/>
      </c>
      <c r="L652" s="1" t="str">
        <v/>
      </c>
      <c r="M652" s="2" t="str">
        <v/>
      </c>
      <c r="N652" s="2" t="str">
        <v/>
      </c>
      <c r="O652" s="1" t="str">
        <v/>
      </c>
      <c r="P652" s="1" t="str">
        <v/>
      </c>
      <c r="Q652" s="1" t="str">
        <v/>
      </c>
    </row>
    <row r="653" x14ac:dyDescent="0.25">
      <c r="A653" s="1" t="str">
        <v/>
      </c>
      <c r="B653" s="1" t="str">
        <v/>
      </c>
      <c r="C653" s="1" t="str">
        <v/>
      </c>
      <c r="D653" s="1" t="str">
        <v/>
      </c>
      <c r="E653" s="1" t="str">
        <v/>
      </c>
      <c r="F653" s="1" t="str">
        <v/>
      </c>
      <c r="G653" s="1" t="str">
        <v/>
      </c>
      <c r="H653" s="1" t="str">
        <v/>
      </c>
      <c r="I653" s="2" t="str">
        <v/>
      </c>
      <c r="J653" s="2" t="str">
        <v/>
      </c>
      <c r="K653" s="2" t="str">
        <v/>
      </c>
      <c r="L653" s="1" t="str">
        <v/>
      </c>
      <c r="M653" s="2" t="str">
        <v/>
      </c>
      <c r="N653" s="2" t="str">
        <v/>
      </c>
      <c r="O653" s="1" t="str">
        <v/>
      </c>
      <c r="P653" s="1" t="str">
        <v/>
      </c>
      <c r="Q653" s="1" t="str">
        <v/>
      </c>
    </row>
    <row r="654" x14ac:dyDescent="0.25">
      <c r="A654" s="1" t="str">
        <v/>
      </c>
      <c r="B654" s="1" t="str">
        <v/>
      </c>
      <c r="C654" s="1" t="str">
        <v/>
      </c>
      <c r="D654" s="1" t="str">
        <v/>
      </c>
      <c r="E654" s="1" t="str">
        <v/>
      </c>
      <c r="F654" s="1" t="str">
        <v/>
      </c>
      <c r="G654" s="1" t="str">
        <v/>
      </c>
      <c r="H654" s="1" t="str">
        <v/>
      </c>
      <c r="I654" s="2" t="str">
        <v/>
      </c>
      <c r="J654" s="2" t="str">
        <v/>
      </c>
      <c r="K654" s="2" t="str">
        <v/>
      </c>
      <c r="L654" s="1" t="str">
        <v/>
      </c>
      <c r="M654" s="2" t="str">
        <v/>
      </c>
      <c r="N654" s="2" t="str">
        <v/>
      </c>
      <c r="O654" s="1" t="str">
        <v/>
      </c>
      <c r="P654" s="1" t="str">
        <v/>
      </c>
      <c r="Q654" s="1" t="str">
        <v/>
      </c>
    </row>
    <row r="655" x14ac:dyDescent="0.25">
      <c r="A655" s="1" t="str">
        <v/>
      </c>
      <c r="B655" s="1" t="str">
        <v/>
      </c>
      <c r="C655" s="1" t="str">
        <v/>
      </c>
      <c r="D655" s="1" t="str">
        <v/>
      </c>
      <c r="E655" s="1" t="str">
        <v/>
      </c>
      <c r="F655" s="1" t="str">
        <v/>
      </c>
      <c r="G655" s="1" t="str">
        <v/>
      </c>
      <c r="H655" s="1" t="str">
        <v/>
      </c>
      <c r="I655" s="2" t="str">
        <v/>
      </c>
      <c r="J655" s="2" t="str">
        <v/>
      </c>
      <c r="K655" s="2" t="str">
        <v/>
      </c>
      <c r="L655" s="1" t="str">
        <v/>
      </c>
      <c r="M655" s="2" t="str">
        <v/>
      </c>
      <c r="N655" s="2" t="str">
        <v/>
      </c>
      <c r="O655" s="1" t="str">
        <v/>
      </c>
      <c r="P655" s="1" t="str">
        <v/>
      </c>
      <c r="Q655" s="1" t="str">
        <v/>
      </c>
    </row>
    <row r="656" x14ac:dyDescent="0.25">
      <c r="A656" s="1" t="str">
        <v/>
      </c>
      <c r="B656" s="1" t="str">
        <v/>
      </c>
      <c r="C656" s="1" t="str">
        <v/>
      </c>
      <c r="D656" s="1" t="str">
        <v/>
      </c>
      <c r="E656" s="1" t="str">
        <v/>
      </c>
      <c r="F656" s="1" t="str">
        <v/>
      </c>
      <c r="G656" s="1" t="str">
        <v/>
      </c>
      <c r="H656" s="1" t="str">
        <v/>
      </c>
      <c r="I656" s="2" t="str">
        <v/>
      </c>
      <c r="J656" s="2" t="str">
        <v/>
      </c>
      <c r="K656" s="2" t="str">
        <v/>
      </c>
      <c r="L656" s="1" t="str">
        <v/>
      </c>
      <c r="M656" s="2" t="str">
        <v/>
      </c>
      <c r="N656" s="2" t="str">
        <v/>
      </c>
      <c r="O656" s="1" t="str">
        <v/>
      </c>
      <c r="P656" s="1" t="str">
        <v/>
      </c>
      <c r="Q656" s="1" t="str">
        <v/>
      </c>
    </row>
    <row r="657" x14ac:dyDescent="0.25">
      <c r="A657" s="1" t="str">
        <v/>
      </c>
      <c r="B657" s="1" t="str">
        <v/>
      </c>
      <c r="C657" s="1" t="str">
        <v/>
      </c>
      <c r="D657" s="1" t="str">
        <v/>
      </c>
      <c r="E657" s="1" t="str">
        <v/>
      </c>
      <c r="F657" s="1" t="str">
        <v/>
      </c>
      <c r="G657" s="1" t="str">
        <v/>
      </c>
      <c r="H657" s="1" t="str">
        <v/>
      </c>
      <c r="I657" s="2" t="str">
        <v/>
      </c>
      <c r="J657" s="2" t="str">
        <v/>
      </c>
      <c r="K657" s="2" t="str">
        <v/>
      </c>
      <c r="L657" s="1" t="str">
        <v/>
      </c>
      <c r="M657" s="2" t="str">
        <v/>
      </c>
      <c r="N657" s="2" t="str">
        <v/>
      </c>
      <c r="O657" s="1" t="str">
        <v/>
      </c>
      <c r="P657" s="1" t="str">
        <v/>
      </c>
      <c r="Q657" s="1" t="str">
        <v/>
      </c>
    </row>
    <row r="658" x14ac:dyDescent="0.25">
      <c r="A658" s="1" t="str">
        <v/>
      </c>
      <c r="B658" s="1" t="str">
        <v/>
      </c>
      <c r="C658" s="1" t="str">
        <v/>
      </c>
      <c r="D658" s="1" t="str">
        <v/>
      </c>
      <c r="E658" s="1" t="str">
        <v/>
      </c>
      <c r="F658" s="1" t="str">
        <v/>
      </c>
      <c r="G658" s="1" t="str">
        <v/>
      </c>
      <c r="H658" s="1" t="str">
        <v/>
      </c>
      <c r="I658" s="2" t="str">
        <v/>
      </c>
      <c r="J658" s="2" t="str">
        <v/>
      </c>
      <c r="K658" s="2" t="str">
        <v/>
      </c>
      <c r="L658" s="1" t="str">
        <v/>
      </c>
      <c r="M658" s="2" t="str">
        <v/>
      </c>
      <c r="N658" s="2" t="str">
        <v/>
      </c>
      <c r="O658" s="1" t="str">
        <v/>
      </c>
      <c r="P658" s="1" t="str">
        <v/>
      </c>
      <c r="Q658" s="1" t="str">
        <v/>
      </c>
    </row>
    <row r="659" x14ac:dyDescent="0.25">
      <c r="A659" s="1" t="str">
        <v/>
      </c>
      <c r="B659" s="1" t="str">
        <v/>
      </c>
      <c r="C659" s="1" t="str">
        <v/>
      </c>
      <c r="D659" s="1" t="str">
        <v/>
      </c>
      <c r="E659" s="1" t="str">
        <v/>
      </c>
      <c r="F659" s="1" t="str">
        <v/>
      </c>
      <c r="G659" s="1" t="str">
        <v/>
      </c>
      <c r="H659" s="1" t="str">
        <v/>
      </c>
      <c r="I659" s="2" t="str">
        <v/>
      </c>
      <c r="J659" s="2" t="str">
        <v/>
      </c>
      <c r="K659" s="2" t="str">
        <v/>
      </c>
      <c r="L659" s="1" t="str">
        <v/>
      </c>
      <c r="M659" s="2" t="str">
        <v/>
      </c>
      <c r="N659" s="2" t="str">
        <v/>
      </c>
      <c r="O659" s="1" t="str">
        <v/>
      </c>
      <c r="P659" s="1" t="str">
        <v/>
      </c>
      <c r="Q659" s="1" t="str">
        <v/>
      </c>
    </row>
    <row r="660" x14ac:dyDescent="0.25">
      <c r="A660" s="1" t="str">
        <v/>
      </c>
      <c r="B660" s="1" t="str">
        <v/>
      </c>
      <c r="C660" s="1" t="str">
        <v/>
      </c>
      <c r="D660" s="1" t="str">
        <v/>
      </c>
      <c r="E660" s="1" t="str">
        <v/>
      </c>
      <c r="F660" s="1" t="str">
        <v/>
      </c>
      <c r="G660" s="1" t="str">
        <v/>
      </c>
      <c r="H660" s="1" t="str">
        <v/>
      </c>
      <c r="I660" s="2" t="str">
        <v/>
      </c>
      <c r="J660" s="2" t="str">
        <v/>
      </c>
      <c r="K660" s="2" t="str">
        <v/>
      </c>
      <c r="L660" s="1" t="str">
        <v/>
      </c>
      <c r="M660" s="2" t="str">
        <v/>
      </c>
      <c r="N660" s="2" t="str">
        <v/>
      </c>
      <c r="O660" s="1" t="str">
        <v/>
      </c>
      <c r="P660" s="1" t="str">
        <v/>
      </c>
      <c r="Q660" s="1" t="str">
        <v/>
      </c>
    </row>
    <row r="661" x14ac:dyDescent="0.25">
      <c r="A661" s="1" t="str">
        <v/>
      </c>
      <c r="B661" s="1" t="str">
        <v/>
      </c>
      <c r="C661" s="1" t="str">
        <v/>
      </c>
      <c r="D661" s="1" t="str">
        <v/>
      </c>
      <c r="E661" s="1" t="str">
        <v/>
      </c>
      <c r="F661" s="1" t="str">
        <v/>
      </c>
      <c r="G661" s="1" t="str">
        <v/>
      </c>
      <c r="H661" s="1" t="str">
        <v/>
      </c>
      <c r="I661" s="2" t="str">
        <v/>
      </c>
      <c r="J661" s="2" t="str">
        <v/>
      </c>
      <c r="K661" s="2" t="str">
        <v/>
      </c>
      <c r="L661" s="1" t="str">
        <v/>
      </c>
      <c r="M661" s="2" t="str">
        <v/>
      </c>
      <c r="N661" s="2" t="str">
        <v/>
      </c>
      <c r="O661" s="1" t="str">
        <v/>
      </c>
      <c r="P661" s="1" t="str">
        <v/>
      </c>
      <c r="Q661" s="1" t="str">
        <v/>
      </c>
    </row>
    <row r="662" x14ac:dyDescent="0.25">
      <c r="A662" s="1" t="str">
        <v/>
      </c>
      <c r="B662" s="1" t="str">
        <v/>
      </c>
      <c r="C662" s="1" t="str">
        <v/>
      </c>
      <c r="D662" s="1" t="str">
        <v/>
      </c>
      <c r="E662" s="1" t="str">
        <v/>
      </c>
      <c r="F662" s="1" t="str">
        <v/>
      </c>
      <c r="G662" s="1" t="str">
        <v/>
      </c>
      <c r="H662" s="1" t="str">
        <v/>
      </c>
      <c r="I662" s="2" t="str">
        <v/>
      </c>
      <c r="J662" s="2" t="str">
        <v/>
      </c>
      <c r="K662" s="2" t="str">
        <v/>
      </c>
      <c r="L662" s="1" t="str">
        <v/>
      </c>
      <c r="M662" s="2" t="str">
        <v/>
      </c>
      <c r="N662" s="2" t="str">
        <v/>
      </c>
      <c r="O662" s="1" t="str">
        <v/>
      </c>
      <c r="P662" s="1" t="str">
        <v/>
      </c>
      <c r="Q662" s="1" t="str">
        <v/>
      </c>
    </row>
    <row r="663" x14ac:dyDescent="0.25">
      <c r="A663" s="1" t="str">
        <v/>
      </c>
      <c r="B663" s="1" t="str">
        <v/>
      </c>
      <c r="C663" s="1" t="str">
        <v/>
      </c>
      <c r="D663" s="1" t="str">
        <v/>
      </c>
      <c r="E663" s="1" t="str">
        <v/>
      </c>
      <c r="F663" s="1" t="str">
        <v/>
      </c>
      <c r="G663" s="1" t="str">
        <v/>
      </c>
      <c r="H663" s="1" t="str">
        <v/>
      </c>
      <c r="I663" s="2" t="str">
        <v/>
      </c>
      <c r="J663" s="2" t="str">
        <v/>
      </c>
      <c r="K663" s="2" t="str">
        <v/>
      </c>
      <c r="L663" s="1" t="str">
        <v/>
      </c>
      <c r="M663" s="2" t="str">
        <v/>
      </c>
      <c r="N663" s="2" t="str">
        <v/>
      </c>
      <c r="O663" s="1" t="str">
        <v/>
      </c>
      <c r="P663" s="1" t="str">
        <v/>
      </c>
      <c r="Q663" s="1" t="str">
        <v/>
      </c>
    </row>
    <row r="664" x14ac:dyDescent="0.25">
      <c r="A664" s="1" t="str">
        <v/>
      </c>
      <c r="B664" s="1" t="str">
        <v/>
      </c>
      <c r="C664" s="1" t="str">
        <v/>
      </c>
      <c r="D664" s="1" t="str">
        <v/>
      </c>
      <c r="E664" s="1" t="str">
        <v/>
      </c>
      <c r="F664" s="1" t="str">
        <v/>
      </c>
      <c r="G664" s="1" t="str">
        <v/>
      </c>
      <c r="H664" s="1" t="str">
        <v/>
      </c>
      <c r="I664" s="2" t="str">
        <v/>
      </c>
      <c r="J664" s="2" t="str">
        <v/>
      </c>
      <c r="K664" s="2" t="str">
        <v/>
      </c>
      <c r="L664" s="1" t="str">
        <v/>
      </c>
      <c r="M664" s="2" t="str">
        <v/>
      </c>
      <c r="N664" s="2" t="str">
        <v/>
      </c>
      <c r="O664" s="1" t="str">
        <v/>
      </c>
      <c r="P664" s="1" t="str">
        <v/>
      </c>
      <c r="Q664" s="1" t="str">
        <v/>
      </c>
    </row>
    <row r="665" x14ac:dyDescent="0.25">
      <c r="A665" s="1" t="str">
        <v/>
      </c>
      <c r="B665" s="1" t="str">
        <v/>
      </c>
      <c r="C665" s="1" t="str">
        <v/>
      </c>
      <c r="D665" s="1" t="str">
        <v/>
      </c>
      <c r="E665" s="1" t="str">
        <v/>
      </c>
      <c r="F665" s="1" t="str">
        <v/>
      </c>
      <c r="G665" s="1" t="str">
        <v/>
      </c>
      <c r="H665" s="1" t="str">
        <v/>
      </c>
      <c r="I665" s="2" t="str">
        <v/>
      </c>
      <c r="J665" s="2" t="str">
        <v/>
      </c>
      <c r="K665" s="2" t="str">
        <v/>
      </c>
      <c r="L665" s="1" t="str">
        <v/>
      </c>
      <c r="M665" s="2" t="str">
        <v/>
      </c>
      <c r="N665" s="2" t="str">
        <v/>
      </c>
      <c r="O665" s="1" t="str">
        <v/>
      </c>
      <c r="P665" s="1" t="str">
        <v/>
      </c>
      <c r="Q665" s="1" t="str">
        <v/>
      </c>
    </row>
    <row r="666" x14ac:dyDescent="0.25">
      <c r="A666" s="1" t="str">
        <v/>
      </c>
      <c r="B666" s="1" t="str">
        <v/>
      </c>
      <c r="C666" s="1" t="str">
        <v/>
      </c>
      <c r="D666" s="1" t="str">
        <v/>
      </c>
      <c r="E666" s="1" t="str">
        <v/>
      </c>
      <c r="F666" s="1" t="str">
        <v/>
      </c>
      <c r="G666" s="1" t="str">
        <v/>
      </c>
      <c r="H666" s="1" t="str">
        <v/>
      </c>
      <c r="I666" s="2" t="str">
        <v/>
      </c>
      <c r="J666" s="2" t="str">
        <v/>
      </c>
      <c r="K666" s="2" t="str">
        <v/>
      </c>
      <c r="L666" s="1" t="str">
        <v/>
      </c>
      <c r="M666" s="2" t="str">
        <v/>
      </c>
      <c r="N666" s="2" t="str">
        <v/>
      </c>
      <c r="O666" s="1" t="str">
        <v/>
      </c>
      <c r="P666" s="1" t="str">
        <v/>
      </c>
      <c r="Q666" s="1" t="str">
        <v/>
      </c>
    </row>
    <row r="667" x14ac:dyDescent="0.25">
      <c r="A667" s="1" t="str">
        <v/>
      </c>
      <c r="B667" s="1" t="str">
        <v/>
      </c>
      <c r="C667" s="1" t="str">
        <v/>
      </c>
      <c r="D667" s="1" t="str">
        <v/>
      </c>
      <c r="E667" s="1" t="str">
        <v/>
      </c>
      <c r="F667" s="1" t="str">
        <v/>
      </c>
      <c r="G667" s="1" t="str">
        <v/>
      </c>
      <c r="H667" s="1" t="str">
        <v/>
      </c>
      <c r="I667" s="2" t="str">
        <v/>
      </c>
      <c r="J667" s="2" t="str">
        <v/>
      </c>
      <c r="K667" s="2" t="str">
        <v/>
      </c>
      <c r="L667" s="1" t="str">
        <v/>
      </c>
      <c r="M667" s="2" t="str">
        <v/>
      </c>
      <c r="N667" s="2" t="str">
        <v/>
      </c>
      <c r="O667" s="1" t="str">
        <v/>
      </c>
      <c r="P667" s="1" t="str">
        <v/>
      </c>
      <c r="Q667" s="1" t="str">
        <v/>
      </c>
    </row>
    <row r="668" x14ac:dyDescent="0.25">
      <c r="A668" s="1" t="str">
        <v/>
      </c>
      <c r="B668" s="1" t="str">
        <v/>
      </c>
      <c r="C668" s="1" t="str">
        <v/>
      </c>
      <c r="D668" s="1" t="str">
        <v/>
      </c>
      <c r="E668" s="1" t="str">
        <v/>
      </c>
      <c r="F668" s="1" t="str">
        <v/>
      </c>
      <c r="G668" s="1" t="str">
        <v/>
      </c>
      <c r="H668" s="1" t="str">
        <v/>
      </c>
      <c r="I668" s="2" t="str">
        <v/>
      </c>
      <c r="J668" s="2" t="str">
        <v/>
      </c>
      <c r="K668" s="2" t="str">
        <v/>
      </c>
      <c r="L668" s="1" t="str">
        <v/>
      </c>
      <c r="M668" s="2" t="str">
        <v/>
      </c>
      <c r="N668" s="2" t="str">
        <v/>
      </c>
      <c r="O668" s="1" t="str">
        <v/>
      </c>
      <c r="P668" s="1" t="str">
        <v/>
      </c>
      <c r="Q668" s="1" t="str">
        <v/>
      </c>
    </row>
    <row r="669" x14ac:dyDescent="0.25">
      <c r="A669" s="1" t="str">
        <v/>
      </c>
      <c r="B669" s="1" t="str">
        <v/>
      </c>
      <c r="C669" s="1" t="str">
        <v/>
      </c>
      <c r="D669" s="1" t="str">
        <v/>
      </c>
      <c r="E669" s="1" t="str">
        <v/>
      </c>
      <c r="F669" s="1" t="str">
        <v/>
      </c>
      <c r="G669" s="1" t="str">
        <v/>
      </c>
      <c r="H669" s="1" t="str">
        <v/>
      </c>
      <c r="I669" s="2" t="str">
        <v/>
      </c>
      <c r="J669" s="2" t="str">
        <v/>
      </c>
      <c r="K669" s="2" t="str">
        <v/>
      </c>
      <c r="L669" s="1" t="str">
        <v/>
      </c>
      <c r="M669" s="2" t="str">
        <v/>
      </c>
      <c r="N669" s="2" t="str">
        <v/>
      </c>
      <c r="O669" s="1" t="str">
        <v/>
      </c>
      <c r="P669" s="1" t="str">
        <v/>
      </c>
      <c r="Q669" s="1" t="str">
        <v/>
      </c>
    </row>
    <row r="670" x14ac:dyDescent="0.25">
      <c r="A670" s="1" t="str">
        <v/>
      </c>
      <c r="B670" s="1" t="str">
        <v/>
      </c>
      <c r="C670" s="1" t="str">
        <v/>
      </c>
      <c r="D670" s="1" t="str">
        <v/>
      </c>
      <c r="E670" s="1" t="str">
        <v/>
      </c>
      <c r="F670" s="1" t="str">
        <v/>
      </c>
      <c r="G670" s="1" t="str">
        <v/>
      </c>
      <c r="H670" s="1" t="str">
        <v/>
      </c>
      <c r="I670" s="2" t="str">
        <v/>
      </c>
      <c r="J670" s="2" t="str">
        <v/>
      </c>
      <c r="K670" s="2" t="str">
        <v/>
      </c>
      <c r="L670" s="1" t="str">
        <v/>
      </c>
      <c r="M670" s="2" t="str">
        <v/>
      </c>
      <c r="N670" s="2" t="str">
        <v/>
      </c>
      <c r="O670" s="1" t="str">
        <v/>
      </c>
      <c r="P670" s="1" t="str">
        <v/>
      </c>
      <c r="Q670" s="1" t="str">
        <v/>
      </c>
    </row>
    <row r="671" x14ac:dyDescent="0.25">
      <c r="A671" s="1" t="str">
        <v/>
      </c>
      <c r="B671" s="1" t="str">
        <v/>
      </c>
      <c r="C671" s="1" t="str">
        <v/>
      </c>
      <c r="D671" s="1" t="str">
        <v/>
      </c>
      <c r="E671" s="1" t="str">
        <v/>
      </c>
      <c r="F671" s="1" t="str">
        <v/>
      </c>
      <c r="G671" s="1" t="str">
        <v/>
      </c>
      <c r="H671" s="1" t="str">
        <v/>
      </c>
      <c r="I671" s="2" t="str">
        <v/>
      </c>
      <c r="J671" s="2" t="str">
        <v/>
      </c>
      <c r="K671" s="2" t="str">
        <v/>
      </c>
      <c r="L671" s="1" t="str">
        <v/>
      </c>
      <c r="M671" s="2" t="str">
        <v/>
      </c>
      <c r="N671" s="2" t="str">
        <v/>
      </c>
      <c r="O671" s="1" t="str">
        <v/>
      </c>
      <c r="P671" s="1" t="str">
        <v/>
      </c>
      <c r="Q671" s="1" t="str">
        <v/>
      </c>
    </row>
    <row r="672" x14ac:dyDescent="0.25">
      <c r="A672" s="1" t="str">
        <v/>
      </c>
      <c r="B672" s="1" t="str">
        <v/>
      </c>
      <c r="C672" s="1" t="str">
        <v/>
      </c>
      <c r="D672" s="1" t="str">
        <v/>
      </c>
      <c r="E672" s="1" t="str">
        <v/>
      </c>
      <c r="F672" s="1" t="str">
        <v/>
      </c>
      <c r="G672" s="1" t="str">
        <v/>
      </c>
      <c r="H672" s="1" t="str">
        <v/>
      </c>
      <c r="I672" s="2" t="str">
        <v/>
      </c>
      <c r="J672" s="2" t="str">
        <v/>
      </c>
      <c r="K672" s="2" t="str">
        <v/>
      </c>
      <c r="L672" s="1" t="str">
        <v/>
      </c>
      <c r="M672" s="2" t="str">
        <v/>
      </c>
      <c r="N672" s="2" t="str">
        <v/>
      </c>
      <c r="O672" s="1" t="str">
        <v/>
      </c>
      <c r="P672" s="1" t="str">
        <v/>
      </c>
      <c r="Q672" s="1" t="str">
        <v/>
      </c>
    </row>
    <row r="673" x14ac:dyDescent="0.25">
      <c r="A673" s="1" t="str">
        <v/>
      </c>
      <c r="B673" s="1" t="str">
        <v/>
      </c>
      <c r="C673" s="1" t="str">
        <v/>
      </c>
      <c r="D673" s="1" t="str">
        <v/>
      </c>
      <c r="E673" s="1" t="str">
        <v/>
      </c>
      <c r="F673" s="1" t="str">
        <v/>
      </c>
      <c r="G673" s="1" t="str">
        <v/>
      </c>
      <c r="H673" s="1" t="str">
        <v/>
      </c>
      <c r="I673" s="2" t="str">
        <v/>
      </c>
      <c r="J673" s="2" t="str">
        <v/>
      </c>
      <c r="K673" s="2" t="str">
        <v/>
      </c>
      <c r="L673" s="1" t="str">
        <v/>
      </c>
      <c r="M673" s="2" t="str">
        <v/>
      </c>
      <c r="N673" s="2" t="str">
        <v/>
      </c>
      <c r="O673" s="1" t="str">
        <v/>
      </c>
      <c r="P673" s="1" t="str">
        <v/>
      </c>
      <c r="Q673" s="1" t="str">
        <v/>
      </c>
    </row>
    <row r="674" x14ac:dyDescent="0.25">
      <c r="A674" s="1" t="str">
        <v/>
      </c>
      <c r="B674" s="1" t="str">
        <v/>
      </c>
      <c r="C674" s="1" t="str">
        <v/>
      </c>
      <c r="D674" s="1" t="str">
        <v/>
      </c>
      <c r="E674" s="1" t="str">
        <v/>
      </c>
      <c r="F674" s="1" t="str">
        <v/>
      </c>
      <c r="G674" s="1" t="str">
        <v/>
      </c>
      <c r="H674" s="1" t="str">
        <v/>
      </c>
      <c r="I674" s="2" t="str">
        <v/>
      </c>
      <c r="J674" s="2" t="str">
        <v/>
      </c>
      <c r="K674" s="2" t="str">
        <v/>
      </c>
      <c r="L674" s="1" t="str">
        <v/>
      </c>
      <c r="M674" s="2" t="str">
        <v/>
      </c>
      <c r="N674" s="2" t="str">
        <v/>
      </c>
      <c r="O674" s="1" t="str">
        <v/>
      </c>
      <c r="P674" s="1" t="str">
        <v/>
      </c>
      <c r="Q674" s="1" t="str">
        <v/>
      </c>
    </row>
    <row r="675" x14ac:dyDescent="0.25">
      <c r="A675" s="1" t="str">
        <v/>
      </c>
      <c r="B675" s="1" t="str">
        <v/>
      </c>
      <c r="C675" s="1" t="str">
        <v/>
      </c>
      <c r="D675" s="1" t="str">
        <v/>
      </c>
      <c r="E675" s="1" t="str">
        <v/>
      </c>
      <c r="F675" s="1" t="str">
        <v/>
      </c>
      <c r="G675" s="1" t="str">
        <v/>
      </c>
      <c r="H675" s="1" t="str">
        <v/>
      </c>
      <c r="I675" s="2" t="str">
        <v/>
      </c>
      <c r="J675" s="2" t="str">
        <v/>
      </c>
      <c r="K675" s="2" t="str">
        <v/>
      </c>
      <c r="L675" s="1" t="str">
        <v/>
      </c>
      <c r="M675" s="2" t="str">
        <v/>
      </c>
      <c r="N675" s="2" t="str">
        <v/>
      </c>
      <c r="O675" s="1" t="str">
        <v/>
      </c>
      <c r="P675" s="1" t="str">
        <v/>
      </c>
      <c r="Q675" s="1" t="str">
        <v/>
      </c>
    </row>
    <row r="676" x14ac:dyDescent="0.25">
      <c r="A676" s="1" t="str">
        <v/>
      </c>
      <c r="B676" s="1" t="str">
        <v/>
      </c>
      <c r="C676" s="1" t="str">
        <v/>
      </c>
      <c r="D676" s="1" t="str">
        <v/>
      </c>
      <c r="E676" s="1" t="str">
        <v/>
      </c>
      <c r="F676" s="1" t="str">
        <v/>
      </c>
      <c r="G676" s="1" t="str">
        <v/>
      </c>
      <c r="H676" s="1" t="str">
        <v/>
      </c>
      <c r="I676" s="2" t="str">
        <v/>
      </c>
      <c r="J676" s="2" t="str">
        <v/>
      </c>
      <c r="K676" s="2" t="str">
        <v/>
      </c>
      <c r="L676" s="1" t="str">
        <v/>
      </c>
      <c r="M676" s="2" t="str">
        <v/>
      </c>
      <c r="N676" s="2" t="str">
        <v/>
      </c>
      <c r="O676" s="1" t="str">
        <v/>
      </c>
      <c r="P676" s="1" t="str">
        <v/>
      </c>
      <c r="Q676" s="1" t="str">
        <v/>
      </c>
    </row>
    <row r="677" x14ac:dyDescent="0.25">
      <c r="A677" s="1" t="str">
        <v/>
      </c>
      <c r="B677" s="1" t="str">
        <v/>
      </c>
      <c r="C677" s="1" t="str">
        <v/>
      </c>
      <c r="D677" s="1" t="str">
        <v/>
      </c>
      <c r="E677" s="1" t="str">
        <v/>
      </c>
      <c r="F677" s="1" t="str">
        <v/>
      </c>
      <c r="G677" s="1" t="str">
        <v/>
      </c>
      <c r="H677" s="1" t="str">
        <v/>
      </c>
      <c r="I677" s="2" t="str">
        <v/>
      </c>
      <c r="J677" s="2" t="str">
        <v/>
      </c>
      <c r="K677" s="2" t="str">
        <v/>
      </c>
      <c r="L677" s="1" t="str">
        <v/>
      </c>
      <c r="M677" s="2" t="str">
        <v/>
      </c>
      <c r="N677" s="2" t="str">
        <v/>
      </c>
      <c r="O677" s="1" t="str">
        <v/>
      </c>
      <c r="P677" s="1" t="str">
        <v/>
      </c>
      <c r="Q677" s="1" t="str">
        <v/>
      </c>
    </row>
    <row r="678" x14ac:dyDescent="0.25">
      <c r="A678" s="1" t="str">
        <v/>
      </c>
      <c r="B678" s="1" t="str">
        <v/>
      </c>
      <c r="C678" s="1" t="str">
        <v/>
      </c>
      <c r="D678" s="1" t="str">
        <v/>
      </c>
      <c r="E678" s="1" t="str">
        <v/>
      </c>
      <c r="F678" s="1" t="str">
        <v/>
      </c>
      <c r="G678" s="1" t="str">
        <v/>
      </c>
      <c r="H678" s="1" t="str">
        <v/>
      </c>
      <c r="I678" s="2" t="str">
        <v/>
      </c>
      <c r="J678" s="2" t="str">
        <v/>
      </c>
      <c r="K678" s="2" t="str">
        <v/>
      </c>
      <c r="L678" s="1" t="str">
        <v/>
      </c>
      <c r="M678" s="2" t="str">
        <v/>
      </c>
      <c r="N678" s="2" t="str">
        <v/>
      </c>
      <c r="O678" s="1" t="str">
        <v/>
      </c>
      <c r="P678" s="1" t="str">
        <v/>
      </c>
      <c r="Q678" s="1" t="str">
        <v/>
      </c>
    </row>
    <row r="679" x14ac:dyDescent="0.25">
      <c r="A679" s="1" t="str">
        <v/>
      </c>
      <c r="B679" s="1" t="str">
        <v/>
      </c>
      <c r="C679" s="1" t="str">
        <v/>
      </c>
      <c r="D679" s="1" t="str">
        <v/>
      </c>
      <c r="E679" s="1" t="str">
        <v/>
      </c>
      <c r="F679" s="1" t="str">
        <v/>
      </c>
      <c r="G679" s="1" t="str">
        <v/>
      </c>
      <c r="H679" s="1" t="str">
        <v/>
      </c>
      <c r="I679" s="2" t="str">
        <v/>
      </c>
      <c r="J679" s="2" t="str">
        <v/>
      </c>
      <c r="K679" s="2" t="str">
        <v/>
      </c>
      <c r="L679" s="1" t="str">
        <v/>
      </c>
      <c r="M679" s="2" t="str">
        <v/>
      </c>
      <c r="N679" s="2" t="str">
        <v/>
      </c>
      <c r="O679" s="1" t="str">
        <v/>
      </c>
      <c r="P679" s="1" t="str">
        <v/>
      </c>
      <c r="Q679" s="1" t="str">
        <v/>
      </c>
    </row>
    <row r="680" x14ac:dyDescent="0.25">
      <c r="A680" s="1" t="str">
        <v/>
      </c>
      <c r="B680" s="1" t="str">
        <v/>
      </c>
      <c r="C680" s="1" t="str">
        <v/>
      </c>
      <c r="D680" s="1" t="str">
        <v/>
      </c>
      <c r="E680" s="1" t="str">
        <v/>
      </c>
      <c r="F680" s="1" t="str">
        <v/>
      </c>
      <c r="G680" s="1" t="str">
        <v/>
      </c>
      <c r="H680" s="1" t="str">
        <v/>
      </c>
      <c r="I680" s="2" t="str">
        <v/>
      </c>
      <c r="J680" s="2" t="str">
        <v/>
      </c>
      <c r="K680" s="2" t="str">
        <v/>
      </c>
      <c r="L680" s="1" t="str">
        <v/>
      </c>
      <c r="M680" s="2" t="str">
        <v/>
      </c>
      <c r="N680" s="2" t="str">
        <v/>
      </c>
      <c r="O680" s="1" t="str">
        <v/>
      </c>
      <c r="P680" s="1" t="str">
        <v/>
      </c>
      <c r="Q680" s="1" t="str">
        <v/>
      </c>
    </row>
    <row r="681" x14ac:dyDescent="0.25">
      <c r="A681" s="1" t="str">
        <v/>
      </c>
      <c r="B681" s="1" t="str">
        <v/>
      </c>
      <c r="C681" s="1" t="str">
        <v/>
      </c>
      <c r="D681" s="1" t="str">
        <v/>
      </c>
      <c r="E681" s="1" t="str">
        <v/>
      </c>
      <c r="F681" s="1" t="str">
        <v/>
      </c>
      <c r="G681" s="1" t="str">
        <v/>
      </c>
      <c r="H681" s="1" t="str">
        <v/>
      </c>
      <c r="I681" s="2" t="str">
        <v/>
      </c>
      <c r="J681" s="2" t="str">
        <v/>
      </c>
      <c r="K681" s="2" t="str">
        <v/>
      </c>
      <c r="L681" s="1" t="str">
        <v/>
      </c>
      <c r="M681" s="2" t="str">
        <v/>
      </c>
      <c r="N681" s="2" t="str">
        <v/>
      </c>
      <c r="O681" s="1" t="str">
        <v/>
      </c>
      <c r="P681" s="1" t="str">
        <v/>
      </c>
      <c r="Q681" s="1" t="str">
        <v/>
      </c>
    </row>
    <row r="682" x14ac:dyDescent="0.25">
      <c r="A682" s="1" t="str">
        <v/>
      </c>
      <c r="B682" s="1" t="str">
        <v/>
      </c>
      <c r="C682" s="1" t="str">
        <v/>
      </c>
      <c r="D682" s="1" t="str">
        <v/>
      </c>
      <c r="E682" s="1" t="str">
        <v/>
      </c>
      <c r="F682" s="1" t="str">
        <v/>
      </c>
      <c r="G682" s="1" t="str">
        <v/>
      </c>
      <c r="H682" s="1" t="str">
        <v/>
      </c>
      <c r="I682" s="2" t="str">
        <v/>
      </c>
      <c r="J682" s="2" t="str">
        <v/>
      </c>
      <c r="K682" s="2" t="str">
        <v/>
      </c>
      <c r="L682" s="1" t="str">
        <v/>
      </c>
      <c r="M682" s="2" t="str">
        <v/>
      </c>
      <c r="N682" s="2" t="str">
        <v/>
      </c>
      <c r="O682" s="1" t="str">
        <v/>
      </c>
      <c r="P682" s="1" t="str">
        <v/>
      </c>
      <c r="Q682" s="1" t="str">
        <v/>
      </c>
    </row>
    <row r="683" x14ac:dyDescent="0.25">
      <c r="A683" s="1" t="str">
        <v/>
      </c>
      <c r="B683" s="1" t="str">
        <v/>
      </c>
      <c r="C683" s="1" t="str">
        <v/>
      </c>
      <c r="D683" s="1" t="str">
        <v/>
      </c>
      <c r="E683" s="1" t="str">
        <v/>
      </c>
      <c r="F683" s="1" t="str">
        <v/>
      </c>
      <c r="G683" s="1" t="str">
        <v/>
      </c>
      <c r="H683" s="1" t="str">
        <v/>
      </c>
      <c r="I683" s="2" t="str">
        <v/>
      </c>
      <c r="J683" s="2" t="str">
        <v/>
      </c>
      <c r="K683" s="2" t="str">
        <v/>
      </c>
      <c r="L683" s="1" t="str">
        <v/>
      </c>
      <c r="M683" s="2" t="str">
        <v/>
      </c>
      <c r="N683" s="2" t="str">
        <v/>
      </c>
      <c r="O683" s="1" t="str">
        <v/>
      </c>
      <c r="P683" s="1" t="str">
        <v/>
      </c>
      <c r="Q683" s="1" t="str">
        <v/>
      </c>
    </row>
    <row r="684" x14ac:dyDescent="0.25">
      <c r="A684" s="1" t="str">
        <v/>
      </c>
      <c r="B684" s="1" t="str">
        <v/>
      </c>
      <c r="C684" s="1" t="str">
        <v/>
      </c>
      <c r="D684" s="1" t="str">
        <v/>
      </c>
      <c r="E684" s="1" t="str">
        <v/>
      </c>
      <c r="F684" s="1" t="str">
        <v/>
      </c>
      <c r="G684" s="1" t="str">
        <v/>
      </c>
      <c r="H684" s="1" t="str">
        <v/>
      </c>
      <c r="I684" s="2" t="str">
        <v/>
      </c>
      <c r="J684" s="2" t="str">
        <v/>
      </c>
      <c r="K684" s="2" t="str">
        <v/>
      </c>
      <c r="L684" s="1" t="str">
        <v/>
      </c>
      <c r="M684" s="2" t="str">
        <v/>
      </c>
      <c r="N684" s="2" t="str">
        <v/>
      </c>
      <c r="O684" s="1" t="str">
        <v/>
      </c>
      <c r="P684" s="1" t="str">
        <v/>
      </c>
      <c r="Q684" s="1" t="str">
        <v/>
      </c>
    </row>
    <row r="685" x14ac:dyDescent="0.25">
      <c r="A685" s="1" t="str">
        <v/>
      </c>
      <c r="B685" s="1" t="str">
        <v/>
      </c>
      <c r="C685" s="1" t="str">
        <v/>
      </c>
      <c r="D685" s="1" t="str">
        <v/>
      </c>
      <c r="E685" s="1" t="str">
        <v/>
      </c>
      <c r="F685" s="1" t="str">
        <v/>
      </c>
      <c r="G685" s="1" t="str">
        <v/>
      </c>
      <c r="H685" s="1" t="str">
        <v/>
      </c>
      <c r="I685" s="2" t="str">
        <v/>
      </c>
      <c r="J685" s="2" t="str">
        <v/>
      </c>
      <c r="K685" s="2" t="str">
        <v/>
      </c>
      <c r="L685" s="1" t="str">
        <v/>
      </c>
      <c r="M685" s="2" t="str">
        <v/>
      </c>
      <c r="N685" s="2" t="str">
        <v/>
      </c>
      <c r="O685" s="1" t="str">
        <v/>
      </c>
      <c r="P685" s="1" t="str">
        <v/>
      </c>
      <c r="Q685" s="1" t="str">
        <v/>
      </c>
    </row>
    <row r="686" x14ac:dyDescent="0.25">
      <c r="A686" s="1" t="str">
        <v/>
      </c>
      <c r="B686" s="1" t="str">
        <v/>
      </c>
      <c r="C686" s="1" t="str">
        <v/>
      </c>
      <c r="D686" s="1" t="str">
        <v/>
      </c>
      <c r="E686" s="1" t="str">
        <v/>
      </c>
      <c r="F686" s="1" t="str">
        <v/>
      </c>
      <c r="G686" s="1" t="str">
        <v/>
      </c>
      <c r="H686" s="1" t="str">
        <v/>
      </c>
      <c r="I686" s="2" t="str">
        <v/>
      </c>
      <c r="J686" s="2" t="str">
        <v/>
      </c>
      <c r="K686" s="2" t="str">
        <v/>
      </c>
      <c r="L686" s="1" t="str">
        <v/>
      </c>
      <c r="M686" s="2" t="str">
        <v/>
      </c>
      <c r="N686" s="2" t="str">
        <v/>
      </c>
      <c r="O686" s="1" t="str">
        <v/>
      </c>
      <c r="P686" s="1" t="str">
        <v/>
      </c>
      <c r="Q686" s="1" t="str">
        <v/>
      </c>
    </row>
    <row r="687" x14ac:dyDescent="0.25">
      <c r="A687" s="1" t="str">
        <v/>
      </c>
      <c r="B687" s="1" t="str">
        <v/>
      </c>
      <c r="C687" s="1" t="str">
        <v/>
      </c>
      <c r="D687" s="1" t="str">
        <v/>
      </c>
      <c r="E687" s="1" t="str">
        <v/>
      </c>
      <c r="F687" s="1" t="str">
        <v/>
      </c>
      <c r="G687" s="1" t="str">
        <v/>
      </c>
      <c r="H687" s="1" t="str">
        <v/>
      </c>
      <c r="I687" s="2" t="str">
        <v/>
      </c>
      <c r="J687" s="2" t="str">
        <v/>
      </c>
      <c r="K687" s="2" t="str">
        <v/>
      </c>
      <c r="L687" s="1" t="str">
        <v/>
      </c>
      <c r="M687" s="2" t="str">
        <v/>
      </c>
      <c r="N687" s="2" t="str">
        <v/>
      </c>
      <c r="O687" s="1" t="str">
        <v/>
      </c>
      <c r="P687" s="1" t="str">
        <v/>
      </c>
      <c r="Q687" s="1" t="str">
        <v/>
      </c>
    </row>
    <row r="688" x14ac:dyDescent="0.25">
      <c r="A688" s="1" t="str">
        <v/>
      </c>
      <c r="B688" s="1" t="str">
        <v/>
      </c>
      <c r="C688" s="1" t="str">
        <v/>
      </c>
      <c r="D688" s="1" t="str">
        <v/>
      </c>
      <c r="E688" s="1" t="str">
        <v/>
      </c>
      <c r="F688" s="1" t="str">
        <v/>
      </c>
      <c r="G688" s="1" t="str">
        <v/>
      </c>
      <c r="H688" s="1" t="str">
        <v/>
      </c>
      <c r="I688" s="2" t="str">
        <v/>
      </c>
      <c r="J688" s="2" t="str">
        <v/>
      </c>
      <c r="K688" s="2" t="str">
        <v/>
      </c>
      <c r="L688" s="1" t="str">
        <v/>
      </c>
      <c r="M688" s="2" t="str">
        <v/>
      </c>
      <c r="N688" s="2" t="str">
        <v/>
      </c>
      <c r="O688" s="1" t="str">
        <v/>
      </c>
      <c r="P688" s="1" t="str">
        <v/>
      </c>
      <c r="Q688" s="1" t="str">
        <v/>
      </c>
    </row>
    <row r="689" x14ac:dyDescent="0.25">
      <c r="A689" s="1" t="str">
        <v/>
      </c>
      <c r="B689" s="1" t="str">
        <v/>
      </c>
      <c r="C689" s="1" t="str">
        <v/>
      </c>
      <c r="D689" s="1" t="str">
        <v/>
      </c>
      <c r="E689" s="1" t="str">
        <v/>
      </c>
      <c r="F689" s="1" t="str">
        <v/>
      </c>
      <c r="G689" s="1" t="str">
        <v/>
      </c>
      <c r="H689" s="1" t="str">
        <v/>
      </c>
      <c r="I689" s="2" t="str">
        <v/>
      </c>
      <c r="J689" s="2" t="str">
        <v/>
      </c>
      <c r="K689" s="2" t="str">
        <v/>
      </c>
      <c r="L689" s="1" t="str">
        <v/>
      </c>
      <c r="M689" s="2" t="str">
        <v/>
      </c>
      <c r="N689" s="2" t="str">
        <v/>
      </c>
      <c r="O689" s="1" t="str">
        <v/>
      </c>
      <c r="P689" s="1" t="str">
        <v/>
      </c>
      <c r="Q689" s="1" t="str">
        <v/>
      </c>
    </row>
    <row r="690" x14ac:dyDescent="0.25">
      <c r="A690" s="1" t="str">
        <v/>
      </c>
      <c r="B690" s="1" t="str">
        <v/>
      </c>
      <c r="C690" s="1" t="str">
        <v/>
      </c>
      <c r="D690" s="1" t="str">
        <v/>
      </c>
      <c r="E690" s="1" t="str">
        <v/>
      </c>
      <c r="F690" s="1" t="str">
        <v/>
      </c>
      <c r="G690" s="1" t="str">
        <v/>
      </c>
      <c r="H690" s="1" t="str">
        <v/>
      </c>
      <c r="I690" s="2" t="str">
        <v/>
      </c>
      <c r="J690" s="2" t="str">
        <v/>
      </c>
      <c r="K690" s="2" t="str">
        <v/>
      </c>
      <c r="L690" s="1" t="str">
        <v/>
      </c>
      <c r="M690" s="2" t="str">
        <v/>
      </c>
      <c r="N690" s="2" t="str">
        <v/>
      </c>
      <c r="O690" s="1" t="str">
        <v/>
      </c>
      <c r="P690" s="1" t="str">
        <v/>
      </c>
      <c r="Q690" s="1" t="str">
        <v/>
      </c>
    </row>
    <row r="691" x14ac:dyDescent="0.25">
      <c r="A691" s="1" t="str">
        <v/>
      </c>
      <c r="B691" s="1" t="str">
        <v/>
      </c>
      <c r="C691" s="1" t="str">
        <v/>
      </c>
      <c r="D691" s="1" t="str">
        <v/>
      </c>
      <c r="E691" s="1" t="str">
        <v/>
      </c>
      <c r="F691" s="1" t="str">
        <v/>
      </c>
      <c r="G691" s="1" t="str">
        <v/>
      </c>
      <c r="H691" s="1" t="str">
        <v/>
      </c>
      <c r="I691" s="2" t="str">
        <v/>
      </c>
      <c r="J691" s="2" t="str">
        <v/>
      </c>
      <c r="K691" s="2" t="str">
        <v/>
      </c>
      <c r="L691" s="1" t="str">
        <v/>
      </c>
      <c r="M691" s="2" t="str">
        <v/>
      </c>
      <c r="N691" s="2" t="str">
        <v/>
      </c>
      <c r="O691" s="1" t="str">
        <v/>
      </c>
      <c r="P691" s="1" t="str">
        <v/>
      </c>
      <c r="Q691" s="1" t="str">
        <v/>
      </c>
    </row>
    <row r="692" x14ac:dyDescent="0.25">
      <c r="A692" s="1" t="str">
        <v/>
      </c>
      <c r="B692" s="1" t="str">
        <v/>
      </c>
      <c r="C692" s="1" t="str">
        <v/>
      </c>
      <c r="D692" s="1" t="str">
        <v/>
      </c>
      <c r="E692" s="1" t="str">
        <v/>
      </c>
      <c r="F692" s="1" t="str">
        <v/>
      </c>
      <c r="G692" s="1" t="str">
        <v/>
      </c>
      <c r="H692" s="1" t="str">
        <v/>
      </c>
      <c r="I692" s="2" t="str">
        <v/>
      </c>
      <c r="J692" s="2" t="str">
        <v/>
      </c>
      <c r="K692" s="2" t="str">
        <v/>
      </c>
      <c r="L692" s="1" t="str">
        <v/>
      </c>
      <c r="M692" s="2" t="str">
        <v/>
      </c>
      <c r="N692" s="2" t="str">
        <v/>
      </c>
      <c r="O692" s="1" t="str">
        <v/>
      </c>
      <c r="P692" s="1" t="str">
        <v/>
      </c>
      <c r="Q692" s="1" t="str">
        <v/>
      </c>
    </row>
    <row r="693" x14ac:dyDescent="0.25">
      <c r="A693" s="1" t="str">
        <v/>
      </c>
      <c r="B693" s="1" t="str">
        <v/>
      </c>
      <c r="C693" s="1" t="str">
        <v/>
      </c>
      <c r="D693" s="1" t="str">
        <v/>
      </c>
      <c r="E693" s="1" t="str">
        <v/>
      </c>
      <c r="F693" s="1" t="str">
        <v/>
      </c>
      <c r="G693" s="1" t="str">
        <v/>
      </c>
      <c r="H693" s="1" t="str">
        <v/>
      </c>
      <c r="I693" s="2" t="str">
        <v/>
      </c>
      <c r="J693" s="2" t="str">
        <v/>
      </c>
      <c r="K693" s="2" t="str">
        <v/>
      </c>
      <c r="L693" s="1" t="str">
        <v/>
      </c>
      <c r="M693" s="2" t="str">
        <v/>
      </c>
      <c r="N693" s="2" t="str">
        <v/>
      </c>
      <c r="O693" s="1" t="str">
        <v/>
      </c>
      <c r="P693" s="1" t="str">
        <v/>
      </c>
      <c r="Q693" s="1" t="str">
        <v/>
      </c>
    </row>
    <row r="694" x14ac:dyDescent="0.25">
      <c r="A694" s="1" t="str">
        <v/>
      </c>
      <c r="B694" s="1" t="str">
        <v/>
      </c>
      <c r="C694" s="1" t="str">
        <v/>
      </c>
      <c r="D694" s="1" t="str">
        <v/>
      </c>
      <c r="E694" s="1" t="str">
        <v/>
      </c>
      <c r="F694" s="1" t="str">
        <v/>
      </c>
      <c r="G694" s="1" t="str">
        <v/>
      </c>
      <c r="H694" s="1" t="str">
        <v/>
      </c>
      <c r="I694" s="2" t="str">
        <v/>
      </c>
      <c r="J694" s="2" t="str">
        <v/>
      </c>
      <c r="K694" s="2" t="str">
        <v/>
      </c>
      <c r="L694" s="1" t="str">
        <v/>
      </c>
      <c r="M694" s="2" t="str">
        <v/>
      </c>
      <c r="N694" s="2" t="str">
        <v/>
      </c>
      <c r="O694" s="1" t="str">
        <v/>
      </c>
      <c r="P694" s="1" t="str">
        <v/>
      </c>
      <c r="Q694" s="1" t="str">
        <v/>
      </c>
    </row>
    <row r="695" x14ac:dyDescent="0.25">
      <c r="A695" s="1" t="str">
        <v/>
      </c>
      <c r="B695" s="1" t="str">
        <v/>
      </c>
      <c r="C695" s="1" t="str">
        <v/>
      </c>
      <c r="D695" s="1" t="str">
        <v/>
      </c>
      <c r="E695" s="1" t="str">
        <v/>
      </c>
      <c r="F695" s="1" t="str">
        <v/>
      </c>
      <c r="G695" s="1" t="str">
        <v/>
      </c>
      <c r="H695" s="1" t="str">
        <v/>
      </c>
      <c r="I695" s="2" t="str">
        <v/>
      </c>
      <c r="J695" s="2" t="str">
        <v/>
      </c>
      <c r="K695" s="2" t="str">
        <v/>
      </c>
      <c r="L695" s="1" t="str">
        <v/>
      </c>
      <c r="M695" s="2" t="str">
        <v/>
      </c>
      <c r="N695" s="2" t="str">
        <v/>
      </c>
      <c r="O695" s="1" t="str">
        <v/>
      </c>
      <c r="P695" s="1" t="str">
        <v/>
      </c>
      <c r="Q695" s="1" t="str">
        <v/>
      </c>
    </row>
    <row r="696" x14ac:dyDescent="0.25">
      <c r="A696" s="1" t="str">
        <v/>
      </c>
      <c r="B696" s="1" t="str">
        <v/>
      </c>
      <c r="C696" s="1" t="str">
        <v/>
      </c>
      <c r="D696" s="1" t="str">
        <v/>
      </c>
      <c r="E696" s="1" t="str">
        <v/>
      </c>
      <c r="F696" s="1" t="str">
        <v/>
      </c>
      <c r="G696" s="1" t="str">
        <v/>
      </c>
      <c r="H696" s="1" t="str">
        <v/>
      </c>
      <c r="I696" s="2" t="str">
        <v/>
      </c>
      <c r="J696" s="2" t="str">
        <v/>
      </c>
      <c r="K696" s="2" t="str">
        <v/>
      </c>
      <c r="L696" s="1" t="str">
        <v/>
      </c>
      <c r="M696" s="2" t="str">
        <v/>
      </c>
      <c r="N696" s="2" t="str">
        <v/>
      </c>
      <c r="O696" s="1" t="str">
        <v/>
      </c>
      <c r="P696" s="1" t="str">
        <v/>
      </c>
      <c r="Q696" s="1" t="str">
        <v/>
      </c>
    </row>
    <row r="697" x14ac:dyDescent="0.25">
      <c r="A697" s="1" t="str">
        <v/>
      </c>
      <c r="B697" s="1" t="str">
        <v/>
      </c>
      <c r="C697" s="1" t="str">
        <v/>
      </c>
      <c r="D697" s="1" t="str">
        <v/>
      </c>
      <c r="E697" s="1" t="str">
        <v/>
      </c>
      <c r="F697" s="1" t="str">
        <v/>
      </c>
      <c r="G697" s="1" t="str">
        <v/>
      </c>
      <c r="H697" s="1" t="str">
        <v/>
      </c>
      <c r="I697" s="2" t="str">
        <v/>
      </c>
      <c r="J697" s="2" t="str">
        <v/>
      </c>
      <c r="K697" s="2" t="str">
        <v/>
      </c>
      <c r="L697" s="1" t="str">
        <v/>
      </c>
      <c r="M697" s="2" t="str">
        <v/>
      </c>
      <c r="N697" s="2" t="str">
        <v/>
      </c>
      <c r="O697" s="1" t="str">
        <v/>
      </c>
      <c r="P697" s="1" t="str">
        <v/>
      </c>
      <c r="Q697" s="1" t="str">
        <v/>
      </c>
    </row>
    <row r="698" x14ac:dyDescent="0.25">
      <c r="A698" s="1" t="str">
        <v/>
      </c>
      <c r="B698" s="1" t="str">
        <v/>
      </c>
      <c r="C698" s="1" t="str">
        <v/>
      </c>
      <c r="D698" s="1" t="str">
        <v/>
      </c>
      <c r="E698" s="1" t="str">
        <v/>
      </c>
      <c r="F698" s="1" t="str">
        <v/>
      </c>
      <c r="G698" s="1" t="str">
        <v/>
      </c>
      <c r="H698" s="1" t="str">
        <v/>
      </c>
      <c r="I698" s="2" t="str">
        <v/>
      </c>
      <c r="J698" s="2" t="str">
        <v/>
      </c>
      <c r="K698" s="2" t="str">
        <v/>
      </c>
      <c r="L698" s="1" t="str">
        <v/>
      </c>
      <c r="M698" s="2" t="str">
        <v/>
      </c>
      <c r="N698" s="2" t="str">
        <v/>
      </c>
      <c r="O698" s="1" t="str">
        <v/>
      </c>
      <c r="P698" s="1" t="str">
        <v/>
      </c>
      <c r="Q698" s="1" t="str">
        <v/>
      </c>
    </row>
    <row r="699" x14ac:dyDescent="0.25">
      <c r="A699" s="1" t="str">
        <v/>
      </c>
      <c r="B699" s="1" t="str">
        <v/>
      </c>
      <c r="C699" s="1" t="str">
        <v/>
      </c>
      <c r="D699" s="1" t="str">
        <v/>
      </c>
      <c r="E699" s="1" t="str">
        <v/>
      </c>
      <c r="F699" s="1" t="str">
        <v/>
      </c>
      <c r="G699" s="1" t="str">
        <v/>
      </c>
      <c r="H699" s="1" t="str">
        <v/>
      </c>
      <c r="I699" s="2" t="str">
        <v/>
      </c>
      <c r="J699" s="2" t="str">
        <v/>
      </c>
      <c r="K699" s="2" t="str">
        <v/>
      </c>
      <c r="L699" s="1" t="str">
        <v/>
      </c>
      <c r="M699" s="2" t="str">
        <v/>
      </c>
      <c r="N699" s="2" t="str">
        <v/>
      </c>
      <c r="O699" s="1" t="str">
        <v/>
      </c>
      <c r="P699" s="1" t="str">
        <v/>
      </c>
      <c r="Q699" s="1" t="str">
        <v/>
      </c>
    </row>
    <row r="700" x14ac:dyDescent="0.25">
      <c r="A700" s="1" t="str">
        <v/>
      </c>
      <c r="B700" s="1" t="str">
        <v/>
      </c>
      <c r="C700" s="1" t="str">
        <v/>
      </c>
      <c r="D700" s="1" t="str">
        <v/>
      </c>
      <c r="E700" s="1" t="str">
        <v/>
      </c>
      <c r="F700" s="1" t="str">
        <v/>
      </c>
      <c r="G700" s="1" t="str">
        <v/>
      </c>
      <c r="H700" s="1" t="str">
        <v/>
      </c>
      <c r="I700" s="2" t="str">
        <v/>
      </c>
      <c r="J700" s="2" t="str">
        <v/>
      </c>
      <c r="K700" s="2" t="str">
        <v/>
      </c>
      <c r="L700" s="1" t="str">
        <v/>
      </c>
      <c r="M700" s="2" t="str">
        <v/>
      </c>
      <c r="N700" s="2" t="str">
        <v/>
      </c>
      <c r="O700" s="1" t="str">
        <v/>
      </c>
      <c r="P700" s="1" t="str">
        <v/>
      </c>
      <c r="Q700" s="1" t="str">
        <v/>
      </c>
    </row>
    <row r="701" x14ac:dyDescent="0.25">
      <c r="A701" s="1" t="str">
        <v/>
      </c>
      <c r="B701" s="1" t="str">
        <v/>
      </c>
      <c r="C701" s="1" t="str">
        <v/>
      </c>
      <c r="D701" s="1" t="str">
        <v/>
      </c>
      <c r="E701" s="1" t="str">
        <v/>
      </c>
      <c r="F701" s="1" t="str">
        <v/>
      </c>
      <c r="G701" s="1" t="str">
        <v/>
      </c>
      <c r="H701" s="1" t="str">
        <v/>
      </c>
      <c r="I701" s="2" t="str">
        <v/>
      </c>
      <c r="J701" s="2" t="str">
        <v/>
      </c>
      <c r="K701" s="2" t="str">
        <v/>
      </c>
      <c r="L701" s="1" t="str">
        <v/>
      </c>
      <c r="M701" s="2" t="str">
        <v/>
      </c>
      <c r="N701" s="2" t="str">
        <v/>
      </c>
      <c r="O701" s="1" t="str">
        <v/>
      </c>
      <c r="P701" s="1" t="str">
        <v/>
      </c>
      <c r="Q701" s="1" t="str">
        <v/>
      </c>
    </row>
    <row r="702" x14ac:dyDescent="0.25">
      <c r="A702" s="1" t="str">
        <v/>
      </c>
      <c r="B702" s="1" t="str">
        <v/>
      </c>
      <c r="C702" s="1" t="str">
        <v/>
      </c>
      <c r="D702" s="1" t="str">
        <v/>
      </c>
      <c r="E702" s="1" t="str">
        <v/>
      </c>
      <c r="F702" s="1" t="str">
        <v/>
      </c>
      <c r="G702" s="1" t="str">
        <v/>
      </c>
      <c r="H702" s="1" t="str">
        <v/>
      </c>
      <c r="I702" s="2" t="str">
        <v/>
      </c>
      <c r="J702" s="2" t="str">
        <v/>
      </c>
      <c r="K702" s="2" t="str">
        <v/>
      </c>
      <c r="L702" s="1" t="str">
        <v/>
      </c>
      <c r="M702" s="2" t="str">
        <v/>
      </c>
      <c r="N702" s="2" t="str">
        <v/>
      </c>
      <c r="O702" s="1" t="str">
        <v/>
      </c>
      <c r="P702" s="1" t="str">
        <v/>
      </c>
      <c r="Q702" s="1" t="str">
        <v/>
      </c>
    </row>
    <row r="703" x14ac:dyDescent="0.25">
      <c r="A703" s="1" t="str">
        <v/>
      </c>
      <c r="B703" s="1" t="str">
        <v/>
      </c>
      <c r="C703" s="1" t="str">
        <v/>
      </c>
      <c r="D703" s="1" t="str">
        <v/>
      </c>
      <c r="E703" s="1" t="str">
        <v/>
      </c>
      <c r="F703" s="1" t="str">
        <v/>
      </c>
      <c r="G703" s="1" t="str">
        <v/>
      </c>
      <c r="H703" s="1" t="str">
        <v/>
      </c>
      <c r="I703" s="2" t="str">
        <v/>
      </c>
      <c r="J703" s="2" t="str">
        <v/>
      </c>
      <c r="K703" s="2" t="str">
        <v/>
      </c>
      <c r="L703" s="1" t="str">
        <v/>
      </c>
      <c r="M703" s="2" t="str">
        <v/>
      </c>
      <c r="N703" s="2" t="str">
        <v/>
      </c>
      <c r="O703" s="1" t="str">
        <v/>
      </c>
      <c r="P703" s="1" t="str">
        <v/>
      </c>
      <c r="Q703" s="1" t="str">
        <v/>
      </c>
    </row>
    <row r="704" x14ac:dyDescent="0.25">
      <c r="A704" s="1" t="str">
        <v/>
      </c>
      <c r="B704" s="1" t="str">
        <v/>
      </c>
      <c r="C704" s="1" t="str">
        <v/>
      </c>
      <c r="D704" s="1" t="str">
        <v/>
      </c>
      <c r="E704" s="1" t="str">
        <v/>
      </c>
      <c r="F704" s="1" t="str">
        <v/>
      </c>
      <c r="G704" s="1" t="str">
        <v/>
      </c>
      <c r="H704" s="1" t="str">
        <v/>
      </c>
      <c r="I704" s="2" t="str">
        <v/>
      </c>
      <c r="J704" s="2" t="str">
        <v/>
      </c>
      <c r="K704" s="2" t="str">
        <v/>
      </c>
      <c r="L704" s="1" t="str">
        <v/>
      </c>
      <c r="M704" s="2" t="str">
        <v/>
      </c>
      <c r="N704" s="2" t="str">
        <v/>
      </c>
      <c r="O704" s="1" t="str">
        <v/>
      </c>
      <c r="P704" s="1" t="str">
        <v/>
      </c>
      <c r="Q704" s="1" t="str">
        <v/>
      </c>
    </row>
    <row r="705" x14ac:dyDescent="0.25">
      <c r="A705" s="1" t="str">
        <v/>
      </c>
      <c r="B705" s="1" t="str">
        <v/>
      </c>
      <c r="C705" s="1" t="str">
        <v/>
      </c>
      <c r="D705" s="1" t="str">
        <v/>
      </c>
      <c r="E705" s="1" t="str">
        <v/>
      </c>
      <c r="F705" s="1" t="str">
        <v/>
      </c>
      <c r="G705" s="1" t="str">
        <v/>
      </c>
      <c r="H705" s="1" t="str">
        <v/>
      </c>
      <c r="I705" s="2" t="str">
        <v/>
      </c>
      <c r="J705" s="2" t="str">
        <v/>
      </c>
      <c r="K705" s="2" t="str">
        <v/>
      </c>
      <c r="L705" s="1" t="str">
        <v/>
      </c>
      <c r="M705" s="2" t="str">
        <v/>
      </c>
      <c r="N705" s="2" t="str">
        <v/>
      </c>
      <c r="O705" s="1" t="str">
        <v/>
      </c>
      <c r="P705" s="1" t="str">
        <v/>
      </c>
      <c r="Q705" s="1" t="str">
        <v/>
      </c>
    </row>
    <row r="706" x14ac:dyDescent="0.25">
      <c r="A706" s="1" t="str">
        <v/>
      </c>
      <c r="B706" s="1" t="str">
        <v/>
      </c>
      <c r="C706" s="1" t="str">
        <v/>
      </c>
      <c r="D706" s="1" t="str">
        <v/>
      </c>
      <c r="E706" s="1" t="str">
        <v/>
      </c>
      <c r="F706" s="1" t="str">
        <v/>
      </c>
      <c r="G706" s="1" t="str">
        <v/>
      </c>
      <c r="H706" s="1" t="str">
        <v/>
      </c>
      <c r="I706" s="2" t="str">
        <v/>
      </c>
      <c r="J706" s="2" t="str">
        <v/>
      </c>
      <c r="K706" s="2" t="str">
        <v/>
      </c>
      <c r="L706" s="1" t="str">
        <v/>
      </c>
      <c r="M706" s="2" t="str">
        <v/>
      </c>
      <c r="N706" s="2" t="str">
        <v/>
      </c>
      <c r="O706" s="1" t="str">
        <v/>
      </c>
      <c r="P706" s="1" t="str">
        <v/>
      </c>
      <c r="Q706" s="1" t="str">
        <v/>
      </c>
    </row>
    <row r="707" x14ac:dyDescent="0.25">
      <c r="A707" s="1" t="str">
        <v/>
      </c>
      <c r="B707" s="1" t="str">
        <v/>
      </c>
      <c r="C707" s="1" t="str">
        <v/>
      </c>
      <c r="D707" s="1" t="str">
        <v/>
      </c>
      <c r="E707" s="1" t="str">
        <v/>
      </c>
      <c r="F707" s="1" t="str">
        <v/>
      </c>
      <c r="G707" s="1" t="str">
        <v/>
      </c>
      <c r="H707" s="1" t="str">
        <v/>
      </c>
      <c r="I707" s="2" t="str">
        <v/>
      </c>
      <c r="J707" s="2" t="str">
        <v/>
      </c>
      <c r="K707" s="2" t="str">
        <v/>
      </c>
      <c r="L707" s="1" t="str">
        <v/>
      </c>
      <c r="M707" s="2" t="str">
        <v/>
      </c>
      <c r="N707" s="2" t="str">
        <v/>
      </c>
      <c r="O707" s="1" t="str">
        <v/>
      </c>
      <c r="P707" s="1" t="str">
        <v/>
      </c>
      <c r="Q707" s="1" t="str">
        <v/>
      </c>
    </row>
    <row r="708" x14ac:dyDescent="0.25">
      <c r="A708" s="1" t="str">
        <v/>
      </c>
      <c r="B708" s="1" t="str">
        <v/>
      </c>
      <c r="C708" s="1" t="str">
        <v/>
      </c>
      <c r="D708" s="1" t="str">
        <v/>
      </c>
      <c r="E708" s="1" t="str">
        <v/>
      </c>
      <c r="F708" s="1" t="str">
        <v/>
      </c>
      <c r="G708" s="1" t="str">
        <v/>
      </c>
      <c r="H708" s="1" t="str">
        <v/>
      </c>
      <c r="I708" s="2" t="str">
        <v/>
      </c>
      <c r="J708" s="2" t="str">
        <v/>
      </c>
      <c r="K708" s="2" t="str">
        <v/>
      </c>
      <c r="L708" s="1" t="str">
        <v/>
      </c>
      <c r="M708" s="2" t="str">
        <v/>
      </c>
      <c r="N708" s="2" t="str">
        <v/>
      </c>
      <c r="O708" s="1" t="str">
        <v/>
      </c>
      <c r="P708" s="1" t="str">
        <v/>
      </c>
      <c r="Q708" s="1" t="str">
        <v/>
      </c>
    </row>
    <row r="709" x14ac:dyDescent="0.25">
      <c r="A709" s="1" t="str">
        <v/>
      </c>
      <c r="B709" s="1" t="str">
        <v/>
      </c>
      <c r="C709" s="1" t="str">
        <v/>
      </c>
      <c r="D709" s="1" t="str">
        <v/>
      </c>
      <c r="E709" s="1" t="str">
        <v/>
      </c>
      <c r="F709" s="1" t="str">
        <v/>
      </c>
      <c r="G709" s="1" t="str">
        <v/>
      </c>
      <c r="H709" s="1" t="str">
        <v/>
      </c>
      <c r="I709" s="2" t="str">
        <v/>
      </c>
      <c r="J709" s="2" t="str">
        <v/>
      </c>
      <c r="K709" s="2" t="str">
        <v/>
      </c>
      <c r="L709" s="1" t="str">
        <v/>
      </c>
      <c r="M709" s="2" t="str">
        <v/>
      </c>
      <c r="N709" s="2" t="str">
        <v/>
      </c>
      <c r="O709" s="1" t="str">
        <v/>
      </c>
      <c r="P709" s="1" t="str">
        <v/>
      </c>
      <c r="Q709" s="1" t="str">
        <v/>
      </c>
    </row>
    <row r="710" x14ac:dyDescent="0.25">
      <c r="A710" s="1" t="str">
        <v/>
      </c>
      <c r="B710" s="1" t="str">
        <v/>
      </c>
      <c r="C710" s="1" t="str">
        <v/>
      </c>
      <c r="D710" s="1" t="str">
        <v/>
      </c>
      <c r="E710" s="1" t="str">
        <v/>
      </c>
      <c r="F710" s="1" t="str">
        <v/>
      </c>
      <c r="G710" s="1" t="str">
        <v/>
      </c>
      <c r="H710" s="1" t="str">
        <v/>
      </c>
      <c r="I710" s="2" t="str">
        <v/>
      </c>
      <c r="J710" s="2" t="str">
        <v/>
      </c>
      <c r="K710" s="2" t="str">
        <v/>
      </c>
      <c r="L710" s="1" t="str">
        <v/>
      </c>
      <c r="M710" s="2" t="str">
        <v/>
      </c>
      <c r="N710" s="2" t="str">
        <v/>
      </c>
      <c r="O710" s="1" t="str">
        <v/>
      </c>
      <c r="P710" s="1" t="str">
        <v/>
      </c>
      <c r="Q710" s="1" t="str">
        <v/>
      </c>
    </row>
    <row r="711" x14ac:dyDescent="0.25">
      <c r="A711" s="1" t="str">
        <v/>
      </c>
      <c r="B711" s="1" t="str">
        <v/>
      </c>
      <c r="C711" s="1" t="str">
        <v/>
      </c>
      <c r="D711" s="1" t="str">
        <v/>
      </c>
      <c r="E711" s="1" t="str">
        <v/>
      </c>
      <c r="F711" s="1" t="str">
        <v/>
      </c>
      <c r="G711" s="1" t="str">
        <v/>
      </c>
      <c r="H711" s="1" t="str">
        <v/>
      </c>
      <c r="I711" s="2" t="str">
        <v/>
      </c>
      <c r="J711" s="2" t="str">
        <v/>
      </c>
      <c r="K711" s="2" t="str">
        <v/>
      </c>
      <c r="L711" s="1" t="str">
        <v/>
      </c>
      <c r="M711" s="2" t="str">
        <v/>
      </c>
      <c r="N711" s="2" t="str">
        <v/>
      </c>
      <c r="O711" s="1" t="str">
        <v/>
      </c>
      <c r="P711" s="1" t="str">
        <v/>
      </c>
      <c r="Q711" s="1" t="str">
        <v/>
      </c>
    </row>
    <row r="712" x14ac:dyDescent="0.25">
      <c r="A712" s="1" t="str">
        <v/>
      </c>
      <c r="B712" s="1" t="str">
        <v/>
      </c>
      <c r="C712" s="1" t="str">
        <v/>
      </c>
      <c r="D712" s="1" t="str">
        <v/>
      </c>
      <c r="E712" s="1" t="str">
        <v/>
      </c>
      <c r="F712" s="1" t="str">
        <v/>
      </c>
      <c r="G712" s="1" t="str">
        <v/>
      </c>
      <c r="H712" s="1" t="str">
        <v/>
      </c>
      <c r="I712" s="2" t="str">
        <v/>
      </c>
      <c r="J712" s="2" t="str">
        <v/>
      </c>
      <c r="K712" s="2" t="str">
        <v/>
      </c>
      <c r="L712" s="1" t="str">
        <v/>
      </c>
      <c r="M712" s="2" t="str">
        <v/>
      </c>
      <c r="N712" s="2" t="str">
        <v/>
      </c>
      <c r="O712" s="1" t="str">
        <v/>
      </c>
      <c r="P712" s="1" t="str">
        <v/>
      </c>
      <c r="Q712" s="1" t="str">
        <v/>
      </c>
    </row>
    <row r="713" x14ac:dyDescent="0.25">
      <c r="A713" s="1" t="str">
        <v/>
      </c>
      <c r="B713" s="1" t="str">
        <v/>
      </c>
      <c r="C713" s="1" t="str">
        <v/>
      </c>
      <c r="D713" s="1" t="str">
        <v/>
      </c>
      <c r="E713" s="1" t="str">
        <v/>
      </c>
      <c r="F713" s="1" t="str">
        <v/>
      </c>
      <c r="G713" s="1" t="str">
        <v/>
      </c>
      <c r="H713" s="1" t="str">
        <v/>
      </c>
      <c r="I713" s="2" t="str">
        <v/>
      </c>
      <c r="J713" s="2" t="str">
        <v/>
      </c>
      <c r="K713" s="2" t="str">
        <v/>
      </c>
      <c r="L713" s="1" t="str">
        <v/>
      </c>
      <c r="M713" s="2" t="str">
        <v/>
      </c>
      <c r="N713" s="2" t="str">
        <v/>
      </c>
      <c r="O713" s="1" t="str">
        <v/>
      </c>
      <c r="P713" s="1" t="str">
        <v/>
      </c>
      <c r="Q713" s="1" t="str">
        <v/>
      </c>
    </row>
    <row r="714" x14ac:dyDescent="0.25">
      <c r="A714" s="1" t="str">
        <v/>
      </c>
      <c r="B714" s="1" t="str">
        <v/>
      </c>
      <c r="C714" s="1" t="str">
        <v/>
      </c>
      <c r="D714" s="1" t="str">
        <v/>
      </c>
      <c r="E714" s="1" t="str">
        <v/>
      </c>
      <c r="F714" s="1" t="str">
        <v/>
      </c>
      <c r="G714" s="1" t="str">
        <v/>
      </c>
      <c r="H714" s="1" t="str">
        <v/>
      </c>
      <c r="I714" s="2" t="str">
        <v/>
      </c>
      <c r="J714" s="2" t="str">
        <v/>
      </c>
      <c r="K714" s="2" t="str">
        <v/>
      </c>
      <c r="L714" s="1" t="str">
        <v/>
      </c>
      <c r="M714" s="2" t="str">
        <v/>
      </c>
      <c r="N714" s="2" t="str">
        <v/>
      </c>
      <c r="O714" s="1" t="str">
        <v/>
      </c>
      <c r="P714" s="1" t="str">
        <v/>
      </c>
      <c r="Q714" s="1" t="str">
        <v/>
      </c>
    </row>
    <row r="715" x14ac:dyDescent="0.25">
      <c r="A715" s="1" t="str">
        <v/>
      </c>
      <c r="B715" s="1" t="str">
        <v/>
      </c>
      <c r="C715" s="1" t="str">
        <v/>
      </c>
      <c r="D715" s="1" t="str">
        <v/>
      </c>
      <c r="E715" s="1" t="str">
        <v/>
      </c>
      <c r="F715" s="1" t="str">
        <v/>
      </c>
      <c r="G715" s="1" t="str">
        <v/>
      </c>
      <c r="H715" s="1" t="str">
        <v/>
      </c>
      <c r="I715" s="2" t="str">
        <v/>
      </c>
      <c r="J715" s="2" t="str">
        <v/>
      </c>
      <c r="K715" s="2" t="str">
        <v/>
      </c>
      <c r="L715" s="1" t="str">
        <v/>
      </c>
      <c r="M715" s="2" t="str">
        <v/>
      </c>
      <c r="N715" s="2" t="str">
        <v/>
      </c>
      <c r="O715" s="1" t="str">
        <v/>
      </c>
      <c r="P715" s="1" t="str">
        <v/>
      </c>
      <c r="Q715" s="1" t="str">
        <v/>
      </c>
    </row>
    <row r="716" x14ac:dyDescent="0.25">
      <c r="A716" s="1" t="str">
        <v/>
      </c>
      <c r="B716" s="1" t="str">
        <v/>
      </c>
      <c r="C716" s="1" t="str">
        <v/>
      </c>
      <c r="D716" s="1" t="str">
        <v/>
      </c>
      <c r="E716" s="1" t="str">
        <v/>
      </c>
      <c r="F716" s="1" t="str">
        <v/>
      </c>
      <c r="G716" s="1" t="str">
        <v/>
      </c>
      <c r="H716" s="1" t="str">
        <v/>
      </c>
      <c r="I716" s="2" t="str">
        <v/>
      </c>
      <c r="J716" s="2" t="str">
        <v/>
      </c>
      <c r="K716" s="2" t="str">
        <v/>
      </c>
      <c r="L716" s="1" t="str">
        <v/>
      </c>
      <c r="M716" s="2" t="str">
        <v/>
      </c>
      <c r="N716" s="2" t="str">
        <v/>
      </c>
      <c r="O716" s="1" t="str">
        <v/>
      </c>
      <c r="P716" s="1" t="str">
        <v/>
      </c>
      <c r="Q716" s="1" t="str">
        <v/>
      </c>
    </row>
    <row r="717" x14ac:dyDescent="0.25">
      <c r="A717" s="1" t="str">
        <v/>
      </c>
      <c r="B717" s="1" t="str">
        <v/>
      </c>
      <c r="C717" s="1" t="str">
        <v/>
      </c>
      <c r="D717" s="1" t="str">
        <v/>
      </c>
      <c r="E717" s="1" t="str">
        <v/>
      </c>
      <c r="F717" s="1" t="str">
        <v/>
      </c>
      <c r="G717" s="1" t="str">
        <v/>
      </c>
      <c r="H717" s="1" t="str">
        <v/>
      </c>
      <c r="I717" s="2" t="str">
        <v/>
      </c>
      <c r="J717" s="2" t="str">
        <v/>
      </c>
      <c r="K717" s="2" t="str">
        <v/>
      </c>
      <c r="L717" s="1" t="str">
        <v/>
      </c>
      <c r="M717" s="2" t="str">
        <v/>
      </c>
      <c r="N717" s="2" t="str">
        <v/>
      </c>
      <c r="O717" s="1" t="str">
        <v/>
      </c>
      <c r="P717" s="1" t="str">
        <v/>
      </c>
      <c r="Q717" s="1" t="str">
        <v/>
      </c>
    </row>
    <row r="718" x14ac:dyDescent="0.25">
      <c r="A718" s="1" t="str">
        <v/>
      </c>
      <c r="B718" s="1" t="str">
        <v/>
      </c>
      <c r="C718" s="1" t="str">
        <v/>
      </c>
      <c r="D718" s="1" t="str">
        <v/>
      </c>
      <c r="E718" s="1" t="str">
        <v/>
      </c>
      <c r="F718" s="1" t="str">
        <v/>
      </c>
      <c r="G718" s="1" t="str">
        <v/>
      </c>
      <c r="H718" s="1" t="str">
        <v/>
      </c>
      <c r="I718" s="2" t="str">
        <v/>
      </c>
      <c r="J718" s="2" t="str">
        <v/>
      </c>
      <c r="K718" s="2" t="str">
        <v/>
      </c>
      <c r="L718" s="1" t="str">
        <v/>
      </c>
      <c r="M718" s="2" t="str">
        <v/>
      </c>
      <c r="N718" s="2" t="str">
        <v/>
      </c>
      <c r="O718" s="1" t="str">
        <v/>
      </c>
      <c r="P718" s="1" t="str">
        <v/>
      </c>
      <c r="Q718" s="1" t="str">
        <v/>
      </c>
    </row>
    <row r="719" x14ac:dyDescent="0.25">
      <c r="A719" s="1" t="str">
        <v/>
      </c>
      <c r="B719" s="1" t="str">
        <v/>
      </c>
      <c r="C719" s="1" t="str">
        <v/>
      </c>
      <c r="D719" s="1" t="str">
        <v/>
      </c>
      <c r="E719" s="1" t="str">
        <v/>
      </c>
      <c r="F719" s="1" t="str">
        <v/>
      </c>
      <c r="G719" s="1" t="str">
        <v/>
      </c>
      <c r="H719" s="1" t="str">
        <v/>
      </c>
      <c r="I719" s="2" t="str">
        <v/>
      </c>
      <c r="J719" s="2" t="str">
        <v/>
      </c>
      <c r="K719" s="2" t="str">
        <v/>
      </c>
      <c r="L719" s="1" t="str">
        <v/>
      </c>
      <c r="M719" s="2" t="str">
        <v/>
      </c>
      <c r="N719" s="2" t="str">
        <v/>
      </c>
      <c r="O719" s="1" t="str">
        <v/>
      </c>
      <c r="P719" s="1" t="str">
        <v/>
      </c>
      <c r="Q719" s="1" t="str">
        <v/>
      </c>
    </row>
    <row r="720" x14ac:dyDescent="0.25">
      <c r="A720" s="1" t="str">
        <v/>
      </c>
      <c r="B720" s="1" t="str">
        <v/>
      </c>
      <c r="C720" s="1" t="str">
        <v/>
      </c>
      <c r="D720" s="1" t="str">
        <v/>
      </c>
      <c r="E720" s="1" t="str">
        <v/>
      </c>
      <c r="F720" s="1" t="str">
        <v/>
      </c>
      <c r="G720" s="1" t="str">
        <v/>
      </c>
      <c r="H720" s="1" t="str">
        <v/>
      </c>
      <c r="I720" s="2" t="str">
        <v/>
      </c>
      <c r="J720" s="2" t="str">
        <v/>
      </c>
      <c r="K720" s="2" t="str">
        <v/>
      </c>
      <c r="L720" s="1" t="str">
        <v/>
      </c>
      <c r="M720" s="2" t="str">
        <v/>
      </c>
      <c r="N720" s="2" t="str">
        <v/>
      </c>
      <c r="O720" s="1" t="str">
        <v/>
      </c>
      <c r="P720" s="1" t="str">
        <v/>
      </c>
      <c r="Q720" s="1" t="str">
        <v/>
      </c>
    </row>
    <row r="721" x14ac:dyDescent="0.25">
      <c r="A721" s="1" t="str">
        <v/>
      </c>
      <c r="B721" s="1" t="str">
        <v/>
      </c>
      <c r="C721" s="1" t="str">
        <v/>
      </c>
      <c r="D721" s="1" t="str">
        <v/>
      </c>
      <c r="E721" s="1" t="str">
        <v/>
      </c>
      <c r="F721" s="1" t="str">
        <v/>
      </c>
      <c r="G721" s="1" t="str">
        <v/>
      </c>
      <c r="H721" s="1" t="str">
        <v/>
      </c>
      <c r="I721" s="2" t="str">
        <v/>
      </c>
      <c r="J721" s="2" t="str">
        <v/>
      </c>
      <c r="K721" s="2" t="str">
        <v/>
      </c>
      <c r="L721" s="1" t="str">
        <v/>
      </c>
      <c r="M721" s="2" t="str">
        <v/>
      </c>
      <c r="N721" s="2" t="str">
        <v/>
      </c>
      <c r="O721" s="1" t="str">
        <v/>
      </c>
      <c r="P721" s="1" t="str">
        <v/>
      </c>
      <c r="Q721" s="1" t="str">
        <v/>
      </c>
    </row>
    <row r="722" x14ac:dyDescent="0.25">
      <c r="A722" s="1" t="str">
        <v/>
      </c>
      <c r="B722" s="1" t="str">
        <v/>
      </c>
      <c r="C722" s="1" t="str">
        <v/>
      </c>
      <c r="D722" s="1" t="str">
        <v/>
      </c>
      <c r="E722" s="1" t="str">
        <v/>
      </c>
      <c r="F722" s="1" t="str">
        <v/>
      </c>
      <c r="G722" s="1" t="str">
        <v/>
      </c>
      <c r="H722" s="1" t="str">
        <v/>
      </c>
      <c r="I722" s="2" t="str">
        <v/>
      </c>
      <c r="J722" s="2" t="str">
        <v/>
      </c>
      <c r="K722" s="2" t="str">
        <v/>
      </c>
      <c r="L722" s="1" t="str">
        <v/>
      </c>
      <c r="M722" s="2" t="str">
        <v/>
      </c>
      <c r="N722" s="2" t="str">
        <v/>
      </c>
      <c r="O722" s="1" t="str">
        <v/>
      </c>
      <c r="P722" s="1" t="str">
        <v/>
      </c>
      <c r="Q722" s="1" t="str">
        <v/>
      </c>
    </row>
    <row r="723" x14ac:dyDescent="0.25">
      <c r="A723" s="1" t="str">
        <v/>
      </c>
      <c r="B723" s="1" t="str">
        <v/>
      </c>
      <c r="C723" s="1" t="str">
        <v/>
      </c>
      <c r="D723" s="1" t="str">
        <v/>
      </c>
      <c r="E723" s="1" t="str">
        <v/>
      </c>
      <c r="F723" s="1" t="str">
        <v/>
      </c>
      <c r="G723" s="1" t="str">
        <v/>
      </c>
      <c r="H723" s="1" t="str">
        <v/>
      </c>
      <c r="I723" s="2" t="str">
        <v/>
      </c>
      <c r="J723" s="2" t="str">
        <v/>
      </c>
      <c r="K723" s="2" t="str">
        <v/>
      </c>
      <c r="L723" s="1" t="str">
        <v/>
      </c>
      <c r="M723" s="2" t="str">
        <v/>
      </c>
      <c r="N723" s="2" t="str">
        <v/>
      </c>
      <c r="O723" s="1" t="str">
        <v/>
      </c>
      <c r="P723" s="1" t="str">
        <v/>
      </c>
      <c r="Q723" s="1" t="str">
        <v/>
      </c>
    </row>
    <row r="724" x14ac:dyDescent="0.25">
      <c r="A724" s="1" t="str">
        <v/>
      </c>
      <c r="B724" s="1" t="str">
        <v/>
      </c>
      <c r="C724" s="1" t="str">
        <v/>
      </c>
      <c r="D724" s="1" t="str">
        <v/>
      </c>
      <c r="E724" s="1" t="str">
        <v/>
      </c>
      <c r="F724" s="1" t="str">
        <v/>
      </c>
      <c r="G724" s="1" t="str">
        <v/>
      </c>
      <c r="H724" s="1" t="str">
        <v/>
      </c>
      <c r="I724" s="2" t="str">
        <v/>
      </c>
      <c r="J724" s="2" t="str">
        <v/>
      </c>
      <c r="K724" s="2" t="str">
        <v/>
      </c>
      <c r="L724" s="1" t="str">
        <v/>
      </c>
      <c r="M724" s="2" t="str">
        <v/>
      </c>
      <c r="N724" s="2" t="str">
        <v/>
      </c>
      <c r="O724" s="1" t="str">
        <v/>
      </c>
      <c r="P724" s="1" t="str">
        <v/>
      </c>
      <c r="Q724" s="1" t="str">
        <v/>
      </c>
    </row>
    <row r="725" x14ac:dyDescent="0.25">
      <c r="A725" s="1" t="str">
        <v/>
      </c>
      <c r="B725" s="1" t="str">
        <v/>
      </c>
      <c r="C725" s="1" t="str">
        <v/>
      </c>
      <c r="D725" s="1" t="str">
        <v/>
      </c>
      <c r="E725" s="1" t="str">
        <v/>
      </c>
      <c r="F725" s="1" t="str">
        <v/>
      </c>
      <c r="G725" s="1" t="str">
        <v/>
      </c>
      <c r="H725" s="1" t="str">
        <v/>
      </c>
      <c r="I725" s="2" t="str">
        <v/>
      </c>
      <c r="J725" s="2" t="str">
        <v/>
      </c>
      <c r="K725" s="2" t="str">
        <v/>
      </c>
      <c r="L725" s="1" t="str">
        <v/>
      </c>
      <c r="M725" s="2" t="str">
        <v/>
      </c>
      <c r="N725" s="2" t="str">
        <v/>
      </c>
      <c r="O725" s="1" t="str">
        <v/>
      </c>
      <c r="P725" s="1" t="str">
        <v/>
      </c>
      <c r="Q725" s="1" t="str">
        <v/>
      </c>
    </row>
    <row r="726" x14ac:dyDescent="0.25">
      <c r="A726" s="1" t="str">
        <v/>
      </c>
      <c r="B726" s="1" t="str">
        <v/>
      </c>
      <c r="C726" s="1" t="str">
        <v/>
      </c>
      <c r="D726" s="1" t="str">
        <v/>
      </c>
      <c r="E726" s="1" t="str">
        <v/>
      </c>
      <c r="F726" s="1" t="str">
        <v/>
      </c>
      <c r="G726" s="1" t="str">
        <v/>
      </c>
      <c r="H726" s="1" t="str">
        <v/>
      </c>
      <c r="I726" s="2" t="str">
        <v/>
      </c>
      <c r="J726" s="2" t="str">
        <v/>
      </c>
      <c r="K726" s="2" t="str">
        <v/>
      </c>
      <c r="L726" s="1" t="str">
        <v/>
      </c>
      <c r="M726" s="2" t="str">
        <v/>
      </c>
      <c r="N726" s="2" t="str">
        <v/>
      </c>
      <c r="O726" s="1" t="str">
        <v/>
      </c>
      <c r="P726" s="1" t="str">
        <v/>
      </c>
      <c r="Q726" s="1" t="str">
        <v/>
      </c>
    </row>
    <row r="727" x14ac:dyDescent="0.25">
      <c r="A727" s="1" t="str">
        <v/>
      </c>
      <c r="B727" s="1" t="str">
        <v/>
      </c>
      <c r="C727" s="1" t="str">
        <v/>
      </c>
      <c r="D727" s="1" t="str">
        <v/>
      </c>
      <c r="E727" s="1" t="str">
        <v/>
      </c>
      <c r="F727" s="1" t="str">
        <v/>
      </c>
      <c r="G727" s="1" t="str">
        <v/>
      </c>
      <c r="H727" s="1" t="str">
        <v/>
      </c>
      <c r="I727" s="2" t="str">
        <v/>
      </c>
      <c r="J727" s="2" t="str">
        <v/>
      </c>
      <c r="K727" s="2" t="str">
        <v/>
      </c>
      <c r="L727" s="1" t="str">
        <v/>
      </c>
      <c r="M727" s="2" t="str">
        <v/>
      </c>
      <c r="N727" s="2" t="str">
        <v/>
      </c>
      <c r="O727" s="1" t="str">
        <v/>
      </c>
      <c r="P727" s="1" t="str">
        <v/>
      </c>
      <c r="Q727" s="1" t="str">
        <v/>
      </c>
    </row>
    <row r="728" x14ac:dyDescent="0.25">
      <c r="A728" s="1" t="str">
        <v/>
      </c>
      <c r="B728" s="1" t="str">
        <v/>
      </c>
      <c r="C728" s="1" t="str">
        <v/>
      </c>
      <c r="D728" s="1" t="str">
        <v/>
      </c>
      <c r="E728" s="1" t="str">
        <v/>
      </c>
      <c r="F728" s="1" t="str">
        <v/>
      </c>
      <c r="G728" s="1" t="str">
        <v/>
      </c>
      <c r="H728" s="1" t="str">
        <v/>
      </c>
      <c r="I728" s="2" t="str">
        <v/>
      </c>
      <c r="J728" s="2" t="str">
        <v/>
      </c>
      <c r="K728" s="2" t="str">
        <v/>
      </c>
      <c r="L728" s="1" t="str">
        <v/>
      </c>
      <c r="M728" s="2" t="str">
        <v/>
      </c>
      <c r="N728" s="2" t="str">
        <v/>
      </c>
      <c r="O728" s="1" t="str">
        <v/>
      </c>
      <c r="P728" s="1" t="str">
        <v/>
      </c>
      <c r="Q728" s="1" t="str">
        <v/>
      </c>
    </row>
    <row r="729" x14ac:dyDescent="0.25">
      <c r="A729" s="1" t="str">
        <v/>
      </c>
      <c r="B729" s="1" t="str">
        <v/>
      </c>
      <c r="C729" s="1" t="str">
        <v/>
      </c>
      <c r="D729" s="1" t="str">
        <v/>
      </c>
      <c r="E729" s="1" t="str">
        <v/>
      </c>
      <c r="F729" s="1" t="str">
        <v/>
      </c>
      <c r="G729" s="1" t="str">
        <v/>
      </c>
      <c r="H729" s="1" t="str">
        <v/>
      </c>
      <c r="I729" s="2" t="str">
        <v/>
      </c>
      <c r="J729" s="2" t="str">
        <v/>
      </c>
      <c r="K729" s="2" t="str">
        <v/>
      </c>
      <c r="L729" s="1" t="str">
        <v/>
      </c>
      <c r="M729" s="2" t="str">
        <v/>
      </c>
      <c r="N729" s="2" t="str">
        <v/>
      </c>
      <c r="O729" s="1" t="str">
        <v/>
      </c>
      <c r="P729" s="1" t="str">
        <v/>
      </c>
      <c r="Q729" s="1" t="str">
        <v/>
      </c>
    </row>
    <row r="730" x14ac:dyDescent="0.25">
      <c r="A730" s="1" t="str">
        <v/>
      </c>
      <c r="B730" s="1" t="str">
        <v/>
      </c>
      <c r="C730" s="1" t="str">
        <v/>
      </c>
      <c r="D730" s="1" t="str">
        <v/>
      </c>
      <c r="E730" s="1" t="str">
        <v/>
      </c>
      <c r="F730" s="1" t="str">
        <v/>
      </c>
      <c r="G730" s="1" t="str">
        <v/>
      </c>
      <c r="H730" s="1" t="str">
        <v/>
      </c>
      <c r="I730" s="2" t="str">
        <v/>
      </c>
      <c r="J730" s="2" t="str">
        <v/>
      </c>
      <c r="K730" s="2" t="str">
        <v/>
      </c>
      <c r="L730" s="1" t="str">
        <v/>
      </c>
      <c r="M730" s="2" t="str">
        <v/>
      </c>
      <c r="N730" s="2" t="str">
        <v/>
      </c>
      <c r="O730" s="1" t="str">
        <v/>
      </c>
      <c r="P730" s="1" t="str">
        <v/>
      </c>
      <c r="Q730" s="1" t="str">
        <v/>
      </c>
    </row>
    <row r="731" x14ac:dyDescent="0.25">
      <c r="A731" s="1" t="str">
        <v/>
      </c>
      <c r="B731" s="1" t="str">
        <v/>
      </c>
      <c r="C731" s="1" t="str">
        <v/>
      </c>
      <c r="D731" s="1" t="str">
        <v/>
      </c>
      <c r="E731" s="1" t="str">
        <v/>
      </c>
      <c r="F731" s="1" t="str">
        <v/>
      </c>
      <c r="G731" s="1" t="str">
        <v/>
      </c>
      <c r="H731" s="1" t="str">
        <v/>
      </c>
      <c r="I731" s="2" t="str">
        <v/>
      </c>
      <c r="J731" s="2" t="str">
        <v/>
      </c>
      <c r="K731" s="2" t="str">
        <v/>
      </c>
      <c r="L731" s="1" t="str">
        <v/>
      </c>
      <c r="M731" s="2" t="str">
        <v/>
      </c>
      <c r="N731" s="2" t="str">
        <v/>
      </c>
      <c r="O731" s="1" t="str">
        <v/>
      </c>
      <c r="P731" s="1" t="str">
        <v/>
      </c>
      <c r="Q731" s="1" t="str">
        <v/>
      </c>
    </row>
    <row r="732" x14ac:dyDescent="0.25">
      <c r="A732" s="1" t="str">
        <v/>
      </c>
      <c r="B732" s="1" t="str">
        <v/>
      </c>
      <c r="C732" s="1" t="str">
        <v/>
      </c>
      <c r="D732" s="1" t="str">
        <v/>
      </c>
      <c r="E732" s="1" t="str">
        <v/>
      </c>
      <c r="F732" s="1" t="str">
        <v/>
      </c>
      <c r="G732" s="1" t="str">
        <v/>
      </c>
      <c r="H732" s="1" t="str">
        <v/>
      </c>
      <c r="I732" s="2" t="str">
        <v/>
      </c>
      <c r="J732" s="2" t="str">
        <v/>
      </c>
      <c r="K732" s="2" t="str">
        <v/>
      </c>
      <c r="L732" s="1" t="str">
        <v/>
      </c>
      <c r="M732" s="2" t="str">
        <v/>
      </c>
      <c r="N732" s="2" t="str">
        <v/>
      </c>
      <c r="O732" s="1" t="str">
        <v/>
      </c>
      <c r="P732" s="1" t="str">
        <v/>
      </c>
      <c r="Q732" s="1" t="str">
        <v/>
      </c>
    </row>
    <row r="733" x14ac:dyDescent="0.25">
      <c r="A733" s="1" t="str">
        <v/>
      </c>
      <c r="B733" s="1" t="str">
        <v/>
      </c>
      <c r="C733" s="1" t="str">
        <v/>
      </c>
      <c r="D733" s="1" t="str">
        <v/>
      </c>
      <c r="E733" s="1" t="str">
        <v/>
      </c>
      <c r="F733" s="1" t="str">
        <v/>
      </c>
      <c r="G733" s="1" t="str">
        <v/>
      </c>
      <c r="H733" s="1" t="str">
        <v/>
      </c>
      <c r="I733" s="2" t="str">
        <v/>
      </c>
      <c r="J733" s="2" t="str">
        <v/>
      </c>
      <c r="K733" s="2" t="str">
        <v/>
      </c>
      <c r="L733" s="1" t="str">
        <v/>
      </c>
      <c r="M733" s="2" t="str">
        <v/>
      </c>
      <c r="N733" s="2" t="str">
        <v/>
      </c>
      <c r="O733" s="1" t="str">
        <v/>
      </c>
      <c r="P733" s="1" t="str">
        <v/>
      </c>
      <c r="Q733" s="1" t="str">
        <v/>
      </c>
    </row>
    <row r="734" x14ac:dyDescent="0.25">
      <c r="A734" s="1" t="str">
        <v/>
      </c>
      <c r="B734" s="1" t="str">
        <v/>
      </c>
      <c r="C734" s="1" t="str">
        <v/>
      </c>
      <c r="D734" s="1" t="str">
        <v/>
      </c>
      <c r="E734" s="1" t="str">
        <v/>
      </c>
      <c r="F734" s="1" t="str">
        <v/>
      </c>
      <c r="G734" s="1" t="str">
        <v/>
      </c>
      <c r="H734" s="1" t="str">
        <v/>
      </c>
      <c r="I734" s="2" t="str">
        <v/>
      </c>
      <c r="J734" s="2" t="str">
        <v/>
      </c>
      <c r="K734" s="2" t="str">
        <v/>
      </c>
      <c r="L734" s="1" t="str">
        <v/>
      </c>
      <c r="M734" s="2" t="str">
        <v/>
      </c>
      <c r="N734" s="2" t="str">
        <v/>
      </c>
      <c r="O734" s="1" t="str">
        <v/>
      </c>
      <c r="P734" s="1" t="str">
        <v/>
      </c>
      <c r="Q734" s="1" t="str">
        <v/>
      </c>
    </row>
    <row r="735" x14ac:dyDescent="0.25">
      <c r="A735" s="1" t="str">
        <v/>
      </c>
      <c r="B735" s="1" t="str">
        <v/>
      </c>
      <c r="C735" s="1" t="str">
        <v/>
      </c>
      <c r="D735" s="1" t="str">
        <v/>
      </c>
      <c r="E735" s="1" t="str">
        <v/>
      </c>
      <c r="F735" s="1" t="str">
        <v/>
      </c>
      <c r="G735" s="1" t="str">
        <v/>
      </c>
      <c r="H735" s="1" t="str">
        <v/>
      </c>
      <c r="I735" s="2" t="str">
        <v/>
      </c>
      <c r="J735" s="2" t="str">
        <v/>
      </c>
      <c r="K735" s="2" t="str">
        <v/>
      </c>
      <c r="L735" s="1" t="str">
        <v/>
      </c>
      <c r="M735" s="2" t="str">
        <v/>
      </c>
      <c r="N735" s="2" t="str">
        <v/>
      </c>
      <c r="O735" s="1" t="str">
        <v/>
      </c>
      <c r="P735" s="1" t="str">
        <v/>
      </c>
      <c r="Q735" s="1" t="str">
        <v/>
      </c>
    </row>
    <row r="736" x14ac:dyDescent="0.25">
      <c r="A736" s="1" t="str">
        <v/>
      </c>
      <c r="B736" s="1" t="str">
        <v/>
      </c>
      <c r="C736" s="1" t="str">
        <v/>
      </c>
      <c r="D736" s="1" t="str">
        <v/>
      </c>
      <c r="E736" s="1" t="str">
        <v/>
      </c>
      <c r="F736" s="1" t="str">
        <v/>
      </c>
      <c r="G736" s="1" t="str">
        <v/>
      </c>
      <c r="H736" s="1" t="str">
        <v/>
      </c>
      <c r="I736" s="2" t="str">
        <v/>
      </c>
      <c r="J736" s="2" t="str">
        <v/>
      </c>
      <c r="K736" s="2" t="str">
        <v/>
      </c>
      <c r="L736" s="1" t="str">
        <v/>
      </c>
      <c r="M736" s="2" t="str">
        <v/>
      </c>
      <c r="N736" s="2" t="str">
        <v/>
      </c>
      <c r="O736" s="1" t="str">
        <v/>
      </c>
      <c r="P736" s="1" t="str">
        <v/>
      </c>
      <c r="Q736" s="1" t="str">
        <v/>
      </c>
    </row>
    <row r="737" x14ac:dyDescent="0.25">
      <c r="A737" s="1" t="str">
        <v/>
      </c>
      <c r="B737" s="1" t="str">
        <v/>
      </c>
      <c r="C737" s="1" t="str">
        <v/>
      </c>
      <c r="D737" s="1" t="str">
        <v/>
      </c>
      <c r="E737" s="1" t="str">
        <v/>
      </c>
      <c r="F737" s="1" t="str">
        <v/>
      </c>
      <c r="G737" s="1" t="str">
        <v/>
      </c>
      <c r="H737" s="1" t="str">
        <v/>
      </c>
      <c r="I737" s="2" t="str">
        <v/>
      </c>
      <c r="J737" s="2" t="str">
        <v/>
      </c>
      <c r="K737" s="2" t="str">
        <v/>
      </c>
      <c r="L737" s="1" t="str">
        <v/>
      </c>
      <c r="M737" s="2" t="str">
        <v/>
      </c>
      <c r="N737" s="2" t="str">
        <v/>
      </c>
      <c r="O737" s="1" t="str">
        <v/>
      </c>
      <c r="P737" s="1" t="str">
        <v/>
      </c>
      <c r="Q737" s="1" t="str">
        <v/>
      </c>
    </row>
    <row r="738" x14ac:dyDescent="0.25">
      <c r="A738" s="1" t="str">
        <v/>
      </c>
      <c r="B738" s="1" t="str">
        <v/>
      </c>
      <c r="C738" s="1" t="str">
        <v/>
      </c>
      <c r="D738" s="1" t="str">
        <v/>
      </c>
      <c r="E738" s="1" t="str">
        <v/>
      </c>
      <c r="F738" s="1" t="str">
        <v/>
      </c>
      <c r="G738" s="1" t="str">
        <v/>
      </c>
      <c r="H738" s="1" t="str">
        <v/>
      </c>
      <c r="I738" s="2" t="str">
        <v/>
      </c>
      <c r="J738" s="2" t="str">
        <v/>
      </c>
      <c r="K738" s="2" t="str">
        <v/>
      </c>
      <c r="L738" s="1" t="str">
        <v/>
      </c>
      <c r="M738" s="2" t="str">
        <v/>
      </c>
      <c r="N738" s="2" t="str">
        <v/>
      </c>
      <c r="O738" s="1" t="str">
        <v/>
      </c>
      <c r="P738" s="1" t="str">
        <v/>
      </c>
      <c r="Q738" s="1" t="str">
        <v/>
      </c>
    </row>
    <row r="739" x14ac:dyDescent="0.25">
      <c r="A739" s="1" t="str">
        <v/>
      </c>
      <c r="B739" s="1" t="str">
        <v/>
      </c>
      <c r="C739" s="1" t="str">
        <v/>
      </c>
      <c r="D739" s="1" t="str">
        <v/>
      </c>
      <c r="E739" s="1" t="str">
        <v/>
      </c>
      <c r="F739" s="1" t="str">
        <v/>
      </c>
      <c r="G739" s="1" t="str">
        <v/>
      </c>
      <c r="H739" s="1" t="str">
        <v/>
      </c>
      <c r="I739" s="2" t="str">
        <v/>
      </c>
      <c r="J739" s="2" t="str">
        <v/>
      </c>
      <c r="K739" s="2" t="str">
        <v/>
      </c>
      <c r="L739" s="1" t="str">
        <v/>
      </c>
      <c r="M739" s="2" t="str">
        <v/>
      </c>
      <c r="N739" s="2" t="str">
        <v/>
      </c>
      <c r="O739" s="1" t="str">
        <v/>
      </c>
      <c r="P739" s="1" t="str">
        <v/>
      </c>
      <c r="Q739" s="1" t="str">
        <v/>
      </c>
    </row>
    <row r="740" x14ac:dyDescent="0.25">
      <c r="A740" s="1" t="str">
        <v/>
      </c>
      <c r="B740" s="1" t="str">
        <v/>
      </c>
      <c r="C740" s="1" t="str">
        <v/>
      </c>
      <c r="D740" s="1" t="str">
        <v/>
      </c>
      <c r="E740" s="1" t="str">
        <v/>
      </c>
      <c r="F740" s="1" t="str">
        <v/>
      </c>
      <c r="G740" s="1" t="str">
        <v/>
      </c>
      <c r="H740" s="1" t="str">
        <v/>
      </c>
      <c r="I740" s="2" t="str">
        <v/>
      </c>
      <c r="J740" s="2" t="str">
        <v/>
      </c>
      <c r="K740" s="2" t="str">
        <v/>
      </c>
      <c r="L740" s="1" t="str">
        <v/>
      </c>
      <c r="M740" s="2" t="str">
        <v/>
      </c>
      <c r="N740" s="2" t="str">
        <v/>
      </c>
      <c r="O740" s="1" t="str">
        <v/>
      </c>
      <c r="P740" s="1" t="str">
        <v/>
      </c>
      <c r="Q740" s="1" t="str">
        <v/>
      </c>
    </row>
    <row r="741" x14ac:dyDescent="0.25">
      <c r="A741" s="1" t="str">
        <v/>
      </c>
      <c r="B741" s="1" t="str">
        <v/>
      </c>
      <c r="C741" s="1" t="str">
        <v/>
      </c>
      <c r="D741" s="1" t="str">
        <v/>
      </c>
      <c r="E741" s="1" t="str">
        <v/>
      </c>
      <c r="F741" s="1" t="str">
        <v/>
      </c>
      <c r="G741" s="1" t="str">
        <v/>
      </c>
      <c r="H741" s="1" t="str">
        <v/>
      </c>
      <c r="I741" s="2" t="str">
        <v/>
      </c>
      <c r="J741" s="2" t="str">
        <v/>
      </c>
      <c r="K741" s="2" t="str">
        <v/>
      </c>
      <c r="L741" s="1" t="str">
        <v/>
      </c>
      <c r="M741" s="2" t="str">
        <v/>
      </c>
      <c r="N741" s="2" t="str">
        <v/>
      </c>
      <c r="O741" s="1" t="str">
        <v/>
      </c>
      <c r="P741" s="1" t="str">
        <v/>
      </c>
      <c r="Q741" s="1" t="str">
        <v/>
      </c>
    </row>
    <row r="742" x14ac:dyDescent="0.25">
      <c r="A742" s="1" t="str">
        <v/>
      </c>
      <c r="B742" s="1" t="str">
        <v/>
      </c>
      <c r="C742" s="1" t="str">
        <v/>
      </c>
      <c r="D742" s="1" t="str">
        <v/>
      </c>
      <c r="E742" s="1" t="str">
        <v/>
      </c>
      <c r="F742" s="1" t="str">
        <v/>
      </c>
      <c r="G742" s="1" t="str">
        <v/>
      </c>
      <c r="H742" s="1" t="str">
        <v/>
      </c>
      <c r="I742" s="2" t="str">
        <v/>
      </c>
      <c r="J742" s="2" t="str">
        <v/>
      </c>
      <c r="K742" s="2" t="str">
        <v/>
      </c>
      <c r="L742" s="1" t="str">
        <v/>
      </c>
      <c r="M742" s="2" t="str">
        <v/>
      </c>
      <c r="N742" s="2" t="str">
        <v/>
      </c>
      <c r="O742" s="1" t="str">
        <v/>
      </c>
      <c r="P742" s="1" t="str">
        <v/>
      </c>
      <c r="Q742" s="1" t="str">
        <v/>
      </c>
    </row>
    <row r="743" x14ac:dyDescent="0.25">
      <c r="A743" s="1" t="str">
        <v/>
      </c>
      <c r="B743" s="1" t="str">
        <v/>
      </c>
      <c r="C743" s="1" t="str">
        <v/>
      </c>
      <c r="D743" s="1" t="str">
        <v/>
      </c>
      <c r="E743" s="1" t="str">
        <v/>
      </c>
      <c r="F743" s="1" t="str">
        <v/>
      </c>
      <c r="G743" s="1" t="str">
        <v/>
      </c>
      <c r="H743" s="1" t="str">
        <v/>
      </c>
      <c r="I743" s="2" t="str">
        <v/>
      </c>
      <c r="J743" s="2" t="str">
        <v/>
      </c>
      <c r="K743" s="2" t="str">
        <v/>
      </c>
      <c r="L743" s="1" t="str">
        <v/>
      </c>
      <c r="M743" s="2" t="str">
        <v/>
      </c>
      <c r="N743" s="2" t="str">
        <v/>
      </c>
      <c r="O743" s="1" t="str">
        <v/>
      </c>
      <c r="P743" s="1" t="str">
        <v/>
      </c>
      <c r="Q743" s="1" t="str">
        <v/>
      </c>
    </row>
    <row r="744" x14ac:dyDescent="0.25">
      <c r="A744" s="1" t="str">
        <v/>
      </c>
      <c r="B744" s="1" t="str">
        <v/>
      </c>
      <c r="C744" s="1" t="str">
        <v/>
      </c>
      <c r="D744" s="1" t="str">
        <v/>
      </c>
      <c r="E744" s="1" t="str">
        <v/>
      </c>
      <c r="F744" s="1" t="str">
        <v/>
      </c>
      <c r="G744" s="1" t="str">
        <v/>
      </c>
      <c r="H744" s="1" t="str">
        <v/>
      </c>
      <c r="I744" s="2" t="str">
        <v/>
      </c>
      <c r="J744" s="2" t="str">
        <v/>
      </c>
      <c r="K744" s="2" t="str">
        <v/>
      </c>
      <c r="L744" s="1" t="str">
        <v/>
      </c>
      <c r="M744" s="2" t="str">
        <v/>
      </c>
      <c r="N744" s="2" t="str">
        <v/>
      </c>
      <c r="O744" s="1" t="str">
        <v/>
      </c>
      <c r="P744" s="1" t="str">
        <v/>
      </c>
      <c r="Q744" s="1" t="str">
        <v/>
      </c>
    </row>
    <row r="745" x14ac:dyDescent="0.25">
      <c r="A745" s="1" t="str">
        <v/>
      </c>
      <c r="B745" s="1" t="str">
        <v/>
      </c>
      <c r="C745" s="1" t="str">
        <v/>
      </c>
      <c r="D745" s="1" t="str">
        <v/>
      </c>
      <c r="E745" s="1" t="str">
        <v/>
      </c>
      <c r="F745" s="1" t="str">
        <v/>
      </c>
      <c r="G745" s="1" t="str">
        <v/>
      </c>
      <c r="H745" s="1" t="str">
        <v/>
      </c>
      <c r="I745" s="2" t="str">
        <v/>
      </c>
      <c r="J745" s="2" t="str">
        <v/>
      </c>
      <c r="K745" s="2" t="str">
        <v/>
      </c>
      <c r="L745" s="1" t="str">
        <v/>
      </c>
      <c r="M745" s="2" t="str">
        <v/>
      </c>
      <c r="N745" s="2" t="str">
        <v/>
      </c>
      <c r="O745" s="1" t="str">
        <v/>
      </c>
      <c r="P745" s="1" t="str">
        <v/>
      </c>
      <c r="Q745" s="1" t="str">
        <v/>
      </c>
    </row>
    <row r="746" x14ac:dyDescent="0.25">
      <c r="A746" s="1" t="str">
        <v/>
      </c>
      <c r="B746" s="1" t="str">
        <v/>
      </c>
      <c r="C746" s="1" t="str">
        <v/>
      </c>
      <c r="D746" s="1" t="str">
        <v/>
      </c>
      <c r="E746" s="1" t="str">
        <v/>
      </c>
      <c r="F746" s="1" t="str">
        <v/>
      </c>
      <c r="G746" s="1" t="str">
        <v/>
      </c>
      <c r="H746" s="1" t="str">
        <v/>
      </c>
      <c r="I746" s="2" t="str">
        <v/>
      </c>
      <c r="J746" s="2" t="str">
        <v/>
      </c>
      <c r="K746" s="2" t="str">
        <v/>
      </c>
      <c r="L746" s="1" t="str">
        <v/>
      </c>
      <c r="M746" s="2" t="str">
        <v/>
      </c>
      <c r="N746" s="2" t="str">
        <v/>
      </c>
      <c r="O746" s="1" t="str">
        <v/>
      </c>
      <c r="P746" s="1" t="str">
        <v/>
      </c>
      <c r="Q746" s="1" t="str">
        <v/>
      </c>
    </row>
    <row r="747" x14ac:dyDescent="0.25">
      <c r="A747" s="1" t="str">
        <v/>
      </c>
      <c r="B747" s="1" t="str">
        <v/>
      </c>
      <c r="C747" s="1" t="str">
        <v/>
      </c>
      <c r="D747" s="1" t="str">
        <v/>
      </c>
      <c r="E747" s="1" t="str">
        <v/>
      </c>
      <c r="F747" s="1" t="str">
        <v/>
      </c>
      <c r="G747" s="1" t="str">
        <v/>
      </c>
      <c r="H747" s="1" t="str">
        <v/>
      </c>
      <c r="I747" s="2" t="str">
        <v/>
      </c>
      <c r="J747" s="2" t="str">
        <v/>
      </c>
      <c r="K747" s="2" t="str">
        <v/>
      </c>
      <c r="L747" s="1" t="str">
        <v/>
      </c>
      <c r="M747" s="2" t="str">
        <v/>
      </c>
      <c r="N747" s="2" t="str">
        <v/>
      </c>
      <c r="O747" s="1" t="str">
        <v/>
      </c>
      <c r="P747" s="1" t="str">
        <v/>
      </c>
      <c r="Q747" s="1" t="str">
        <v/>
      </c>
    </row>
    <row r="748" x14ac:dyDescent="0.25">
      <c r="A748" s="1" t="str">
        <v/>
      </c>
      <c r="B748" s="1" t="str">
        <v/>
      </c>
      <c r="C748" s="1" t="str">
        <v/>
      </c>
      <c r="D748" s="1" t="str">
        <v/>
      </c>
      <c r="E748" s="1" t="str">
        <v/>
      </c>
      <c r="F748" s="1" t="str">
        <v/>
      </c>
      <c r="G748" s="1" t="str">
        <v/>
      </c>
      <c r="H748" s="1" t="str">
        <v/>
      </c>
      <c r="I748" s="2" t="str">
        <v/>
      </c>
      <c r="J748" s="2" t="str">
        <v/>
      </c>
      <c r="K748" s="2" t="str">
        <v/>
      </c>
      <c r="L748" s="1" t="str">
        <v/>
      </c>
      <c r="M748" s="2" t="str">
        <v/>
      </c>
      <c r="N748" s="2" t="str">
        <v/>
      </c>
      <c r="O748" s="1" t="str">
        <v/>
      </c>
      <c r="P748" s="1" t="str">
        <v/>
      </c>
      <c r="Q748" s="1" t="str">
        <v/>
      </c>
    </row>
    <row r="749" x14ac:dyDescent="0.25">
      <c r="A749" s="1" t="str">
        <v/>
      </c>
      <c r="B749" s="1" t="str">
        <v/>
      </c>
      <c r="C749" s="1" t="str">
        <v/>
      </c>
      <c r="D749" s="1" t="str">
        <v/>
      </c>
      <c r="E749" s="1" t="str">
        <v/>
      </c>
      <c r="F749" s="1" t="str">
        <v/>
      </c>
      <c r="G749" s="1" t="str">
        <v/>
      </c>
      <c r="H749" s="1" t="str">
        <v/>
      </c>
      <c r="I749" s="2" t="str">
        <v/>
      </c>
      <c r="J749" s="2" t="str">
        <v/>
      </c>
      <c r="K749" s="2" t="str">
        <v/>
      </c>
      <c r="L749" s="1" t="str">
        <v/>
      </c>
      <c r="M749" s="2" t="str">
        <v/>
      </c>
      <c r="N749" s="2" t="str">
        <v/>
      </c>
      <c r="O749" s="1" t="str">
        <v/>
      </c>
      <c r="P749" s="1" t="str">
        <v/>
      </c>
      <c r="Q749" s="1" t="str">
        <v/>
      </c>
    </row>
    <row r="750" x14ac:dyDescent="0.25">
      <c r="A750" s="1" t="str">
        <v/>
      </c>
      <c r="B750" s="1" t="str">
        <v/>
      </c>
      <c r="C750" s="1" t="str">
        <v/>
      </c>
      <c r="D750" s="1" t="str">
        <v/>
      </c>
      <c r="E750" s="1" t="str">
        <v/>
      </c>
      <c r="F750" s="1" t="str">
        <v/>
      </c>
      <c r="G750" s="1" t="str">
        <v/>
      </c>
      <c r="H750" s="1" t="str">
        <v/>
      </c>
      <c r="I750" s="2" t="str">
        <v/>
      </c>
      <c r="J750" s="2" t="str">
        <v/>
      </c>
      <c r="K750" s="2" t="str">
        <v/>
      </c>
      <c r="L750" s="1" t="str">
        <v/>
      </c>
      <c r="M750" s="2" t="str">
        <v/>
      </c>
      <c r="N750" s="2" t="str">
        <v/>
      </c>
      <c r="O750" s="1" t="str">
        <v/>
      </c>
      <c r="P750" s="1" t="str">
        <v/>
      </c>
      <c r="Q750" s="1" t="str">
        <v/>
      </c>
    </row>
    <row r="751" x14ac:dyDescent="0.25">
      <c r="A751" s="1" t="str">
        <v/>
      </c>
      <c r="B751" s="1" t="str">
        <v/>
      </c>
      <c r="C751" s="1" t="str">
        <v/>
      </c>
      <c r="D751" s="1" t="str">
        <v/>
      </c>
      <c r="E751" s="1" t="str">
        <v/>
      </c>
      <c r="F751" s="1" t="str">
        <v/>
      </c>
      <c r="G751" s="1" t="str">
        <v/>
      </c>
      <c r="H751" s="1" t="str">
        <v/>
      </c>
      <c r="I751" s="2" t="str">
        <v/>
      </c>
      <c r="J751" s="2" t="str">
        <v/>
      </c>
      <c r="K751" s="2" t="str">
        <v/>
      </c>
      <c r="L751" s="1" t="str">
        <v/>
      </c>
      <c r="M751" s="2" t="str">
        <v/>
      </c>
      <c r="N751" s="2" t="str">
        <v/>
      </c>
      <c r="O751" s="1" t="str">
        <v/>
      </c>
      <c r="P751" s="1" t="str">
        <v/>
      </c>
      <c r="Q751" s="1" t="str">
        <v/>
      </c>
    </row>
    <row r="752" x14ac:dyDescent="0.25">
      <c r="A752" s="1" t="str">
        <v/>
      </c>
      <c r="B752" s="1" t="str">
        <v/>
      </c>
      <c r="C752" s="1" t="str">
        <v/>
      </c>
      <c r="D752" s="1" t="str">
        <v/>
      </c>
      <c r="E752" s="1" t="str">
        <v/>
      </c>
      <c r="F752" s="1" t="str">
        <v/>
      </c>
      <c r="G752" s="1" t="str">
        <v/>
      </c>
      <c r="H752" s="1" t="str">
        <v/>
      </c>
      <c r="I752" s="2" t="str">
        <v/>
      </c>
      <c r="J752" s="2" t="str">
        <v/>
      </c>
      <c r="K752" s="2" t="str">
        <v/>
      </c>
      <c r="L752" s="1" t="str">
        <v/>
      </c>
      <c r="M752" s="2" t="str">
        <v/>
      </c>
      <c r="N752" s="2" t="str">
        <v/>
      </c>
      <c r="O752" s="1" t="str">
        <v/>
      </c>
      <c r="P752" s="1" t="str">
        <v/>
      </c>
      <c r="Q752" s="1" t="str">
        <v/>
      </c>
    </row>
    <row r="753" x14ac:dyDescent="0.25">
      <c r="A753" s="1" t="str">
        <v/>
      </c>
      <c r="B753" s="1" t="str">
        <v/>
      </c>
      <c r="C753" s="1" t="str">
        <v/>
      </c>
      <c r="D753" s="1" t="str">
        <v/>
      </c>
      <c r="E753" s="1" t="str">
        <v/>
      </c>
      <c r="F753" s="1" t="str">
        <v/>
      </c>
      <c r="G753" s="1" t="str">
        <v/>
      </c>
      <c r="H753" s="1" t="str">
        <v/>
      </c>
      <c r="I753" s="2" t="str">
        <v/>
      </c>
      <c r="J753" s="2" t="str">
        <v/>
      </c>
      <c r="K753" s="2" t="str">
        <v/>
      </c>
      <c r="L753" s="1" t="str">
        <v/>
      </c>
      <c r="M753" s="2" t="str">
        <v/>
      </c>
      <c r="N753" s="2" t="str">
        <v/>
      </c>
      <c r="O753" s="1" t="str">
        <v/>
      </c>
      <c r="P753" s="1" t="str">
        <v/>
      </c>
      <c r="Q753" s="1" t="str">
        <v/>
      </c>
    </row>
    <row r="754" x14ac:dyDescent="0.25">
      <c r="A754" s="1" t="str">
        <v/>
      </c>
      <c r="B754" s="1" t="str">
        <v/>
      </c>
      <c r="C754" s="1" t="str">
        <v/>
      </c>
      <c r="D754" s="1" t="str">
        <v/>
      </c>
      <c r="E754" s="1" t="str">
        <v/>
      </c>
      <c r="F754" s="1" t="str">
        <v/>
      </c>
      <c r="G754" s="1" t="str">
        <v/>
      </c>
      <c r="H754" s="1" t="str">
        <v/>
      </c>
      <c r="I754" s="2" t="str">
        <v/>
      </c>
      <c r="J754" s="2" t="str">
        <v/>
      </c>
      <c r="K754" s="2" t="str">
        <v/>
      </c>
      <c r="L754" s="1" t="str">
        <v/>
      </c>
      <c r="M754" s="2" t="str">
        <v/>
      </c>
      <c r="N754" s="2" t="str">
        <v/>
      </c>
      <c r="O754" s="1" t="str">
        <v/>
      </c>
      <c r="P754" s="1" t="str">
        <v/>
      </c>
      <c r="Q754" s="1" t="str">
        <v/>
      </c>
    </row>
    <row r="755" x14ac:dyDescent="0.25">
      <c r="A755" s="1" t="str">
        <v/>
      </c>
      <c r="B755" s="1" t="str">
        <v/>
      </c>
      <c r="C755" s="1" t="str">
        <v/>
      </c>
      <c r="D755" s="1" t="str">
        <v/>
      </c>
      <c r="E755" s="1" t="str">
        <v/>
      </c>
      <c r="F755" s="1" t="str">
        <v/>
      </c>
      <c r="G755" s="1" t="str">
        <v/>
      </c>
      <c r="H755" s="1" t="str">
        <v/>
      </c>
      <c r="I755" s="2" t="str">
        <v/>
      </c>
      <c r="J755" s="2" t="str">
        <v/>
      </c>
      <c r="K755" s="2" t="str">
        <v/>
      </c>
      <c r="L755" s="1" t="str">
        <v/>
      </c>
      <c r="M755" s="2" t="str">
        <v/>
      </c>
      <c r="N755" s="2" t="str">
        <v/>
      </c>
      <c r="O755" s="1" t="str">
        <v/>
      </c>
      <c r="P755" s="1" t="str">
        <v/>
      </c>
      <c r="Q755" s="1" t="str">
        <v/>
      </c>
    </row>
    <row r="756" x14ac:dyDescent="0.25">
      <c r="A756" s="1" t="str">
        <v/>
      </c>
      <c r="B756" s="1" t="str">
        <v/>
      </c>
      <c r="C756" s="1" t="str">
        <v/>
      </c>
      <c r="D756" s="1" t="str">
        <v/>
      </c>
      <c r="E756" s="1" t="str">
        <v/>
      </c>
      <c r="F756" s="1" t="str">
        <v/>
      </c>
      <c r="G756" s="1" t="str">
        <v/>
      </c>
      <c r="H756" s="1" t="str">
        <v/>
      </c>
      <c r="I756" s="2" t="str">
        <v/>
      </c>
      <c r="J756" s="2" t="str">
        <v/>
      </c>
      <c r="K756" s="2" t="str">
        <v/>
      </c>
      <c r="L756" s="1" t="str">
        <v/>
      </c>
      <c r="M756" s="2" t="str">
        <v/>
      </c>
      <c r="N756" s="2" t="str">
        <v/>
      </c>
      <c r="O756" s="1" t="str">
        <v/>
      </c>
      <c r="P756" s="1" t="str">
        <v/>
      </c>
      <c r="Q756" s="1" t="str">
        <v/>
      </c>
    </row>
    <row r="757" x14ac:dyDescent="0.25">
      <c r="A757" s="1" t="str">
        <v/>
      </c>
      <c r="B757" s="1" t="str">
        <v/>
      </c>
      <c r="C757" s="1" t="str">
        <v/>
      </c>
      <c r="D757" s="1" t="str">
        <v/>
      </c>
      <c r="E757" s="1" t="str">
        <v/>
      </c>
      <c r="F757" s="1" t="str">
        <v/>
      </c>
      <c r="G757" s="1" t="str">
        <v/>
      </c>
      <c r="H757" s="1" t="str">
        <v/>
      </c>
      <c r="I757" s="2" t="str">
        <v/>
      </c>
      <c r="J757" s="2" t="str">
        <v/>
      </c>
      <c r="K757" s="2" t="str">
        <v/>
      </c>
      <c r="L757" s="1" t="str">
        <v/>
      </c>
      <c r="M757" s="2" t="str">
        <v/>
      </c>
      <c r="N757" s="2" t="str">
        <v/>
      </c>
      <c r="O757" s="1" t="str">
        <v/>
      </c>
      <c r="P757" s="1" t="str">
        <v/>
      </c>
      <c r="Q757" s="1" t="str">
        <v/>
      </c>
    </row>
    <row r="758" x14ac:dyDescent="0.25">
      <c r="A758" s="1" t="str">
        <v/>
      </c>
      <c r="B758" s="1" t="str">
        <v/>
      </c>
      <c r="C758" s="1" t="str">
        <v/>
      </c>
      <c r="D758" s="1" t="str">
        <v/>
      </c>
      <c r="E758" s="1" t="str">
        <v/>
      </c>
      <c r="F758" s="1" t="str">
        <v/>
      </c>
      <c r="G758" s="1" t="str">
        <v/>
      </c>
      <c r="H758" s="1" t="str">
        <v/>
      </c>
      <c r="I758" s="2" t="str">
        <v/>
      </c>
      <c r="J758" s="2" t="str">
        <v/>
      </c>
      <c r="K758" s="2" t="str">
        <v/>
      </c>
      <c r="L758" s="1" t="str">
        <v/>
      </c>
      <c r="M758" s="2" t="str">
        <v/>
      </c>
      <c r="N758" s="2" t="str">
        <v/>
      </c>
      <c r="O758" s="1" t="str">
        <v/>
      </c>
      <c r="P758" s="1" t="str">
        <v/>
      </c>
      <c r="Q758" s="1" t="str">
        <v/>
      </c>
    </row>
    <row r="759" x14ac:dyDescent="0.25">
      <c r="A759" s="1" t="str">
        <v/>
      </c>
      <c r="B759" s="1" t="str">
        <v/>
      </c>
      <c r="C759" s="1" t="str">
        <v/>
      </c>
      <c r="D759" s="1" t="str">
        <v/>
      </c>
      <c r="E759" s="1" t="str">
        <v/>
      </c>
      <c r="F759" s="1" t="str">
        <v/>
      </c>
      <c r="G759" s="1" t="str">
        <v/>
      </c>
      <c r="H759" s="1" t="str">
        <v/>
      </c>
      <c r="I759" s="2" t="str">
        <v/>
      </c>
      <c r="J759" s="2" t="str">
        <v/>
      </c>
      <c r="K759" s="2" t="str">
        <v/>
      </c>
      <c r="L759" s="1" t="str">
        <v/>
      </c>
      <c r="M759" s="2" t="str">
        <v/>
      </c>
      <c r="N759" s="2" t="str">
        <v/>
      </c>
      <c r="O759" s="1" t="str">
        <v/>
      </c>
      <c r="P759" s="1" t="str">
        <v/>
      </c>
      <c r="Q759" s="1" t="str">
        <v/>
      </c>
    </row>
    <row r="760" x14ac:dyDescent="0.25">
      <c r="A760" s="1" t="str">
        <v/>
      </c>
      <c r="B760" s="1" t="str">
        <v/>
      </c>
      <c r="C760" s="1" t="str">
        <v/>
      </c>
      <c r="D760" s="1" t="str">
        <v/>
      </c>
      <c r="E760" s="1" t="str">
        <v/>
      </c>
      <c r="F760" s="1" t="str">
        <v/>
      </c>
      <c r="G760" s="1" t="str">
        <v/>
      </c>
      <c r="H760" s="1" t="str">
        <v/>
      </c>
      <c r="I760" s="2" t="str">
        <v/>
      </c>
      <c r="J760" s="2" t="str">
        <v/>
      </c>
      <c r="K760" s="2" t="str">
        <v/>
      </c>
      <c r="L760" s="1" t="str">
        <v/>
      </c>
      <c r="M760" s="2" t="str">
        <v/>
      </c>
      <c r="N760" s="2" t="str">
        <v/>
      </c>
      <c r="O760" s="1" t="str">
        <v/>
      </c>
      <c r="P760" s="1" t="str">
        <v/>
      </c>
      <c r="Q760" s="1" t="str">
        <v/>
      </c>
    </row>
    <row r="761" x14ac:dyDescent="0.25">
      <c r="A761" s="1" t="str">
        <v/>
      </c>
      <c r="B761" s="1" t="str">
        <v/>
      </c>
      <c r="C761" s="1" t="str">
        <v/>
      </c>
      <c r="D761" s="1" t="str">
        <v/>
      </c>
      <c r="E761" s="1" t="str">
        <v/>
      </c>
      <c r="F761" s="1" t="str">
        <v/>
      </c>
      <c r="G761" s="1" t="str">
        <v/>
      </c>
      <c r="H761" s="1" t="str">
        <v/>
      </c>
      <c r="I761" s="2" t="str">
        <v/>
      </c>
      <c r="J761" s="2" t="str">
        <v/>
      </c>
      <c r="K761" s="2" t="str">
        <v/>
      </c>
      <c r="L761" s="1" t="str">
        <v/>
      </c>
      <c r="M761" s="2" t="str">
        <v/>
      </c>
      <c r="N761" s="2" t="str">
        <v/>
      </c>
      <c r="O761" s="1" t="str">
        <v/>
      </c>
      <c r="P761" s="1" t="str">
        <v/>
      </c>
      <c r="Q761" s="1" t="str">
        <v/>
      </c>
    </row>
    <row r="762" x14ac:dyDescent="0.25">
      <c r="A762" s="1" t="str">
        <v/>
      </c>
      <c r="B762" s="1" t="str">
        <v/>
      </c>
      <c r="C762" s="1" t="str">
        <v/>
      </c>
      <c r="D762" s="1" t="str">
        <v/>
      </c>
      <c r="E762" s="1" t="str">
        <v/>
      </c>
      <c r="F762" s="1" t="str">
        <v/>
      </c>
      <c r="G762" s="1" t="str">
        <v/>
      </c>
      <c r="H762" s="1" t="str">
        <v/>
      </c>
      <c r="I762" s="2" t="str">
        <v/>
      </c>
      <c r="J762" s="2" t="str">
        <v/>
      </c>
      <c r="K762" s="2" t="str">
        <v/>
      </c>
      <c r="L762" s="1" t="str">
        <v/>
      </c>
      <c r="M762" s="2" t="str">
        <v/>
      </c>
      <c r="N762" s="2" t="str">
        <v/>
      </c>
      <c r="O762" s="1" t="str">
        <v/>
      </c>
      <c r="P762" s="1" t="str">
        <v/>
      </c>
      <c r="Q762" s="1" t="str">
        <v/>
      </c>
    </row>
    <row r="763" x14ac:dyDescent="0.25">
      <c r="A763" s="1" t="str">
        <v/>
      </c>
      <c r="B763" s="1" t="str">
        <v/>
      </c>
      <c r="C763" s="1" t="str">
        <v/>
      </c>
      <c r="D763" s="1" t="str">
        <v/>
      </c>
      <c r="E763" s="1" t="str">
        <v/>
      </c>
      <c r="F763" s="1" t="str">
        <v/>
      </c>
      <c r="G763" s="1" t="str">
        <v/>
      </c>
      <c r="H763" s="1" t="str">
        <v/>
      </c>
      <c r="I763" s="2" t="str">
        <v/>
      </c>
      <c r="J763" s="2" t="str">
        <v/>
      </c>
      <c r="K763" s="2" t="str">
        <v/>
      </c>
      <c r="L763" s="1" t="str">
        <v/>
      </c>
      <c r="M763" s="2" t="str">
        <v/>
      </c>
      <c r="N763" s="2" t="str">
        <v/>
      </c>
      <c r="O763" s="1" t="str">
        <v/>
      </c>
      <c r="P763" s="1" t="str">
        <v/>
      </c>
      <c r="Q763" s="1" t="str">
        <v/>
      </c>
    </row>
    <row r="764" x14ac:dyDescent="0.25">
      <c r="A764" s="1" t="str">
        <v/>
      </c>
      <c r="B764" s="1" t="str">
        <v/>
      </c>
      <c r="C764" s="1" t="str">
        <v/>
      </c>
      <c r="D764" s="1" t="str">
        <v/>
      </c>
      <c r="E764" s="1" t="str">
        <v/>
      </c>
      <c r="F764" s="1" t="str">
        <v/>
      </c>
      <c r="G764" s="1" t="str">
        <v/>
      </c>
      <c r="H764" s="1" t="str">
        <v/>
      </c>
      <c r="I764" s="2" t="str">
        <v/>
      </c>
      <c r="J764" s="2" t="str">
        <v/>
      </c>
      <c r="K764" s="2" t="str">
        <v/>
      </c>
      <c r="L764" s="1" t="str">
        <v/>
      </c>
      <c r="M764" s="2" t="str">
        <v/>
      </c>
      <c r="N764" s="2" t="str">
        <v/>
      </c>
      <c r="O764" s="1" t="str">
        <v/>
      </c>
      <c r="P764" s="1" t="str">
        <v/>
      </c>
      <c r="Q764" s="1" t="str">
        <v/>
      </c>
    </row>
    <row r="765" x14ac:dyDescent="0.25">
      <c r="A765" s="1" t="str">
        <v/>
      </c>
      <c r="B765" s="1" t="str">
        <v/>
      </c>
      <c r="C765" s="1" t="str">
        <v/>
      </c>
      <c r="D765" s="1" t="str">
        <v/>
      </c>
      <c r="E765" s="1" t="str">
        <v/>
      </c>
      <c r="F765" s="1" t="str">
        <v/>
      </c>
      <c r="G765" s="1" t="str">
        <v/>
      </c>
      <c r="H765" s="1" t="str">
        <v/>
      </c>
      <c r="I765" s="2" t="str">
        <v/>
      </c>
      <c r="J765" s="2" t="str">
        <v/>
      </c>
      <c r="K765" s="2" t="str">
        <v/>
      </c>
      <c r="L765" s="1" t="str">
        <v/>
      </c>
      <c r="M765" s="2" t="str">
        <v/>
      </c>
      <c r="N765" s="2" t="str">
        <v/>
      </c>
      <c r="O765" s="1" t="str">
        <v/>
      </c>
      <c r="P765" s="1" t="str">
        <v/>
      </c>
      <c r="Q765" s="1" t="str">
        <v/>
      </c>
    </row>
    <row r="766" x14ac:dyDescent="0.25">
      <c r="A766" s="1" t="str">
        <v/>
      </c>
      <c r="B766" s="1" t="str">
        <v/>
      </c>
      <c r="C766" s="1" t="str">
        <v/>
      </c>
      <c r="D766" s="1" t="str">
        <v/>
      </c>
      <c r="E766" s="1" t="str">
        <v/>
      </c>
      <c r="F766" s="1" t="str">
        <v/>
      </c>
      <c r="G766" s="1" t="str">
        <v/>
      </c>
      <c r="H766" s="1" t="str">
        <v/>
      </c>
      <c r="I766" s="2" t="str">
        <v/>
      </c>
      <c r="J766" s="2" t="str">
        <v/>
      </c>
      <c r="K766" s="2" t="str">
        <v/>
      </c>
      <c r="L766" s="1" t="str">
        <v/>
      </c>
      <c r="M766" s="2" t="str">
        <v/>
      </c>
      <c r="N766" s="2" t="str">
        <v/>
      </c>
      <c r="O766" s="1" t="str">
        <v/>
      </c>
      <c r="P766" s="1" t="str">
        <v/>
      </c>
      <c r="Q766" s="1" t="str">
        <v/>
      </c>
    </row>
    <row r="767" x14ac:dyDescent="0.25">
      <c r="A767" s="1" t="str">
        <v/>
      </c>
      <c r="B767" s="1" t="str">
        <v/>
      </c>
      <c r="C767" s="1" t="str">
        <v/>
      </c>
      <c r="D767" s="1" t="str">
        <v/>
      </c>
      <c r="E767" s="1" t="str">
        <v/>
      </c>
      <c r="F767" s="1" t="str">
        <v/>
      </c>
      <c r="G767" s="1" t="str">
        <v/>
      </c>
      <c r="H767" s="1" t="str">
        <v/>
      </c>
      <c r="I767" s="2" t="str">
        <v/>
      </c>
      <c r="J767" s="2" t="str">
        <v/>
      </c>
      <c r="K767" s="2" t="str">
        <v/>
      </c>
      <c r="L767" s="1" t="str">
        <v/>
      </c>
      <c r="M767" s="2" t="str">
        <v/>
      </c>
      <c r="N767" s="2" t="str">
        <v/>
      </c>
      <c r="O767" s="1" t="str">
        <v/>
      </c>
      <c r="P767" s="1" t="str">
        <v/>
      </c>
      <c r="Q767" s="1" t="str">
        <v/>
      </c>
    </row>
    <row r="768" x14ac:dyDescent="0.25">
      <c r="A768" s="1" t="str">
        <v/>
      </c>
      <c r="B768" s="1" t="str">
        <v/>
      </c>
      <c r="C768" s="1" t="str">
        <v/>
      </c>
      <c r="D768" s="1" t="str">
        <v/>
      </c>
      <c r="E768" s="1" t="str">
        <v/>
      </c>
      <c r="F768" s="1" t="str">
        <v/>
      </c>
      <c r="G768" s="1" t="str">
        <v/>
      </c>
      <c r="H768" s="1" t="str">
        <v/>
      </c>
      <c r="I768" s="2" t="str">
        <v/>
      </c>
      <c r="J768" s="2" t="str">
        <v/>
      </c>
      <c r="K768" s="2" t="str">
        <v/>
      </c>
      <c r="L768" s="1" t="str">
        <v/>
      </c>
      <c r="M768" s="2" t="str">
        <v/>
      </c>
      <c r="N768" s="2" t="str">
        <v/>
      </c>
      <c r="O768" s="1" t="str">
        <v/>
      </c>
      <c r="P768" s="1" t="str">
        <v/>
      </c>
      <c r="Q768" s="1" t="str">
        <v/>
      </c>
    </row>
    <row r="769" x14ac:dyDescent="0.25">
      <c r="A769" s="1" t="str">
        <v/>
      </c>
      <c r="B769" s="1" t="str">
        <v/>
      </c>
      <c r="C769" s="1" t="str">
        <v/>
      </c>
      <c r="D769" s="1" t="str">
        <v/>
      </c>
      <c r="E769" s="1" t="str">
        <v/>
      </c>
      <c r="F769" s="1" t="str">
        <v/>
      </c>
      <c r="G769" s="1" t="str">
        <v/>
      </c>
      <c r="H769" s="1" t="str">
        <v/>
      </c>
      <c r="I769" s="2" t="str">
        <v/>
      </c>
      <c r="J769" s="2" t="str">
        <v/>
      </c>
      <c r="K769" s="2" t="str">
        <v/>
      </c>
      <c r="L769" s="1" t="str">
        <v/>
      </c>
      <c r="M769" s="2" t="str">
        <v/>
      </c>
      <c r="N769" s="2" t="str">
        <v/>
      </c>
      <c r="O769" s="1" t="str">
        <v/>
      </c>
      <c r="P769" s="1" t="str">
        <v/>
      </c>
      <c r="Q769" s="1" t="str">
        <v/>
      </c>
    </row>
    <row r="770" x14ac:dyDescent="0.25">
      <c r="A770" s="1" t="str">
        <v/>
      </c>
      <c r="B770" s="1" t="str">
        <v/>
      </c>
      <c r="C770" s="1" t="str">
        <v/>
      </c>
      <c r="D770" s="1" t="str">
        <v/>
      </c>
      <c r="E770" s="1" t="str">
        <v/>
      </c>
      <c r="F770" s="1" t="str">
        <v/>
      </c>
      <c r="G770" s="1" t="str">
        <v/>
      </c>
      <c r="H770" s="1" t="str">
        <v/>
      </c>
      <c r="I770" s="2" t="str">
        <v/>
      </c>
      <c r="J770" s="2" t="str">
        <v/>
      </c>
      <c r="K770" s="2" t="str">
        <v/>
      </c>
      <c r="L770" s="1" t="str">
        <v/>
      </c>
      <c r="M770" s="2" t="str">
        <v/>
      </c>
      <c r="N770" s="2" t="str">
        <v/>
      </c>
      <c r="O770" s="1" t="str">
        <v/>
      </c>
      <c r="P770" s="1" t="str">
        <v/>
      </c>
      <c r="Q770" s="1" t="str">
        <v/>
      </c>
    </row>
    <row r="771" x14ac:dyDescent="0.25">
      <c r="A771" s="1" t="str">
        <v/>
      </c>
      <c r="B771" s="1" t="str">
        <v/>
      </c>
      <c r="C771" s="1" t="str">
        <v/>
      </c>
      <c r="D771" s="1" t="str">
        <v/>
      </c>
      <c r="E771" s="1" t="str">
        <v/>
      </c>
      <c r="F771" s="1" t="str">
        <v/>
      </c>
      <c r="G771" s="1" t="str">
        <v/>
      </c>
      <c r="H771" s="1" t="str">
        <v/>
      </c>
      <c r="I771" s="2" t="str">
        <v/>
      </c>
      <c r="J771" s="2" t="str">
        <v/>
      </c>
      <c r="K771" s="2" t="str">
        <v/>
      </c>
      <c r="L771" s="1" t="str">
        <v/>
      </c>
      <c r="M771" s="2" t="str">
        <v/>
      </c>
      <c r="N771" s="2" t="str">
        <v/>
      </c>
      <c r="O771" s="1" t="str">
        <v/>
      </c>
      <c r="P771" s="1" t="str">
        <v/>
      </c>
      <c r="Q771" s="1" t="str">
        <v/>
      </c>
    </row>
    <row r="772" x14ac:dyDescent="0.25">
      <c r="A772" s="1" t="str">
        <v/>
      </c>
      <c r="B772" s="1" t="str">
        <v/>
      </c>
      <c r="C772" s="1" t="str">
        <v/>
      </c>
      <c r="D772" s="1" t="str">
        <v/>
      </c>
      <c r="E772" s="1" t="str">
        <v/>
      </c>
      <c r="F772" s="1" t="str">
        <v/>
      </c>
      <c r="G772" s="1" t="str">
        <v/>
      </c>
      <c r="H772" s="1" t="str">
        <v/>
      </c>
      <c r="I772" s="2" t="str">
        <v/>
      </c>
      <c r="J772" s="2" t="str">
        <v/>
      </c>
      <c r="K772" s="2" t="str">
        <v/>
      </c>
      <c r="L772" s="1" t="str">
        <v/>
      </c>
      <c r="M772" s="2" t="str">
        <v/>
      </c>
      <c r="N772" s="2" t="str">
        <v/>
      </c>
      <c r="O772" s="1" t="str">
        <v/>
      </c>
      <c r="P772" s="1" t="str">
        <v/>
      </c>
      <c r="Q772" s="1" t="str">
        <v/>
      </c>
    </row>
    <row r="773" x14ac:dyDescent="0.25">
      <c r="A773" s="1" t="str">
        <v/>
      </c>
      <c r="B773" s="1" t="str">
        <v/>
      </c>
      <c r="C773" s="1" t="str">
        <v/>
      </c>
      <c r="D773" s="1" t="str">
        <v/>
      </c>
      <c r="E773" s="1" t="str">
        <v/>
      </c>
      <c r="F773" s="1" t="str">
        <v/>
      </c>
      <c r="G773" s="1" t="str">
        <v/>
      </c>
      <c r="H773" s="1" t="str">
        <v/>
      </c>
      <c r="I773" s="2" t="str">
        <v/>
      </c>
      <c r="J773" s="2" t="str">
        <v/>
      </c>
      <c r="K773" s="2" t="str">
        <v/>
      </c>
      <c r="L773" s="1" t="str">
        <v/>
      </c>
      <c r="M773" s="2" t="str">
        <v/>
      </c>
      <c r="N773" s="2" t="str">
        <v/>
      </c>
      <c r="O773" s="1" t="str">
        <v/>
      </c>
      <c r="P773" s="1" t="str">
        <v/>
      </c>
      <c r="Q773" s="1" t="str">
        <v/>
      </c>
    </row>
    <row r="774" x14ac:dyDescent="0.25">
      <c r="A774" s="1" t="str">
        <v/>
      </c>
      <c r="B774" s="1" t="str">
        <v/>
      </c>
      <c r="C774" s="1" t="str">
        <v/>
      </c>
      <c r="D774" s="1" t="str">
        <v/>
      </c>
      <c r="E774" s="1" t="str">
        <v/>
      </c>
      <c r="F774" s="1" t="str">
        <v/>
      </c>
      <c r="G774" s="1" t="str">
        <v/>
      </c>
      <c r="H774" s="1" t="str">
        <v/>
      </c>
      <c r="I774" s="2" t="str">
        <v/>
      </c>
      <c r="J774" s="2" t="str">
        <v/>
      </c>
      <c r="K774" s="2" t="str">
        <v/>
      </c>
      <c r="L774" s="1" t="str">
        <v/>
      </c>
      <c r="M774" s="2" t="str">
        <v/>
      </c>
      <c r="N774" s="2" t="str">
        <v/>
      </c>
      <c r="O774" s="1" t="str">
        <v/>
      </c>
      <c r="P774" s="1" t="str">
        <v/>
      </c>
      <c r="Q774" s="1" t="str">
        <v/>
      </c>
    </row>
    <row r="775" x14ac:dyDescent="0.25">
      <c r="A775" s="1" t="str">
        <v/>
      </c>
      <c r="B775" s="1" t="str">
        <v/>
      </c>
      <c r="C775" s="1" t="str">
        <v/>
      </c>
      <c r="D775" s="1" t="str">
        <v/>
      </c>
      <c r="E775" s="1" t="str">
        <v/>
      </c>
      <c r="F775" s="1" t="str">
        <v/>
      </c>
      <c r="G775" s="1" t="str">
        <v/>
      </c>
      <c r="H775" s="1" t="str">
        <v/>
      </c>
      <c r="I775" s="2" t="str">
        <v/>
      </c>
      <c r="J775" s="2" t="str">
        <v/>
      </c>
      <c r="K775" s="2" t="str">
        <v/>
      </c>
      <c r="L775" s="1" t="str">
        <v/>
      </c>
      <c r="M775" s="2" t="str">
        <v/>
      </c>
      <c r="N775" s="2" t="str">
        <v/>
      </c>
      <c r="O775" s="1" t="str">
        <v/>
      </c>
      <c r="P775" s="1" t="str">
        <v/>
      </c>
      <c r="Q775" s="1" t="str">
        <v/>
      </c>
    </row>
    <row r="776" x14ac:dyDescent="0.25">
      <c r="A776" s="1" t="str">
        <v/>
      </c>
      <c r="B776" s="1" t="str">
        <v/>
      </c>
      <c r="C776" s="1" t="str">
        <v/>
      </c>
      <c r="D776" s="1" t="str">
        <v/>
      </c>
      <c r="E776" s="1" t="str">
        <v/>
      </c>
      <c r="F776" s="1" t="str">
        <v/>
      </c>
      <c r="G776" s="1" t="str">
        <v/>
      </c>
      <c r="H776" s="1" t="str">
        <v/>
      </c>
      <c r="I776" s="2" t="str">
        <v/>
      </c>
      <c r="J776" s="2" t="str">
        <v/>
      </c>
      <c r="K776" s="2" t="str">
        <v/>
      </c>
      <c r="L776" s="1" t="str">
        <v/>
      </c>
      <c r="M776" s="2" t="str">
        <v/>
      </c>
      <c r="N776" s="2" t="str">
        <v/>
      </c>
      <c r="O776" s="1" t="str">
        <v/>
      </c>
      <c r="P776" s="1" t="str">
        <v/>
      </c>
      <c r="Q776" s="1" t="str">
        <v/>
      </c>
    </row>
    <row r="777" x14ac:dyDescent="0.25">
      <c r="A777" s="1" t="str">
        <v/>
      </c>
      <c r="B777" s="1" t="str">
        <v/>
      </c>
      <c r="C777" s="1" t="str">
        <v/>
      </c>
      <c r="D777" s="1" t="str">
        <v/>
      </c>
      <c r="E777" s="1" t="str">
        <v/>
      </c>
      <c r="F777" s="1" t="str">
        <v/>
      </c>
      <c r="G777" s="1" t="str">
        <v/>
      </c>
      <c r="H777" s="1" t="str">
        <v/>
      </c>
      <c r="I777" s="2" t="str">
        <v/>
      </c>
      <c r="J777" s="2" t="str">
        <v/>
      </c>
      <c r="K777" s="2" t="str">
        <v/>
      </c>
      <c r="L777" s="1" t="str">
        <v/>
      </c>
      <c r="M777" s="2" t="str">
        <v/>
      </c>
      <c r="N777" s="2" t="str">
        <v/>
      </c>
      <c r="O777" s="1" t="str">
        <v/>
      </c>
      <c r="P777" s="1" t="str">
        <v/>
      </c>
      <c r="Q777" s="1" t="str">
        <v/>
      </c>
    </row>
    <row r="778" x14ac:dyDescent="0.25">
      <c r="A778" s="1" t="str">
        <v/>
      </c>
      <c r="B778" s="1" t="str">
        <v/>
      </c>
      <c r="C778" s="1" t="str">
        <v/>
      </c>
      <c r="D778" s="1" t="str">
        <v/>
      </c>
      <c r="E778" s="1" t="str">
        <v/>
      </c>
      <c r="F778" s="1" t="str">
        <v/>
      </c>
      <c r="G778" s="1" t="str">
        <v/>
      </c>
      <c r="H778" s="1" t="str">
        <v/>
      </c>
      <c r="I778" s="2" t="str">
        <v/>
      </c>
      <c r="J778" s="2" t="str">
        <v/>
      </c>
      <c r="K778" s="2" t="str">
        <v/>
      </c>
      <c r="L778" s="1" t="str">
        <v/>
      </c>
      <c r="M778" s="2" t="str">
        <v/>
      </c>
      <c r="N778" s="2" t="str">
        <v/>
      </c>
      <c r="O778" s="1" t="str">
        <v/>
      </c>
      <c r="P778" s="1" t="str">
        <v/>
      </c>
      <c r="Q778" s="1" t="str">
        <v/>
      </c>
    </row>
    <row r="779" x14ac:dyDescent="0.25">
      <c r="A779" s="1" t="str">
        <v/>
      </c>
      <c r="B779" s="1" t="str">
        <v/>
      </c>
      <c r="C779" s="1" t="str">
        <v/>
      </c>
      <c r="D779" s="1" t="str">
        <v/>
      </c>
      <c r="E779" s="1" t="str">
        <v/>
      </c>
      <c r="F779" s="1" t="str">
        <v/>
      </c>
      <c r="G779" s="1" t="str">
        <v/>
      </c>
      <c r="H779" s="1" t="str">
        <v/>
      </c>
      <c r="I779" s="2" t="str">
        <v/>
      </c>
      <c r="J779" s="2" t="str">
        <v/>
      </c>
      <c r="K779" s="2" t="str">
        <v/>
      </c>
      <c r="L779" s="1" t="str">
        <v/>
      </c>
      <c r="M779" s="2" t="str">
        <v/>
      </c>
      <c r="N779" s="2" t="str">
        <v/>
      </c>
      <c r="O779" s="1" t="str">
        <v/>
      </c>
      <c r="P779" s="1" t="str">
        <v/>
      </c>
      <c r="Q779" s="1" t="str">
        <v/>
      </c>
    </row>
    <row r="780" x14ac:dyDescent="0.25">
      <c r="A780" s="1" t="str">
        <v/>
      </c>
      <c r="B780" s="1" t="str">
        <v/>
      </c>
      <c r="C780" s="1" t="str">
        <v/>
      </c>
      <c r="D780" s="1" t="str">
        <v/>
      </c>
      <c r="E780" s="1" t="str">
        <v/>
      </c>
      <c r="F780" s="1" t="str">
        <v/>
      </c>
      <c r="G780" s="1" t="str">
        <v/>
      </c>
      <c r="H780" s="1" t="str">
        <v/>
      </c>
      <c r="I780" s="2" t="str">
        <v/>
      </c>
      <c r="J780" s="2" t="str">
        <v/>
      </c>
      <c r="K780" s="2" t="str">
        <v/>
      </c>
      <c r="L780" s="1" t="str">
        <v/>
      </c>
      <c r="M780" s="2" t="str">
        <v/>
      </c>
      <c r="N780" s="2" t="str">
        <v/>
      </c>
      <c r="O780" s="1" t="str">
        <v/>
      </c>
      <c r="P780" s="1" t="str">
        <v/>
      </c>
      <c r="Q780" s="1" t="str">
        <v/>
      </c>
    </row>
    <row r="781" x14ac:dyDescent="0.25">
      <c r="A781" s="1" t="str">
        <v/>
      </c>
      <c r="B781" s="1" t="str">
        <v/>
      </c>
      <c r="C781" s="1" t="str">
        <v/>
      </c>
      <c r="D781" s="1" t="str">
        <v/>
      </c>
      <c r="E781" s="1" t="str">
        <v/>
      </c>
      <c r="F781" s="1" t="str">
        <v/>
      </c>
      <c r="G781" s="1" t="str">
        <v/>
      </c>
      <c r="H781" s="1" t="str">
        <v/>
      </c>
      <c r="I781" s="2" t="str">
        <v/>
      </c>
      <c r="J781" s="2" t="str">
        <v/>
      </c>
      <c r="K781" s="2" t="str">
        <v/>
      </c>
      <c r="L781" s="1" t="str">
        <v/>
      </c>
      <c r="M781" s="2" t="str">
        <v/>
      </c>
      <c r="N781" s="2" t="str">
        <v/>
      </c>
      <c r="O781" s="1" t="str">
        <v/>
      </c>
      <c r="P781" s="1" t="str">
        <v/>
      </c>
      <c r="Q781" s="1" t="str">
        <v/>
      </c>
    </row>
    <row r="782" x14ac:dyDescent="0.25">
      <c r="A782" s="1" t="str">
        <v/>
      </c>
      <c r="B782" s="1" t="str">
        <v/>
      </c>
      <c r="C782" s="1" t="str">
        <v/>
      </c>
      <c r="D782" s="1" t="str">
        <v/>
      </c>
      <c r="E782" s="1" t="str">
        <v/>
      </c>
      <c r="F782" s="1" t="str">
        <v/>
      </c>
      <c r="G782" s="1" t="str">
        <v/>
      </c>
      <c r="H782" s="1" t="str">
        <v/>
      </c>
      <c r="I782" s="2" t="str">
        <v/>
      </c>
      <c r="J782" s="2" t="str">
        <v/>
      </c>
      <c r="K782" s="2" t="str">
        <v/>
      </c>
      <c r="L782" s="1" t="str">
        <v/>
      </c>
      <c r="M782" s="2" t="str">
        <v/>
      </c>
      <c r="N782" s="2" t="str">
        <v/>
      </c>
      <c r="O782" s="1" t="str">
        <v/>
      </c>
      <c r="P782" s="1" t="str">
        <v/>
      </c>
      <c r="Q782" s="1" t="str">
        <v/>
      </c>
    </row>
    <row r="783" x14ac:dyDescent="0.25">
      <c r="A783" s="1" t="str">
        <v/>
      </c>
      <c r="B783" s="1" t="str">
        <v/>
      </c>
      <c r="C783" s="1" t="str">
        <v/>
      </c>
      <c r="D783" s="1" t="str">
        <v/>
      </c>
      <c r="E783" s="1" t="str">
        <v/>
      </c>
      <c r="F783" s="1" t="str">
        <v/>
      </c>
      <c r="G783" s="1" t="str">
        <v/>
      </c>
      <c r="H783" s="1" t="str">
        <v/>
      </c>
      <c r="I783" s="2" t="str">
        <v/>
      </c>
      <c r="J783" s="2" t="str">
        <v/>
      </c>
      <c r="K783" s="2" t="str">
        <v/>
      </c>
      <c r="L783" s="1" t="str">
        <v/>
      </c>
      <c r="M783" s="2" t="str">
        <v/>
      </c>
      <c r="N783" s="2" t="str">
        <v/>
      </c>
      <c r="O783" s="1" t="str">
        <v/>
      </c>
      <c r="P783" s="1" t="str">
        <v/>
      </c>
      <c r="Q783" s="1" t="str">
        <v/>
      </c>
    </row>
    <row r="784" x14ac:dyDescent="0.25">
      <c r="A784" s="1" t="str">
        <v/>
      </c>
      <c r="B784" s="1" t="str">
        <v/>
      </c>
      <c r="C784" s="1" t="str">
        <v/>
      </c>
      <c r="D784" s="1" t="str">
        <v/>
      </c>
      <c r="E784" s="1" t="str">
        <v/>
      </c>
      <c r="F784" s="1" t="str">
        <v/>
      </c>
      <c r="G784" s="1" t="str">
        <v/>
      </c>
      <c r="H784" s="1" t="str">
        <v/>
      </c>
      <c r="I784" s="2" t="str">
        <v/>
      </c>
      <c r="J784" s="2" t="str">
        <v/>
      </c>
      <c r="K784" s="2" t="str">
        <v/>
      </c>
      <c r="L784" s="1" t="str">
        <v/>
      </c>
      <c r="M784" s="2" t="str">
        <v/>
      </c>
      <c r="N784" s="2" t="str">
        <v/>
      </c>
      <c r="O784" s="1" t="str">
        <v/>
      </c>
      <c r="P784" s="1" t="str">
        <v/>
      </c>
      <c r="Q784" s="1" t="str">
        <v/>
      </c>
    </row>
    <row r="785" x14ac:dyDescent="0.25">
      <c r="A785" s="1" t="str">
        <v/>
      </c>
      <c r="B785" s="1" t="str">
        <v/>
      </c>
      <c r="C785" s="1" t="str">
        <v/>
      </c>
      <c r="D785" s="1" t="str">
        <v/>
      </c>
      <c r="E785" s="1" t="str">
        <v/>
      </c>
      <c r="F785" s="1" t="str">
        <v/>
      </c>
      <c r="G785" s="1" t="str">
        <v/>
      </c>
      <c r="H785" s="1" t="str">
        <v/>
      </c>
      <c r="I785" s="2" t="str">
        <v/>
      </c>
      <c r="J785" s="2" t="str">
        <v/>
      </c>
      <c r="K785" s="2" t="str">
        <v/>
      </c>
      <c r="L785" s="1" t="str">
        <v/>
      </c>
      <c r="M785" s="2" t="str">
        <v/>
      </c>
      <c r="N785" s="2" t="str">
        <v/>
      </c>
      <c r="O785" s="1" t="str">
        <v/>
      </c>
      <c r="P785" s="1" t="str">
        <v/>
      </c>
      <c r="Q785" s="1" t="str">
        <v/>
      </c>
    </row>
    <row r="786" x14ac:dyDescent="0.25">
      <c r="A786" s="1" t="str">
        <v/>
      </c>
      <c r="B786" s="1" t="str">
        <v/>
      </c>
      <c r="C786" s="1" t="str">
        <v/>
      </c>
      <c r="D786" s="1" t="str">
        <v/>
      </c>
      <c r="E786" s="1" t="str">
        <v/>
      </c>
      <c r="F786" s="1" t="str">
        <v/>
      </c>
      <c r="G786" s="1" t="str">
        <v/>
      </c>
      <c r="H786" s="1" t="str">
        <v/>
      </c>
      <c r="I786" s="2" t="str">
        <v/>
      </c>
      <c r="J786" s="2" t="str">
        <v/>
      </c>
      <c r="K786" s="2" t="str">
        <v/>
      </c>
      <c r="L786" s="1" t="str">
        <v/>
      </c>
      <c r="M786" s="2" t="str">
        <v/>
      </c>
      <c r="N786" s="2" t="str">
        <v/>
      </c>
      <c r="O786" s="1" t="str">
        <v/>
      </c>
      <c r="P786" s="1" t="str">
        <v/>
      </c>
      <c r="Q786" s="1" t="str">
        <v/>
      </c>
    </row>
    <row r="787" x14ac:dyDescent="0.25">
      <c r="A787" s="1" t="str">
        <v/>
      </c>
      <c r="B787" s="1" t="str">
        <v/>
      </c>
      <c r="C787" s="1" t="str">
        <v/>
      </c>
      <c r="D787" s="1" t="str">
        <v/>
      </c>
      <c r="E787" s="1" t="str">
        <v/>
      </c>
      <c r="F787" s="1" t="str">
        <v/>
      </c>
      <c r="G787" s="1" t="str">
        <v/>
      </c>
      <c r="H787" s="1" t="str">
        <v/>
      </c>
      <c r="I787" s="2" t="str">
        <v/>
      </c>
      <c r="J787" s="2" t="str">
        <v/>
      </c>
      <c r="K787" s="2" t="str">
        <v/>
      </c>
      <c r="L787" s="1" t="str">
        <v/>
      </c>
      <c r="M787" s="2" t="str">
        <v/>
      </c>
      <c r="N787" s="2" t="str">
        <v/>
      </c>
      <c r="O787" s="1" t="str">
        <v/>
      </c>
      <c r="P787" s="1" t="str">
        <v/>
      </c>
      <c r="Q787" s="1" t="str">
        <v/>
      </c>
    </row>
    <row r="788" x14ac:dyDescent="0.25">
      <c r="A788" s="1" t="str">
        <v/>
      </c>
      <c r="B788" s="1" t="str">
        <v/>
      </c>
      <c r="C788" s="1" t="str">
        <v/>
      </c>
      <c r="D788" s="1" t="str">
        <v/>
      </c>
      <c r="E788" s="1" t="str">
        <v/>
      </c>
      <c r="F788" s="1" t="str">
        <v/>
      </c>
      <c r="G788" s="1" t="str">
        <v/>
      </c>
      <c r="H788" s="1" t="str">
        <v/>
      </c>
      <c r="I788" s="2" t="str">
        <v/>
      </c>
      <c r="J788" s="2" t="str">
        <v/>
      </c>
      <c r="K788" s="2" t="str">
        <v/>
      </c>
      <c r="L788" s="1" t="str">
        <v/>
      </c>
      <c r="M788" s="2" t="str">
        <v/>
      </c>
      <c r="N788" s="2" t="str">
        <v/>
      </c>
      <c r="O788" s="1" t="str">
        <v/>
      </c>
      <c r="P788" s="1" t="str">
        <v/>
      </c>
      <c r="Q788" s="1" t="str">
        <v/>
      </c>
    </row>
    <row r="789" x14ac:dyDescent="0.25">
      <c r="A789" s="1" t="str">
        <v/>
      </c>
      <c r="B789" s="1" t="str">
        <v/>
      </c>
      <c r="C789" s="1" t="str">
        <v/>
      </c>
      <c r="D789" s="1" t="str">
        <v/>
      </c>
      <c r="E789" s="1" t="str">
        <v/>
      </c>
      <c r="F789" s="1" t="str">
        <v/>
      </c>
      <c r="G789" s="1" t="str">
        <v/>
      </c>
      <c r="H789" s="1" t="str">
        <v/>
      </c>
      <c r="I789" s="2" t="str">
        <v/>
      </c>
      <c r="J789" s="2" t="str">
        <v/>
      </c>
      <c r="K789" s="2" t="str">
        <v/>
      </c>
      <c r="L789" s="1" t="str">
        <v/>
      </c>
      <c r="M789" s="2" t="str">
        <v/>
      </c>
      <c r="N789" s="2" t="str">
        <v/>
      </c>
      <c r="O789" s="1" t="str">
        <v/>
      </c>
      <c r="P789" s="1" t="str">
        <v/>
      </c>
      <c r="Q789" s="1" t="str">
        <v/>
      </c>
    </row>
    <row r="790" x14ac:dyDescent="0.25">
      <c r="A790" s="1" t="str">
        <v/>
      </c>
      <c r="B790" s="1" t="str">
        <v/>
      </c>
      <c r="C790" s="1" t="str">
        <v/>
      </c>
      <c r="D790" s="1" t="str">
        <v/>
      </c>
      <c r="E790" s="1" t="str">
        <v/>
      </c>
      <c r="F790" s="1" t="str">
        <v/>
      </c>
      <c r="G790" s="1" t="str">
        <v/>
      </c>
      <c r="H790" s="1" t="str">
        <v/>
      </c>
      <c r="I790" s="2" t="str">
        <v/>
      </c>
      <c r="J790" s="2" t="str">
        <v/>
      </c>
      <c r="K790" s="2" t="str">
        <v/>
      </c>
      <c r="L790" s="1" t="str">
        <v/>
      </c>
      <c r="M790" s="2" t="str">
        <v/>
      </c>
      <c r="N790" s="2" t="str">
        <v/>
      </c>
      <c r="O790" s="1" t="str">
        <v/>
      </c>
      <c r="P790" s="1" t="str">
        <v/>
      </c>
      <c r="Q790" s="1" t="str">
        <v/>
      </c>
    </row>
    <row r="791" x14ac:dyDescent="0.25">
      <c r="A791" s="1" t="str">
        <v/>
      </c>
      <c r="B791" s="1" t="str">
        <v/>
      </c>
      <c r="C791" s="1" t="str">
        <v/>
      </c>
      <c r="D791" s="1" t="str">
        <v/>
      </c>
      <c r="E791" s="1" t="str">
        <v/>
      </c>
      <c r="F791" s="1" t="str">
        <v/>
      </c>
      <c r="G791" s="1" t="str">
        <v/>
      </c>
      <c r="H791" s="1" t="str">
        <v/>
      </c>
      <c r="I791" s="2" t="str">
        <v/>
      </c>
      <c r="J791" s="2" t="str">
        <v/>
      </c>
      <c r="K791" s="2" t="str">
        <v/>
      </c>
      <c r="L791" s="1" t="str">
        <v/>
      </c>
      <c r="M791" s="2" t="str">
        <v/>
      </c>
      <c r="N791" s="2" t="str">
        <v/>
      </c>
      <c r="O791" s="1" t="str">
        <v/>
      </c>
      <c r="P791" s="1" t="str">
        <v/>
      </c>
      <c r="Q791" s="1" t="str">
        <v/>
      </c>
    </row>
    <row r="792" x14ac:dyDescent="0.25">
      <c r="A792" s="1" t="str">
        <v/>
      </c>
      <c r="B792" s="1" t="str">
        <v/>
      </c>
      <c r="C792" s="1" t="str">
        <v/>
      </c>
      <c r="D792" s="1" t="str">
        <v/>
      </c>
      <c r="E792" s="1" t="str">
        <v/>
      </c>
      <c r="F792" s="1" t="str">
        <v/>
      </c>
      <c r="G792" s="1" t="str">
        <v/>
      </c>
      <c r="H792" s="1" t="str">
        <v/>
      </c>
      <c r="I792" s="2" t="str">
        <v/>
      </c>
      <c r="J792" s="2" t="str">
        <v/>
      </c>
      <c r="K792" s="2" t="str">
        <v/>
      </c>
      <c r="L792" s="1" t="str">
        <v/>
      </c>
      <c r="M792" s="2" t="str">
        <v/>
      </c>
      <c r="N792" s="2" t="str">
        <v/>
      </c>
      <c r="O792" s="1" t="str">
        <v/>
      </c>
      <c r="P792" s="1" t="str">
        <v/>
      </c>
      <c r="Q792" s="1" t="str">
        <v/>
      </c>
    </row>
    <row r="793" x14ac:dyDescent="0.25">
      <c r="A793" s="1" t="str">
        <v/>
      </c>
      <c r="B793" s="1" t="str">
        <v/>
      </c>
      <c r="C793" s="1" t="str">
        <v/>
      </c>
      <c r="D793" s="1" t="str">
        <v/>
      </c>
      <c r="E793" s="1" t="str">
        <v/>
      </c>
      <c r="F793" s="1" t="str">
        <v/>
      </c>
      <c r="G793" s="1" t="str">
        <v/>
      </c>
      <c r="H793" s="1" t="str">
        <v/>
      </c>
      <c r="I793" s="2" t="str">
        <v/>
      </c>
      <c r="J793" s="2" t="str">
        <v/>
      </c>
      <c r="K793" s="2" t="str">
        <v/>
      </c>
      <c r="L793" s="1" t="str">
        <v/>
      </c>
      <c r="M793" s="2" t="str">
        <v/>
      </c>
      <c r="N793" s="2" t="str">
        <v/>
      </c>
      <c r="O793" s="1" t="str">
        <v/>
      </c>
      <c r="P793" s="1" t="str">
        <v/>
      </c>
      <c r="Q793" s="1" t="str">
        <v/>
      </c>
    </row>
    <row r="794" x14ac:dyDescent="0.25">
      <c r="A794" s="1" t="str">
        <v/>
      </c>
      <c r="B794" s="1" t="str">
        <v/>
      </c>
      <c r="C794" s="1" t="str">
        <v/>
      </c>
      <c r="D794" s="1" t="str">
        <v/>
      </c>
      <c r="E794" s="1" t="str">
        <v/>
      </c>
      <c r="F794" s="1" t="str">
        <v/>
      </c>
      <c r="G794" s="1" t="str">
        <v/>
      </c>
      <c r="H794" s="1" t="str">
        <v/>
      </c>
      <c r="I794" s="2" t="str">
        <v/>
      </c>
      <c r="J794" s="2" t="str">
        <v/>
      </c>
      <c r="K794" s="2" t="str">
        <v/>
      </c>
      <c r="L794" s="1" t="str">
        <v/>
      </c>
      <c r="M794" s="2" t="str">
        <v/>
      </c>
      <c r="N794" s="2" t="str">
        <v/>
      </c>
      <c r="O794" s="1" t="str">
        <v/>
      </c>
      <c r="P794" s="1" t="str">
        <v/>
      </c>
      <c r="Q794" s="1" t="str">
        <v/>
      </c>
    </row>
    <row r="795" x14ac:dyDescent="0.25">
      <c r="A795" s="1" t="str">
        <v/>
      </c>
      <c r="B795" s="1" t="str">
        <v/>
      </c>
      <c r="C795" s="1" t="str">
        <v/>
      </c>
      <c r="D795" s="1" t="str">
        <v/>
      </c>
      <c r="E795" s="1" t="str">
        <v/>
      </c>
      <c r="F795" s="1" t="str">
        <v/>
      </c>
      <c r="G795" s="1" t="str">
        <v/>
      </c>
      <c r="H795" s="1" t="str">
        <v/>
      </c>
      <c r="I795" s="2" t="str">
        <v/>
      </c>
      <c r="J795" s="2" t="str">
        <v/>
      </c>
      <c r="K795" s="2" t="str">
        <v/>
      </c>
      <c r="L795" s="1" t="str">
        <v/>
      </c>
      <c r="M795" s="2" t="str">
        <v/>
      </c>
      <c r="N795" s="2" t="str">
        <v/>
      </c>
      <c r="O795" s="1" t="str">
        <v/>
      </c>
      <c r="P795" s="1" t="str">
        <v/>
      </c>
      <c r="Q795" s="1" t="str">
        <v/>
      </c>
    </row>
    <row r="796" x14ac:dyDescent="0.25">
      <c r="A796" s="1" t="str">
        <v/>
      </c>
      <c r="B796" s="1" t="str">
        <v/>
      </c>
      <c r="C796" s="1" t="str">
        <v/>
      </c>
      <c r="D796" s="1" t="str">
        <v/>
      </c>
      <c r="E796" s="1" t="str">
        <v/>
      </c>
      <c r="F796" s="1" t="str">
        <v/>
      </c>
      <c r="G796" s="1" t="str">
        <v/>
      </c>
      <c r="H796" s="1" t="str">
        <v/>
      </c>
      <c r="I796" s="2" t="str">
        <v/>
      </c>
      <c r="J796" s="2" t="str">
        <v/>
      </c>
      <c r="K796" s="2" t="str">
        <v/>
      </c>
      <c r="L796" s="1" t="str">
        <v/>
      </c>
      <c r="M796" s="2" t="str">
        <v/>
      </c>
      <c r="N796" s="2" t="str">
        <v/>
      </c>
      <c r="O796" s="1" t="str">
        <v/>
      </c>
      <c r="P796" s="1" t="str">
        <v/>
      </c>
      <c r="Q796" s="1" t="str">
        <v/>
      </c>
    </row>
    <row r="797" x14ac:dyDescent="0.25">
      <c r="A797" s="1" t="str">
        <v/>
      </c>
      <c r="B797" s="1" t="str">
        <v/>
      </c>
      <c r="C797" s="1" t="str">
        <v/>
      </c>
      <c r="D797" s="1" t="str">
        <v/>
      </c>
      <c r="E797" s="1" t="str">
        <v/>
      </c>
      <c r="F797" s="1" t="str">
        <v/>
      </c>
      <c r="G797" s="1" t="str">
        <v/>
      </c>
      <c r="H797" s="1" t="str">
        <v/>
      </c>
      <c r="I797" s="2" t="str">
        <v/>
      </c>
      <c r="J797" s="2" t="str">
        <v/>
      </c>
      <c r="K797" s="2" t="str">
        <v/>
      </c>
      <c r="L797" s="1" t="str">
        <v/>
      </c>
      <c r="M797" s="2" t="str">
        <v/>
      </c>
      <c r="N797" s="2" t="str">
        <v/>
      </c>
      <c r="O797" s="1" t="str">
        <v/>
      </c>
      <c r="P797" s="1" t="str">
        <v/>
      </c>
      <c r="Q797" s="1" t="str">
        <v/>
      </c>
    </row>
    <row r="798" x14ac:dyDescent="0.25">
      <c r="A798" s="1" t="str">
        <v/>
      </c>
      <c r="B798" s="1" t="str">
        <v/>
      </c>
      <c r="C798" s="1" t="str">
        <v/>
      </c>
      <c r="D798" s="1" t="str">
        <v/>
      </c>
      <c r="E798" s="1" t="str">
        <v/>
      </c>
      <c r="F798" s="1" t="str">
        <v/>
      </c>
      <c r="G798" s="1" t="str">
        <v/>
      </c>
      <c r="H798" s="1" t="str">
        <v/>
      </c>
      <c r="I798" s="2" t="str">
        <v/>
      </c>
      <c r="J798" s="2" t="str">
        <v/>
      </c>
      <c r="K798" s="2" t="str">
        <v/>
      </c>
      <c r="L798" s="1" t="str">
        <v/>
      </c>
      <c r="M798" s="2" t="str">
        <v/>
      </c>
      <c r="N798" s="2" t="str">
        <v/>
      </c>
      <c r="O798" s="1" t="str">
        <v/>
      </c>
      <c r="P798" s="1" t="str">
        <v/>
      </c>
      <c r="Q798" s="1" t="str">
        <v/>
      </c>
    </row>
    <row r="799" x14ac:dyDescent="0.25">
      <c r="A799" s="1" t="str">
        <v/>
      </c>
      <c r="B799" s="1" t="str">
        <v/>
      </c>
      <c r="C799" s="1" t="str">
        <v/>
      </c>
      <c r="D799" s="1" t="str">
        <v/>
      </c>
      <c r="E799" s="1" t="str">
        <v/>
      </c>
      <c r="F799" s="1" t="str">
        <v/>
      </c>
      <c r="G799" s="1" t="str">
        <v/>
      </c>
      <c r="H799" s="1" t="str">
        <v/>
      </c>
      <c r="I799" s="2" t="str">
        <v/>
      </c>
      <c r="J799" s="2" t="str">
        <v/>
      </c>
      <c r="K799" s="2" t="str">
        <v/>
      </c>
      <c r="L799" s="1" t="str">
        <v/>
      </c>
      <c r="M799" s="2" t="str">
        <v/>
      </c>
      <c r="N799" s="2" t="str">
        <v/>
      </c>
      <c r="O799" s="1" t="str">
        <v/>
      </c>
      <c r="P799" s="1" t="str">
        <v/>
      </c>
      <c r="Q799" s="1" t="str">
        <v/>
      </c>
    </row>
    <row r="800" x14ac:dyDescent="0.25">
      <c r="A800" s="1" t="str">
        <v/>
      </c>
      <c r="B800" s="1" t="str">
        <v/>
      </c>
      <c r="C800" s="1" t="str">
        <v/>
      </c>
      <c r="D800" s="1" t="str">
        <v/>
      </c>
      <c r="E800" s="1" t="str">
        <v/>
      </c>
      <c r="F800" s="1" t="str">
        <v/>
      </c>
      <c r="G800" s="1" t="str">
        <v/>
      </c>
      <c r="H800" s="1" t="str">
        <v/>
      </c>
      <c r="I800" s="2" t="str">
        <v/>
      </c>
      <c r="J800" s="2" t="str">
        <v/>
      </c>
      <c r="K800" s="2" t="str">
        <v/>
      </c>
      <c r="L800" s="1" t="str">
        <v/>
      </c>
      <c r="M800" s="2" t="str">
        <v/>
      </c>
      <c r="N800" s="2" t="str">
        <v/>
      </c>
      <c r="O800" s="1" t="str">
        <v/>
      </c>
      <c r="P800" s="1" t="str">
        <v/>
      </c>
      <c r="Q800" s="1" t="str">
        <v/>
      </c>
    </row>
    <row r="801" x14ac:dyDescent="0.25">
      <c r="A801" s="1" t="str">
        <v/>
      </c>
      <c r="B801" s="1" t="str">
        <v/>
      </c>
      <c r="C801" s="1" t="str">
        <v/>
      </c>
      <c r="D801" s="1" t="str">
        <v/>
      </c>
      <c r="E801" s="1" t="str">
        <v/>
      </c>
      <c r="F801" s="1" t="str">
        <v/>
      </c>
      <c r="G801" s="1" t="str">
        <v/>
      </c>
      <c r="H801" s="1" t="str">
        <v/>
      </c>
      <c r="I801" s="2" t="str">
        <v/>
      </c>
      <c r="J801" s="2" t="str">
        <v/>
      </c>
      <c r="K801" s="2" t="str">
        <v/>
      </c>
      <c r="L801" s="1" t="str">
        <v/>
      </c>
      <c r="M801" s="2" t="str">
        <v/>
      </c>
      <c r="N801" s="2" t="str">
        <v/>
      </c>
      <c r="O801" s="1" t="str">
        <v/>
      </c>
      <c r="P801" s="1" t="str">
        <v/>
      </c>
      <c r="Q801" s="1" t="str">
        <v/>
      </c>
    </row>
    <row r="802" x14ac:dyDescent="0.25">
      <c r="A802" s="1" t="str">
        <v/>
      </c>
      <c r="B802" s="1" t="str">
        <v/>
      </c>
      <c r="C802" s="1" t="str">
        <v/>
      </c>
      <c r="D802" s="1" t="str">
        <v/>
      </c>
      <c r="E802" s="1" t="str">
        <v/>
      </c>
      <c r="F802" s="1" t="str">
        <v/>
      </c>
      <c r="G802" s="1" t="str">
        <v/>
      </c>
      <c r="H802" s="1" t="str">
        <v/>
      </c>
      <c r="I802" s="2" t="str">
        <v/>
      </c>
      <c r="J802" s="2" t="str">
        <v/>
      </c>
      <c r="K802" s="2" t="str">
        <v/>
      </c>
      <c r="L802" s="1" t="str">
        <v/>
      </c>
      <c r="M802" s="2" t="str">
        <v/>
      </c>
      <c r="N802" s="2" t="str">
        <v/>
      </c>
      <c r="O802" s="1" t="str">
        <v/>
      </c>
      <c r="P802" s="1" t="str">
        <v/>
      </c>
      <c r="Q802" s="1" t="str">
        <v/>
      </c>
    </row>
    <row r="803" x14ac:dyDescent="0.25">
      <c r="A803" s="1" t="str">
        <v/>
      </c>
      <c r="B803" s="1" t="str">
        <v/>
      </c>
      <c r="C803" s="1" t="str">
        <v/>
      </c>
      <c r="D803" s="1" t="str">
        <v/>
      </c>
      <c r="E803" s="1" t="str">
        <v/>
      </c>
      <c r="F803" s="1" t="str">
        <v/>
      </c>
      <c r="G803" s="1" t="str">
        <v/>
      </c>
      <c r="H803" s="1" t="str">
        <v/>
      </c>
      <c r="I803" s="2" t="str">
        <v/>
      </c>
      <c r="J803" s="2" t="str">
        <v/>
      </c>
      <c r="K803" s="2" t="str">
        <v/>
      </c>
      <c r="L803" s="1" t="str">
        <v/>
      </c>
      <c r="M803" s="2" t="str">
        <v/>
      </c>
      <c r="N803" s="2" t="str">
        <v/>
      </c>
      <c r="O803" s="1" t="str">
        <v/>
      </c>
      <c r="P803" s="1" t="str">
        <v/>
      </c>
      <c r="Q803" s="1" t="str">
        <v/>
      </c>
    </row>
    <row r="804" x14ac:dyDescent="0.25">
      <c r="A804" s="1" t="str">
        <v/>
      </c>
      <c r="B804" s="1" t="str">
        <v/>
      </c>
      <c r="C804" s="1" t="str">
        <v/>
      </c>
      <c r="D804" s="1" t="str">
        <v/>
      </c>
      <c r="E804" s="1" t="str">
        <v/>
      </c>
      <c r="F804" s="1" t="str">
        <v/>
      </c>
      <c r="G804" s="1" t="str">
        <v/>
      </c>
      <c r="H804" s="1" t="str">
        <v/>
      </c>
      <c r="I804" s="2" t="str">
        <v/>
      </c>
      <c r="J804" s="2" t="str">
        <v/>
      </c>
      <c r="K804" s="2" t="str">
        <v/>
      </c>
      <c r="L804" s="1" t="str">
        <v/>
      </c>
      <c r="M804" s="2" t="str">
        <v/>
      </c>
      <c r="N804" s="2" t="str">
        <v/>
      </c>
      <c r="O804" s="1" t="str">
        <v/>
      </c>
      <c r="P804" s="1" t="str">
        <v/>
      </c>
      <c r="Q804" s="1" t="str">
        <v/>
      </c>
    </row>
    <row r="805" x14ac:dyDescent="0.25">
      <c r="A805" s="1" t="str">
        <v/>
      </c>
      <c r="B805" s="1" t="str">
        <v/>
      </c>
      <c r="C805" s="1" t="str">
        <v/>
      </c>
      <c r="D805" s="1" t="str">
        <v/>
      </c>
      <c r="E805" s="1" t="str">
        <v/>
      </c>
      <c r="F805" s="1" t="str">
        <v/>
      </c>
      <c r="G805" s="1" t="str">
        <v/>
      </c>
      <c r="H805" s="1" t="str">
        <v/>
      </c>
      <c r="I805" s="2" t="str">
        <v/>
      </c>
      <c r="J805" s="2" t="str">
        <v/>
      </c>
      <c r="K805" s="2" t="str">
        <v/>
      </c>
      <c r="L805" s="1" t="str">
        <v/>
      </c>
      <c r="M805" s="2" t="str">
        <v/>
      </c>
      <c r="N805" s="2" t="str">
        <v/>
      </c>
      <c r="O805" s="1" t="str">
        <v/>
      </c>
      <c r="P805" s="1" t="str">
        <v/>
      </c>
      <c r="Q805" s="1" t="str">
        <v/>
      </c>
    </row>
    <row r="806" x14ac:dyDescent="0.25">
      <c r="A806" s="1" t="str">
        <v/>
      </c>
      <c r="B806" s="1" t="str">
        <v/>
      </c>
      <c r="C806" s="1" t="str">
        <v/>
      </c>
      <c r="D806" s="1" t="str">
        <v/>
      </c>
      <c r="E806" s="1" t="str">
        <v/>
      </c>
      <c r="F806" s="1" t="str">
        <v/>
      </c>
      <c r="G806" s="1" t="str">
        <v/>
      </c>
      <c r="H806" s="1" t="str">
        <v/>
      </c>
      <c r="I806" s="2" t="str">
        <v/>
      </c>
      <c r="J806" s="2" t="str">
        <v/>
      </c>
      <c r="K806" s="2" t="str">
        <v/>
      </c>
      <c r="L806" s="1" t="str">
        <v/>
      </c>
      <c r="M806" s="2" t="str">
        <v/>
      </c>
      <c r="N806" s="2" t="str">
        <v/>
      </c>
      <c r="O806" s="1" t="str">
        <v/>
      </c>
      <c r="P806" s="1" t="str">
        <v/>
      </c>
      <c r="Q806" s="1" t="str">
        <v/>
      </c>
    </row>
    <row r="807" x14ac:dyDescent="0.25">
      <c r="A807" s="1" t="str">
        <v/>
      </c>
      <c r="B807" s="1" t="str">
        <v/>
      </c>
      <c r="C807" s="1" t="str">
        <v/>
      </c>
      <c r="D807" s="1" t="str">
        <v/>
      </c>
      <c r="E807" s="1" t="str">
        <v/>
      </c>
      <c r="F807" s="1" t="str">
        <v/>
      </c>
      <c r="G807" s="1" t="str">
        <v/>
      </c>
      <c r="H807" s="1" t="str">
        <v/>
      </c>
      <c r="I807" s="2" t="str">
        <v/>
      </c>
      <c r="J807" s="2" t="str">
        <v/>
      </c>
      <c r="K807" s="2" t="str">
        <v/>
      </c>
      <c r="L807" s="1" t="str">
        <v/>
      </c>
      <c r="M807" s="2" t="str">
        <v/>
      </c>
      <c r="N807" s="2" t="str">
        <v/>
      </c>
      <c r="O807" s="1" t="str">
        <v/>
      </c>
      <c r="P807" s="1" t="str">
        <v/>
      </c>
      <c r="Q807" s="1" t="str">
        <v/>
      </c>
    </row>
    <row r="808" x14ac:dyDescent="0.25">
      <c r="A808" s="1" t="str">
        <v/>
      </c>
      <c r="B808" s="1" t="str">
        <v/>
      </c>
      <c r="C808" s="1" t="str">
        <v/>
      </c>
      <c r="D808" s="1" t="str">
        <v/>
      </c>
      <c r="E808" s="1" t="str">
        <v/>
      </c>
      <c r="F808" s="1" t="str">
        <v/>
      </c>
      <c r="G808" s="1" t="str">
        <v/>
      </c>
      <c r="H808" s="1" t="str">
        <v/>
      </c>
      <c r="I808" s="2" t="str">
        <v/>
      </c>
      <c r="J808" s="2" t="str">
        <v/>
      </c>
      <c r="K808" s="2" t="str">
        <v/>
      </c>
      <c r="L808" s="1" t="str">
        <v/>
      </c>
      <c r="M808" s="2" t="str">
        <v/>
      </c>
      <c r="N808" s="2" t="str">
        <v/>
      </c>
      <c r="O808" s="1" t="str">
        <v/>
      </c>
      <c r="P808" s="1" t="str">
        <v/>
      </c>
      <c r="Q808" s="1" t="str">
        <v/>
      </c>
    </row>
    <row r="809" x14ac:dyDescent="0.25">
      <c r="A809" s="1" t="str">
        <v/>
      </c>
      <c r="B809" s="1" t="str">
        <v/>
      </c>
      <c r="C809" s="1" t="str">
        <v/>
      </c>
      <c r="D809" s="1" t="str">
        <v/>
      </c>
      <c r="E809" s="1" t="str">
        <v/>
      </c>
      <c r="F809" s="1" t="str">
        <v/>
      </c>
      <c r="G809" s="1" t="str">
        <v/>
      </c>
      <c r="H809" s="1" t="str">
        <v/>
      </c>
      <c r="I809" s="2" t="str">
        <v/>
      </c>
      <c r="J809" s="2" t="str">
        <v/>
      </c>
      <c r="K809" s="2" t="str">
        <v/>
      </c>
      <c r="L809" s="1" t="str">
        <v/>
      </c>
      <c r="M809" s="2" t="str">
        <v/>
      </c>
      <c r="N809" s="2" t="str">
        <v/>
      </c>
      <c r="O809" s="1" t="str">
        <v/>
      </c>
      <c r="P809" s="1" t="str">
        <v/>
      </c>
      <c r="Q809" s="1" t="str">
        <v/>
      </c>
    </row>
    <row r="810" x14ac:dyDescent="0.25">
      <c r="A810" s="1" t="str">
        <v/>
      </c>
      <c r="B810" s="1" t="str">
        <v/>
      </c>
      <c r="C810" s="1" t="str">
        <v/>
      </c>
      <c r="D810" s="1" t="str">
        <v/>
      </c>
      <c r="E810" s="1" t="str">
        <v/>
      </c>
      <c r="F810" s="1" t="str">
        <v/>
      </c>
      <c r="G810" s="1" t="str">
        <v/>
      </c>
      <c r="H810" s="1" t="str">
        <v/>
      </c>
      <c r="I810" s="2" t="str">
        <v/>
      </c>
      <c r="J810" s="2" t="str">
        <v/>
      </c>
      <c r="K810" s="2" t="str">
        <v/>
      </c>
      <c r="L810" s="1" t="str">
        <v/>
      </c>
      <c r="M810" s="2" t="str">
        <v/>
      </c>
      <c r="N810" s="2" t="str">
        <v/>
      </c>
      <c r="O810" s="1" t="str">
        <v/>
      </c>
      <c r="P810" s="1" t="str">
        <v/>
      </c>
      <c r="Q810" s="1" t="str">
        <v/>
      </c>
    </row>
    <row r="811" x14ac:dyDescent="0.25">
      <c r="A811" s="1" t="str">
        <v/>
      </c>
      <c r="B811" s="1" t="str">
        <v/>
      </c>
      <c r="C811" s="1" t="str">
        <v/>
      </c>
      <c r="D811" s="1" t="str">
        <v/>
      </c>
      <c r="E811" s="1" t="str">
        <v/>
      </c>
      <c r="F811" s="1" t="str">
        <v/>
      </c>
      <c r="G811" s="1" t="str">
        <v/>
      </c>
      <c r="H811" s="1" t="str">
        <v/>
      </c>
      <c r="I811" s="2" t="str">
        <v/>
      </c>
      <c r="J811" s="2" t="str">
        <v/>
      </c>
      <c r="K811" s="2" t="str">
        <v/>
      </c>
      <c r="L811" s="1" t="str">
        <v/>
      </c>
      <c r="M811" s="2" t="str">
        <v/>
      </c>
      <c r="N811" s="2" t="str">
        <v/>
      </c>
      <c r="O811" s="1" t="str">
        <v/>
      </c>
      <c r="P811" s="1" t="str">
        <v/>
      </c>
      <c r="Q811" s="1" t="str">
        <v/>
      </c>
    </row>
    <row r="812" x14ac:dyDescent="0.25">
      <c r="A812" s="1" t="str">
        <v/>
      </c>
      <c r="B812" s="1" t="str">
        <v/>
      </c>
      <c r="C812" s="1" t="str">
        <v/>
      </c>
      <c r="D812" s="1" t="str">
        <v/>
      </c>
      <c r="E812" s="1" t="str">
        <v/>
      </c>
      <c r="F812" s="1" t="str">
        <v/>
      </c>
      <c r="G812" s="1" t="str">
        <v/>
      </c>
      <c r="H812" s="1" t="str">
        <v/>
      </c>
      <c r="I812" s="2" t="str">
        <v/>
      </c>
      <c r="J812" s="2" t="str">
        <v/>
      </c>
      <c r="K812" s="2" t="str">
        <v/>
      </c>
      <c r="L812" s="1" t="str">
        <v/>
      </c>
      <c r="M812" s="2" t="str">
        <v/>
      </c>
      <c r="N812" s="2" t="str">
        <v/>
      </c>
      <c r="O812" s="1" t="str">
        <v/>
      </c>
      <c r="P812" s="1" t="str">
        <v/>
      </c>
      <c r="Q812" s="1" t="str">
        <v/>
      </c>
    </row>
    <row r="813" x14ac:dyDescent="0.25">
      <c r="A813" s="1" t="str">
        <v/>
      </c>
      <c r="B813" s="1" t="str">
        <v/>
      </c>
      <c r="C813" s="1" t="str">
        <v/>
      </c>
      <c r="D813" s="1" t="str">
        <v/>
      </c>
      <c r="E813" s="1" t="str">
        <v/>
      </c>
      <c r="F813" s="1" t="str">
        <v/>
      </c>
      <c r="G813" s="1" t="str">
        <v/>
      </c>
      <c r="H813" s="1" t="str">
        <v/>
      </c>
      <c r="I813" s="2" t="str">
        <v/>
      </c>
      <c r="J813" s="2" t="str">
        <v/>
      </c>
      <c r="K813" s="2" t="str">
        <v/>
      </c>
      <c r="L813" s="1" t="str">
        <v/>
      </c>
      <c r="M813" s="2" t="str">
        <v/>
      </c>
      <c r="N813" s="2" t="str">
        <v/>
      </c>
      <c r="O813" s="1" t="str">
        <v/>
      </c>
      <c r="P813" s="1" t="str">
        <v/>
      </c>
      <c r="Q813" s="1" t="str">
        <v/>
      </c>
    </row>
    <row r="814" x14ac:dyDescent="0.25">
      <c r="A814" s="1" t="str">
        <v/>
      </c>
      <c r="B814" s="1" t="str">
        <v/>
      </c>
      <c r="C814" s="1" t="str">
        <v/>
      </c>
      <c r="D814" s="1" t="str">
        <v/>
      </c>
      <c r="E814" s="1" t="str">
        <v/>
      </c>
      <c r="F814" s="1" t="str">
        <v/>
      </c>
      <c r="G814" s="1" t="str">
        <v/>
      </c>
      <c r="H814" s="1" t="str">
        <v/>
      </c>
      <c r="I814" s="2" t="str">
        <v/>
      </c>
      <c r="J814" s="2" t="str">
        <v/>
      </c>
      <c r="K814" s="2" t="str">
        <v/>
      </c>
      <c r="L814" s="1" t="str">
        <v/>
      </c>
      <c r="M814" s="2" t="str">
        <v/>
      </c>
      <c r="N814" s="2" t="str">
        <v/>
      </c>
      <c r="O814" s="1" t="str">
        <v/>
      </c>
      <c r="P814" s="1" t="str">
        <v/>
      </c>
      <c r="Q814" s="1" t="str">
        <v/>
      </c>
    </row>
    <row r="815" x14ac:dyDescent="0.25">
      <c r="A815" s="1" t="str">
        <v/>
      </c>
      <c r="B815" s="1" t="str">
        <v/>
      </c>
      <c r="C815" s="1" t="str">
        <v/>
      </c>
      <c r="D815" s="1" t="str">
        <v/>
      </c>
      <c r="E815" s="1" t="str">
        <v/>
      </c>
      <c r="F815" s="1" t="str">
        <v/>
      </c>
      <c r="G815" s="1" t="str">
        <v/>
      </c>
      <c r="H815" s="1" t="str">
        <v/>
      </c>
      <c r="I815" s="2" t="str">
        <v/>
      </c>
      <c r="J815" s="2" t="str">
        <v/>
      </c>
      <c r="K815" s="2" t="str">
        <v/>
      </c>
      <c r="L815" s="1" t="str">
        <v/>
      </c>
      <c r="M815" s="2" t="str">
        <v/>
      </c>
      <c r="N815" s="2" t="str">
        <v/>
      </c>
      <c r="O815" s="1" t="str">
        <v/>
      </c>
      <c r="P815" s="1" t="str">
        <v/>
      </c>
      <c r="Q815" s="1" t="str">
        <v/>
      </c>
    </row>
    <row r="816" x14ac:dyDescent="0.25">
      <c r="A816" s="1" t="str">
        <v/>
      </c>
      <c r="B816" s="1" t="str">
        <v/>
      </c>
      <c r="C816" s="1" t="str">
        <v/>
      </c>
      <c r="D816" s="1" t="str">
        <v/>
      </c>
      <c r="E816" s="1" t="str">
        <v/>
      </c>
      <c r="F816" s="1" t="str">
        <v/>
      </c>
      <c r="G816" s="1" t="str">
        <v/>
      </c>
      <c r="H816" s="1" t="str">
        <v/>
      </c>
      <c r="I816" s="2" t="str">
        <v/>
      </c>
      <c r="J816" s="2" t="str">
        <v/>
      </c>
      <c r="K816" s="2" t="str">
        <v/>
      </c>
      <c r="L816" s="1" t="str">
        <v/>
      </c>
      <c r="M816" s="2" t="str">
        <v/>
      </c>
      <c r="N816" s="2" t="str">
        <v/>
      </c>
      <c r="O816" s="1" t="str">
        <v/>
      </c>
      <c r="P816" s="1" t="str">
        <v/>
      </c>
      <c r="Q816" s="1" t="str">
        <v/>
      </c>
    </row>
    <row r="817" x14ac:dyDescent="0.25">
      <c r="A817" s="1" t="str">
        <v/>
      </c>
      <c r="B817" s="1" t="str">
        <v/>
      </c>
      <c r="C817" s="1" t="str">
        <v/>
      </c>
      <c r="D817" s="1" t="str">
        <v/>
      </c>
      <c r="E817" s="1" t="str">
        <v/>
      </c>
      <c r="F817" s="1" t="str">
        <v/>
      </c>
      <c r="G817" s="1" t="str">
        <v/>
      </c>
      <c r="H817" s="1" t="str">
        <v/>
      </c>
      <c r="I817" s="2" t="str">
        <v/>
      </c>
      <c r="J817" s="2" t="str">
        <v/>
      </c>
      <c r="K817" s="2" t="str">
        <v/>
      </c>
      <c r="L817" s="1" t="str">
        <v/>
      </c>
      <c r="M817" s="2" t="str">
        <v/>
      </c>
      <c r="N817" s="2" t="str">
        <v/>
      </c>
      <c r="O817" s="1" t="str">
        <v/>
      </c>
      <c r="P817" s="1" t="str">
        <v/>
      </c>
      <c r="Q817" s="1" t="str">
        <v/>
      </c>
    </row>
    <row r="818" x14ac:dyDescent="0.25">
      <c r="A818" s="1" t="str">
        <v/>
      </c>
      <c r="B818" s="1" t="str">
        <v/>
      </c>
      <c r="C818" s="1" t="str">
        <v/>
      </c>
      <c r="D818" s="1" t="str">
        <v/>
      </c>
      <c r="E818" s="1" t="str">
        <v/>
      </c>
      <c r="F818" s="1" t="str">
        <v/>
      </c>
      <c r="G818" s="1" t="str">
        <v/>
      </c>
      <c r="H818" s="1" t="str">
        <v/>
      </c>
      <c r="I818" s="2" t="str">
        <v/>
      </c>
      <c r="J818" s="2" t="str">
        <v/>
      </c>
      <c r="K818" s="2" t="str">
        <v/>
      </c>
      <c r="L818" s="1" t="str">
        <v/>
      </c>
      <c r="M818" s="2" t="str">
        <v/>
      </c>
      <c r="N818" s="2" t="str">
        <v/>
      </c>
      <c r="O818" s="1" t="str">
        <v/>
      </c>
      <c r="P818" s="1" t="str">
        <v/>
      </c>
      <c r="Q818" s="1" t="str">
        <v/>
      </c>
    </row>
    <row r="819" x14ac:dyDescent="0.25">
      <c r="A819" s="1" t="str">
        <v/>
      </c>
      <c r="B819" s="1" t="str">
        <v/>
      </c>
      <c r="C819" s="1" t="str">
        <v/>
      </c>
      <c r="D819" s="1" t="str">
        <v/>
      </c>
      <c r="E819" s="1" t="str">
        <v/>
      </c>
      <c r="F819" s="1" t="str">
        <v/>
      </c>
      <c r="G819" s="1" t="str">
        <v/>
      </c>
      <c r="H819" s="1" t="str">
        <v/>
      </c>
      <c r="I819" s="2" t="str">
        <v/>
      </c>
      <c r="J819" s="2" t="str">
        <v/>
      </c>
      <c r="K819" s="2" t="str">
        <v/>
      </c>
      <c r="L819" s="1" t="str">
        <v/>
      </c>
      <c r="M819" s="2" t="str">
        <v/>
      </c>
      <c r="N819" s="2" t="str">
        <v/>
      </c>
      <c r="O819" s="1" t="str">
        <v/>
      </c>
      <c r="P819" s="1" t="str">
        <v/>
      </c>
      <c r="Q819" s="1" t="str">
        <v/>
      </c>
    </row>
    <row r="820" x14ac:dyDescent="0.25">
      <c r="A820" s="1" t="str">
        <v/>
      </c>
      <c r="B820" s="1" t="str">
        <v/>
      </c>
      <c r="C820" s="1" t="str">
        <v/>
      </c>
      <c r="D820" s="1" t="str">
        <v/>
      </c>
      <c r="E820" s="1" t="str">
        <v/>
      </c>
      <c r="F820" s="1" t="str">
        <v/>
      </c>
      <c r="G820" s="1" t="str">
        <v/>
      </c>
      <c r="H820" s="1" t="str">
        <v/>
      </c>
      <c r="I820" s="2" t="str">
        <v/>
      </c>
      <c r="J820" s="2" t="str">
        <v/>
      </c>
      <c r="K820" s="2" t="str">
        <v/>
      </c>
      <c r="L820" s="1" t="str">
        <v/>
      </c>
      <c r="M820" s="2" t="str">
        <v/>
      </c>
      <c r="N820" s="2" t="str">
        <v/>
      </c>
      <c r="O820" s="1" t="str">
        <v/>
      </c>
      <c r="P820" s="1" t="str">
        <v/>
      </c>
      <c r="Q820" s="1" t="str">
        <v/>
      </c>
    </row>
    <row r="821" x14ac:dyDescent="0.25">
      <c r="A821" s="1" t="str">
        <v/>
      </c>
      <c r="B821" s="1" t="str">
        <v/>
      </c>
      <c r="C821" s="1" t="str">
        <v/>
      </c>
      <c r="D821" s="1" t="str">
        <v/>
      </c>
      <c r="E821" s="1" t="str">
        <v/>
      </c>
      <c r="F821" s="1" t="str">
        <v/>
      </c>
      <c r="G821" s="1" t="str">
        <v/>
      </c>
      <c r="H821" s="1" t="str">
        <v/>
      </c>
      <c r="I821" s="2" t="str">
        <v/>
      </c>
      <c r="J821" s="2" t="str">
        <v/>
      </c>
      <c r="K821" s="2" t="str">
        <v/>
      </c>
      <c r="L821" s="1" t="str">
        <v/>
      </c>
      <c r="M821" s="2" t="str">
        <v/>
      </c>
      <c r="N821" s="2" t="str">
        <v/>
      </c>
      <c r="O821" s="1" t="str">
        <v/>
      </c>
      <c r="P821" s="1" t="str">
        <v/>
      </c>
      <c r="Q821" s="1" t="str">
        <v/>
      </c>
    </row>
    <row r="822" x14ac:dyDescent="0.25">
      <c r="A822" s="1" t="str">
        <v/>
      </c>
      <c r="B822" s="1" t="str">
        <v/>
      </c>
      <c r="C822" s="1" t="str">
        <v/>
      </c>
      <c r="D822" s="1" t="str">
        <v/>
      </c>
      <c r="E822" s="1" t="str">
        <v/>
      </c>
      <c r="F822" s="1" t="str">
        <v/>
      </c>
      <c r="G822" s="1" t="str">
        <v/>
      </c>
      <c r="H822" s="1" t="str">
        <v/>
      </c>
      <c r="I822" s="2" t="str">
        <v/>
      </c>
      <c r="J822" s="2" t="str">
        <v/>
      </c>
      <c r="K822" s="2" t="str">
        <v/>
      </c>
      <c r="L822" s="1" t="str">
        <v/>
      </c>
      <c r="M822" s="2" t="str">
        <v/>
      </c>
      <c r="N822" s="2" t="str">
        <v/>
      </c>
      <c r="O822" s="1" t="str">
        <v/>
      </c>
      <c r="P822" s="1" t="str">
        <v/>
      </c>
      <c r="Q822" s="1" t="str">
        <v/>
      </c>
    </row>
    <row r="823" x14ac:dyDescent="0.25">
      <c r="A823" s="1" t="str">
        <v/>
      </c>
      <c r="B823" s="1" t="str">
        <v/>
      </c>
      <c r="C823" s="1" t="str">
        <v/>
      </c>
      <c r="D823" s="1" t="str">
        <v/>
      </c>
      <c r="E823" s="1" t="str">
        <v/>
      </c>
      <c r="F823" s="1" t="str">
        <v/>
      </c>
      <c r="G823" s="1" t="str">
        <v/>
      </c>
      <c r="H823" s="1" t="str">
        <v/>
      </c>
      <c r="I823" s="2" t="str">
        <v/>
      </c>
      <c r="J823" s="2" t="str">
        <v/>
      </c>
      <c r="K823" s="2" t="str">
        <v/>
      </c>
      <c r="L823" s="1" t="str">
        <v/>
      </c>
      <c r="M823" s="2" t="str">
        <v/>
      </c>
      <c r="N823" s="2" t="str">
        <v/>
      </c>
      <c r="O823" s="1" t="str">
        <v/>
      </c>
      <c r="P823" s="1" t="str">
        <v/>
      </c>
      <c r="Q823" s="1" t="str">
        <v/>
      </c>
    </row>
    <row r="824" x14ac:dyDescent="0.25">
      <c r="A824" s="1" t="str">
        <v/>
      </c>
      <c r="B824" s="1" t="str">
        <v/>
      </c>
      <c r="C824" s="1" t="str">
        <v/>
      </c>
      <c r="D824" s="1" t="str">
        <v/>
      </c>
      <c r="E824" s="1" t="str">
        <v/>
      </c>
      <c r="F824" s="1" t="str">
        <v/>
      </c>
      <c r="G824" s="1" t="str">
        <v/>
      </c>
      <c r="H824" s="1" t="str">
        <v/>
      </c>
      <c r="I824" s="2" t="str">
        <v/>
      </c>
      <c r="J824" s="2" t="str">
        <v/>
      </c>
      <c r="K824" s="2" t="str">
        <v/>
      </c>
      <c r="L824" s="1" t="str">
        <v/>
      </c>
      <c r="M824" s="2" t="str">
        <v/>
      </c>
      <c r="N824" s="2" t="str">
        <v/>
      </c>
      <c r="O824" s="1" t="str">
        <v/>
      </c>
      <c r="P824" s="1" t="str">
        <v/>
      </c>
      <c r="Q824" s="1" t="str">
        <v/>
      </c>
    </row>
    <row r="825" x14ac:dyDescent="0.25">
      <c r="A825" s="1" t="str">
        <v/>
      </c>
      <c r="B825" s="1" t="str">
        <v/>
      </c>
      <c r="C825" s="1" t="str">
        <v/>
      </c>
      <c r="D825" s="1" t="str">
        <v/>
      </c>
      <c r="E825" s="1" t="str">
        <v/>
      </c>
      <c r="F825" s="1" t="str">
        <v/>
      </c>
      <c r="G825" s="1" t="str">
        <v/>
      </c>
      <c r="H825" s="1" t="str">
        <v/>
      </c>
      <c r="I825" s="2" t="str">
        <v/>
      </c>
      <c r="J825" s="2" t="str">
        <v/>
      </c>
      <c r="K825" s="2" t="str">
        <v/>
      </c>
      <c r="L825" s="1" t="str">
        <v/>
      </c>
      <c r="M825" s="2" t="str">
        <v/>
      </c>
      <c r="N825" s="2" t="str">
        <v/>
      </c>
      <c r="O825" s="1" t="str">
        <v/>
      </c>
      <c r="P825" s="1" t="str">
        <v/>
      </c>
      <c r="Q825" s="1" t="str">
        <v/>
      </c>
    </row>
    <row r="826" x14ac:dyDescent="0.25">
      <c r="A826" s="1" t="str">
        <v/>
      </c>
      <c r="B826" s="1" t="str">
        <v/>
      </c>
      <c r="C826" s="1" t="str">
        <v/>
      </c>
      <c r="D826" s="1" t="str">
        <v/>
      </c>
      <c r="E826" s="1" t="str">
        <v/>
      </c>
      <c r="F826" s="1" t="str">
        <v/>
      </c>
      <c r="G826" s="1" t="str">
        <v/>
      </c>
      <c r="H826" s="1" t="str">
        <v/>
      </c>
      <c r="I826" s="2" t="str">
        <v/>
      </c>
      <c r="J826" s="2" t="str">
        <v/>
      </c>
      <c r="K826" s="2" t="str">
        <v/>
      </c>
      <c r="L826" s="1" t="str">
        <v/>
      </c>
      <c r="M826" s="2" t="str">
        <v/>
      </c>
      <c r="N826" s="2" t="str">
        <v/>
      </c>
      <c r="O826" s="1" t="str">
        <v/>
      </c>
      <c r="P826" s="1" t="str">
        <v/>
      </c>
      <c r="Q826" s="1" t="str">
        <v/>
      </c>
    </row>
    <row r="827" x14ac:dyDescent="0.25">
      <c r="A827" s="1" t="str">
        <v/>
      </c>
      <c r="B827" s="1" t="str">
        <v/>
      </c>
      <c r="C827" s="1" t="str">
        <v/>
      </c>
      <c r="D827" s="1" t="str">
        <v/>
      </c>
      <c r="E827" s="1" t="str">
        <v/>
      </c>
      <c r="F827" s="1" t="str">
        <v/>
      </c>
      <c r="G827" s="1" t="str">
        <v/>
      </c>
      <c r="H827" s="1" t="str">
        <v/>
      </c>
      <c r="I827" s="2" t="str">
        <v/>
      </c>
      <c r="J827" s="2" t="str">
        <v/>
      </c>
      <c r="K827" s="2" t="str">
        <v/>
      </c>
      <c r="L827" s="1" t="str">
        <v/>
      </c>
      <c r="M827" s="2" t="str">
        <v/>
      </c>
      <c r="N827" s="2" t="str">
        <v/>
      </c>
      <c r="O827" s="1" t="str">
        <v/>
      </c>
      <c r="P827" s="1" t="str">
        <v/>
      </c>
      <c r="Q827" s="1" t="str">
        <v/>
      </c>
    </row>
    <row r="828" x14ac:dyDescent="0.25">
      <c r="A828" s="1" t="str">
        <v/>
      </c>
      <c r="B828" s="1" t="str">
        <v/>
      </c>
      <c r="C828" s="1" t="str">
        <v/>
      </c>
      <c r="D828" s="1" t="str">
        <v/>
      </c>
      <c r="E828" s="1" t="str">
        <v/>
      </c>
      <c r="F828" s="1" t="str">
        <v/>
      </c>
      <c r="G828" s="1" t="str">
        <v/>
      </c>
      <c r="H828" s="1" t="str">
        <v/>
      </c>
      <c r="I828" s="2" t="str">
        <v/>
      </c>
      <c r="J828" s="2" t="str">
        <v/>
      </c>
      <c r="K828" s="2" t="str">
        <v/>
      </c>
      <c r="L828" s="1" t="str">
        <v/>
      </c>
      <c r="M828" s="2" t="str">
        <v/>
      </c>
      <c r="N828" s="2" t="str">
        <v/>
      </c>
      <c r="O828" s="1" t="str">
        <v/>
      </c>
      <c r="P828" s="1" t="str">
        <v/>
      </c>
      <c r="Q828" s="1" t="str">
        <v/>
      </c>
    </row>
    <row r="829" x14ac:dyDescent="0.25">
      <c r="A829" s="1" t="str">
        <v/>
      </c>
      <c r="B829" s="1" t="str">
        <v/>
      </c>
      <c r="C829" s="1" t="str">
        <v/>
      </c>
      <c r="D829" s="1" t="str">
        <v/>
      </c>
      <c r="E829" s="1" t="str">
        <v/>
      </c>
      <c r="F829" s="1" t="str">
        <v/>
      </c>
      <c r="G829" s="1" t="str">
        <v/>
      </c>
      <c r="H829" s="1" t="str">
        <v/>
      </c>
      <c r="I829" s="2" t="str">
        <v/>
      </c>
      <c r="J829" s="2" t="str">
        <v/>
      </c>
      <c r="K829" s="2" t="str">
        <v/>
      </c>
      <c r="L829" s="1" t="str">
        <v/>
      </c>
      <c r="M829" s="2" t="str">
        <v/>
      </c>
      <c r="N829" s="2" t="str">
        <v/>
      </c>
      <c r="O829" s="1" t="str">
        <v/>
      </c>
      <c r="P829" s="1" t="str">
        <v/>
      </c>
      <c r="Q829" s="1" t="str">
        <v/>
      </c>
    </row>
    <row r="830" x14ac:dyDescent="0.25">
      <c r="A830" s="1" t="str">
        <v/>
      </c>
      <c r="B830" s="1" t="str">
        <v/>
      </c>
      <c r="C830" s="1" t="str">
        <v/>
      </c>
      <c r="D830" s="1" t="str">
        <v/>
      </c>
      <c r="E830" s="1" t="str">
        <v/>
      </c>
      <c r="F830" s="1" t="str">
        <v/>
      </c>
      <c r="G830" s="1" t="str">
        <v/>
      </c>
      <c r="H830" s="1" t="str">
        <v/>
      </c>
      <c r="I830" s="2" t="str">
        <v/>
      </c>
      <c r="J830" s="2" t="str">
        <v/>
      </c>
      <c r="K830" s="2" t="str">
        <v/>
      </c>
      <c r="L830" s="1" t="str">
        <v/>
      </c>
      <c r="M830" s="2" t="str">
        <v/>
      </c>
      <c r="N830" s="2" t="str">
        <v/>
      </c>
      <c r="O830" s="1" t="str">
        <v/>
      </c>
      <c r="P830" s="1" t="str">
        <v/>
      </c>
      <c r="Q830" s="1" t="str">
        <v/>
      </c>
    </row>
    <row r="831" x14ac:dyDescent="0.25">
      <c r="A831" s="1" t="str">
        <v/>
      </c>
      <c r="B831" s="1" t="str">
        <v/>
      </c>
      <c r="C831" s="1" t="str">
        <v/>
      </c>
      <c r="D831" s="1" t="str">
        <v/>
      </c>
      <c r="E831" s="1" t="str">
        <v/>
      </c>
      <c r="F831" s="1" t="str">
        <v/>
      </c>
      <c r="G831" s="1" t="str">
        <v/>
      </c>
      <c r="H831" s="1" t="str">
        <v/>
      </c>
      <c r="I831" s="2" t="str">
        <v/>
      </c>
      <c r="J831" s="2" t="str">
        <v/>
      </c>
      <c r="K831" s="2" t="str">
        <v/>
      </c>
      <c r="L831" s="1" t="str">
        <v/>
      </c>
      <c r="M831" s="2" t="str">
        <v/>
      </c>
      <c r="N831" s="2" t="str">
        <v/>
      </c>
      <c r="O831" s="1" t="str">
        <v/>
      </c>
      <c r="P831" s="1" t="str">
        <v/>
      </c>
      <c r="Q831" s="1" t="str">
        <v/>
      </c>
    </row>
    <row r="832" x14ac:dyDescent="0.25">
      <c r="A832" s="1" t="str">
        <v/>
      </c>
      <c r="B832" s="1" t="str">
        <v/>
      </c>
      <c r="C832" s="1" t="str">
        <v/>
      </c>
      <c r="D832" s="1" t="str">
        <v/>
      </c>
      <c r="E832" s="1" t="str">
        <v/>
      </c>
      <c r="F832" s="1" t="str">
        <v/>
      </c>
      <c r="G832" s="1" t="str">
        <v/>
      </c>
      <c r="H832" s="1" t="str">
        <v/>
      </c>
      <c r="I832" s="2" t="str">
        <v/>
      </c>
      <c r="J832" s="2" t="str">
        <v/>
      </c>
      <c r="K832" s="2" t="str">
        <v/>
      </c>
      <c r="L832" s="1" t="str">
        <v/>
      </c>
      <c r="M832" s="2" t="str">
        <v/>
      </c>
      <c r="N832" s="2" t="str">
        <v/>
      </c>
      <c r="O832" s="1" t="str">
        <v/>
      </c>
      <c r="P832" s="1" t="str">
        <v/>
      </c>
      <c r="Q832" s="1" t="str">
        <v/>
      </c>
    </row>
    <row r="833" x14ac:dyDescent="0.25">
      <c r="A833" s="1" t="str">
        <v/>
      </c>
      <c r="B833" s="1" t="str">
        <v/>
      </c>
      <c r="C833" s="1" t="str">
        <v/>
      </c>
      <c r="D833" s="1" t="str">
        <v/>
      </c>
      <c r="E833" s="1" t="str">
        <v/>
      </c>
      <c r="F833" s="1" t="str">
        <v/>
      </c>
      <c r="G833" s="1" t="str">
        <v/>
      </c>
      <c r="H833" s="1" t="str">
        <v/>
      </c>
      <c r="I833" s="2" t="str">
        <v/>
      </c>
      <c r="J833" s="2" t="str">
        <v/>
      </c>
      <c r="K833" s="2" t="str">
        <v/>
      </c>
      <c r="L833" s="1" t="str">
        <v/>
      </c>
      <c r="M833" s="2" t="str">
        <v/>
      </c>
      <c r="N833" s="2" t="str">
        <v/>
      </c>
      <c r="O833" s="1" t="str">
        <v/>
      </c>
      <c r="P833" s="1" t="str">
        <v/>
      </c>
      <c r="Q833" s="1" t="str">
        <v/>
      </c>
    </row>
    <row r="834" x14ac:dyDescent="0.25">
      <c r="A834" s="1" t="str">
        <v/>
      </c>
      <c r="B834" s="1" t="str">
        <v/>
      </c>
      <c r="C834" s="1" t="str">
        <v/>
      </c>
      <c r="D834" s="1" t="str">
        <v/>
      </c>
      <c r="E834" s="1" t="str">
        <v/>
      </c>
      <c r="F834" s="1" t="str">
        <v/>
      </c>
      <c r="G834" s="1" t="str">
        <v/>
      </c>
      <c r="H834" s="1" t="str">
        <v/>
      </c>
      <c r="I834" s="2" t="str">
        <v/>
      </c>
      <c r="J834" s="2" t="str">
        <v/>
      </c>
      <c r="K834" s="2" t="str">
        <v/>
      </c>
      <c r="L834" s="1" t="str">
        <v/>
      </c>
      <c r="M834" s="2" t="str">
        <v/>
      </c>
      <c r="N834" s="2" t="str">
        <v/>
      </c>
      <c r="O834" s="1" t="str">
        <v/>
      </c>
      <c r="P834" s="1" t="str">
        <v/>
      </c>
      <c r="Q834" s="1" t="str">
        <v/>
      </c>
    </row>
    <row r="835" x14ac:dyDescent="0.25">
      <c r="A835" s="1" t="str">
        <v/>
      </c>
      <c r="B835" s="1" t="str">
        <v/>
      </c>
      <c r="C835" s="1" t="str">
        <v/>
      </c>
      <c r="D835" s="1" t="str">
        <v/>
      </c>
      <c r="E835" s="1" t="str">
        <v/>
      </c>
      <c r="F835" s="1" t="str">
        <v/>
      </c>
      <c r="G835" s="1" t="str">
        <v/>
      </c>
      <c r="H835" s="1" t="str">
        <v/>
      </c>
      <c r="I835" s="2" t="str">
        <v/>
      </c>
      <c r="J835" s="2" t="str">
        <v/>
      </c>
      <c r="K835" s="2" t="str">
        <v/>
      </c>
      <c r="L835" s="1" t="str">
        <v/>
      </c>
      <c r="M835" s="2" t="str">
        <v/>
      </c>
      <c r="N835" s="2" t="str">
        <v/>
      </c>
      <c r="O835" s="1" t="str">
        <v/>
      </c>
      <c r="P835" s="1" t="str">
        <v/>
      </c>
      <c r="Q835" s="1" t="str">
        <v/>
      </c>
    </row>
    <row r="836" x14ac:dyDescent="0.25">
      <c r="A836" s="1" t="str">
        <v/>
      </c>
      <c r="B836" s="1" t="str">
        <v/>
      </c>
      <c r="C836" s="1" t="str">
        <v/>
      </c>
      <c r="D836" s="1" t="str">
        <v/>
      </c>
      <c r="E836" s="1" t="str">
        <v/>
      </c>
      <c r="F836" s="1" t="str">
        <v/>
      </c>
      <c r="G836" s="1" t="str">
        <v/>
      </c>
      <c r="H836" s="1" t="str">
        <v/>
      </c>
      <c r="I836" s="2" t="str">
        <v/>
      </c>
      <c r="J836" s="2" t="str">
        <v/>
      </c>
      <c r="K836" s="2" t="str">
        <v/>
      </c>
      <c r="L836" s="1" t="str">
        <v/>
      </c>
      <c r="M836" s="2" t="str">
        <v/>
      </c>
      <c r="N836" s="2" t="str">
        <v/>
      </c>
      <c r="O836" s="1" t="str">
        <v/>
      </c>
      <c r="P836" s="1" t="str">
        <v/>
      </c>
      <c r="Q836" s="1" t="str">
        <v/>
      </c>
    </row>
    <row r="837" x14ac:dyDescent="0.25">
      <c r="A837" s="1" t="str">
        <v/>
      </c>
      <c r="B837" s="1" t="str">
        <v/>
      </c>
      <c r="C837" s="1" t="str">
        <v/>
      </c>
      <c r="D837" s="1" t="str">
        <v/>
      </c>
      <c r="E837" s="1" t="str">
        <v/>
      </c>
      <c r="F837" s="1" t="str">
        <v/>
      </c>
      <c r="G837" s="1" t="str">
        <v/>
      </c>
      <c r="H837" s="1" t="str">
        <v/>
      </c>
      <c r="I837" s="2" t="str">
        <v/>
      </c>
      <c r="J837" s="2" t="str">
        <v/>
      </c>
      <c r="K837" s="2" t="str">
        <v/>
      </c>
      <c r="L837" s="1" t="str">
        <v/>
      </c>
      <c r="M837" s="2" t="str">
        <v/>
      </c>
      <c r="N837" s="2" t="str">
        <v/>
      </c>
      <c r="O837" s="1" t="str">
        <v/>
      </c>
      <c r="P837" s="1" t="str">
        <v/>
      </c>
      <c r="Q837" s="1" t="str">
        <v/>
      </c>
    </row>
    <row r="838" x14ac:dyDescent="0.25">
      <c r="A838" s="1" t="str">
        <v/>
      </c>
      <c r="B838" s="1" t="str">
        <v/>
      </c>
      <c r="C838" s="1" t="str">
        <v/>
      </c>
      <c r="D838" s="1" t="str">
        <v/>
      </c>
      <c r="E838" s="1" t="str">
        <v/>
      </c>
      <c r="F838" s="1" t="str">
        <v/>
      </c>
      <c r="G838" s="1" t="str">
        <v/>
      </c>
      <c r="H838" s="1" t="str">
        <v/>
      </c>
      <c r="I838" s="2" t="str">
        <v/>
      </c>
      <c r="J838" s="2" t="str">
        <v/>
      </c>
      <c r="K838" s="2" t="str">
        <v/>
      </c>
      <c r="L838" s="1" t="str">
        <v/>
      </c>
      <c r="M838" s="2" t="str">
        <v/>
      </c>
      <c r="N838" s="2" t="str">
        <v/>
      </c>
      <c r="O838" s="1" t="str">
        <v/>
      </c>
      <c r="P838" s="1" t="str">
        <v/>
      </c>
      <c r="Q838" s="1" t="str">
        <v/>
      </c>
    </row>
    <row r="839" x14ac:dyDescent="0.25">
      <c r="A839" s="1" t="str">
        <v/>
      </c>
      <c r="B839" s="1" t="str">
        <v/>
      </c>
      <c r="C839" s="1" t="str">
        <v/>
      </c>
      <c r="D839" s="1" t="str">
        <v/>
      </c>
      <c r="E839" s="1" t="str">
        <v/>
      </c>
      <c r="F839" s="1" t="str">
        <v/>
      </c>
      <c r="G839" s="1" t="str">
        <v/>
      </c>
      <c r="H839" s="1" t="str">
        <v/>
      </c>
      <c r="I839" s="2" t="str">
        <v/>
      </c>
      <c r="J839" s="2" t="str">
        <v/>
      </c>
      <c r="K839" s="2" t="str">
        <v/>
      </c>
      <c r="L839" s="1" t="str">
        <v/>
      </c>
      <c r="M839" s="2" t="str">
        <v/>
      </c>
      <c r="N839" s="2" t="str">
        <v/>
      </c>
      <c r="O839" s="1" t="str">
        <v/>
      </c>
      <c r="P839" s="1" t="str">
        <v/>
      </c>
      <c r="Q839" s="1" t="str">
        <v/>
      </c>
    </row>
    <row r="840" x14ac:dyDescent="0.25">
      <c r="A840" s="1" t="str">
        <v/>
      </c>
      <c r="B840" s="1" t="str">
        <v/>
      </c>
      <c r="C840" s="1" t="str">
        <v/>
      </c>
      <c r="D840" s="1" t="str">
        <v/>
      </c>
      <c r="E840" s="1" t="str">
        <v/>
      </c>
      <c r="F840" s="1" t="str">
        <v/>
      </c>
      <c r="G840" s="1" t="str">
        <v/>
      </c>
      <c r="H840" s="1" t="str">
        <v/>
      </c>
      <c r="I840" s="2" t="str">
        <v/>
      </c>
      <c r="J840" s="2" t="str">
        <v/>
      </c>
      <c r="K840" s="2" t="str">
        <v/>
      </c>
      <c r="L840" s="1" t="str">
        <v/>
      </c>
      <c r="M840" s="2" t="str">
        <v/>
      </c>
      <c r="N840" s="2" t="str">
        <v/>
      </c>
      <c r="O840" s="1" t="str">
        <v/>
      </c>
      <c r="P840" s="1" t="str">
        <v/>
      </c>
      <c r="Q840" s="1" t="str">
        <v/>
      </c>
    </row>
    <row r="841" x14ac:dyDescent="0.25">
      <c r="A841" s="1" t="str">
        <v/>
      </c>
      <c r="B841" s="1" t="str">
        <v/>
      </c>
      <c r="C841" s="1" t="str">
        <v/>
      </c>
      <c r="D841" s="1" t="str">
        <v/>
      </c>
      <c r="E841" s="1" t="str">
        <v/>
      </c>
      <c r="F841" s="1" t="str">
        <v/>
      </c>
      <c r="G841" s="1" t="str">
        <v/>
      </c>
      <c r="H841" s="1" t="str">
        <v/>
      </c>
      <c r="I841" s="2" t="str">
        <v/>
      </c>
      <c r="J841" s="2" t="str">
        <v/>
      </c>
      <c r="K841" s="2" t="str">
        <v/>
      </c>
      <c r="L841" s="1" t="str">
        <v/>
      </c>
      <c r="M841" s="2" t="str">
        <v/>
      </c>
      <c r="N841" s="2" t="str">
        <v/>
      </c>
      <c r="O841" s="1" t="str">
        <v/>
      </c>
      <c r="P841" s="1" t="str">
        <v/>
      </c>
      <c r="Q841" s="1" t="str">
        <v/>
      </c>
    </row>
    <row r="842" x14ac:dyDescent="0.25">
      <c r="A842" s="1" t="str">
        <v/>
      </c>
      <c r="B842" s="1" t="str">
        <v/>
      </c>
      <c r="C842" s="1" t="str">
        <v/>
      </c>
      <c r="D842" s="1" t="str">
        <v/>
      </c>
      <c r="E842" s="1" t="str">
        <v/>
      </c>
      <c r="F842" s="1" t="str">
        <v/>
      </c>
      <c r="G842" s="1" t="str">
        <v/>
      </c>
      <c r="H842" s="1" t="str">
        <v/>
      </c>
      <c r="I842" s="2" t="str">
        <v/>
      </c>
      <c r="J842" s="2" t="str">
        <v/>
      </c>
      <c r="K842" s="2" t="str">
        <v/>
      </c>
      <c r="L842" s="1" t="str">
        <v/>
      </c>
      <c r="M842" s="2" t="str">
        <v/>
      </c>
      <c r="N842" s="2" t="str">
        <v/>
      </c>
      <c r="O842" s="1" t="str">
        <v/>
      </c>
      <c r="P842" s="1" t="str">
        <v/>
      </c>
      <c r="Q842" s="1" t="str">
        <v/>
      </c>
    </row>
    <row r="843" x14ac:dyDescent="0.25">
      <c r="A843" s="1" t="str">
        <v/>
      </c>
      <c r="B843" s="1" t="str">
        <v/>
      </c>
      <c r="C843" s="1" t="str">
        <v/>
      </c>
      <c r="D843" s="1" t="str">
        <v/>
      </c>
      <c r="E843" s="1" t="str">
        <v/>
      </c>
      <c r="F843" s="1" t="str">
        <v/>
      </c>
      <c r="G843" s="1" t="str">
        <v/>
      </c>
      <c r="H843" s="1" t="str">
        <v/>
      </c>
      <c r="I843" s="2" t="str">
        <v/>
      </c>
      <c r="J843" s="2" t="str">
        <v/>
      </c>
      <c r="K843" s="2" t="str">
        <v/>
      </c>
      <c r="L843" s="1" t="str">
        <v/>
      </c>
      <c r="M843" s="2" t="str">
        <v/>
      </c>
      <c r="N843" s="2" t="str">
        <v/>
      </c>
      <c r="O843" s="1" t="str">
        <v/>
      </c>
      <c r="P843" s="1" t="str">
        <v/>
      </c>
      <c r="Q843" s="1" t="str">
        <v/>
      </c>
    </row>
    <row r="844" x14ac:dyDescent="0.25">
      <c r="A844" s="1" t="str">
        <v/>
      </c>
      <c r="B844" s="1" t="str">
        <v/>
      </c>
      <c r="C844" s="1" t="str">
        <v/>
      </c>
      <c r="D844" s="1" t="str">
        <v/>
      </c>
      <c r="E844" s="1" t="str">
        <v/>
      </c>
      <c r="F844" s="1" t="str">
        <v/>
      </c>
      <c r="G844" s="1" t="str">
        <v/>
      </c>
      <c r="H844" s="1" t="str">
        <v/>
      </c>
      <c r="I844" s="2" t="str">
        <v/>
      </c>
      <c r="J844" s="2" t="str">
        <v/>
      </c>
      <c r="K844" s="2" t="str">
        <v/>
      </c>
      <c r="L844" s="1" t="str">
        <v/>
      </c>
      <c r="M844" s="2" t="str">
        <v/>
      </c>
      <c r="N844" s="2" t="str">
        <v/>
      </c>
      <c r="O844" s="1" t="str">
        <v/>
      </c>
      <c r="P844" s="1" t="str">
        <v/>
      </c>
      <c r="Q844" s="1" t="str">
        <v/>
      </c>
    </row>
    <row r="845" x14ac:dyDescent="0.25">
      <c r="A845" s="1" t="str">
        <v/>
      </c>
      <c r="B845" s="1" t="str">
        <v/>
      </c>
      <c r="C845" s="1" t="str">
        <v/>
      </c>
      <c r="D845" s="1" t="str">
        <v/>
      </c>
      <c r="E845" s="1" t="str">
        <v/>
      </c>
      <c r="F845" s="1" t="str">
        <v/>
      </c>
      <c r="G845" s="1" t="str">
        <v/>
      </c>
      <c r="H845" s="1" t="str">
        <v/>
      </c>
      <c r="I845" s="2" t="str">
        <v/>
      </c>
      <c r="J845" s="2" t="str">
        <v/>
      </c>
      <c r="K845" s="2" t="str">
        <v/>
      </c>
      <c r="L845" s="1" t="str">
        <v/>
      </c>
      <c r="M845" s="2" t="str">
        <v/>
      </c>
      <c r="N845" s="2" t="str">
        <v/>
      </c>
      <c r="O845" s="1" t="str">
        <v/>
      </c>
      <c r="P845" s="1" t="str">
        <v/>
      </c>
      <c r="Q845" s="1" t="str">
        <v/>
      </c>
    </row>
    <row r="846" x14ac:dyDescent="0.25">
      <c r="A846" s="1" t="str">
        <v/>
      </c>
      <c r="B846" s="1" t="str">
        <v/>
      </c>
      <c r="C846" s="1" t="str">
        <v/>
      </c>
      <c r="D846" s="1" t="str">
        <v/>
      </c>
      <c r="E846" s="1" t="str">
        <v/>
      </c>
      <c r="F846" s="1" t="str">
        <v/>
      </c>
      <c r="G846" s="1" t="str">
        <v/>
      </c>
      <c r="H846" s="1" t="str">
        <v/>
      </c>
      <c r="I846" s="2" t="str">
        <v/>
      </c>
      <c r="J846" s="2" t="str">
        <v/>
      </c>
      <c r="K846" s="2" t="str">
        <v/>
      </c>
      <c r="L846" s="1" t="str">
        <v/>
      </c>
      <c r="M846" s="2" t="str">
        <v/>
      </c>
      <c r="N846" s="2" t="str">
        <v/>
      </c>
      <c r="O846" s="1" t="str">
        <v/>
      </c>
      <c r="P846" s="1" t="str">
        <v/>
      </c>
      <c r="Q846" s="1" t="str">
        <v/>
      </c>
    </row>
    <row r="847" x14ac:dyDescent="0.25">
      <c r="A847" s="1" t="str">
        <v/>
      </c>
      <c r="B847" s="1" t="str">
        <v/>
      </c>
      <c r="C847" s="1" t="str">
        <v/>
      </c>
      <c r="D847" s="1" t="str">
        <v/>
      </c>
      <c r="E847" s="1" t="str">
        <v/>
      </c>
      <c r="F847" s="1" t="str">
        <v/>
      </c>
      <c r="G847" s="1" t="str">
        <v/>
      </c>
      <c r="H847" s="1" t="str">
        <v/>
      </c>
      <c r="I847" s="2" t="str">
        <v/>
      </c>
      <c r="J847" s="2" t="str">
        <v/>
      </c>
      <c r="K847" s="2" t="str">
        <v/>
      </c>
      <c r="L847" s="1" t="str">
        <v/>
      </c>
      <c r="M847" s="2" t="str">
        <v/>
      </c>
      <c r="N847" s="2" t="str">
        <v/>
      </c>
      <c r="O847" s="1" t="str">
        <v/>
      </c>
      <c r="P847" s="1" t="str">
        <v/>
      </c>
      <c r="Q847" s="1" t="str">
        <v/>
      </c>
    </row>
    <row r="848" x14ac:dyDescent="0.25">
      <c r="A848" s="1" t="str">
        <v/>
      </c>
      <c r="B848" s="1" t="str">
        <v/>
      </c>
      <c r="C848" s="1" t="str">
        <v/>
      </c>
      <c r="D848" s="1" t="str">
        <v/>
      </c>
      <c r="E848" s="1" t="str">
        <v/>
      </c>
      <c r="F848" s="1" t="str">
        <v/>
      </c>
      <c r="G848" s="1" t="str">
        <v/>
      </c>
      <c r="H848" s="1" t="str">
        <v/>
      </c>
      <c r="I848" s="2" t="str">
        <v/>
      </c>
      <c r="J848" s="2" t="str">
        <v/>
      </c>
      <c r="K848" s="2" t="str">
        <v/>
      </c>
      <c r="L848" s="1" t="str">
        <v/>
      </c>
      <c r="M848" s="2" t="str">
        <v/>
      </c>
      <c r="N848" s="2" t="str">
        <v/>
      </c>
      <c r="O848" s="1" t="str">
        <v/>
      </c>
      <c r="P848" s="1" t="str">
        <v/>
      </c>
      <c r="Q848" s="1" t="str">
        <v/>
      </c>
    </row>
    <row r="849" x14ac:dyDescent="0.25">
      <c r="A849" s="1" t="str">
        <v/>
      </c>
      <c r="B849" s="1" t="str">
        <v/>
      </c>
      <c r="C849" s="1" t="str">
        <v/>
      </c>
      <c r="D849" s="1" t="str">
        <v/>
      </c>
      <c r="E849" s="1" t="str">
        <v/>
      </c>
      <c r="F849" s="1" t="str">
        <v/>
      </c>
      <c r="G849" s="1" t="str">
        <v/>
      </c>
      <c r="H849" s="1" t="str">
        <v/>
      </c>
      <c r="I849" s="2" t="str">
        <v/>
      </c>
      <c r="J849" s="2" t="str">
        <v/>
      </c>
      <c r="K849" s="2" t="str">
        <v/>
      </c>
      <c r="L849" s="1" t="str">
        <v/>
      </c>
      <c r="M849" s="2" t="str">
        <v/>
      </c>
      <c r="N849" s="2" t="str">
        <v/>
      </c>
      <c r="O849" s="1" t="str">
        <v/>
      </c>
      <c r="P849" s="1" t="str">
        <v/>
      </c>
      <c r="Q849" s="1" t="str">
        <v/>
      </c>
    </row>
    <row r="850" x14ac:dyDescent="0.25">
      <c r="A850" s="1" t="str">
        <v/>
      </c>
      <c r="B850" s="1" t="str">
        <v/>
      </c>
      <c r="C850" s="1" t="str">
        <v/>
      </c>
      <c r="D850" s="1" t="str">
        <v/>
      </c>
      <c r="E850" s="1" t="str">
        <v/>
      </c>
      <c r="F850" s="1" t="str">
        <v/>
      </c>
      <c r="G850" s="1" t="str">
        <v/>
      </c>
      <c r="H850" s="1" t="str">
        <v/>
      </c>
      <c r="I850" s="2" t="str">
        <v/>
      </c>
      <c r="J850" s="2" t="str">
        <v/>
      </c>
      <c r="K850" s="2" t="str">
        <v/>
      </c>
      <c r="L850" s="1" t="str">
        <v/>
      </c>
      <c r="M850" s="2" t="str">
        <v/>
      </c>
      <c r="N850" s="2" t="str">
        <v/>
      </c>
      <c r="O850" s="1" t="str">
        <v/>
      </c>
      <c r="P850" s="1" t="str">
        <v/>
      </c>
      <c r="Q850" s="1" t="str">
        <v/>
      </c>
    </row>
    <row r="851" x14ac:dyDescent="0.25">
      <c r="A851" s="1" t="str">
        <v/>
      </c>
      <c r="B851" s="1" t="str">
        <v/>
      </c>
      <c r="C851" s="1" t="str">
        <v/>
      </c>
      <c r="D851" s="1" t="str">
        <v/>
      </c>
      <c r="E851" s="1" t="str">
        <v/>
      </c>
      <c r="F851" s="1" t="str">
        <v/>
      </c>
      <c r="G851" s="1" t="str">
        <v/>
      </c>
      <c r="H851" s="1" t="str">
        <v/>
      </c>
      <c r="I851" s="2" t="str">
        <v/>
      </c>
      <c r="J851" s="2" t="str">
        <v/>
      </c>
      <c r="K851" s="2" t="str">
        <v/>
      </c>
      <c r="L851" s="1" t="str">
        <v/>
      </c>
      <c r="M851" s="2" t="str">
        <v/>
      </c>
      <c r="N851" s="2" t="str">
        <v/>
      </c>
      <c r="O851" s="1" t="str">
        <v/>
      </c>
      <c r="P851" s="1" t="str">
        <v/>
      </c>
      <c r="Q851" s="1" t="str">
        <v/>
      </c>
    </row>
    <row r="852" x14ac:dyDescent="0.25">
      <c r="A852" s="1" t="str">
        <v/>
      </c>
      <c r="B852" s="1" t="str">
        <v/>
      </c>
      <c r="C852" s="1" t="str">
        <v/>
      </c>
      <c r="D852" s="1" t="str">
        <v/>
      </c>
      <c r="E852" s="1" t="str">
        <v/>
      </c>
      <c r="F852" s="1" t="str">
        <v/>
      </c>
      <c r="G852" s="1" t="str">
        <v/>
      </c>
      <c r="H852" s="1" t="str">
        <v/>
      </c>
      <c r="I852" s="2" t="str">
        <v/>
      </c>
      <c r="J852" s="2" t="str">
        <v/>
      </c>
      <c r="K852" s="2" t="str">
        <v/>
      </c>
      <c r="L852" s="1" t="str">
        <v/>
      </c>
      <c r="M852" s="2" t="str">
        <v/>
      </c>
      <c r="N852" s="2" t="str">
        <v/>
      </c>
      <c r="O852" s="1" t="str">
        <v/>
      </c>
      <c r="P852" s="1" t="str">
        <v/>
      </c>
      <c r="Q852" s="1" t="str">
        <v/>
      </c>
    </row>
    <row r="853" x14ac:dyDescent="0.25">
      <c r="A853" s="1" t="str">
        <v/>
      </c>
      <c r="B853" s="1" t="str">
        <v/>
      </c>
      <c r="C853" s="1" t="str">
        <v/>
      </c>
      <c r="D853" s="1" t="str">
        <v/>
      </c>
      <c r="E853" s="1" t="str">
        <v/>
      </c>
      <c r="F853" s="1" t="str">
        <v/>
      </c>
      <c r="G853" s="1" t="str">
        <v/>
      </c>
      <c r="H853" s="1" t="str">
        <v/>
      </c>
      <c r="I853" s="2" t="str">
        <v/>
      </c>
      <c r="J853" s="2" t="str">
        <v/>
      </c>
      <c r="K853" s="2" t="str">
        <v/>
      </c>
      <c r="L853" s="1" t="str">
        <v/>
      </c>
      <c r="M853" s="2" t="str">
        <v/>
      </c>
      <c r="N853" s="2" t="str">
        <v/>
      </c>
      <c r="O853" s="1" t="str">
        <v/>
      </c>
      <c r="P853" s="1" t="str">
        <v/>
      </c>
      <c r="Q853" s="1" t="str">
        <v/>
      </c>
    </row>
    <row r="854" x14ac:dyDescent="0.25">
      <c r="A854" s="1" t="str">
        <v/>
      </c>
      <c r="B854" s="1" t="str">
        <v/>
      </c>
      <c r="C854" s="1" t="str">
        <v/>
      </c>
      <c r="D854" s="1" t="str">
        <v/>
      </c>
      <c r="E854" s="1" t="str">
        <v/>
      </c>
      <c r="F854" s="1" t="str">
        <v/>
      </c>
      <c r="G854" s="1" t="str">
        <v/>
      </c>
      <c r="H854" s="1" t="str">
        <v/>
      </c>
      <c r="I854" s="2" t="str">
        <v/>
      </c>
      <c r="J854" s="2" t="str">
        <v/>
      </c>
      <c r="K854" s="2" t="str">
        <v/>
      </c>
      <c r="L854" s="1" t="str">
        <v/>
      </c>
      <c r="M854" s="2" t="str">
        <v/>
      </c>
      <c r="N854" s="2" t="str">
        <v/>
      </c>
      <c r="O854" s="1" t="str">
        <v/>
      </c>
      <c r="P854" s="1" t="str">
        <v/>
      </c>
      <c r="Q854" s="1" t="str">
        <v/>
      </c>
    </row>
    <row r="855" x14ac:dyDescent="0.25">
      <c r="A855" s="1" t="str">
        <v/>
      </c>
      <c r="B855" s="1" t="str">
        <v/>
      </c>
      <c r="C855" s="1" t="str">
        <v/>
      </c>
      <c r="D855" s="1" t="str">
        <v/>
      </c>
      <c r="E855" s="1" t="str">
        <v/>
      </c>
      <c r="F855" s="1" t="str">
        <v/>
      </c>
      <c r="G855" s="1" t="str">
        <v/>
      </c>
      <c r="H855" s="1" t="str">
        <v/>
      </c>
      <c r="I855" s="2" t="str">
        <v/>
      </c>
      <c r="J855" s="2" t="str">
        <v/>
      </c>
      <c r="K855" s="2" t="str">
        <v/>
      </c>
      <c r="L855" s="1" t="str">
        <v/>
      </c>
      <c r="M855" s="2" t="str">
        <v/>
      </c>
      <c r="N855" s="2" t="str">
        <v/>
      </c>
      <c r="O855" s="1" t="str">
        <v/>
      </c>
      <c r="P855" s="1" t="str">
        <v/>
      </c>
      <c r="Q855" s="1" t="str">
        <v/>
      </c>
    </row>
    <row r="856" x14ac:dyDescent="0.25">
      <c r="A856" s="1" t="str">
        <v/>
      </c>
      <c r="B856" s="1" t="str">
        <v/>
      </c>
      <c r="C856" s="1" t="str">
        <v/>
      </c>
      <c r="D856" s="1" t="str">
        <v/>
      </c>
      <c r="E856" s="1" t="str">
        <v/>
      </c>
      <c r="F856" s="1" t="str">
        <v/>
      </c>
      <c r="G856" s="1" t="str">
        <v/>
      </c>
      <c r="H856" s="1" t="str">
        <v/>
      </c>
      <c r="I856" s="2" t="str">
        <v/>
      </c>
      <c r="J856" s="2" t="str">
        <v/>
      </c>
      <c r="K856" s="2" t="str">
        <v/>
      </c>
      <c r="L856" s="1" t="str">
        <v/>
      </c>
      <c r="M856" s="2" t="str">
        <v/>
      </c>
      <c r="N856" s="2" t="str">
        <v/>
      </c>
      <c r="O856" s="1" t="str">
        <v/>
      </c>
      <c r="P856" s="1" t="str">
        <v/>
      </c>
      <c r="Q856" s="1" t="str">
        <v/>
      </c>
    </row>
    <row r="857" x14ac:dyDescent="0.25">
      <c r="A857" s="1" t="str">
        <v/>
      </c>
      <c r="B857" s="1" t="str">
        <v/>
      </c>
      <c r="C857" s="1" t="str">
        <v/>
      </c>
      <c r="D857" s="1" t="str">
        <v/>
      </c>
      <c r="E857" s="1" t="str">
        <v/>
      </c>
      <c r="F857" s="1" t="str">
        <v/>
      </c>
      <c r="G857" s="1" t="str">
        <v/>
      </c>
      <c r="H857" s="1" t="str">
        <v/>
      </c>
      <c r="I857" s="2" t="str">
        <v/>
      </c>
      <c r="J857" s="2" t="str">
        <v/>
      </c>
      <c r="K857" s="2" t="str">
        <v/>
      </c>
      <c r="L857" s="1" t="str">
        <v/>
      </c>
      <c r="M857" s="2" t="str">
        <v/>
      </c>
      <c r="N857" s="2" t="str">
        <v/>
      </c>
      <c r="O857" s="1" t="str">
        <v/>
      </c>
      <c r="P857" s="1" t="str">
        <v/>
      </c>
      <c r="Q857" s="1" t="str">
        <v/>
      </c>
    </row>
    <row r="858" x14ac:dyDescent="0.25">
      <c r="A858" s="1" t="str">
        <v/>
      </c>
      <c r="B858" s="1" t="str">
        <v/>
      </c>
      <c r="C858" s="1" t="str">
        <v/>
      </c>
      <c r="D858" s="1" t="str">
        <v/>
      </c>
      <c r="E858" s="1" t="str">
        <v/>
      </c>
      <c r="F858" s="1" t="str">
        <v/>
      </c>
      <c r="G858" s="1" t="str">
        <v/>
      </c>
      <c r="H858" s="1" t="str">
        <v/>
      </c>
      <c r="I858" s="2" t="str">
        <v/>
      </c>
      <c r="J858" s="2" t="str">
        <v/>
      </c>
      <c r="K858" s="2" t="str">
        <v/>
      </c>
      <c r="L858" s="1" t="str">
        <v/>
      </c>
      <c r="M858" s="2" t="str">
        <v/>
      </c>
      <c r="N858" s="2" t="str">
        <v/>
      </c>
      <c r="O858" s="1" t="str">
        <v/>
      </c>
      <c r="P858" s="1" t="str">
        <v/>
      </c>
      <c r="Q858" s="1" t="str">
        <v/>
      </c>
    </row>
    <row r="859" x14ac:dyDescent="0.25">
      <c r="A859" s="1" t="str">
        <v/>
      </c>
      <c r="B859" s="1" t="str">
        <v/>
      </c>
      <c r="C859" s="1" t="str">
        <v/>
      </c>
      <c r="D859" s="1" t="str">
        <v/>
      </c>
      <c r="E859" s="1" t="str">
        <v/>
      </c>
      <c r="F859" s="1" t="str">
        <v/>
      </c>
      <c r="G859" s="1" t="str">
        <v/>
      </c>
      <c r="H859" s="1" t="str">
        <v/>
      </c>
      <c r="I859" s="2" t="str">
        <v/>
      </c>
      <c r="J859" s="2" t="str">
        <v/>
      </c>
      <c r="K859" s="2" t="str">
        <v/>
      </c>
      <c r="L859" s="1" t="str">
        <v/>
      </c>
      <c r="M859" s="2" t="str">
        <v/>
      </c>
      <c r="N859" s="2" t="str">
        <v/>
      </c>
      <c r="O859" s="1" t="str">
        <v/>
      </c>
      <c r="P859" s="1" t="str">
        <v/>
      </c>
      <c r="Q859" s="1" t="str">
        <v/>
      </c>
    </row>
    <row r="860" x14ac:dyDescent="0.25">
      <c r="A860" s="1" t="str">
        <v/>
      </c>
      <c r="B860" s="1" t="str">
        <v/>
      </c>
      <c r="C860" s="1" t="str">
        <v/>
      </c>
      <c r="D860" s="1" t="str">
        <v/>
      </c>
      <c r="E860" s="1" t="str">
        <v/>
      </c>
      <c r="F860" s="1" t="str">
        <v/>
      </c>
      <c r="G860" s="1" t="str">
        <v/>
      </c>
      <c r="H860" s="1" t="str">
        <v/>
      </c>
      <c r="I860" s="2" t="str">
        <v/>
      </c>
      <c r="J860" s="2" t="str">
        <v/>
      </c>
      <c r="K860" s="2" t="str">
        <v/>
      </c>
      <c r="L860" s="1" t="str">
        <v/>
      </c>
      <c r="M860" s="2" t="str">
        <v/>
      </c>
      <c r="N860" s="2" t="str">
        <v/>
      </c>
      <c r="O860" s="1" t="str">
        <v/>
      </c>
      <c r="P860" s="1" t="str">
        <v/>
      </c>
      <c r="Q860" s="1" t="str">
        <v/>
      </c>
    </row>
    <row r="861" x14ac:dyDescent="0.25">
      <c r="A861" s="1" t="str">
        <v/>
      </c>
      <c r="B861" s="1" t="str">
        <v/>
      </c>
      <c r="C861" s="1" t="str">
        <v/>
      </c>
      <c r="D861" s="1" t="str">
        <v/>
      </c>
      <c r="E861" s="1" t="str">
        <v/>
      </c>
      <c r="F861" s="1" t="str">
        <v/>
      </c>
      <c r="G861" s="1" t="str">
        <v/>
      </c>
      <c r="H861" s="1" t="str">
        <v/>
      </c>
      <c r="I861" s="2" t="str">
        <v/>
      </c>
      <c r="J861" s="2" t="str">
        <v/>
      </c>
      <c r="K861" s="2" t="str">
        <v/>
      </c>
      <c r="L861" s="1" t="str">
        <v/>
      </c>
      <c r="M861" s="2" t="str">
        <v/>
      </c>
      <c r="N861" s="2" t="str">
        <v/>
      </c>
      <c r="O861" s="1" t="str">
        <v/>
      </c>
      <c r="P861" s="1" t="str">
        <v/>
      </c>
      <c r="Q861" s="1" t="str">
        <v/>
      </c>
    </row>
    <row r="862" x14ac:dyDescent="0.25">
      <c r="A862" s="1" t="str">
        <v/>
      </c>
      <c r="B862" s="1" t="str">
        <v/>
      </c>
      <c r="C862" s="1" t="str">
        <v/>
      </c>
      <c r="D862" s="1" t="str">
        <v/>
      </c>
      <c r="E862" s="1" t="str">
        <v/>
      </c>
      <c r="F862" s="1" t="str">
        <v/>
      </c>
      <c r="G862" s="1" t="str">
        <v/>
      </c>
      <c r="H862" s="1" t="str">
        <v/>
      </c>
      <c r="I862" s="2" t="str">
        <v/>
      </c>
      <c r="J862" s="2" t="str">
        <v/>
      </c>
      <c r="K862" s="2" t="str">
        <v/>
      </c>
      <c r="L862" s="1" t="str">
        <v/>
      </c>
      <c r="M862" s="2" t="str">
        <v/>
      </c>
      <c r="N862" s="2" t="str">
        <v/>
      </c>
      <c r="O862" s="1" t="str">
        <v/>
      </c>
      <c r="P862" s="1" t="str">
        <v/>
      </c>
      <c r="Q862" s="1" t="str">
        <v/>
      </c>
    </row>
    <row r="863" x14ac:dyDescent="0.25">
      <c r="A863" s="1" t="str">
        <v/>
      </c>
      <c r="B863" s="1" t="str">
        <v/>
      </c>
      <c r="C863" s="1" t="str">
        <v/>
      </c>
      <c r="D863" s="1" t="str">
        <v/>
      </c>
      <c r="E863" s="1" t="str">
        <v/>
      </c>
      <c r="F863" s="1" t="str">
        <v/>
      </c>
      <c r="G863" s="1" t="str">
        <v/>
      </c>
      <c r="H863" s="1" t="str">
        <v/>
      </c>
      <c r="I863" s="2" t="str">
        <v/>
      </c>
      <c r="J863" s="2" t="str">
        <v/>
      </c>
      <c r="K863" s="2" t="str">
        <v/>
      </c>
      <c r="L863" s="1" t="str">
        <v/>
      </c>
      <c r="M863" s="2" t="str">
        <v/>
      </c>
      <c r="N863" s="2" t="str">
        <v/>
      </c>
      <c r="O863" s="1" t="str">
        <v/>
      </c>
      <c r="P863" s="1" t="str">
        <v/>
      </c>
      <c r="Q863" s="1" t="str">
        <v/>
      </c>
    </row>
    <row r="864" x14ac:dyDescent="0.25">
      <c r="A864" s="1" t="str">
        <v/>
      </c>
      <c r="B864" s="1" t="str">
        <v/>
      </c>
      <c r="C864" s="1" t="str">
        <v/>
      </c>
      <c r="D864" s="1" t="str">
        <v/>
      </c>
      <c r="E864" s="1" t="str">
        <v/>
      </c>
      <c r="F864" s="1" t="str">
        <v/>
      </c>
      <c r="G864" s="1" t="str">
        <v/>
      </c>
      <c r="H864" s="1" t="str">
        <v/>
      </c>
      <c r="I864" s="2" t="str">
        <v/>
      </c>
      <c r="J864" s="2" t="str">
        <v/>
      </c>
      <c r="K864" s="2" t="str">
        <v/>
      </c>
      <c r="L864" s="1" t="str">
        <v/>
      </c>
      <c r="M864" s="2" t="str">
        <v/>
      </c>
      <c r="N864" s="2" t="str">
        <v/>
      </c>
      <c r="O864" s="1" t="str">
        <v/>
      </c>
      <c r="P864" s="1" t="str">
        <v/>
      </c>
      <c r="Q864" s="1" t="str">
        <v/>
      </c>
    </row>
    <row r="865" x14ac:dyDescent="0.25">
      <c r="A865" s="1" t="str">
        <v/>
      </c>
      <c r="B865" s="1" t="str">
        <v/>
      </c>
      <c r="C865" s="1" t="str">
        <v/>
      </c>
      <c r="D865" s="1" t="str">
        <v/>
      </c>
      <c r="E865" s="1" t="str">
        <v/>
      </c>
      <c r="F865" s="1" t="str">
        <v/>
      </c>
      <c r="G865" s="1" t="str">
        <v/>
      </c>
      <c r="H865" s="1" t="str">
        <v/>
      </c>
      <c r="I865" s="2" t="str">
        <v/>
      </c>
      <c r="J865" s="2" t="str">
        <v/>
      </c>
      <c r="K865" s="2" t="str">
        <v/>
      </c>
      <c r="L865" s="1" t="str">
        <v/>
      </c>
      <c r="M865" s="2" t="str">
        <v/>
      </c>
      <c r="N865" s="2" t="str">
        <v/>
      </c>
      <c r="O865" s="1" t="str">
        <v/>
      </c>
      <c r="P865" s="1" t="str">
        <v/>
      </c>
      <c r="Q865" s="1" t="str">
        <v/>
      </c>
    </row>
    <row r="866" x14ac:dyDescent="0.25">
      <c r="A866" s="1" t="str">
        <v/>
      </c>
      <c r="B866" s="1" t="str">
        <v/>
      </c>
      <c r="C866" s="1" t="str">
        <v/>
      </c>
      <c r="D866" s="1" t="str">
        <v/>
      </c>
      <c r="E866" s="1" t="str">
        <v/>
      </c>
      <c r="F866" s="1" t="str">
        <v/>
      </c>
      <c r="G866" s="1" t="str">
        <v/>
      </c>
      <c r="H866" s="1" t="str">
        <v/>
      </c>
      <c r="I866" s="2" t="str">
        <v/>
      </c>
      <c r="J866" s="2" t="str">
        <v/>
      </c>
      <c r="K866" s="2" t="str">
        <v/>
      </c>
      <c r="L866" s="1" t="str">
        <v/>
      </c>
      <c r="M866" s="2" t="str">
        <v/>
      </c>
      <c r="N866" s="2" t="str">
        <v/>
      </c>
      <c r="O866" s="1" t="str">
        <v/>
      </c>
      <c r="P866" s="1" t="str">
        <v/>
      </c>
      <c r="Q866" s="1" t="str">
        <v/>
      </c>
    </row>
    <row r="867" x14ac:dyDescent="0.25">
      <c r="A867" s="1" t="str">
        <v/>
      </c>
      <c r="B867" s="1" t="str">
        <v/>
      </c>
      <c r="C867" s="1" t="str">
        <v/>
      </c>
      <c r="D867" s="1" t="str">
        <v/>
      </c>
      <c r="E867" s="1" t="str">
        <v/>
      </c>
      <c r="F867" s="1" t="str">
        <v/>
      </c>
      <c r="G867" s="1" t="str">
        <v/>
      </c>
      <c r="H867" s="1" t="str">
        <v/>
      </c>
      <c r="I867" s="2" t="str">
        <v/>
      </c>
      <c r="J867" s="2" t="str">
        <v/>
      </c>
      <c r="K867" s="2" t="str">
        <v/>
      </c>
      <c r="L867" s="1" t="str">
        <v/>
      </c>
      <c r="M867" s="2" t="str">
        <v/>
      </c>
      <c r="N867" s="2" t="str">
        <v/>
      </c>
      <c r="O867" s="1" t="str">
        <v/>
      </c>
      <c r="P867" s="1" t="str">
        <v/>
      </c>
      <c r="Q867" s="1" t="str">
        <v/>
      </c>
    </row>
    <row r="868" x14ac:dyDescent="0.25">
      <c r="A868" s="1" t="str">
        <v/>
      </c>
      <c r="B868" s="1" t="str">
        <v/>
      </c>
      <c r="C868" s="1" t="str">
        <v/>
      </c>
      <c r="D868" s="1" t="str">
        <v/>
      </c>
      <c r="E868" s="1" t="str">
        <v/>
      </c>
      <c r="F868" s="1" t="str">
        <v/>
      </c>
      <c r="G868" s="1" t="str">
        <v/>
      </c>
      <c r="H868" s="1" t="str">
        <v/>
      </c>
      <c r="I868" s="2" t="str">
        <v/>
      </c>
      <c r="J868" s="2" t="str">
        <v/>
      </c>
      <c r="K868" s="2" t="str">
        <v/>
      </c>
      <c r="L868" s="1" t="str">
        <v/>
      </c>
      <c r="M868" s="2" t="str">
        <v/>
      </c>
      <c r="N868" s="2" t="str">
        <v/>
      </c>
      <c r="O868" s="1" t="str">
        <v/>
      </c>
      <c r="P868" s="1" t="str">
        <v/>
      </c>
      <c r="Q868" s="1" t="str">
        <v/>
      </c>
    </row>
    <row r="869" x14ac:dyDescent="0.25">
      <c r="A869" s="1" t="str">
        <v/>
      </c>
      <c r="B869" s="1" t="str">
        <v/>
      </c>
      <c r="C869" s="1" t="str">
        <v/>
      </c>
      <c r="D869" s="1" t="str">
        <v/>
      </c>
      <c r="E869" s="1" t="str">
        <v/>
      </c>
      <c r="F869" s="1" t="str">
        <v/>
      </c>
      <c r="G869" s="1" t="str">
        <v/>
      </c>
      <c r="H869" s="1" t="str">
        <v/>
      </c>
      <c r="I869" s="2" t="str">
        <v/>
      </c>
      <c r="J869" s="2" t="str">
        <v/>
      </c>
      <c r="K869" s="2" t="str">
        <v/>
      </c>
      <c r="L869" s="1" t="str">
        <v/>
      </c>
      <c r="M869" s="2" t="str">
        <v/>
      </c>
      <c r="N869" s="2" t="str">
        <v/>
      </c>
      <c r="O869" s="1" t="str">
        <v/>
      </c>
      <c r="P869" s="1" t="str">
        <v/>
      </c>
      <c r="Q869" s="1" t="str">
        <v/>
      </c>
    </row>
    <row r="870" x14ac:dyDescent="0.25">
      <c r="A870" s="1" t="str">
        <v/>
      </c>
      <c r="B870" s="1" t="str">
        <v/>
      </c>
      <c r="C870" s="1" t="str">
        <v/>
      </c>
      <c r="D870" s="1" t="str">
        <v/>
      </c>
      <c r="E870" s="1" t="str">
        <v/>
      </c>
      <c r="F870" s="1" t="str">
        <v/>
      </c>
      <c r="G870" s="1" t="str">
        <v/>
      </c>
      <c r="H870" s="1" t="str">
        <v/>
      </c>
      <c r="I870" s="2" t="str">
        <v/>
      </c>
      <c r="J870" s="2" t="str">
        <v/>
      </c>
      <c r="K870" s="2" t="str">
        <v/>
      </c>
      <c r="L870" s="1" t="str">
        <v/>
      </c>
      <c r="M870" s="2" t="str">
        <v/>
      </c>
      <c r="N870" s="2" t="str">
        <v/>
      </c>
      <c r="O870" s="1" t="str">
        <v/>
      </c>
      <c r="P870" s="1" t="str">
        <v/>
      </c>
      <c r="Q870" s="1" t="str">
        <v/>
      </c>
    </row>
    <row r="871" x14ac:dyDescent="0.25">
      <c r="A871" s="1" t="str">
        <v/>
      </c>
      <c r="B871" s="1" t="str">
        <v/>
      </c>
      <c r="C871" s="1" t="str">
        <v/>
      </c>
      <c r="D871" s="1" t="str">
        <v/>
      </c>
      <c r="E871" s="1" t="str">
        <v/>
      </c>
      <c r="F871" s="1" t="str">
        <v/>
      </c>
      <c r="G871" s="1" t="str">
        <v/>
      </c>
      <c r="H871" s="1" t="str">
        <v/>
      </c>
      <c r="I871" s="2" t="str">
        <v/>
      </c>
      <c r="J871" s="2" t="str">
        <v/>
      </c>
      <c r="K871" s="2" t="str">
        <v/>
      </c>
      <c r="L871" s="1" t="str">
        <v/>
      </c>
      <c r="M871" s="2" t="str">
        <v/>
      </c>
      <c r="N871" s="2" t="str">
        <v/>
      </c>
      <c r="O871" s="1" t="str">
        <v/>
      </c>
      <c r="P871" s="1" t="str">
        <v/>
      </c>
      <c r="Q871" s="1" t="str">
        <v/>
      </c>
    </row>
    <row r="872" x14ac:dyDescent="0.25">
      <c r="A872" s="1" t="str">
        <v/>
      </c>
      <c r="B872" s="1" t="str">
        <v/>
      </c>
      <c r="C872" s="1" t="str">
        <v/>
      </c>
      <c r="D872" s="1" t="str">
        <v/>
      </c>
      <c r="E872" s="1" t="str">
        <v/>
      </c>
      <c r="F872" s="1" t="str">
        <v/>
      </c>
      <c r="G872" s="1" t="str">
        <v/>
      </c>
      <c r="H872" s="1" t="str">
        <v/>
      </c>
      <c r="I872" s="2" t="str">
        <v/>
      </c>
      <c r="J872" s="2" t="str">
        <v/>
      </c>
      <c r="K872" s="2" t="str">
        <v/>
      </c>
      <c r="L872" s="1" t="str">
        <v/>
      </c>
      <c r="M872" s="2" t="str">
        <v/>
      </c>
      <c r="N872" s="2" t="str">
        <v/>
      </c>
      <c r="O872" s="1" t="str">
        <v/>
      </c>
      <c r="P872" s="1" t="str">
        <v/>
      </c>
      <c r="Q872" s="1" t="str">
        <v/>
      </c>
    </row>
    <row r="873" x14ac:dyDescent="0.25">
      <c r="A873" s="1" t="str">
        <v/>
      </c>
      <c r="B873" s="1" t="str">
        <v/>
      </c>
      <c r="C873" s="1" t="str">
        <v/>
      </c>
      <c r="D873" s="1" t="str">
        <v/>
      </c>
      <c r="E873" s="1" t="str">
        <v/>
      </c>
      <c r="F873" s="1" t="str">
        <v/>
      </c>
      <c r="G873" s="1" t="str">
        <v/>
      </c>
      <c r="H873" s="1" t="str">
        <v/>
      </c>
      <c r="I873" s="2" t="str">
        <v/>
      </c>
      <c r="J873" s="2" t="str">
        <v/>
      </c>
      <c r="K873" s="2" t="str">
        <v/>
      </c>
      <c r="L873" s="1" t="str">
        <v/>
      </c>
      <c r="M873" s="2" t="str">
        <v/>
      </c>
      <c r="N873" s="2" t="str">
        <v/>
      </c>
      <c r="O873" s="1" t="str">
        <v/>
      </c>
      <c r="P873" s="1" t="str">
        <v/>
      </c>
      <c r="Q873" s="1" t="str">
        <v/>
      </c>
    </row>
    <row r="874" x14ac:dyDescent="0.25">
      <c r="A874" s="1" t="str">
        <v/>
      </c>
      <c r="B874" s="1" t="str">
        <v/>
      </c>
      <c r="C874" s="1" t="str">
        <v/>
      </c>
      <c r="D874" s="1" t="str">
        <v/>
      </c>
      <c r="E874" s="1" t="str">
        <v/>
      </c>
      <c r="F874" s="1" t="str">
        <v/>
      </c>
      <c r="G874" s="1" t="str">
        <v/>
      </c>
      <c r="H874" s="1" t="str">
        <v/>
      </c>
      <c r="I874" s="2" t="str">
        <v/>
      </c>
      <c r="J874" s="2" t="str">
        <v/>
      </c>
      <c r="K874" s="2" t="str">
        <v/>
      </c>
      <c r="L874" s="1" t="str">
        <v/>
      </c>
      <c r="M874" s="2" t="str">
        <v/>
      </c>
      <c r="N874" s="2" t="str">
        <v/>
      </c>
      <c r="O874" s="1" t="str">
        <v/>
      </c>
      <c r="P874" s="1" t="str">
        <v/>
      </c>
      <c r="Q874" s="1" t="str">
        <v/>
      </c>
    </row>
    <row r="875" x14ac:dyDescent="0.25">
      <c r="A875" s="1" t="str">
        <v/>
      </c>
      <c r="B875" s="1" t="str">
        <v/>
      </c>
      <c r="C875" s="1" t="str">
        <v/>
      </c>
      <c r="D875" s="1" t="str">
        <v/>
      </c>
      <c r="E875" s="1" t="str">
        <v/>
      </c>
      <c r="F875" s="1" t="str">
        <v/>
      </c>
      <c r="G875" s="1" t="str">
        <v/>
      </c>
      <c r="H875" s="1" t="str">
        <v/>
      </c>
      <c r="I875" s="2" t="str">
        <v/>
      </c>
      <c r="J875" s="2" t="str">
        <v/>
      </c>
      <c r="K875" s="2" t="str">
        <v/>
      </c>
      <c r="L875" s="1" t="str">
        <v/>
      </c>
      <c r="M875" s="2" t="str">
        <v/>
      </c>
      <c r="N875" s="2" t="str">
        <v/>
      </c>
      <c r="O875" s="1" t="str">
        <v/>
      </c>
      <c r="P875" s="1" t="str">
        <v/>
      </c>
      <c r="Q875" s="1" t="str">
        <v/>
      </c>
    </row>
    <row r="876" x14ac:dyDescent="0.25">
      <c r="A876" s="1" t="str">
        <v/>
      </c>
      <c r="B876" s="1" t="str">
        <v/>
      </c>
      <c r="C876" s="1" t="str">
        <v/>
      </c>
      <c r="D876" s="1" t="str">
        <v/>
      </c>
      <c r="E876" s="1" t="str">
        <v/>
      </c>
      <c r="F876" s="1" t="str">
        <v/>
      </c>
      <c r="G876" s="1" t="str">
        <v/>
      </c>
      <c r="H876" s="1" t="str">
        <v/>
      </c>
      <c r="I876" s="2" t="str">
        <v/>
      </c>
      <c r="J876" s="2" t="str">
        <v/>
      </c>
      <c r="K876" s="2" t="str">
        <v/>
      </c>
      <c r="L876" s="1" t="str">
        <v/>
      </c>
      <c r="M876" s="2" t="str">
        <v/>
      </c>
      <c r="N876" s="2" t="str">
        <v/>
      </c>
      <c r="O876" s="1" t="str">
        <v/>
      </c>
      <c r="P876" s="1" t="str">
        <v/>
      </c>
      <c r="Q876" s="1" t="str">
        <v/>
      </c>
    </row>
    <row r="877" x14ac:dyDescent="0.25">
      <c r="A877" s="1" t="str">
        <v/>
      </c>
      <c r="B877" s="1" t="str">
        <v/>
      </c>
      <c r="C877" s="1" t="str">
        <v/>
      </c>
      <c r="D877" s="1" t="str">
        <v/>
      </c>
      <c r="E877" s="1" t="str">
        <v/>
      </c>
      <c r="F877" s="1" t="str">
        <v/>
      </c>
      <c r="G877" s="1" t="str">
        <v/>
      </c>
      <c r="H877" s="1" t="str">
        <v/>
      </c>
      <c r="I877" s="2" t="str">
        <v/>
      </c>
      <c r="J877" s="2" t="str">
        <v/>
      </c>
      <c r="K877" s="2" t="str">
        <v/>
      </c>
      <c r="L877" s="1" t="str">
        <v/>
      </c>
      <c r="M877" s="2" t="str">
        <v/>
      </c>
      <c r="N877" s="2" t="str">
        <v/>
      </c>
      <c r="O877" s="1" t="str">
        <v/>
      </c>
      <c r="P877" s="1" t="str">
        <v/>
      </c>
      <c r="Q877" s="1" t="str">
        <v/>
      </c>
    </row>
    <row r="878" x14ac:dyDescent="0.25">
      <c r="A878" s="1" t="str">
        <v/>
      </c>
      <c r="B878" s="1" t="str">
        <v/>
      </c>
      <c r="C878" s="1" t="str">
        <v/>
      </c>
      <c r="D878" s="1" t="str">
        <v/>
      </c>
      <c r="E878" s="1" t="str">
        <v/>
      </c>
      <c r="F878" s="1" t="str">
        <v/>
      </c>
      <c r="G878" s="1" t="str">
        <v/>
      </c>
      <c r="H878" s="1" t="str">
        <v/>
      </c>
      <c r="I878" s="2" t="str">
        <v/>
      </c>
      <c r="J878" s="2" t="str">
        <v/>
      </c>
      <c r="K878" s="2" t="str">
        <v/>
      </c>
      <c r="L878" s="1" t="str">
        <v/>
      </c>
      <c r="M878" s="2" t="str">
        <v/>
      </c>
      <c r="N878" s="2" t="str">
        <v/>
      </c>
      <c r="O878" s="1" t="str">
        <v/>
      </c>
      <c r="P878" s="1" t="str">
        <v/>
      </c>
      <c r="Q878" s="1" t="str">
        <v/>
      </c>
    </row>
    <row r="879" x14ac:dyDescent="0.25">
      <c r="A879" s="1" t="str">
        <v/>
      </c>
      <c r="B879" s="1" t="str">
        <v/>
      </c>
      <c r="C879" s="1" t="str">
        <v/>
      </c>
      <c r="D879" s="1" t="str">
        <v/>
      </c>
      <c r="E879" s="1" t="str">
        <v/>
      </c>
      <c r="F879" s="1" t="str">
        <v/>
      </c>
      <c r="G879" s="1" t="str">
        <v/>
      </c>
      <c r="H879" s="1" t="str">
        <v/>
      </c>
      <c r="I879" s="2" t="str">
        <v/>
      </c>
      <c r="J879" s="2" t="str">
        <v/>
      </c>
      <c r="K879" s="2" t="str">
        <v/>
      </c>
      <c r="L879" s="1" t="str">
        <v/>
      </c>
      <c r="M879" s="2" t="str">
        <v/>
      </c>
      <c r="N879" s="2" t="str">
        <v/>
      </c>
      <c r="O879" s="1" t="str">
        <v/>
      </c>
      <c r="P879" s="1" t="str">
        <v/>
      </c>
      <c r="Q879" s="1" t="str">
        <v/>
      </c>
    </row>
    <row r="880" x14ac:dyDescent="0.25">
      <c r="A880" s="1" t="str">
        <v/>
      </c>
      <c r="B880" s="1" t="str">
        <v/>
      </c>
      <c r="C880" s="1" t="str">
        <v/>
      </c>
      <c r="D880" s="1" t="str">
        <v/>
      </c>
      <c r="E880" s="1" t="str">
        <v/>
      </c>
      <c r="F880" s="1" t="str">
        <v/>
      </c>
      <c r="G880" s="1" t="str">
        <v/>
      </c>
      <c r="H880" s="1" t="str">
        <v/>
      </c>
      <c r="I880" s="2" t="str">
        <v/>
      </c>
      <c r="J880" s="2" t="str">
        <v/>
      </c>
      <c r="K880" s="2" t="str">
        <v/>
      </c>
      <c r="L880" s="1" t="str">
        <v/>
      </c>
      <c r="M880" s="2" t="str">
        <v/>
      </c>
      <c r="N880" s="2" t="str">
        <v/>
      </c>
      <c r="O880" s="1" t="str">
        <v/>
      </c>
      <c r="P880" s="1" t="str">
        <v/>
      </c>
      <c r="Q880" s="1" t="str">
        <v/>
      </c>
    </row>
    <row r="881" x14ac:dyDescent="0.25">
      <c r="A881" s="1" t="str">
        <v/>
      </c>
      <c r="B881" s="1" t="str">
        <v/>
      </c>
      <c r="C881" s="1" t="str">
        <v/>
      </c>
      <c r="D881" s="1" t="str">
        <v/>
      </c>
      <c r="E881" s="1" t="str">
        <v/>
      </c>
      <c r="F881" s="1" t="str">
        <v/>
      </c>
      <c r="G881" s="1" t="str">
        <v/>
      </c>
      <c r="H881" s="1" t="str">
        <v/>
      </c>
      <c r="I881" s="2" t="str">
        <v/>
      </c>
      <c r="J881" s="2" t="str">
        <v/>
      </c>
      <c r="K881" s="2" t="str">
        <v/>
      </c>
      <c r="L881" s="1" t="str">
        <v/>
      </c>
      <c r="M881" s="2" t="str">
        <v/>
      </c>
      <c r="N881" s="2" t="str">
        <v/>
      </c>
      <c r="O881" s="1" t="str">
        <v/>
      </c>
      <c r="P881" s="1" t="str">
        <v/>
      </c>
      <c r="Q881" s="1" t="str">
        <v/>
      </c>
    </row>
    <row r="882" x14ac:dyDescent="0.25">
      <c r="A882" s="1" t="str">
        <v/>
      </c>
      <c r="B882" s="1" t="str">
        <v/>
      </c>
      <c r="C882" s="1" t="str">
        <v/>
      </c>
      <c r="D882" s="1" t="str">
        <v/>
      </c>
      <c r="E882" s="1" t="str">
        <v/>
      </c>
      <c r="F882" s="1" t="str">
        <v/>
      </c>
      <c r="G882" s="1" t="str">
        <v/>
      </c>
      <c r="H882" s="1" t="str">
        <v/>
      </c>
      <c r="I882" s="2" t="str">
        <v/>
      </c>
      <c r="J882" s="2" t="str">
        <v/>
      </c>
      <c r="K882" s="2" t="str">
        <v/>
      </c>
      <c r="L882" s="1" t="str">
        <v/>
      </c>
      <c r="M882" s="2" t="str">
        <v/>
      </c>
      <c r="N882" s="2" t="str">
        <v/>
      </c>
      <c r="O882" s="1" t="str">
        <v/>
      </c>
      <c r="P882" s="1" t="str">
        <v/>
      </c>
      <c r="Q882" s="1" t="str">
        <v/>
      </c>
    </row>
    <row r="883" x14ac:dyDescent="0.25">
      <c r="A883" s="1" t="str">
        <v/>
      </c>
      <c r="B883" s="1" t="str">
        <v/>
      </c>
      <c r="C883" s="1" t="str">
        <v/>
      </c>
      <c r="D883" s="1" t="str">
        <v/>
      </c>
      <c r="E883" s="1" t="str">
        <v/>
      </c>
      <c r="F883" s="1" t="str">
        <v/>
      </c>
      <c r="G883" s="1" t="str">
        <v/>
      </c>
      <c r="H883" s="1" t="str">
        <v/>
      </c>
      <c r="I883" s="2" t="str">
        <v/>
      </c>
      <c r="J883" s="2" t="str">
        <v/>
      </c>
      <c r="K883" s="2" t="str">
        <v/>
      </c>
      <c r="L883" s="1" t="str">
        <v/>
      </c>
      <c r="M883" s="2" t="str">
        <v/>
      </c>
      <c r="N883" s="2" t="str">
        <v/>
      </c>
      <c r="O883" s="1" t="str">
        <v/>
      </c>
      <c r="P883" s="1" t="str">
        <v/>
      </c>
      <c r="Q883" s="1" t="str">
        <v/>
      </c>
    </row>
    <row r="884" x14ac:dyDescent="0.25">
      <c r="A884" s="1" t="str">
        <v/>
      </c>
      <c r="B884" s="1" t="str">
        <v/>
      </c>
      <c r="C884" s="1" t="str">
        <v/>
      </c>
      <c r="D884" s="1" t="str">
        <v/>
      </c>
      <c r="E884" s="1" t="str">
        <v/>
      </c>
      <c r="F884" s="1" t="str">
        <v/>
      </c>
      <c r="G884" s="1" t="str">
        <v/>
      </c>
      <c r="H884" s="1" t="str">
        <v/>
      </c>
      <c r="I884" s="2" t="str">
        <v/>
      </c>
      <c r="J884" s="2" t="str">
        <v/>
      </c>
      <c r="K884" s="2" t="str">
        <v/>
      </c>
      <c r="L884" s="1" t="str">
        <v/>
      </c>
      <c r="M884" s="2" t="str">
        <v/>
      </c>
      <c r="N884" s="2" t="str">
        <v/>
      </c>
      <c r="O884" s="1" t="str">
        <v/>
      </c>
      <c r="P884" s="1" t="str">
        <v/>
      </c>
      <c r="Q884" s="1" t="str">
        <v/>
      </c>
    </row>
    <row r="885" x14ac:dyDescent="0.25">
      <c r="A885" s="1" t="str">
        <v/>
      </c>
      <c r="B885" s="1" t="str">
        <v/>
      </c>
      <c r="C885" s="1" t="str">
        <v/>
      </c>
      <c r="D885" s="1" t="str">
        <v/>
      </c>
      <c r="E885" s="1" t="str">
        <v/>
      </c>
      <c r="F885" s="1" t="str">
        <v/>
      </c>
      <c r="G885" s="1" t="str">
        <v/>
      </c>
      <c r="H885" s="1" t="str">
        <v/>
      </c>
      <c r="I885" s="2" t="str">
        <v/>
      </c>
      <c r="J885" s="2" t="str">
        <v/>
      </c>
      <c r="K885" s="2" t="str">
        <v/>
      </c>
      <c r="L885" s="1" t="str">
        <v/>
      </c>
      <c r="M885" s="2" t="str">
        <v/>
      </c>
      <c r="N885" s="2" t="str">
        <v/>
      </c>
      <c r="O885" s="1" t="str">
        <v/>
      </c>
      <c r="P885" s="1" t="str">
        <v/>
      </c>
      <c r="Q885" s="1" t="str">
        <v/>
      </c>
    </row>
    <row r="886" x14ac:dyDescent="0.25">
      <c r="A886" s="1" t="str">
        <v/>
      </c>
      <c r="B886" s="1" t="str">
        <v/>
      </c>
      <c r="C886" s="1" t="str">
        <v/>
      </c>
      <c r="D886" s="1" t="str">
        <v/>
      </c>
      <c r="E886" s="1" t="str">
        <v/>
      </c>
      <c r="F886" s="1" t="str">
        <v/>
      </c>
      <c r="G886" s="1" t="str">
        <v/>
      </c>
      <c r="H886" s="1" t="str">
        <v/>
      </c>
      <c r="I886" s="2" t="str">
        <v/>
      </c>
      <c r="J886" s="2" t="str">
        <v/>
      </c>
      <c r="K886" s="2" t="str">
        <v/>
      </c>
      <c r="L886" s="1" t="str">
        <v/>
      </c>
      <c r="M886" s="2" t="str">
        <v/>
      </c>
      <c r="N886" s="2" t="str">
        <v/>
      </c>
      <c r="O886" s="1" t="str">
        <v/>
      </c>
      <c r="P886" s="1" t="str">
        <v/>
      </c>
      <c r="Q886" s="1" t="str">
        <v/>
      </c>
    </row>
    <row r="887" x14ac:dyDescent="0.25">
      <c r="A887" s="1" t="str">
        <v/>
      </c>
      <c r="B887" s="1" t="str">
        <v/>
      </c>
      <c r="C887" s="1" t="str">
        <v/>
      </c>
      <c r="D887" s="1" t="str">
        <v/>
      </c>
      <c r="E887" s="1" t="str">
        <v/>
      </c>
      <c r="F887" s="1" t="str">
        <v/>
      </c>
      <c r="G887" s="1" t="str">
        <v/>
      </c>
      <c r="H887" s="1" t="str">
        <v/>
      </c>
      <c r="I887" s="2" t="str">
        <v/>
      </c>
      <c r="J887" s="2" t="str">
        <v/>
      </c>
      <c r="K887" s="2" t="str">
        <v/>
      </c>
      <c r="L887" s="1" t="str">
        <v/>
      </c>
      <c r="M887" s="2" t="str">
        <v/>
      </c>
      <c r="N887" s="2" t="str">
        <v/>
      </c>
      <c r="O887" s="1" t="str">
        <v/>
      </c>
      <c r="P887" s="1" t="str">
        <v/>
      </c>
      <c r="Q887" s="1" t="str">
        <v/>
      </c>
    </row>
    <row r="888" x14ac:dyDescent="0.25">
      <c r="A888" s="1" t="str">
        <v/>
      </c>
      <c r="B888" s="1" t="str">
        <v/>
      </c>
      <c r="C888" s="1" t="str">
        <v/>
      </c>
      <c r="D888" s="1" t="str">
        <v/>
      </c>
      <c r="E888" s="1" t="str">
        <v/>
      </c>
      <c r="F888" s="1" t="str">
        <v/>
      </c>
      <c r="G888" s="1" t="str">
        <v/>
      </c>
      <c r="H888" s="1" t="str">
        <v/>
      </c>
      <c r="I888" s="2" t="str">
        <v/>
      </c>
      <c r="J888" s="2" t="str">
        <v/>
      </c>
      <c r="K888" s="2" t="str">
        <v/>
      </c>
      <c r="L888" s="1" t="str">
        <v/>
      </c>
      <c r="M888" s="2" t="str">
        <v/>
      </c>
      <c r="N888" s="2" t="str">
        <v/>
      </c>
      <c r="O888" s="1" t="str">
        <v/>
      </c>
      <c r="P888" s="1" t="str">
        <v/>
      </c>
      <c r="Q888" s="1" t="str">
        <v/>
      </c>
    </row>
    <row r="889" x14ac:dyDescent="0.25">
      <c r="A889" s="1" t="str">
        <v/>
      </c>
      <c r="B889" s="1" t="str">
        <v/>
      </c>
      <c r="C889" s="1" t="str">
        <v/>
      </c>
      <c r="D889" s="1" t="str">
        <v/>
      </c>
      <c r="E889" s="1" t="str">
        <v/>
      </c>
      <c r="F889" s="1" t="str">
        <v/>
      </c>
      <c r="G889" s="1" t="str">
        <v/>
      </c>
      <c r="H889" s="1" t="str">
        <v/>
      </c>
      <c r="I889" s="2" t="str">
        <v/>
      </c>
      <c r="J889" s="2" t="str">
        <v/>
      </c>
      <c r="K889" s="2" t="str">
        <v/>
      </c>
      <c r="L889" s="1" t="str">
        <v/>
      </c>
      <c r="M889" s="2" t="str">
        <v/>
      </c>
      <c r="N889" s="2" t="str">
        <v/>
      </c>
      <c r="O889" s="1" t="str">
        <v/>
      </c>
      <c r="P889" s="1" t="str">
        <v/>
      </c>
      <c r="Q889" s="1" t="str">
        <v/>
      </c>
    </row>
    <row r="890" x14ac:dyDescent="0.25">
      <c r="A890" s="1" t="str">
        <v/>
      </c>
      <c r="B890" s="1" t="str">
        <v/>
      </c>
      <c r="C890" s="1" t="str">
        <v/>
      </c>
      <c r="D890" s="1" t="str">
        <v/>
      </c>
      <c r="E890" s="1" t="str">
        <v/>
      </c>
      <c r="F890" s="1" t="str">
        <v/>
      </c>
      <c r="G890" s="1" t="str">
        <v/>
      </c>
      <c r="H890" s="1" t="str">
        <v/>
      </c>
      <c r="I890" s="2" t="str">
        <v/>
      </c>
      <c r="J890" s="2" t="str">
        <v/>
      </c>
      <c r="K890" s="2" t="str">
        <v/>
      </c>
      <c r="L890" s="1" t="str">
        <v/>
      </c>
      <c r="M890" s="2" t="str">
        <v/>
      </c>
      <c r="N890" s="2" t="str">
        <v/>
      </c>
      <c r="O890" s="1" t="str">
        <v/>
      </c>
      <c r="P890" s="1" t="str">
        <v/>
      </c>
      <c r="Q890" s="1" t="str">
        <v/>
      </c>
    </row>
    <row r="891" x14ac:dyDescent="0.25">
      <c r="A891" s="1" t="str">
        <v/>
      </c>
      <c r="B891" s="1" t="str">
        <v/>
      </c>
      <c r="C891" s="1" t="str">
        <v/>
      </c>
      <c r="D891" s="1" t="str">
        <v/>
      </c>
      <c r="E891" s="1" t="str">
        <v/>
      </c>
      <c r="F891" s="1" t="str">
        <v/>
      </c>
      <c r="G891" s="1" t="str">
        <v/>
      </c>
      <c r="H891" s="1" t="str">
        <v/>
      </c>
      <c r="I891" s="2" t="str">
        <v/>
      </c>
      <c r="J891" s="2" t="str">
        <v/>
      </c>
      <c r="K891" s="2" t="str">
        <v/>
      </c>
      <c r="L891" s="1" t="str">
        <v/>
      </c>
      <c r="M891" s="2" t="str">
        <v/>
      </c>
      <c r="N891" s="2" t="str">
        <v/>
      </c>
      <c r="O891" s="1" t="str">
        <v/>
      </c>
      <c r="P891" s="1" t="str">
        <v/>
      </c>
      <c r="Q891" s="1" t="str">
        <v/>
      </c>
    </row>
    <row r="892" x14ac:dyDescent="0.25">
      <c r="A892" s="1" t="str">
        <v/>
      </c>
      <c r="B892" s="1" t="str">
        <v/>
      </c>
      <c r="C892" s="1" t="str">
        <v/>
      </c>
      <c r="D892" s="1" t="str">
        <v/>
      </c>
      <c r="E892" s="1" t="str">
        <v/>
      </c>
      <c r="F892" s="1" t="str">
        <v/>
      </c>
      <c r="G892" s="1" t="str">
        <v/>
      </c>
      <c r="H892" s="1" t="str">
        <v/>
      </c>
      <c r="I892" s="2" t="str">
        <v/>
      </c>
      <c r="J892" s="2" t="str">
        <v/>
      </c>
      <c r="K892" s="2" t="str">
        <v/>
      </c>
      <c r="L892" s="1" t="str">
        <v/>
      </c>
      <c r="M892" s="2" t="str">
        <v/>
      </c>
      <c r="N892" s="2" t="str">
        <v/>
      </c>
      <c r="O892" s="1" t="str">
        <v/>
      </c>
      <c r="P892" s="1" t="str">
        <v/>
      </c>
      <c r="Q892" s="1" t="str">
        <v/>
      </c>
    </row>
    <row r="893" x14ac:dyDescent="0.25">
      <c r="A893" s="1" t="str">
        <v/>
      </c>
      <c r="B893" s="1" t="str">
        <v/>
      </c>
      <c r="C893" s="1" t="str">
        <v/>
      </c>
      <c r="D893" s="1" t="str">
        <v/>
      </c>
      <c r="E893" s="1" t="str">
        <v/>
      </c>
      <c r="F893" s="1" t="str">
        <v/>
      </c>
      <c r="G893" s="1" t="str">
        <v/>
      </c>
      <c r="H893" s="1" t="str">
        <v/>
      </c>
      <c r="I893" s="2" t="str">
        <v/>
      </c>
      <c r="J893" s="2" t="str">
        <v/>
      </c>
      <c r="K893" s="2" t="str">
        <v/>
      </c>
      <c r="L893" s="1" t="str">
        <v/>
      </c>
      <c r="M893" s="2" t="str">
        <v/>
      </c>
      <c r="N893" s="2" t="str">
        <v/>
      </c>
      <c r="O893" s="1" t="str">
        <v/>
      </c>
      <c r="P893" s="1" t="str">
        <v/>
      </c>
      <c r="Q893" s="1" t="str">
        <v/>
      </c>
    </row>
    <row r="894" x14ac:dyDescent="0.25">
      <c r="A894" s="1" t="str">
        <v/>
      </c>
      <c r="B894" s="1" t="str">
        <v/>
      </c>
      <c r="C894" s="1" t="str">
        <v/>
      </c>
      <c r="D894" s="1" t="str">
        <v/>
      </c>
      <c r="E894" s="1" t="str">
        <v/>
      </c>
      <c r="F894" s="1" t="str">
        <v/>
      </c>
      <c r="G894" s="1" t="str">
        <v/>
      </c>
      <c r="H894" s="1" t="str">
        <v/>
      </c>
      <c r="I894" s="2" t="str">
        <v/>
      </c>
      <c r="J894" s="2" t="str">
        <v/>
      </c>
      <c r="K894" s="2" t="str">
        <v/>
      </c>
      <c r="L894" s="1" t="str">
        <v/>
      </c>
      <c r="M894" s="2" t="str">
        <v/>
      </c>
      <c r="N894" s="2" t="str">
        <v/>
      </c>
      <c r="O894" s="1" t="str">
        <v/>
      </c>
      <c r="P894" s="1" t="str">
        <v/>
      </c>
      <c r="Q894" s="1" t="str">
        <v/>
      </c>
    </row>
    <row r="895" x14ac:dyDescent="0.25">
      <c r="A895" s="1" t="str">
        <v/>
      </c>
      <c r="B895" s="1" t="str">
        <v/>
      </c>
      <c r="C895" s="1" t="str">
        <v/>
      </c>
      <c r="D895" s="1" t="str">
        <v/>
      </c>
      <c r="E895" s="1" t="str">
        <v/>
      </c>
      <c r="F895" s="1" t="str">
        <v/>
      </c>
      <c r="G895" s="1" t="str">
        <v/>
      </c>
      <c r="H895" s="1" t="str">
        <v/>
      </c>
      <c r="I895" s="2" t="str">
        <v/>
      </c>
      <c r="J895" s="2" t="str">
        <v/>
      </c>
      <c r="K895" s="2" t="str">
        <v/>
      </c>
      <c r="L895" s="1" t="str">
        <v/>
      </c>
      <c r="M895" s="2" t="str">
        <v/>
      </c>
      <c r="N895" s="2" t="str">
        <v/>
      </c>
      <c r="O895" s="1" t="str">
        <v/>
      </c>
      <c r="P895" s="1" t="str">
        <v/>
      </c>
      <c r="Q895" s="1" t="str">
        <v/>
      </c>
    </row>
    <row r="896" x14ac:dyDescent="0.25">
      <c r="A896" s="1" t="str">
        <v/>
      </c>
      <c r="B896" s="1" t="str">
        <v/>
      </c>
      <c r="C896" s="1" t="str">
        <v/>
      </c>
      <c r="D896" s="1" t="str">
        <v/>
      </c>
      <c r="E896" s="1" t="str">
        <v/>
      </c>
      <c r="F896" s="1" t="str">
        <v/>
      </c>
      <c r="G896" s="1" t="str">
        <v/>
      </c>
      <c r="H896" s="1" t="str">
        <v/>
      </c>
      <c r="I896" s="2" t="str">
        <v/>
      </c>
      <c r="J896" s="2" t="str">
        <v/>
      </c>
      <c r="K896" s="2" t="str">
        <v/>
      </c>
      <c r="L896" s="1" t="str">
        <v/>
      </c>
      <c r="M896" s="2" t="str">
        <v/>
      </c>
      <c r="N896" s="2" t="str">
        <v/>
      </c>
      <c r="O896" s="1" t="str">
        <v/>
      </c>
      <c r="P896" s="1" t="str">
        <v/>
      </c>
      <c r="Q896" s="1" t="str">
        <v/>
      </c>
    </row>
    <row r="897" x14ac:dyDescent="0.25">
      <c r="A897" s="1" t="str">
        <v/>
      </c>
      <c r="B897" s="1" t="str">
        <v/>
      </c>
      <c r="C897" s="1" t="str">
        <v/>
      </c>
      <c r="D897" s="1" t="str">
        <v/>
      </c>
      <c r="E897" s="1" t="str">
        <v/>
      </c>
      <c r="F897" s="1" t="str">
        <v/>
      </c>
      <c r="G897" s="1" t="str">
        <v/>
      </c>
      <c r="H897" s="1" t="str">
        <v/>
      </c>
      <c r="I897" s="2" t="str">
        <v/>
      </c>
      <c r="J897" s="2" t="str">
        <v/>
      </c>
      <c r="K897" s="2" t="str">
        <v/>
      </c>
      <c r="L897" s="1" t="str">
        <v/>
      </c>
      <c r="M897" s="2" t="str">
        <v/>
      </c>
      <c r="N897" s="2" t="str">
        <v/>
      </c>
      <c r="O897" s="1" t="str">
        <v/>
      </c>
      <c r="P897" s="1" t="str">
        <v/>
      </c>
      <c r="Q897" s="1" t="str">
        <v/>
      </c>
    </row>
    <row r="898" x14ac:dyDescent="0.25">
      <c r="A898" s="1" t="str">
        <v/>
      </c>
      <c r="B898" s="1" t="str">
        <v/>
      </c>
      <c r="C898" s="1" t="str">
        <v/>
      </c>
      <c r="D898" s="1" t="str">
        <v/>
      </c>
      <c r="E898" s="1" t="str">
        <v/>
      </c>
      <c r="F898" s="1" t="str">
        <v/>
      </c>
      <c r="G898" s="1" t="str">
        <v/>
      </c>
      <c r="H898" s="1" t="str">
        <v/>
      </c>
      <c r="I898" s="2" t="str">
        <v/>
      </c>
      <c r="J898" s="2" t="str">
        <v/>
      </c>
      <c r="K898" s="2" t="str">
        <v/>
      </c>
      <c r="L898" s="1" t="str">
        <v/>
      </c>
      <c r="M898" s="2" t="str">
        <v/>
      </c>
      <c r="N898" s="2" t="str">
        <v/>
      </c>
      <c r="O898" s="1" t="str">
        <v/>
      </c>
      <c r="P898" s="1" t="str">
        <v/>
      </c>
      <c r="Q898" s="1" t="str">
        <v/>
      </c>
    </row>
    <row r="899" x14ac:dyDescent="0.25">
      <c r="A899" s="1" t="str">
        <v/>
      </c>
      <c r="B899" s="1" t="str">
        <v/>
      </c>
      <c r="C899" s="1" t="str">
        <v/>
      </c>
      <c r="D899" s="1" t="str">
        <v/>
      </c>
      <c r="E899" s="1" t="str">
        <v/>
      </c>
      <c r="F899" s="1" t="str">
        <v/>
      </c>
      <c r="G899" s="1" t="str">
        <v/>
      </c>
      <c r="H899" s="1" t="str">
        <v/>
      </c>
      <c r="I899" s="2" t="str">
        <v/>
      </c>
      <c r="J899" s="2" t="str">
        <v/>
      </c>
      <c r="K899" s="2" t="str">
        <v/>
      </c>
      <c r="L899" s="1" t="str">
        <v/>
      </c>
      <c r="M899" s="2" t="str">
        <v/>
      </c>
      <c r="N899" s="2" t="str">
        <v/>
      </c>
      <c r="O899" s="1" t="str">
        <v/>
      </c>
      <c r="P899" s="1" t="str">
        <v/>
      </c>
      <c r="Q899" s="1" t="str">
        <v/>
      </c>
    </row>
    <row r="900" x14ac:dyDescent="0.25">
      <c r="A900" s="1" t="str">
        <v/>
      </c>
      <c r="B900" s="1" t="str">
        <v/>
      </c>
      <c r="C900" s="1" t="str">
        <v/>
      </c>
      <c r="D900" s="1" t="str">
        <v/>
      </c>
      <c r="E900" s="1" t="str">
        <v/>
      </c>
      <c r="F900" s="1" t="str">
        <v/>
      </c>
      <c r="G900" s="1" t="str">
        <v/>
      </c>
      <c r="H900" s="1" t="str">
        <v/>
      </c>
      <c r="I900" s="2" t="str">
        <v/>
      </c>
      <c r="J900" s="2" t="str">
        <v/>
      </c>
      <c r="K900" s="2" t="str">
        <v/>
      </c>
      <c r="L900" s="1" t="str">
        <v/>
      </c>
      <c r="M900" s="2" t="str">
        <v/>
      </c>
      <c r="N900" s="2" t="str">
        <v/>
      </c>
      <c r="O900" s="1" t="str">
        <v/>
      </c>
      <c r="P900" s="1" t="str">
        <v/>
      </c>
      <c r="Q900" s="1" t="str">
        <v/>
      </c>
    </row>
    <row r="901" x14ac:dyDescent="0.25">
      <c r="A901" s="1" t="str">
        <v/>
      </c>
      <c r="B901" s="1" t="str">
        <v/>
      </c>
      <c r="C901" s="1" t="str">
        <v/>
      </c>
      <c r="D901" s="1" t="str">
        <v/>
      </c>
      <c r="E901" s="1" t="str">
        <v/>
      </c>
      <c r="F901" s="1" t="str">
        <v/>
      </c>
      <c r="G901" s="1" t="str">
        <v/>
      </c>
      <c r="H901" s="1" t="str">
        <v/>
      </c>
      <c r="I901" s="2" t="str">
        <v/>
      </c>
      <c r="J901" s="2" t="str">
        <v/>
      </c>
      <c r="K901" s="2" t="str">
        <v/>
      </c>
      <c r="L901" s="1" t="str">
        <v/>
      </c>
      <c r="M901" s="2" t="str">
        <v/>
      </c>
      <c r="N901" s="2" t="str">
        <v/>
      </c>
      <c r="O901" s="1" t="str">
        <v/>
      </c>
      <c r="P901" s="1" t="str">
        <v/>
      </c>
      <c r="Q901" s="1" t="str">
        <v/>
      </c>
    </row>
    <row r="902" x14ac:dyDescent="0.25">
      <c r="A902" s="1" t="str">
        <v/>
      </c>
      <c r="B902" s="1" t="str">
        <v/>
      </c>
      <c r="C902" s="1" t="str">
        <v/>
      </c>
      <c r="D902" s="1" t="str">
        <v/>
      </c>
      <c r="E902" s="1" t="str">
        <v/>
      </c>
      <c r="F902" s="1" t="str">
        <v/>
      </c>
      <c r="G902" s="1" t="str">
        <v/>
      </c>
      <c r="H902" s="1" t="str">
        <v/>
      </c>
      <c r="I902" s="2" t="str">
        <v/>
      </c>
      <c r="J902" s="2" t="str">
        <v/>
      </c>
      <c r="K902" s="2" t="str">
        <v/>
      </c>
      <c r="L902" s="1" t="str">
        <v/>
      </c>
      <c r="M902" s="2" t="str">
        <v/>
      </c>
      <c r="N902" s="2" t="str">
        <v/>
      </c>
      <c r="O902" s="1" t="str">
        <v/>
      </c>
      <c r="P902" s="1" t="str">
        <v/>
      </c>
      <c r="Q902" s="1" t="str">
        <v/>
      </c>
    </row>
    <row r="903" x14ac:dyDescent="0.25">
      <c r="A903" s="1" t="str">
        <v/>
      </c>
      <c r="B903" s="1" t="str">
        <v/>
      </c>
      <c r="C903" s="1" t="str">
        <v/>
      </c>
      <c r="D903" s="1" t="str">
        <v/>
      </c>
      <c r="E903" s="1" t="str">
        <v/>
      </c>
      <c r="F903" s="1" t="str">
        <v/>
      </c>
      <c r="G903" s="1" t="str">
        <v/>
      </c>
      <c r="H903" s="1" t="str">
        <v/>
      </c>
      <c r="I903" s="2" t="str">
        <v/>
      </c>
      <c r="J903" s="2" t="str">
        <v/>
      </c>
      <c r="K903" s="2" t="str">
        <v/>
      </c>
      <c r="L903" s="1" t="str">
        <v/>
      </c>
      <c r="M903" s="2" t="str">
        <v/>
      </c>
      <c r="N903" s="2" t="str">
        <v/>
      </c>
      <c r="O903" s="1" t="str">
        <v/>
      </c>
      <c r="P903" s="1" t="str">
        <v/>
      </c>
      <c r="Q903" s="1" t="str">
        <v/>
      </c>
    </row>
    <row r="904" x14ac:dyDescent="0.25">
      <c r="A904" s="1" t="str">
        <v/>
      </c>
      <c r="B904" s="1" t="str">
        <v/>
      </c>
      <c r="C904" s="1" t="str">
        <v/>
      </c>
      <c r="D904" s="1" t="str">
        <v/>
      </c>
      <c r="E904" s="1" t="str">
        <v/>
      </c>
      <c r="F904" s="1" t="str">
        <v/>
      </c>
      <c r="G904" s="1" t="str">
        <v/>
      </c>
      <c r="H904" s="1" t="str">
        <v/>
      </c>
      <c r="I904" s="2" t="str">
        <v/>
      </c>
      <c r="J904" s="2" t="str">
        <v/>
      </c>
      <c r="K904" s="2" t="str">
        <v/>
      </c>
      <c r="L904" s="1" t="str">
        <v/>
      </c>
      <c r="M904" s="2" t="str">
        <v/>
      </c>
      <c r="N904" s="2" t="str">
        <v/>
      </c>
      <c r="O904" s="1" t="str">
        <v/>
      </c>
      <c r="P904" s="1" t="str">
        <v/>
      </c>
      <c r="Q904" s="1" t="str">
        <v/>
      </c>
    </row>
    <row r="905" x14ac:dyDescent="0.25">
      <c r="A905" s="1" t="str">
        <v/>
      </c>
      <c r="B905" s="1" t="str">
        <v/>
      </c>
      <c r="C905" s="1" t="str">
        <v/>
      </c>
      <c r="D905" s="1" t="str">
        <v/>
      </c>
      <c r="E905" s="1" t="str">
        <v/>
      </c>
      <c r="F905" s="1" t="str">
        <v/>
      </c>
      <c r="G905" s="1" t="str">
        <v/>
      </c>
      <c r="H905" s="1" t="str">
        <v/>
      </c>
      <c r="I905" s="2" t="str">
        <v/>
      </c>
      <c r="J905" s="2" t="str">
        <v/>
      </c>
      <c r="K905" s="2" t="str">
        <v/>
      </c>
      <c r="L905" s="1" t="str">
        <v/>
      </c>
      <c r="M905" s="2" t="str">
        <v/>
      </c>
      <c r="N905" s="2" t="str">
        <v/>
      </c>
      <c r="O905" s="1" t="str">
        <v/>
      </c>
      <c r="P905" s="1" t="str">
        <v/>
      </c>
      <c r="Q905" s="1" t="str">
        <v/>
      </c>
    </row>
    <row r="906" x14ac:dyDescent="0.25">
      <c r="A906" s="1" t="str">
        <v/>
      </c>
      <c r="B906" s="1" t="str">
        <v/>
      </c>
      <c r="C906" s="1" t="str">
        <v/>
      </c>
      <c r="D906" s="1" t="str">
        <v/>
      </c>
      <c r="E906" s="1" t="str">
        <v/>
      </c>
      <c r="F906" s="1" t="str">
        <v/>
      </c>
      <c r="G906" s="1" t="str">
        <v/>
      </c>
      <c r="H906" s="1" t="str">
        <v/>
      </c>
      <c r="I906" s="2" t="str">
        <v/>
      </c>
      <c r="J906" s="2" t="str">
        <v/>
      </c>
      <c r="K906" s="2" t="str">
        <v/>
      </c>
      <c r="L906" s="1" t="str">
        <v/>
      </c>
      <c r="M906" s="2" t="str">
        <v/>
      </c>
      <c r="N906" s="2" t="str">
        <v/>
      </c>
      <c r="O906" s="1" t="str">
        <v/>
      </c>
      <c r="P906" s="1" t="str">
        <v/>
      </c>
      <c r="Q906" s="1" t="str">
        <v/>
      </c>
    </row>
    <row r="907" x14ac:dyDescent="0.25">
      <c r="A907" s="1" t="str">
        <v/>
      </c>
      <c r="B907" s="1" t="str">
        <v/>
      </c>
      <c r="C907" s="1" t="str">
        <v/>
      </c>
      <c r="D907" s="1" t="str">
        <v/>
      </c>
      <c r="E907" s="1" t="str">
        <v/>
      </c>
      <c r="F907" s="1" t="str">
        <v/>
      </c>
      <c r="G907" s="1" t="str">
        <v/>
      </c>
      <c r="H907" s="1" t="str">
        <v/>
      </c>
      <c r="I907" s="2" t="str">
        <v/>
      </c>
      <c r="J907" s="2" t="str">
        <v/>
      </c>
      <c r="K907" s="2" t="str">
        <v/>
      </c>
      <c r="L907" s="1" t="str">
        <v/>
      </c>
      <c r="M907" s="2" t="str">
        <v/>
      </c>
      <c r="N907" s="2" t="str">
        <v/>
      </c>
      <c r="O907" s="1" t="str">
        <v/>
      </c>
      <c r="P907" s="1" t="str">
        <v/>
      </c>
      <c r="Q907" s="1" t="str">
        <v/>
      </c>
    </row>
    <row r="908" x14ac:dyDescent="0.25">
      <c r="A908" s="1" t="str">
        <v/>
      </c>
      <c r="B908" s="1" t="str">
        <v/>
      </c>
      <c r="C908" s="1" t="str">
        <v/>
      </c>
      <c r="D908" s="1" t="str">
        <v/>
      </c>
      <c r="E908" s="1" t="str">
        <v/>
      </c>
      <c r="F908" s="1" t="str">
        <v/>
      </c>
      <c r="G908" s="1" t="str">
        <v/>
      </c>
      <c r="H908" s="1" t="str">
        <v/>
      </c>
      <c r="I908" s="2" t="str">
        <v/>
      </c>
      <c r="J908" s="2" t="str">
        <v/>
      </c>
      <c r="K908" s="2" t="str">
        <v/>
      </c>
      <c r="L908" s="1" t="str">
        <v/>
      </c>
      <c r="M908" s="2" t="str">
        <v/>
      </c>
      <c r="N908" s="2" t="str">
        <v/>
      </c>
      <c r="O908" s="1" t="str">
        <v/>
      </c>
      <c r="P908" s="1" t="str">
        <v/>
      </c>
      <c r="Q908" s="1" t="str">
        <v/>
      </c>
    </row>
    <row r="909" x14ac:dyDescent="0.25">
      <c r="A909" s="1" t="str">
        <v/>
      </c>
      <c r="B909" s="1" t="str">
        <v/>
      </c>
      <c r="C909" s="1" t="str">
        <v/>
      </c>
      <c r="D909" s="1" t="str">
        <v/>
      </c>
      <c r="E909" s="1" t="str">
        <v/>
      </c>
      <c r="F909" s="1" t="str">
        <v/>
      </c>
      <c r="G909" s="1" t="str">
        <v/>
      </c>
      <c r="H909" s="1" t="str">
        <v/>
      </c>
      <c r="I909" s="2" t="str">
        <v/>
      </c>
      <c r="J909" s="2" t="str">
        <v/>
      </c>
      <c r="K909" s="2" t="str">
        <v/>
      </c>
      <c r="L909" s="1" t="str">
        <v/>
      </c>
      <c r="M909" s="2" t="str">
        <v/>
      </c>
      <c r="N909" s="2" t="str">
        <v/>
      </c>
      <c r="O909" s="1" t="str">
        <v/>
      </c>
      <c r="P909" s="1" t="str">
        <v/>
      </c>
      <c r="Q909" s="1" t="str">
        <v/>
      </c>
    </row>
    <row r="910" x14ac:dyDescent="0.25">
      <c r="A910" s="1" t="str">
        <v/>
      </c>
      <c r="B910" s="1" t="str">
        <v/>
      </c>
      <c r="C910" s="1" t="str">
        <v/>
      </c>
      <c r="D910" s="1" t="str">
        <v/>
      </c>
      <c r="E910" s="1" t="str">
        <v/>
      </c>
      <c r="F910" s="1" t="str">
        <v/>
      </c>
      <c r="G910" s="1" t="str">
        <v/>
      </c>
      <c r="H910" s="1" t="str">
        <v/>
      </c>
      <c r="I910" s="2" t="str">
        <v/>
      </c>
      <c r="J910" s="2" t="str">
        <v/>
      </c>
      <c r="K910" s="2" t="str">
        <v/>
      </c>
      <c r="L910" s="1" t="str">
        <v/>
      </c>
      <c r="M910" s="2" t="str">
        <v/>
      </c>
      <c r="N910" s="2" t="str">
        <v/>
      </c>
      <c r="O910" s="1" t="str">
        <v/>
      </c>
      <c r="P910" s="1" t="str">
        <v/>
      </c>
      <c r="Q910" s="1" t="str">
        <v/>
      </c>
    </row>
    <row r="911" x14ac:dyDescent="0.25">
      <c r="A911" s="1" t="str">
        <v/>
      </c>
      <c r="B911" s="1" t="str">
        <v/>
      </c>
      <c r="C911" s="1" t="str">
        <v/>
      </c>
      <c r="D911" s="1" t="str">
        <v/>
      </c>
      <c r="E911" s="1" t="str">
        <v/>
      </c>
      <c r="F911" s="1" t="str">
        <v/>
      </c>
      <c r="G911" s="1" t="str">
        <v/>
      </c>
      <c r="H911" s="1" t="str">
        <v/>
      </c>
      <c r="I911" s="2" t="str">
        <v/>
      </c>
      <c r="J911" s="2" t="str">
        <v/>
      </c>
      <c r="K911" s="2" t="str">
        <v/>
      </c>
      <c r="L911" s="1" t="str">
        <v/>
      </c>
      <c r="M911" s="2" t="str">
        <v/>
      </c>
      <c r="N911" s="2" t="str">
        <v/>
      </c>
      <c r="O911" s="1" t="str">
        <v/>
      </c>
      <c r="P911" s="1" t="str">
        <v/>
      </c>
      <c r="Q911" s="1" t="str">
        <v/>
      </c>
    </row>
    <row r="912" x14ac:dyDescent="0.25">
      <c r="A912" s="1" t="str">
        <v/>
      </c>
      <c r="B912" s="1" t="str">
        <v/>
      </c>
      <c r="C912" s="1" t="str">
        <v/>
      </c>
      <c r="D912" s="1" t="str">
        <v/>
      </c>
      <c r="E912" s="1" t="str">
        <v/>
      </c>
      <c r="F912" s="1" t="str">
        <v/>
      </c>
      <c r="G912" s="1" t="str">
        <v/>
      </c>
      <c r="H912" s="1" t="str">
        <v/>
      </c>
      <c r="I912" s="2" t="str">
        <v/>
      </c>
      <c r="J912" s="2" t="str">
        <v/>
      </c>
      <c r="K912" s="2" t="str">
        <v/>
      </c>
      <c r="L912" s="1" t="str">
        <v/>
      </c>
      <c r="M912" s="2" t="str">
        <v/>
      </c>
      <c r="N912" s="2" t="str">
        <v/>
      </c>
      <c r="O912" s="1" t="str">
        <v/>
      </c>
      <c r="P912" s="1" t="str">
        <v/>
      </c>
      <c r="Q912" s="1" t="str">
        <v/>
      </c>
    </row>
    <row r="913" x14ac:dyDescent="0.25">
      <c r="A913" s="1" t="str">
        <v/>
      </c>
      <c r="B913" s="1" t="str">
        <v/>
      </c>
      <c r="C913" s="1" t="str">
        <v/>
      </c>
      <c r="D913" s="1" t="str">
        <v/>
      </c>
      <c r="E913" s="1" t="str">
        <v/>
      </c>
      <c r="F913" s="1" t="str">
        <v/>
      </c>
      <c r="G913" s="1" t="str">
        <v/>
      </c>
      <c r="H913" s="1" t="str">
        <v/>
      </c>
      <c r="I913" s="2" t="str">
        <v/>
      </c>
      <c r="J913" s="2" t="str">
        <v/>
      </c>
      <c r="K913" s="2" t="str">
        <v/>
      </c>
      <c r="L913" s="1" t="str">
        <v/>
      </c>
      <c r="M913" s="2" t="str">
        <v/>
      </c>
      <c r="N913" s="2" t="str">
        <v/>
      </c>
      <c r="O913" s="1" t="str">
        <v/>
      </c>
      <c r="P913" s="1" t="str">
        <v/>
      </c>
      <c r="Q913" s="1" t="str">
        <v/>
      </c>
    </row>
    <row r="914" x14ac:dyDescent="0.25">
      <c r="A914" s="1" t="str">
        <v/>
      </c>
      <c r="B914" s="1" t="str">
        <v/>
      </c>
      <c r="C914" s="1" t="str">
        <v/>
      </c>
      <c r="D914" s="1" t="str">
        <v/>
      </c>
      <c r="E914" s="1" t="str">
        <v/>
      </c>
      <c r="F914" s="1" t="str">
        <v/>
      </c>
      <c r="G914" s="1" t="str">
        <v/>
      </c>
      <c r="H914" s="1" t="str">
        <v/>
      </c>
      <c r="I914" s="2" t="str">
        <v/>
      </c>
      <c r="J914" s="2" t="str">
        <v/>
      </c>
      <c r="K914" s="2" t="str">
        <v/>
      </c>
      <c r="L914" s="1" t="str">
        <v/>
      </c>
      <c r="M914" s="2" t="str">
        <v/>
      </c>
      <c r="N914" s="2" t="str">
        <v/>
      </c>
      <c r="O914" s="1" t="str">
        <v/>
      </c>
      <c r="P914" s="1" t="str">
        <v/>
      </c>
      <c r="Q914" s="1" t="str">
        <v/>
      </c>
    </row>
    <row r="915" x14ac:dyDescent="0.25">
      <c r="A915" s="1" t="str">
        <v/>
      </c>
      <c r="B915" s="1" t="str">
        <v/>
      </c>
      <c r="C915" s="1" t="str">
        <v/>
      </c>
      <c r="D915" s="1" t="str">
        <v/>
      </c>
      <c r="E915" s="1" t="str">
        <v/>
      </c>
      <c r="F915" s="1" t="str">
        <v/>
      </c>
      <c r="G915" s="1" t="str">
        <v/>
      </c>
      <c r="H915" s="1" t="str">
        <v/>
      </c>
      <c r="I915" s="2" t="str">
        <v/>
      </c>
      <c r="J915" s="2" t="str">
        <v/>
      </c>
      <c r="K915" s="2" t="str">
        <v/>
      </c>
      <c r="L915" s="1" t="str">
        <v/>
      </c>
      <c r="M915" s="2" t="str">
        <v/>
      </c>
      <c r="N915" s="2" t="str">
        <v/>
      </c>
      <c r="O915" s="1" t="str">
        <v/>
      </c>
      <c r="P915" s="1" t="str">
        <v/>
      </c>
      <c r="Q915" s="1" t="str">
        <v/>
      </c>
    </row>
    <row r="916" x14ac:dyDescent="0.25">
      <c r="A916" s="1" t="str">
        <v/>
      </c>
      <c r="B916" s="1" t="str">
        <v/>
      </c>
      <c r="C916" s="1" t="str">
        <v/>
      </c>
      <c r="D916" s="1" t="str">
        <v/>
      </c>
      <c r="E916" s="1" t="str">
        <v/>
      </c>
      <c r="F916" s="1" t="str">
        <v/>
      </c>
      <c r="G916" s="1" t="str">
        <v/>
      </c>
      <c r="H916" s="1" t="str">
        <v/>
      </c>
      <c r="I916" s="2" t="str">
        <v/>
      </c>
      <c r="J916" s="2" t="str">
        <v/>
      </c>
      <c r="K916" s="2" t="str">
        <v/>
      </c>
      <c r="L916" s="1" t="str">
        <v/>
      </c>
      <c r="M916" s="2" t="str">
        <v/>
      </c>
      <c r="N916" s="2" t="str">
        <v/>
      </c>
      <c r="O916" s="1" t="str">
        <v/>
      </c>
      <c r="P916" s="1" t="str">
        <v/>
      </c>
      <c r="Q916" s="1" t="str">
        <v/>
      </c>
    </row>
    <row r="917" x14ac:dyDescent="0.25">
      <c r="A917" s="1" t="str">
        <v/>
      </c>
      <c r="B917" s="1" t="str">
        <v/>
      </c>
      <c r="C917" s="1" t="str">
        <v/>
      </c>
      <c r="D917" s="1" t="str">
        <v/>
      </c>
      <c r="E917" s="1" t="str">
        <v/>
      </c>
      <c r="F917" s="1" t="str">
        <v/>
      </c>
      <c r="G917" s="1" t="str">
        <v/>
      </c>
      <c r="H917" s="1" t="str">
        <v/>
      </c>
      <c r="I917" s="2" t="str">
        <v/>
      </c>
      <c r="J917" s="2" t="str">
        <v/>
      </c>
      <c r="K917" s="2" t="str">
        <v/>
      </c>
      <c r="L917" s="1" t="str">
        <v/>
      </c>
      <c r="M917" s="2" t="str">
        <v/>
      </c>
      <c r="N917" s="2" t="str">
        <v/>
      </c>
      <c r="O917" s="1" t="str">
        <v/>
      </c>
      <c r="P917" s="1" t="str">
        <v/>
      </c>
      <c r="Q917" s="1" t="str">
        <v/>
      </c>
    </row>
    <row r="918" x14ac:dyDescent="0.25">
      <c r="A918" s="1" t="str">
        <v/>
      </c>
      <c r="B918" s="1" t="str">
        <v/>
      </c>
      <c r="C918" s="1" t="str">
        <v/>
      </c>
      <c r="D918" s="1" t="str">
        <v/>
      </c>
      <c r="E918" s="1" t="str">
        <v/>
      </c>
      <c r="F918" s="1" t="str">
        <v/>
      </c>
      <c r="G918" s="1" t="str">
        <v/>
      </c>
      <c r="H918" s="1" t="str">
        <v/>
      </c>
      <c r="I918" s="2" t="str">
        <v/>
      </c>
      <c r="J918" s="2" t="str">
        <v/>
      </c>
      <c r="K918" s="2" t="str">
        <v/>
      </c>
      <c r="L918" s="1" t="str">
        <v/>
      </c>
      <c r="M918" s="2" t="str">
        <v/>
      </c>
      <c r="N918" s="2" t="str">
        <v/>
      </c>
      <c r="O918" s="1" t="str">
        <v/>
      </c>
      <c r="P918" s="1" t="str">
        <v/>
      </c>
      <c r="Q918" s="1" t="str">
        <v/>
      </c>
    </row>
    <row r="919" x14ac:dyDescent="0.25">
      <c r="A919" s="1" t="str">
        <v/>
      </c>
      <c r="B919" s="1" t="str">
        <v/>
      </c>
      <c r="C919" s="1" t="str">
        <v/>
      </c>
      <c r="D919" s="1" t="str">
        <v/>
      </c>
      <c r="E919" s="1" t="str">
        <v/>
      </c>
      <c r="F919" s="1" t="str">
        <v/>
      </c>
      <c r="G919" s="1" t="str">
        <v/>
      </c>
      <c r="H919" s="1" t="str">
        <v/>
      </c>
      <c r="I919" s="2" t="str">
        <v/>
      </c>
      <c r="J919" s="2" t="str">
        <v/>
      </c>
      <c r="K919" s="2" t="str">
        <v/>
      </c>
      <c r="L919" s="1" t="str">
        <v/>
      </c>
      <c r="M919" s="2" t="str">
        <v/>
      </c>
      <c r="N919" s="2" t="str">
        <v/>
      </c>
      <c r="O919" s="1" t="str">
        <v/>
      </c>
      <c r="P919" s="1" t="str">
        <v/>
      </c>
      <c r="Q919" s="1" t="str">
        <v/>
      </c>
    </row>
    <row r="920" x14ac:dyDescent="0.25">
      <c r="A920" s="1" t="str">
        <v/>
      </c>
      <c r="B920" s="1" t="str">
        <v/>
      </c>
      <c r="C920" s="1" t="str">
        <v/>
      </c>
      <c r="D920" s="1" t="str">
        <v/>
      </c>
      <c r="E920" s="1" t="str">
        <v/>
      </c>
      <c r="F920" s="1" t="str">
        <v/>
      </c>
      <c r="G920" s="1" t="str">
        <v/>
      </c>
      <c r="H920" s="1" t="str">
        <v/>
      </c>
      <c r="I920" s="2" t="str">
        <v/>
      </c>
      <c r="J920" s="2" t="str">
        <v/>
      </c>
      <c r="K920" s="2" t="str">
        <v/>
      </c>
      <c r="L920" s="1" t="str">
        <v/>
      </c>
      <c r="M920" s="2" t="str">
        <v/>
      </c>
      <c r="N920" s="2" t="str">
        <v/>
      </c>
      <c r="O920" s="1" t="str">
        <v/>
      </c>
      <c r="P920" s="1" t="str">
        <v/>
      </c>
      <c r="Q920" s="1" t="str">
        <v/>
      </c>
    </row>
    <row r="921" x14ac:dyDescent="0.25">
      <c r="A921" s="1" t="str">
        <v/>
      </c>
      <c r="B921" s="1" t="str">
        <v/>
      </c>
      <c r="C921" s="1" t="str">
        <v/>
      </c>
      <c r="D921" s="1" t="str">
        <v/>
      </c>
      <c r="E921" s="1" t="str">
        <v/>
      </c>
      <c r="F921" s="1" t="str">
        <v/>
      </c>
      <c r="G921" s="1" t="str">
        <v/>
      </c>
      <c r="H921" s="1" t="str">
        <v/>
      </c>
      <c r="I921" s="2" t="str">
        <v/>
      </c>
      <c r="J921" s="2" t="str">
        <v/>
      </c>
      <c r="K921" s="2" t="str">
        <v/>
      </c>
      <c r="L921" s="1" t="str">
        <v/>
      </c>
      <c r="M921" s="2" t="str">
        <v/>
      </c>
      <c r="N921" s="2" t="str">
        <v/>
      </c>
      <c r="O921" s="1" t="str">
        <v/>
      </c>
      <c r="P921" s="1" t="str">
        <v/>
      </c>
      <c r="Q921" s="1" t="str">
        <v/>
      </c>
    </row>
    <row r="922" x14ac:dyDescent="0.25">
      <c r="A922" s="1" t="str">
        <v/>
      </c>
      <c r="B922" s="1" t="str">
        <v/>
      </c>
      <c r="C922" s="1" t="str">
        <v/>
      </c>
      <c r="D922" s="1" t="str">
        <v/>
      </c>
      <c r="E922" s="1" t="str">
        <v/>
      </c>
      <c r="F922" s="1" t="str">
        <v/>
      </c>
      <c r="G922" s="1" t="str">
        <v/>
      </c>
      <c r="H922" s="1" t="str">
        <v/>
      </c>
      <c r="I922" s="2" t="str">
        <v/>
      </c>
      <c r="J922" s="2" t="str">
        <v/>
      </c>
      <c r="K922" s="2" t="str">
        <v/>
      </c>
      <c r="L922" s="1" t="str">
        <v/>
      </c>
      <c r="M922" s="2" t="str">
        <v/>
      </c>
      <c r="N922" s="2" t="str">
        <v/>
      </c>
      <c r="O922" s="1" t="str">
        <v/>
      </c>
      <c r="P922" s="1" t="str">
        <v/>
      </c>
      <c r="Q922" s="1" t="str">
        <v/>
      </c>
    </row>
    <row r="923" x14ac:dyDescent="0.25">
      <c r="A923" s="1" t="str">
        <v/>
      </c>
      <c r="B923" s="1" t="str">
        <v/>
      </c>
      <c r="C923" s="1" t="str">
        <v/>
      </c>
      <c r="D923" s="1" t="str">
        <v/>
      </c>
      <c r="E923" s="1" t="str">
        <v/>
      </c>
      <c r="F923" s="1" t="str">
        <v/>
      </c>
      <c r="G923" s="1" t="str">
        <v/>
      </c>
      <c r="H923" s="1" t="str">
        <v/>
      </c>
      <c r="I923" s="2" t="str">
        <v/>
      </c>
      <c r="J923" s="2" t="str">
        <v/>
      </c>
      <c r="K923" s="2" t="str">
        <v/>
      </c>
      <c r="L923" s="1" t="str">
        <v/>
      </c>
      <c r="M923" s="2" t="str">
        <v/>
      </c>
      <c r="N923" s="2" t="str">
        <v/>
      </c>
      <c r="O923" s="1" t="str">
        <v/>
      </c>
      <c r="P923" s="1" t="str">
        <v/>
      </c>
      <c r="Q923" s="1" t="str">
        <v/>
      </c>
    </row>
    <row r="924" x14ac:dyDescent="0.25">
      <c r="A924" s="1" t="str">
        <v/>
      </c>
      <c r="B924" s="1" t="str">
        <v/>
      </c>
      <c r="C924" s="1" t="str">
        <v/>
      </c>
      <c r="D924" s="1" t="str">
        <v/>
      </c>
      <c r="E924" s="1" t="str">
        <v/>
      </c>
      <c r="F924" s="1" t="str">
        <v/>
      </c>
      <c r="G924" s="1" t="str">
        <v/>
      </c>
      <c r="H924" s="1" t="str">
        <v/>
      </c>
      <c r="I924" s="2" t="str">
        <v/>
      </c>
      <c r="J924" s="2" t="str">
        <v/>
      </c>
      <c r="K924" s="2" t="str">
        <v/>
      </c>
      <c r="L924" s="1" t="str">
        <v/>
      </c>
      <c r="M924" s="2" t="str">
        <v/>
      </c>
      <c r="N924" s="2" t="str">
        <v/>
      </c>
      <c r="O924" s="1" t="str">
        <v/>
      </c>
      <c r="P924" s="1" t="str">
        <v/>
      </c>
      <c r="Q924" s="1" t="str">
        <v/>
      </c>
    </row>
    <row r="925" x14ac:dyDescent="0.25">
      <c r="A925" s="1" t="str">
        <v/>
      </c>
      <c r="B925" s="1" t="str">
        <v/>
      </c>
      <c r="C925" s="1" t="str">
        <v/>
      </c>
      <c r="D925" s="1" t="str">
        <v/>
      </c>
      <c r="E925" s="1" t="str">
        <v/>
      </c>
      <c r="F925" s="1" t="str">
        <v/>
      </c>
      <c r="G925" s="1" t="str">
        <v/>
      </c>
      <c r="H925" s="1" t="str">
        <v/>
      </c>
      <c r="I925" s="2" t="str">
        <v/>
      </c>
      <c r="J925" s="2" t="str">
        <v/>
      </c>
      <c r="K925" s="2" t="str">
        <v/>
      </c>
      <c r="L925" s="1" t="str">
        <v/>
      </c>
      <c r="M925" s="2" t="str">
        <v/>
      </c>
      <c r="N925" s="2" t="str">
        <v/>
      </c>
      <c r="O925" s="1" t="str">
        <v/>
      </c>
      <c r="P925" s="1" t="str">
        <v/>
      </c>
      <c r="Q925" s="1" t="str">
        <v/>
      </c>
    </row>
    <row r="926" x14ac:dyDescent="0.25">
      <c r="A926" s="1" t="str">
        <v/>
      </c>
      <c r="B926" s="1" t="str">
        <v/>
      </c>
      <c r="C926" s="1" t="str">
        <v/>
      </c>
      <c r="D926" s="1" t="str">
        <v/>
      </c>
      <c r="E926" s="1" t="str">
        <v/>
      </c>
      <c r="F926" s="1" t="str">
        <v/>
      </c>
      <c r="G926" s="1" t="str">
        <v/>
      </c>
      <c r="H926" s="1" t="str">
        <v/>
      </c>
      <c r="I926" s="2" t="str">
        <v/>
      </c>
      <c r="J926" s="2" t="str">
        <v/>
      </c>
      <c r="K926" s="2" t="str">
        <v/>
      </c>
      <c r="L926" s="1" t="str">
        <v/>
      </c>
      <c r="M926" s="2" t="str">
        <v/>
      </c>
      <c r="N926" s="2" t="str">
        <v/>
      </c>
      <c r="O926" s="1" t="str">
        <v/>
      </c>
      <c r="P926" s="1" t="str">
        <v/>
      </c>
      <c r="Q926" s="1" t="str">
        <v/>
      </c>
    </row>
    <row r="927" x14ac:dyDescent="0.25">
      <c r="A927" s="1" t="str">
        <v/>
      </c>
      <c r="B927" s="1" t="str">
        <v/>
      </c>
      <c r="C927" s="1" t="str">
        <v/>
      </c>
      <c r="D927" s="1" t="str">
        <v/>
      </c>
      <c r="E927" s="1" t="str">
        <v/>
      </c>
      <c r="F927" s="1" t="str">
        <v/>
      </c>
      <c r="G927" s="1" t="str">
        <v/>
      </c>
      <c r="H927" s="1" t="str">
        <v/>
      </c>
      <c r="I927" s="2" t="str">
        <v/>
      </c>
      <c r="J927" s="2" t="str">
        <v/>
      </c>
      <c r="K927" s="2" t="str">
        <v/>
      </c>
      <c r="L927" s="1" t="str">
        <v/>
      </c>
      <c r="M927" s="2" t="str">
        <v/>
      </c>
      <c r="N927" s="2" t="str">
        <v/>
      </c>
      <c r="O927" s="1" t="str">
        <v/>
      </c>
      <c r="P927" s="1" t="str">
        <v/>
      </c>
      <c r="Q927" s="1" t="str">
        <v/>
      </c>
    </row>
    <row r="928" x14ac:dyDescent="0.25">
      <c r="A928" s="1" t="str">
        <v/>
      </c>
      <c r="B928" s="1" t="str">
        <v/>
      </c>
      <c r="C928" s="1" t="str">
        <v/>
      </c>
      <c r="D928" s="1" t="str">
        <v/>
      </c>
      <c r="E928" s="1" t="str">
        <v/>
      </c>
      <c r="F928" s="1" t="str">
        <v/>
      </c>
      <c r="G928" s="1" t="str">
        <v/>
      </c>
      <c r="H928" s="1" t="str">
        <v/>
      </c>
      <c r="I928" s="2" t="str">
        <v/>
      </c>
      <c r="J928" s="2" t="str">
        <v/>
      </c>
      <c r="K928" s="2" t="str">
        <v/>
      </c>
      <c r="L928" s="1" t="str">
        <v/>
      </c>
      <c r="M928" s="2" t="str">
        <v/>
      </c>
      <c r="N928" s="2" t="str">
        <v/>
      </c>
      <c r="O928" s="1" t="str">
        <v/>
      </c>
      <c r="P928" s="1" t="str">
        <v/>
      </c>
      <c r="Q928" s="1" t="str">
        <v/>
      </c>
    </row>
    <row r="929" x14ac:dyDescent="0.25">
      <c r="A929" s="1" t="str">
        <v/>
      </c>
      <c r="B929" s="1" t="str">
        <v/>
      </c>
      <c r="C929" s="1" t="str">
        <v/>
      </c>
      <c r="D929" s="1" t="str">
        <v/>
      </c>
      <c r="E929" s="1" t="str">
        <v/>
      </c>
      <c r="F929" s="1" t="str">
        <v/>
      </c>
      <c r="G929" s="1" t="str">
        <v/>
      </c>
      <c r="H929" s="1" t="str">
        <v/>
      </c>
      <c r="I929" s="2" t="str">
        <v/>
      </c>
      <c r="J929" s="2" t="str">
        <v/>
      </c>
      <c r="K929" s="2" t="str">
        <v/>
      </c>
      <c r="L929" s="1" t="str">
        <v/>
      </c>
      <c r="M929" s="2" t="str">
        <v/>
      </c>
      <c r="N929" s="2" t="str">
        <v/>
      </c>
      <c r="O929" s="1" t="str">
        <v/>
      </c>
      <c r="P929" s="1" t="str">
        <v/>
      </c>
      <c r="Q929" s="1" t="str">
        <v/>
      </c>
    </row>
    <row r="930" x14ac:dyDescent="0.25">
      <c r="A930" s="1" t="str">
        <v/>
      </c>
      <c r="B930" s="1" t="str">
        <v/>
      </c>
      <c r="C930" s="1" t="str">
        <v/>
      </c>
      <c r="D930" s="1" t="str">
        <v/>
      </c>
      <c r="E930" s="1" t="str">
        <v/>
      </c>
      <c r="F930" s="1" t="str">
        <v/>
      </c>
      <c r="G930" s="1" t="str">
        <v/>
      </c>
      <c r="H930" s="1" t="str">
        <v/>
      </c>
      <c r="I930" s="2" t="str">
        <v/>
      </c>
      <c r="J930" s="2" t="str">
        <v/>
      </c>
      <c r="K930" s="2" t="str">
        <v/>
      </c>
      <c r="L930" s="1" t="str">
        <v/>
      </c>
      <c r="M930" s="2" t="str">
        <v/>
      </c>
      <c r="N930" s="2" t="str">
        <v/>
      </c>
      <c r="O930" s="1" t="str">
        <v/>
      </c>
      <c r="P930" s="1" t="str">
        <v/>
      </c>
      <c r="Q930" s="1" t="str">
        <v/>
      </c>
    </row>
    <row r="931" x14ac:dyDescent="0.25">
      <c r="A931" s="1" t="str">
        <v/>
      </c>
      <c r="B931" s="1" t="str">
        <v/>
      </c>
      <c r="C931" s="1" t="str">
        <v/>
      </c>
      <c r="D931" s="1" t="str">
        <v/>
      </c>
      <c r="E931" s="1" t="str">
        <v/>
      </c>
      <c r="F931" s="1" t="str">
        <v/>
      </c>
      <c r="G931" s="1" t="str">
        <v/>
      </c>
      <c r="H931" s="1" t="str">
        <v/>
      </c>
      <c r="I931" s="2" t="str">
        <v/>
      </c>
      <c r="J931" s="2" t="str">
        <v/>
      </c>
      <c r="K931" s="2" t="str">
        <v/>
      </c>
      <c r="L931" s="1" t="str">
        <v/>
      </c>
      <c r="M931" s="2" t="str">
        <v/>
      </c>
      <c r="N931" s="2" t="str">
        <v/>
      </c>
      <c r="O931" s="1" t="str">
        <v/>
      </c>
      <c r="P931" s="1" t="str">
        <v/>
      </c>
      <c r="Q931" s="1" t="str">
        <v/>
      </c>
    </row>
    <row r="932" x14ac:dyDescent="0.25">
      <c r="A932" s="1" t="str">
        <v/>
      </c>
      <c r="B932" s="1" t="str">
        <v/>
      </c>
      <c r="C932" s="1" t="str">
        <v/>
      </c>
      <c r="D932" s="1" t="str">
        <v/>
      </c>
      <c r="E932" s="1" t="str">
        <v/>
      </c>
      <c r="F932" s="1" t="str">
        <v/>
      </c>
      <c r="G932" s="1" t="str">
        <v/>
      </c>
      <c r="H932" s="1" t="str">
        <v/>
      </c>
      <c r="I932" s="2" t="str">
        <v/>
      </c>
      <c r="J932" s="2" t="str">
        <v/>
      </c>
      <c r="K932" s="2" t="str">
        <v/>
      </c>
      <c r="L932" s="1" t="str">
        <v/>
      </c>
      <c r="M932" s="2" t="str">
        <v/>
      </c>
      <c r="N932" s="2" t="str">
        <v/>
      </c>
      <c r="O932" s="1" t="str">
        <v/>
      </c>
      <c r="P932" s="1" t="str">
        <v/>
      </c>
      <c r="Q932" s="1" t="str">
        <v/>
      </c>
    </row>
    <row r="933" x14ac:dyDescent="0.25">
      <c r="A933" s="1" t="str">
        <v/>
      </c>
      <c r="B933" s="1" t="str">
        <v/>
      </c>
      <c r="C933" s="1" t="str">
        <v/>
      </c>
      <c r="D933" s="1" t="str">
        <v/>
      </c>
      <c r="E933" s="1" t="str">
        <v/>
      </c>
      <c r="F933" s="1" t="str">
        <v/>
      </c>
      <c r="G933" s="1" t="str">
        <v/>
      </c>
      <c r="H933" s="1" t="str">
        <v/>
      </c>
      <c r="I933" s="2" t="str">
        <v/>
      </c>
      <c r="J933" s="2" t="str">
        <v/>
      </c>
      <c r="K933" s="2" t="str">
        <v/>
      </c>
      <c r="L933" s="1" t="str">
        <v/>
      </c>
      <c r="M933" s="2" t="str">
        <v/>
      </c>
      <c r="N933" s="2" t="str">
        <v/>
      </c>
      <c r="O933" s="1" t="str">
        <v/>
      </c>
      <c r="P933" s="1" t="str">
        <v/>
      </c>
      <c r="Q933" s="1" t="str">
        <v/>
      </c>
    </row>
    <row r="934" x14ac:dyDescent="0.25">
      <c r="A934" s="1" t="str">
        <v/>
      </c>
      <c r="B934" s="1" t="str">
        <v/>
      </c>
      <c r="C934" s="1" t="str">
        <v/>
      </c>
      <c r="D934" s="1" t="str">
        <v/>
      </c>
      <c r="E934" s="1" t="str">
        <v/>
      </c>
      <c r="F934" s="1" t="str">
        <v/>
      </c>
      <c r="G934" s="1" t="str">
        <v/>
      </c>
      <c r="H934" s="1" t="str">
        <v/>
      </c>
      <c r="I934" s="2" t="str">
        <v/>
      </c>
      <c r="J934" s="2" t="str">
        <v/>
      </c>
      <c r="K934" s="2" t="str">
        <v/>
      </c>
      <c r="L934" s="1" t="str">
        <v/>
      </c>
      <c r="M934" s="2" t="str">
        <v/>
      </c>
      <c r="N934" s="2" t="str">
        <v/>
      </c>
      <c r="O934" s="1" t="str">
        <v/>
      </c>
      <c r="P934" s="1" t="str">
        <v/>
      </c>
      <c r="Q934" s="1" t="str">
        <v/>
      </c>
    </row>
    <row r="935" x14ac:dyDescent="0.25">
      <c r="A935" s="1" t="str">
        <v/>
      </c>
      <c r="B935" s="1" t="str">
        <v/>
      </c>
      <c r="C935" s="1" t="str">
        <v/>
      </c>
      <c r="D935" s="1" t="str">
        <v/>
      </c>
      <c r="E935" s="1" t="str">
        <v/>
      </c>
      <c r="F935" s="1" t="str">
        <v/>
      </c>
      <c r="G935" s="1" t="str">
        <v/>
      </c>
      <c r="H935" s="1" t="str">
        <v/>
      </c>
      <c r="I935" s="2" t="str">
        <v/>
      </c>
      <c r="J935" s="2" t="str">
        <v/>
      </c>
      <c r="K935" s="2" t="str">
        <v/>
      </c>
      <c r="L935" s="1" t="str">
        <v/>
      </c>
      <c r="M935" s="2" t="str">
        <v/>
      </c>
      <c r="N935" s="2" t="str">
        <v/>
      </c>
      <c r="O935" s="1" t="str">
        <v/>
      </c>
      <c r="P935" s="1" t="str">
        <v/>
      </c>
      <c r="Q935" s="1" t="str">
        <v/>
      </c>
    </row>
    <row r="936" x14ac:dyDescent="0.25">
      <c r="A936" s="1" t="str">
        <v/>
      </c>
      <c r="B936" s="1" t="str">
        <v/>
      </c>
      <c r="C936" s="1" t="str">
        <v/>
      </c>
      <c r="D936" s="1" t="str">
        <v/>
      </c>
      <c r="E936" s="1" t="str">
        <v/>
      </c>
      <c r="F936" s="1" t="str">
        <v/>
      </c>
      <c r="G936" s="1" t="str">
        <v/>
      </c>
      <c r="H936" s="1" t="str">
        <v/>
      </c>
      <c r="I936" s="2" t="str">
        <v/>
      </c>
      <c r="J936" s="2" t="str">
        <v/>
      </c>
      <c r="K936" s="2" t="str">
        <v/>
      </c>
      <c r="L936" s="1" t="str">
        <v/>
      </c>
      <c r="M936" s="2" t="str">
        <v/>
      </c>
      <c r="N936" s="2" t="str">
        <v/>
      </c>
      <c r="O936" s="1" t="str">
        <v/>
      </c>
      <c r="P936" s="1" t="str">
        <v/>
      </c>
      <c r="Q936" s="1" t="str">
        <v/>
      </c>
    </row>
    <row r="937" x14ac:dyDescent="0.25">
      <c r="A937" s="1" t="str">
        <v/>
      </c>
      <c r="B937" s="1" t="str">
        <v/>
      </c>
      <c r="C937" s="1" t="str">
        <v/>
      </c>
      <c r="D937" s="1" t="str">
        <v/>
      </c>
      <c r="E937" s="1" t="str">
        <v/>
      </c>
      <c r="F937" s="1" t="str">
        <v/>
      </c>
      <c r="G937" s="1" t="str">
        <v/>
      </c>
      <c r="H937" s="1" t="str">
        <v/>
      </c>
      <c r="I937" s="2" t="str">
        <v/>
      </c>
      <c r="J937" s="2" t="str">
        <v/>
      </c>
      <c r="K937" s="2" t="str">
        <v/>
      </c>
      <c r="L937" s="1" t="str">
        <v/>
      </c>
      <c r="M937" s="2" t="str">
        <v/>
      </c>
      <c r="N937" s="2" t="str">
        <v/>
      </c>
      <c r="O937" s="1" t="str">
        <v/>
      </c>
      <c r="P937" s="1" t="str">
        <v/>
      </c>
      <c r="Q937" s="1" t="str">
        <v/>
      </c>
    </row>
    <row r="938" x14ac:dyDescent="0.25">
      <c r="A938" s="1" t="str">
        <v/>
      </c>
      <c r="B938" s="1" t="str">
        <v/>
      </c>
      <c r="C938" s="1" t="str">
        <v/>
      </c>
      <c r="D938" s="1" t="str">
        <v/>
      </c>
      <c r="E938" s="1" t="str">
        <v/>
      </c>
      <c r="F938" s="1" t="str">
        <v/>
      </c>
      <c r="G938" s="1" t="str">
        <v/>
      </c>
      <c r="H938" s="1" t="str">
        <v/>
      </c>
      <c r="I938" s="2" t="str">
        <v/>
      </c>
      <c r="J938" s="2" t="str">
        <v/>
      </c>
      <c r="K938" s="2" t="str">
        <v/>
      </c>
      <c r="L938" s="1" t="str">
        <v/>
      </c>
      <c r="M938" s="2" t="str">
        <v/>
      </c>
      <c r="N938" s="2" t="str">
        <v/>
      </c>
      <c r="O938" s="1" t="str">
        <v/>
      </c>
      <c r="P938" s="1" t="str">
        <v/>
      </c>
      <c r="Q938" s="1" t="str">
        <v/>
      </c>
    </row>
    <row r="939" x14ac:dyDescent="0.25">
      <c r="A939" s="1" t="str">
        <v/>
      </c>
      <c r="B939" s="1" t="str">
        <v/>
      </c>
      <c r="C939" s="1" t="str">
        <v/>
      </c>
      <c r="D939" s="1" t="str">
        <v/>
      </c>
      <c r="E939" s="1" t="str">
        <v/>
      </c>
      <c r="F939" s="1" t="str">
        <v/>
      </c>
      <c r="G939" s="1" t="str">
        <v/>
      </c>
      <c r="H939" s="1" t="str">
        <v/>
      </c>
      <c r="I939" s="2" t="str">
        <v/>
      </c>
      <c r="J939" s="2" t="str">
        <v/>
      </c>
      <c r="K939" s="2" t="str">
        <v/>
      </c>
      <c r="L939" s="1" t="str">
        <v/>
      </c>
      <c r="M939" s="2" t="str">
        <v/>
      </c>
      <c r="N939" s="2" t="str">
        <v/>
      </c>
      <c r="O939" s="1" t="str">
        <v/>
      </c>
      <c r="P939" s="1" t="str">
        <v/>
      </c>
      <c r="Q939" s="1" t="str">
        <v/>
      </c>
    </row>
    <row r="940" x14ac:dyDescent="0.25">
      <c r="A940" s="1" t="str">
        <v/>
      </c>
      <c r="B940" s="1" t="str">
        <v/>
      </c>
      <c r="C940" s="1" t="str">
        <v/>
      </c>
      <c r="D940" s="1" t="str">
        <v/>
      </c>
      <c r="E940" s="1" t="str">
        <v/>
      </c>
      <c r="F940" s="1" t="str">
        <v/>
      </c>
      <c r="G940" s="1" t="str">
        <v/>
      </c>
      <c r="H940" s="1" t="str">
        <v/>
      </c>
      <c r="I940" s="2" t="str">
        <v/>
      </c>
      <c r="J940" s="2" t="str">
        <v/>
      </c>
      <c r="K940" s="2" t="str">
        <v/>
      </c>
      <c r="L940" s="1" t="str">
        <v/>
      </c>
      <c r="M940" s="2" t="str">
        <v/>
      </c>
      <c r="N940" s="2" t="str">
        <v/>
      </c>
      <c r="O940" s="1" t="str">
        <v/>
      </c>
      <c r="P940" s="1" t="str">
        <v/>
      </c>
      <c r="Q940" s="1" t="str">
        <v/>
      </c>
    </row>
    <row r="941" x14ac:dyDescent="0.25">
      <c r="A941" s="1" t="str">
        <v/>
      </c>
      <c r="B941" s="1" t="str">
        <v/>
      </c>
      <c r="C941" s="1" t="str">
        <v/>
      </c>
      <c r="D941" s="1" t="str">
        <v/>
      </c>
      <c r="E941" s="1" t="str">
        <v/>
      </c>
      <c r="F941" s="1" t="str">
        <v/>
      </c>
      <c r="G941" s="1" t="str">
        <v/>
      </c>
      <c r="H941" s="1" t="str">
        <v/>
      </c>
      <c r="I941" s="2" t="str">
        <v/>
      </c>
      <c r="J941" s="2" t="str">
        <v/>
      </c>
      <c r="K941" s="2" t="str">
        <v/>
      </c>
      <c r="L941" s="1" t="str">
        <v/>
      </c>
      <c r="M941" s="2" t="str">
        <v/>
      </c>
      <c r="N941" s="2" t="str">
        <v/>
      </c>
      <c r="O941" s="1" t="str">
        <v/>
      </c>
      <c r="P941" s="1" t="str">
        <v/>
      </c>
      <c r="Q941" s="1" t="str">
        <v/>
      </c>
    </row>
    <row r="942" x14ac:dyDescent="0.25">
      <c r="A942" s="1" t="str">
        <v/>
      </c>
      <c r="B942" s="1" t="str">
        <v/>
      </c>
      <c r="C942" s="1" t="str">
        <v/>
      </c>
      <c r="D942" s="1" t="str">
        <v/>
      </c>
      <c r="E942" s="1" t="str">
        <v/>
      </c>
      <c r="F942" s="1" t="str">
        <v/>
      </c>
      <c r="G942" s="1" t="str">
        <v/>
      </c>
      <c r="H942" s="1" t="str">
        <v/>
      </c>
      <c r="I942" s="2" t="str">
        <v/>
      </c>
      <c r="J942" s="2" t="str">
        <v/>
      </c>
      <c r="K942" s="2" t="str">
        <v/>
      </c>
      <c r="L942" s="1" t="str">
        <v/>
      </c>
      <c r="M942" s="2" t="str">
        <v/>
      </c>
      <c r="N942" s="2" t="str">
        <v/>
      </c>
      <c r="O942" s="1" t="str">
        <v/>
      </c>
      <c r="P942" s="1" t="str">
        <v/>
      </c>
      <c r="Q942" s="1" t="str">
        <v/>
      </c>
    </row>
    <row r="943" x14ac:dyDescent="0.25">
      <c r="A943" s="1" t="str">
        <v/>
      </c>
      <c r="B943" s="1" t="str">
        <v/>
      </c>
      <c r="C943" s="1" t="str">
        <v/>
      </c>
      <c r="D943" s="1" t="str">
        <v/>
      </c>
      <c r="E943" s="1" t="str">
        <v/>
      </c>
      <c r="F943" s="1" t="str">
        <v/>
      </c>
      <c r="G943" s="1" t="str">
        <v/>
      </c>
      <c r="H943" s="1" t="str">
        <v/>
      </c>
      <c r="I943" s="2" t="str">
        <v/>
      </c>
      <c r="J943" s="2" t="str">
        <v/>
      </c>
      <c r="K943" s="2" t="str">
        <v/>
      </c>
      <c r="L943" s="1" t="str">
        <v/>
      </c>
      <c r="M943" s="2" t="str">
        <v/>
      </c>
      <c r="N943" s="2" t="str">
        <v/>
      </c>
      <c r="O943" s="1" t="str">
        <v/>
      </c>
      <c r="P943" s="1" t="str">
        <v/>
      </c>
      <c r="Q943" s="1" t="str">
        <v/>
      </c>
    </row>
    <row r="944" x14ac:dyDescent="0.25">
      <c r="A944" s="1" t="str">
        <v/>
      </c>
      <c r="B944" s="1" t="str">
        <v/>
      </c>
      <c r="C944" s="1" t="str">
        <v/>
      </c>
      <c r="D944" s="1" t="str">
        <v/>
      </c>
      <c r="E944" s="1" t="str">
        <v/>
      </c>
      <c r="F944" s="1" t="str">
        <v/>
      </c>
      <c r="G944" s="1" t="str">
        <v/>
      </c>
      <c r="H944" s="1" t="str">
        <v/>
      </c>
      <c r="I944" s="2" t="str">
        <v/>
      </c>
      <c r="J944" s="2" t="str">
        <v/>
      </c>
      <c r="K944" s="2" t="str">
        <v/>
      </c>
      <c r="L944" s="1" t="str">
        <v/>
      </c>
      <c r="M944" s="2" t="str">
        <v/>
      </c>
      <c r="N944" s="2" t="str">
        <v/>
      </c>
      <c r="O944" s="1" t="str">
        <v/>
      </c>
      <c r="P944" s="1" t="str">
        <v/>
      </c>
      <c r="Q944" s="1" t="str">
        <v/>
      </c>
    </row>
    <row r="945" x14ac:dyDescent="0.25">
      <c r="A945" s="1" t="str">
        <v/>
      </c>
      <c r="B945" s="1" t="str">
        <v/>
      </c>
      <c r="C945" s="1" t="str">
        <v/>
      </c>
      <c r="D945" s="1" t="str">
        <v/>
      </c>
      <c r="E945" s="1" t="str">
        <v/>
      </c>
      <c r="F945" s="1" t="str">
        <v/>
      </c>
      <c r="G945" s="1" t="str">
        <v/>
      </c>
      <c r="H945" s="1" t="str">
        <v/>
      </c>
      <c r="I945" s="2" t="str">
        <v/>
      </c>
      <c r="J945" s="2" t="str">
        <v/>
      </c>
      <c r="K945" s="2" t="str">
        <v/>
      </c>
      <c r="L945" s="1" t="str">
        <v/>
      </c>
      <c r="M945" s="2" t="str">
        <v/>
      </c>
      <c r="N945" s="2" t="str">
        <v/>
      </c>
      <c r="O945" s="1" t="str">
        <v/>
      </c>
      <c r="P945" s="1" t="str">
        <v/>
      </c>
      <c r="Q945" s="1" t="str">
        <v/>
      </c>
    </row>
    <row r="946" x14ac:dyDescent="0.25">
      <c r="A946" s="1" t="str">
        <v/>
      </c>
      <c r="B946" s="1" t="str">
        <v/>
      </c>
      <c r="C946" s="1" t="str">
        <v/>
      </c>
      <c r="D946" s="1" t="str">
        <v/>
      </c>
      <c r="E946" s="1" t="str">
        <v/>
      </c>
      <c r="F946" s="1" t="str">
        <v/>
      </c>
      <c r="G946" s="1" t="str">
        <v/>
      </c>
      <c r="H946" s="1" t="str">
        <v/>
      </c>
      <c r="I946" s="2" t="str">
        <v/>
      </c>
      <c r="J946" s="2" t="str">
        <v/>
      </c>
      <c r="K946" s="2" t="str">
        <v/>
      </c>
      <c r="L946" s="1" t="str">
        <v/>
      </c>
      <c r="M946" s="2" t="str">
        <v/>
      </c>
      <c r="N946" s="2" t="str">
        <v/>
      </c>
      <c r="O946" s="1" t="str">
        <v/>
      </c>
      <c r="P946" s="1" t="str">
        <v/>
      </c>
      <c r="Q946" s="1" t="str">
        <v/>
      </c>
    </row>
    <row r="947" x14ac:dyDescent="0.25">
      <c r="A947" s="1" t="str">
        <v/>
      </c>
      <c r="B947" s="1" t="str">
        <v/>
      </c>
      <c r="C947" s="1" t="str">
        <v/>
      </c>
      <c r="D947" s="1" t="str">
        <v/>
      </c>
      <c r="E947" s="1" t="str">
        <v/>
      </c>
      <c r="F947" s="1" t="str">
        <v/>
      </c>
      <c r="G947" s="1" t="str">
        <v/>
      </c>
      <c r="H947" s="1" t="str">
        <v/>
      </c>
      <c r="I947" s="2" t="str">
        <v/>
      </c>
      <c r="J947" s="2" t="str">
        <v/>
      </c>
      <c r="K947" s="2" t="str">
        <v/>
      </c>
      <c r="L947" s="1" t="str">
        <v/>
      </c>
      <c r="M947" s="2" t="str">
        <v/>
      </c>
      <c r="N947" s="2" t="str">
        <v/>
      </c>
      <c r="O947" s="1" t="str">
        <v/>
      </c>
      <c r="P947" s="1" t="str">
        <v/>
      </c>
      <c r="Q947" s="1" t="str">
        <v/>
      </c>
    </row>
    <row r="948" x14ac:dyDescent="0.25">
      <c r="A948" s="1" t="str">
        <v/>
      </c>
      <c r="B948" s="1" t="str">
        <v/>
      </c>
      <c r="C948" s="1" t="str">
        <v/>
      </c>
      <c r="D948" s="1" t="str">
        <v/>
      </c>
      <c r="E948" s="1" t="str">
        <v/>
      </c>
      <c r="F948" s="1" t="str">
        <v/>
      </c>
      <c r="G948" s="1" t="str">
        <v/>
      </c>
      <c r="H948" s="1" t="str">
        <v/>
      </c>
      <c r="I948" s="2" t="str">
        <v/>
      </c>
      <c r="J948" s="2" t="str">
        <v/>
      </c>
      <c r="K948" s="2" t="str">
        <v/>
      </c>
      <c r="L948" s="1" t="str">
        <v/>
      </c>
      <c r="M948" s="2" t="str">
        <v/>
      </c>
      <c r="N948" s="2" t="str">
        <v/>
      </c>
      <c r="O948" s="1" t="str">
        <v/>
      </c>
      <c r="P948" s="1" t="str">
        <v/>
      </c>
      <c r="Q948" s="1" t="str">
        <v/>
      </c>
    </row>
    <row r="949" x14ac:dyDescent="0.25">
      <c r="A949" s="1" t="str">
        <v/>
      </c>
      <c r="B949" s="1" t="str">
        <v/>
      </c>
      <c r="C949" s="1" t="str">
        <v/>
      </c>
      <c r="D949" s="1" t="str">
        <v/>
      </c>
      <c r="E949" s="1" t="str">
        <v/>
      </c>
      <c r="F949" s="1" t="str">
        <v/>
      </c>
      <c r="G949" s="1" t="str">
        <v/>
      </c>
      <c r="H949" s="1" t="str">
        <v/>
      </c>
      <c r="I949" s="2" t="str">
        <v/>
      </c>
      <c r="J949" s="2" t="str">
        <v/>
      </c>
      <c r="K949" s="2" t="str">
        <v/>
      </c>
      <c r="L949" s="1" t="str">
        <v/>
      </c>
      <c r="M949" s="2" t="str">
        <v/>
      </c>
      <c r="N949" s="2" t="str">
        <v/>
      </c>
      <c r="O949" s="1" t="str">
        <v/>
      </c>
      <c r="P949" s="1" t="str">
        <v/>
      </c>
      <c r="Q949" s="1" t="str">
        <v/>
      </c>
    </row>
    <row r="950" x14ac:dyDescent="0.25">
      <c r="A950" s="1" t="str">
        <v/>
      </c>
      <c r="B950" s="1" t="str">
        <v/>
      </c>
      <c r="C950" s="1" t="str">
        <v/>
      </c>
      <c r="D950" s="1" t="str">
        <v/>
      </c>
      <c r="E950" s="1" t="str">
        <v/>
      </c>
      <c r="F950" s="1" t="str">
        <v/>
      </c>
      <c r="G950" s="1" t="str">
        <v/>
      </c>
      <c r="H950" s="1" t="str">
        <v/>
      </c>
      <c r="I950" s="2" t="str">
        <v/>
      </c>
      <c r="J950" s="2" t="str">
        <v/>
      </c>
      <c r="K950" s="2" t="str">
        <v/>
      </c>
      <c r="L950" s="1" t="str">
        <v/>
      </c>
      <c r="M950" s="2" t="str">
        <v/>
      </c>
      <c r="N950" s="2" t="str">
        <v/>
      </c>
      <c r="O950" s="1" t="str">
        <v/>
      </c>
      <c r="P950" s="1" t="str">
        <v/>
      </c>
      <c r="Q950" s="1" t="str">
        <v/>
      </c>
    </row>
    <row r="951" x14ac:dyDescent="0.25">
      <c r="A951" s="1" t="str">
        <v/>
      </c>
      <c r="B951" s="1" t="str">
        <v/>
      </c>
      <c r="C951" s="1" t="str">
        <v/>
      </c>
      <c r="D951" s="1" t="str">
        <v/>
      </c>
      <c r="E951" s="1" t="str">
        <v/>
      </c>
      <c r="F951" s="1" t="str">
        <v/>
      </c>
      <c r="G951" s="1" t="str">
        <v/>
      </c>
      <c r="H951" s="1" t="str">
        <v/>
      </c>
      <c r="I951" s="2" t="str">
        <v/>
      </c>
      <c r="J951" s="2" t="str">
        <v/>
      </c>
      <c r="K951" s="2" t="str">
        <v/>
      </c>
      <c r="L951" s="1" t="str">
        <v/>
      </c>
      <c r="M951" s="2" t="str">
        <v/>
      </c>
      <c r="N951" s="2" t="str">
        <v/>
      </c>
      <c r="O951" s="1" t="str">
        <v/>
      </c>
      <c r="P951" s="1" t="str">
        <v/>
      </c>
      <c r="Q951" s="1" t="str">
        <v/>
      </c>
    </row>
    <row r="952" x14ac:dyDescent="0.25">
      <c r="A952" s="1" t="str">
        <v/>
      </c>
      <c r="B952" s="1" t="str">
        <v/>
      </c>
      <c r="C952" s="1" t="str">
        <v/>
      </c>
      <c r="D952" s="1" t="str">
        <v/>
      </c>
      <c r="E952" s="1" t="str">
        <v/>
      </c>
      <c r="F952" s="1" t="str">
        <v/>
      </c>
      <c r="G952" s="1" t="str">
        <v/>
      </c>
      <c r="H952" s="1" t="str">
        <v/>
      </c>
      <c r="I952" s="2" t="str">
        <v/>
      </c>
      <c r="J952" s="2" t="str">
        <v/>
      </c>
      <c r="K952" s="2" t="str">
        <v/>
      </c>
      <c r="L952" s="1" t="str">
        <v/>
      </c>
      <c r="M952" s="2" t="str">
        <v/>
      </c>
      <c r="N952" s="2" t="str">
        <v/>
      </c>
      <c r="O952" s="1" t="str">
        <v/>
      </c>
      <c r="P952" s="1" t="str">
        <v/>
      </c>
      <c r="Q952" s="1" t="str">
        <v/>
      </c>
    </row>
    <row r="953" x14ac:dyDescent="0.25">
      <c r="A953" s="1" t="str">
        <v/>
      </c>
      <c r="B953" s="1" t="str">
        <v/>
      </c>
      <c r="C953" s="1" t="str">
        <v/>
      </c>
      <c r="D953" s="1" t="str">
        <v/>
      </c>
      <c r="E953" s="1" t="str">
        <v/>
      </c>
      <c r="F953" s="1" t="str">
        <v/>
      </c>
      <c r="G953" s="1" t="str">
        <v/>
      </c>
      <c r="H953" s="1" t="str">
        <v/>
      </c>
      <c r="I953" s="2" t="str">
        <v/>
      </c>
      <c r="J953" s="2" t="str">
        <v/>
      </c>
      <c r="K953" s="2" t="str">
        <v/>
      </c>
      <c r="L953" s="1" t="str">
        <v/>
      </c>
      <c r="M953" s="2" t="str">
        <v/>
      </c>
      <c r="N953" s="2" t="str">
        <v/>
      </c>
      <c r="O953" s="1" t="str">
        <v/>
      </c>
      <c r="P953" s="1" t="str">
        <v/>
      </c>
      <c r="Q953" s="1" t="str">
        <v/>
      </c>
    </row>
    <row r="954" x14ac:dyDescent="0.25">
      <c r="A954" s="1" t="str">
        <v/>
      </c>
      <c r="B954" s="1" t="str">
        <v/>
      </c>
      <c r="C954" s="1" t="str">
        <v/>
      </c>
      <c r="D954" s="1" t="str">
        <v/>
      </c>
      <c r="E954" s="1" t="str">
        <v/>
      </c>
      <c r="F954" s="1" t="str">
        <v/>
      </c>
      <c r="G954" s="1" t="str">
        <v/>
      </c>
      <c r="H954" s="1" t="str">
        <v/>
      </c>
      <c r="I954" s="2" t="str">
        <v/>
      </c>
      <c r="J954" s="2" t="str">
        <v/>
      </c>
      <c r="K954" s="2" t="str">
        <v/>
      </c>
      <c r="L954" s="1" t="str">
        <v/>
      </c>
      <c r="M954" s="2" t="str">
        <v/>
      </c>
      <c r="N954" s="2" t="str">
        <v/>
      </c>
      <c r="O954" s="1" t="str">
        <v/>
      </c>
      <c r="P954" s="1" t="str">
        <v/>
      </c>
      <c r="Q954" s="1" t="str">
        <v/>
      </c>
    </row>
    <row r="955" x14ac:dyDescent="0.25">
      <c r="A955" s="1" t="str">
        <v/>
      </c>
      <c r="B955" s="1" t="str">
        <v/>
      </c>
      <c r="C955" s="1" t="str">
        <v/>
      </c>
      <c r="D955" s="1" t="str">
        <v/>
      </c>
      <c r="E955" s="1" t="str">
        <v/>
      </c>
      <c r="F955" s="1" t="str">
        <v/>
      </c>
      <c r="G955" s="1" t="str">
        <v/>
      </c>
      <c r="H955" s="1" t="str">
        <v/>
      </c>
      <c r="I955" s="2" t="str">
        <v/>
      </c>
      <c r="J955" s="2" t="str">
        <v/>
      </c>
      <c r="K955" s="2" t="str">
        <v/>
      </c>
      <c r="L955" s="1" t="str">
        <v/>
      </c>
      <c r="M955" s="2" t="str">
        <v/>
      </c>
      <c r="N955" s="2" t="str">
        <v/>
      </c>
      <c r="O955" s="1" t="str">
        <v/>
      </c>
      <c r="P955" s="1" t="str">
        <v/>
      </c>
      <c r="Q955" s="1" t="str">
        <v/>
      </c>
    </row>
    <row r="956" x14ac:dyDescent="0.25">
      <c r="A956" s="1" t="str">
        <v/>
      </c>
      <c r="B956" s="1" t="str">
        <v/>
      </c>
      <c r="C956" s="1" t="str">
        <v/>
      </c>
      <c r="D956" s="1" t="str">
        <v/>
      </c>
      <c r="E956" s="1" t="str">
        <v/>
      </c>
      <c r="F956" s="1" t="str">
        <v/>
      </c>
      <c r="G956" s="1" t="str">
        <v/>
      </c>
      <c r="H956" s="1" t="str">
        <v/>
      </c>
      <c r="I956" s="2" t="str">
        <v/>
      </c>
      <c r="J956" s="2" t="str">
        <v/>
      </c>
      <c r="K956" s="2" t="str">
        <v/>
      </c>
      <c r="L956" s="1" t="str">
        <v/>
      </c>
      <c r="M956" s="2" t="str">
        <v/>
      </c>
      <c r="N956" s="2" t="str">
        <v/>
      </c>
      <c r="O956" s="1" t="str">
        <v/>
      </c>
      <c r="P956" s="1" t="str">
        <v/>
      </c>
      <c r="Q956" s="1" t="str">
        <v/>
      </c>
    </row>
    <row r="957" x14ac:dyDescent="0.25">
      <c r="A957" s="1" t="str">
        <v/>
      </c>
      <c r="B957" s="1" t="str">
        <v/>
      </c>
      <c r="C957" s="1" t="str">
        <v/>
      </c>
      <c r="D957" s="1" t="str">
        <v/>
      </c>
      <c r="E957" s="1" t="str">
        <v/>
      </c>
      <c r="F957" s="1" t="str">
        <v/>
      </c>
      <c r="G957" s="1" t="str">
        <v/>
      </c>
      <c r="H957" s="1" t="str">
        <v/>
      </c>
      <c r="I957" s="2" t="str">
        <v/>
      </c>
      <c r="J957" s="2" t="str">
        <v/>
      </c>
      <c r="K957" s="2" t="str">
        <v/>
      </c>
      <c r="L957" s="1" t="str">
        <v/>
      </c>
      <c r="M957" s="2" t="str">
        <v/>
      </c>
      <c r="N957" s="2" t="str">
        <v/>
      </c>
      <c r="O957" s="1" t="str">
        <v/>
      </c>
      <c r="P957" s="1" t="str">
        <v/>
      </c>
      <c r="Q957" s="1" t="str">
        <v/>
      </c>
    </row>
    <row r="958" x14ac:dyDescent="0.25">
      <c r="A958" s="1" t="str">
        <v/>
      </c>
      <c r="B958" s="1" t="str">
        <v/>
      </c>
      <c r="C958" s="1" t="str">
        <v/>
      </c>
      <c r="D958" s="1" t="str">
        <v/>
      </c>
      <c r="E958" s="1" t="str">
        <v/>
      </c>
      <c r="F958" s="1" t="str">
        <v/>
      </c>
      <c r="G958" s="1" t="str">
        <v/>
      </c>
      <c r="H958" s="1" t="str">
        <v/>
      </c>
      <c r="I958" s="2" t="str">
        <v/>
      </c>
      <c r="J958" s="2" t="str">
        <v/>
      </c>
      <c r="K958" s="2" t="str">
        <v/>
      </c>
      <c r="L958" s="1" t="str">
        <v/>
      </c>
      <c r="M958" s="2" t="str">
        <v/>
      </c>
      <c r="N958" s="2" t="str">
        <v/>
      </c>
      <c r="O958" s="1" t="str">
        <v/>
      </c>
      <c r="P958" s="1" t="str">
        <v/>
      </c>
      <c r="Q958" s="1" t="str">
        <v/>
      </c>
    </row>
    <row r="959" x14ac:dyDescent="0.25">
      <c r="A959" s="1" t="str">
        <v/>
      </c>
      <c r="B959" s="1" t="str">
        <v/>
      </c>
      <c r="C959" s="1" t="str">
        <v/>
      </c>
      <c r="D959" s="1" t="str">
        <v/>
      </c>
      <c r="E959" s="1" t="str">
        <v/>
      </c>
      <c r="F959" s="1" t="str">
        <v/>
      </c>
      <c r="G959" s="1" t="str">
        <v/>
      </c>
      <c r="H959" s="1" t="str">
        <v/>
      </c>
      <c r="I959" s="2" t="str">
        <v/>
      </c>
      <c r="J959" s="2" t="str">
        <v/>
      </c>
      <c r="K959" s="2" t="str">
        <v/>
      </c>
      <c r="L959" s="1" t="str">
        <v/>
      </c>
      <c r="M959" s="2" t="str">
        <v/>
      </c>
      <c r="N959" s="2" t="str">
        <v/>
      </c>
      <c r="O959" s="1" t="str">
        <v/>
      </c>
      <c r="P959" s="1" t="str">
        <v/>
      </c>
      <c r="Q959" s="1" t="str">
        <v/>
      </c>
    </row>
    <row r="960" x14ac:dyDescent="0.25">
      <c r="A960" s="1" t="str">
        <v/>
      </c>
      <c r="B960" s="1" t="str">
        <v/>
      </c>
      <c r="C960" s="1" t="str">
        <v/>
      </c>
      <c r="D960" s="1" t="str">
        <v/>
      </c>
      <c r="E960" s="1" t="str">
        <v/>
      </c>
      <c r="F960" s="1" t="str">
        <v/>
      </c>
      <c r="G960" s="1" t="str">
        <v/>
      </c>
      <c r="H960" s="1" t="str">
        <v/>
      </c>
      <c r="I960" s="2" t="str">
        <v/>
      </c>
      <c r="J960" s="2" t="str">
        <v/>
      </c>
      <c r="K960" s="2" t="str">
        <v/>
      </c>
      <c r="L960" s="1" t="str">
        <v/>
      </c>
      <c r="M960" s="2" t="str">
        <v/>
      </c>
      <c r="N960" s="2" t="str">
        <v/>
      </c>
      <c r="O960" s="1" t="str">
        <v/>
      </c>
      <c r="P960" s="1" t="str">
        <v/>
      </c>
      <c r="Q960" s="1" t="str">
        <v/>
      </c>
    </row>
    <row r="961" x14ac:dyDescent="0.25">
      <c r="A961" s="1" t="str">
        <v/>
      </c>
      <c r="B961" s="1" t="str">
        <v/>
      </c>
      <c r="C961" s="1" t="str">
        <v/>
      </c>
      <c r="D961" s="1" t="str">
        <v/>
      </c>
      <c r="E961" s="1" t="str">
        <v/>
      </c>
      <c r="F961" s="1" t="str">
        <v/>
      </c>
      <c r="G961" s="1" t="str">
        <v/>
      </c>
      <c r="H961" s="1" t="str">
        <v/>
      </c>
      <c r="I961" s="2" t="str">
        <v/>
      </c>
      <c r="J961" s="2" t="str">
        <v/>
      </c>
      <c r="K961" s="2" t="str">
        <v/>
      </c>
      <c r="L961" s="1" t="str">
        <v/>
      </c>
      <c r="M961" s="2" t="str">
        <v/>
      </c>
      <c r="N961" s="2" t="str">
        <v/>
      </c>
      <c r="O961" s="1" t="str">
        <v/>
      </c>
      <c r="P961" s="1" t="str">
        <v/>
      </c>
      <c r="Q961" s="1" t="str">
        <v/>
      </c>
    </row>
    <row r="962" x14ac:dyDescent="0.25">
      <c r="A962" s="1" t="str">
        <v/>
      </c>
      <c r="B962" s="1" t="str">
        <v/>
      </c>
      <c r="C962" s="1" t="str">
        <v/>
      </c>
      <c r="D962" s="1" t="str">
        <v/>
      </c>
      <c r="E962" s="1" t="str">
        <v/>
      </c>
      <c r="F962" s="1" t="str">
        <v/>
      </c>
      <c r="G962" s="1" t="str">
        <v/>
      </c>
      <c r="H962" s="1" t="str">
        <v/>
      </c>
      <c r="I962" s="2" t="str">
        <v/>
      </c>
      <c r="J962" s="2" t="str">
        <v/>
      </c>
      <c r="K962" s="2" t="str">
        <v/>
      </c>
      <c r="L962" s="1" t="str">
        <v/>
      </c>
      <c r="M962" s="2" t="str">
        <v/>
      </c>
      <c r="N962" s="2" t="str">
        <v/>
      </c>
      <c r="O962" s="1" t="str">
        <v/>
      </c>
      <c r="P962" s="1" t="str">
        <v/>
      </c>
      <c r="Q962" s="1" t="str">
        <v/>
      </c>
    </row>
    <row r="963" x14ac:dyDescent="0.25">
      <c r="A963" s="1" t="str">
        <v/>
      </c>
      <c r="B963" s="1" t="str">
        <v/>
      </c>
      <c r="C963" s="1" t="str">
        <v/>
      </c>
      <c r="D963" s="1" t="str">
        <v/>
      </c>
      <c r="E963" s="1" t="str">
        <v/>
      </c>
      <c r="F963" s="1" t="str">
        <v/>
      </c>
      <c r="G963" s="1" t="str">
        <v/>
      </c>
      <c r="H963" s="1" t="str">
        <v/>
      </c>
      <c r="I963" s="2" t="str">
        <v/>
      </c>
      <c r="J963" s="2" t="str">
        <v/>
      </c>
      <c r="K963" s="2" t="str">
        <v/>
      </c>
      <c r="L963" s="1" t="str">
        <v/>
      </c>
      <c r="M963" s="2" t="str">
        <v/>
      </c>
      <c r="N963" s="2" t="str">
        <v/>
      </c>
      <c r="O963" s="1" t="str">
        <v/>
      </c>
      <c r="P963" s="1" t="str">
        <v/>
      </c>
      <c r="Q963" s="1" t="str">
        <v/>
      </c>
    </row>
    <row r="964" x14ac:dyDescent="0.25">
      <c r="A964" s="1" t="str">
        <v/>
      </c>
      <c r="B964" s="1" t="str">
        <v/>
      </c>
      <c r="C964" s="1" t="str">
        <v/>
      </c>
      <c r="D964" s="1" t="str">
        <v/>
      </c>
      <c r="E964" s="1" t="str">
        <v/>
      </c>
      <c r="F964" s="1" t="str">
        <v/>
      </c>
      <c r="G964" s="1" t="str">
        <v/>
      </c>
      <c r="H964" s="1" t="str">
        <v/>
      </c>
      <c r="I964" s="2" t="str">
        <v/>
      </c>
      <c r="J964" s="2" t="str">
        <v/>
      </c>
      <c r="K964" s="2" t="str">
        <v/>
      </c>
      <c r="L964" s="1" t="str">
        <v/>
      </c>
      <c r="M964" s="2" t="str">
        <v/>
      </c>
      <c r="N964" s="2" t="str">
        <v/>
      </c>
      <c r="O964" s="1" t="str">
        <v/>
      </c>
      <c r="P964" s="1" t="str">
        <v/>
      </c>
      <c r="Q964" s="1" t="str">
        <v/>
      </c>
    </row>
    <row r="965" x14ac:dyDescent="0.25">
      <c r="A965" s="1" t="str">
        <v/>
      </c>
      <c r="B965" s="1" t="str">
        <v/>
      </c>
      <c r="C965" s="1" t="str">
        <v/>
      </c>
      <c r="D965" s="1" t="str">
        <v/>
      </c>
      <c r="E965" s="1" t="str">
        <v/>
      </c>
      <c r="F965" s="1" t="str">
        <v/>
      </c>
      <c r="G965" s="1" t="str">
        <v/>
      </c>
      <c r="H965" s="1" t="str">
        <v/>
      </c>
      <c r="I965" s="2" t="str">
        <v/>
      </c>
      <c r="J965" s="2" t="str">
        <v/>
      </c>
      <c r="K965" s="2" t="str">
        <v/>
      </c>
      <c r="L965" s="1" t="str">
        <v/>
      </c>
      <c r="M965" s="2" t="str">
        <v/>
      </c>
      <c r="N965" s="2" t="str">
        <v/>
      </c>
      <c r="O965" s="1" t="str">
        <v/>
      </c>
      <c r="P965" s="1" t="str">
        <v/>
      </c>
      <c r="Q965" s="1" t="str">
        <v/>
      </c>
    </row>
    <row r="966" x14ac:dyDescent="0.25">
      <c r="A966" s="1" t="str">
        <v/>
      </c>
      <c r="B966" s="1" t="str">
        <v/>
      </c>
      <c r="C966" s="1" t="str">
        <v/>
      </c>
      <c r="D966" s="1" t="str">
        <v/>
      </c>
      <c r="E966" s="1" t="str">
        <v/>
      </c>
      <c r="F966" s="1" t="str">
        <v/>
      </c>
      <c r="G966" s="1" t="str">
        <v/>
      </c>
      <c r="H966" s="1" t="str">
        <v/>
      </c>
      <c r="I966" s="2" t="str">
        <v/>
      </c>
      <c r="J966" s="2" t="str">
        <v/>
      </c>
      <c r="K966" s="2" t="str">
        <v/>
      </c>
      <c r="L966" s="1" t="str">
        <v/>
      </c>
      <c r="M966" s="2" t="str">
        <v/>
      </c>
      <c r="N966" s="2" t="str">
        <v/>
      </c>
      <c r="O966" s="1" t="str">
        <v/>
      </c>
      <c r="P966" s="1" t="str">
        <v/>
      </c>
      <c r="Q966" s="1" t="str">
        <v/>
      </c>
    </row>
    <row r="967" x14ac:dyDescent="0.25">
      <c r="A967" s="1" t="str">
        <v/>
      </c>
      <c r="B967" s="1" t="str">
        <v/>
      </c>
      <c r="C967" s="1" t="str">
        <v/>
      </c>
      <c r="D967" s="1" t="str">
        <v/>
      </c>
      <c r="E967" s="1" t="str">
        <v/>
      </c>
      <c r="F967" s="1" t="str">
        <v/>
      </c>
      <c r="G967" s="1" t="str">
        <v/>
      </c>
      <c r="H967" s="1" t="str">
        <v/>
      </c>
      <c r="I967" s="2" t="str">
        <v/>
      </c>
      <c r="J967" s="2" t="str">
        <v/>
      </c>
      <c r="K967" s="2" t="str">
        <v/>
      </c>
      <c r="L967" s="1" t="str">
        <v/>
      </c>
      <c r="M967" s="2" t="str">
        <v/>
      </c>
      <c r="N967" s="2" t="str">
        <v/>
      </c>
      <c r="O967" s="1" t="str">
        <v/>
      </c>
      <c r="P967" s="1" t="str">
        <v/>
      </c>
      <c r="Q967" s="1" t="str">
        <v/>
      </c>
    </row>
    <row r="968" x14ac:dyDescent="0.25">
      <c r="A968" s="1" t="str">
        <v/>
      </c>
      <c r="B968" s="1" t="str">
        <v/>
      </c>
      <c r="C968" s="1" t="str">
        <v/>
      </c>
      <c r="D968" s="1" t="str">
        <v/>
      </c>
      <c r="E968" s="1" t="str">
        <v/>
      </c>
      <c r="F968" s="1" t="str">
        <v/>
      </c>
      <c r="G968" s="1" t="str">
        <v/>
      </c>
      <c r="H968" s="1" t="str">
        <v/>
      </c>
      <c r="I968" s="2" t="str">
        <v/>
      </c>
      <c r="J968" s="2" t="str">
        <v/>
      </c>
      <c r="K968" s="2" t="str">
        <v/>
      </c>
      <c r="L968" s="1" t="str">
        <v/>
      </c>
      <c r="M968" s="2" t="str">
        <v/>
      </c>
      <c r="N968" s="2" t="str">
        <v/>
      </c>
      <c r="O968" s="1" t="str">
        <v/>
      </c>
      <c r="P968" s="1" t="str">
        <v/>
      </c>
      <c r="Q968" s="1" t="str">
        <v/>
      </c>
    </row>
    <row r="969" x14ac:dyDescent="0.25">
      <c r="A969" s="1" t="str">
        <v/>
      </c>
      <c r="B969" s="1" t="str">
        <v/>
      </c>
      <c r="C969" s="1" t="str">
        <v/>
      </c>
      <c r="D969" s="1" t="str">
        <v/>
      </c>
      <c r="E969" s="1" t="str">
        <v/>
      </c>
      <c r="F969" s="1" t="str">
        <v/>
      </c>
      <c r="G969" s="1" t="str">
        <v/>
      </c>
      <c r="H969" s="1" t="str">
        <v/>
      </c>
      <c r="I969" s="2" t="str">
        <v/>
      </c>
      <c r="J969" s="2" t="str">
        <v/>
      </c>
      <c r="K969" s="2" t="str">
        <v/>
      </c>
      <c r="L969" s="1" t="str">
        <v/>
      </c>
      <c r="M969" s="2" t="str">
        <v/>
      </c>
      <c r="N969" s="2" t="str">
        <v/>
      </c>
      <c r="O969" s="1" t="str">
        <v/>
      </c>
      <c r="P969" s="1" t="str">
        <v/>
      </c>
      <c r="Q969" s="1" t="str">
        <v/>
      </c>
    </row>
    <row r="970" x14ac:dyDescent="0.25">
      <c r="A970" s="1" t="str">
        <v/>
      </c>
      <c r="B970" s="1" t="str">
        <v/>
      </c>
      <c r="C970" s="1" t="str">
        <v/>
      </c>
      <c r="D970" s="1" t="str">
        <v/>
      </c>
      <c r="E970" s="1" t="str">
        <v/>
      </c>
      <c r="F970" s="1" t="str">
        <v/>
      </c>
      <c r="G970" s="1" t="str">
        <v/>
      </c>
      <c r="H970" s="1" t="str">
        <v/>
      </c>
      <c r="I970" s="2" t="str">
        <v/>
      </c>
      <c r="J970" s="2" t="str">
        <v/>
      </c>
      <c r="K970" s="2" t="str">
        <v/>
      </c>
      <c r="L970" s="1" t="str">
        <v/>
      </c>
      <c r="M970" s="2" t="str">
        <v/>
      </c>
      <c r="N970" s="2" t="str">
        <v/>
      </c>
      <c r="O970" s="1" t="str">
        <v/>
      </c>
      <c r="P970" s="1" t="str">
        <v/>
      </c>
      <c r="Q970" s="1" t="str">
        <v/>
      </c>
    </row>
    <row r="971" x14ac:dyDescent="0.25">
      <c r="A971" s="1" t="str">
        <v/>
      </c>
      <c r="B971" s="1" t="str">
        <v/>
      </c>
      <c r="C971" s="1" t="str">
        <v/>
      </c>
      <c r="D971" s="1" t="str">
        <v/>
      </c>
      <c r="E971" s="1" t="str">
        <v/>
      </c>
      <c r="F971" s="1" t="str">
        <v/>
      </c>
      <c r="G971" s="1" t="str">
        <v/>
      </c>
      <c r="H971" s="1" t="str">
        <v/>
      </c>
      <c r="I971" s="2" t="str">
        <v/>
      </c>
      <c r="J971" s="2" t="str">
        <v/>
      </c>
      <c r="K971" s="2" t="str">
        <v/>
      </c>
      <c r="L971" s="1" t="str">
        <v/>
      </c>
      <c r="M971" s="2" t="str">
        <v/>
      </c>
      <c r="N971" s="2" t="str">
        <v/>
      </c>
      <c r="O971" s="1" t="str">
        <v/>
      </c>
      <c r="P971" s="1" t="str">
        <v/>
      </c>
      <c r="Q971" s="1" t="str">
        <v/>
      </c>
    </row>
    <row r="972" x14ac:dyDescent="0.25">
      <c r="A972" s="1" t="str">
        <v/>
      </c>
      <c r="B972" s="1" t="str">
        <v/>
      </c>
      <c r="C972" s="1" t="str">
        <v/>
      </c>
      <c r="D972" s="1" t="str">
        <v/>
      </c>
      <c r="E972" s="1" t="str">
        <v/>
      </c>
      <c r="F972" s="1" t="str">
        <v/>
      </c>
      <c r="G972" s="1" t="str">
        <v/>
      </c>
      <c r="H972" s="1" t="str">
        <v/>
      </c>
      <c r="I972" s="2" t="str">
        <v/>
      </c>
      <c r="J972" s="2" t="str">
        <v/>
      </c>
      <c r="K972" s="2" t="str">
        <v/>
      </c>
      <c r="L972" s="1" t="str">
        <v/>
      </c>
      <c r="M972" s="2" t="str">
        <v/>
      </c>
      <c r="N972" s="2" t="str">
        <v/>
      </c>
      <c r="O972" s="1" t="str">
        <v/>
      </c>
      <c r="P972" s="1" t="str">
        <v/>
      </c>
      <c r="Q972" s="1" t="str">
        <v/>
      </c>
    </row>
    <row r="973" x14ac:dyDescent="0.25">
      <c r="A973" s="1" t="str">
        <v/>
      </c>
      <c r="B973" s="1" t="str">
        <v/>
      </c>
      <c r="C973" s="1" t="str">
        <v/>
      </c>
      <c r="D973" s="1" t="str">
        <v/>
      </c>
      <c r="E973" s="1" t="str">
        <v/>
      </c>
      <c r="F973" s="1" t="str">
        <v/>
      </c>
      <c r="G973" s="1" t="str">
        <v/>
      </c>
      <c r="H973" s="1" t="str">
        <v/>
      </c>
      <c r="I973" s="2" t="str">
        <v/>
      </c>
      <c r="J973" s="2" t="str">
        <v/>
      </c>
      <c r="K973" s="2" t="str">
        <v/>
      </c>
      <c r="L973" s="1" t="str">
        <v/>
      </c>
      <c r="M973" s="2" t="str">
        <v/>
      </c>
      <c r="N973" s="2" t="str">
        <v/>
      </c>
      <c r="O973" s="1" t="str">
        <v/>
      </c>
      <c r="P973" s="1" t="str">
        <v/>
      </c>
      <c r="Q973" s="1" t="str">
        <v/>
      </c>
    </row>
    <row r="974" x14ac:dyDescent="0.25">
      <c r="A974" s="1" t="str">
        <v/>
      </c>
      <c r="B974" s="1" t="str">
        <v/>
      </c>
      <c r="C974" s="1" t="str">
        <v/>
      </c>
      <c r="D974" s="1" t="str">
        <v/>
      </c>
      <c r="E974" s="1" t="str">
        <v/>
      </c>
      <c r="F974" s="1" t="str">
        <v/>
      </c>
      <c r="G974" s="1" t="str">
        <v/>
      </c>
      <c r="H974" s="1" t="str">
        <v/>
      </c>
      <c r="I974" s="2" t="str">
        <v/>
      </c>
      <c r="J974" s="2" t="str">
        <v/>
      </c>
      <c r="K974" s="2" t="str">
        <v/>
      </c>
      <c r="L974" s="1" t="str">
        <v/>
      </c>
      <c r="M974" s="2" t="str">
        <v/>
      </c>
      <c r="N974" s="2" t="str">
        <v/>
      </c>
      <c r="O974" s="1" t="str">
        <v/>
      </c>
      <c r="P974" s="1" t="str">
        <v/>
      </c>
      <c r="Q974" s="1" t="str">
        <v/>
      </c>
    </row>
    <row r="975" x14ac:dyDescent="0.25">
      <c r="A975" s="1" t="str">
        <v/>
      </c>
      <c r="B975" s="1" t="str">
        <v/>
      </c>
      <c r="C975" s="1" t="str">
        <v/>
      </c>
      <c r="D975" s="1" t="str">
        <v/>
      </c>
      <c r="E975" s="1" t="str">
        <v/>
      </c>
      <c r="F975" s="1" t="str">
        <v/>
      </c>
      <c r="G975" s="1" t="str">
        <v/>
      </c>
      <c r="H975" s="1" t="str">
        <v/>
      </c>
      <c r="I975" s="2" t="str">
        <v/>
      </c>
      <c r="J975" s="2" t="str">
        <v/>
      </c>
      <c r="K975" s="2" t="str">
        <v/>
      </c>
      <c r="L975" s="1" t="str">
        <v/>
      </c>
      <c r="M975" s="2" t="str">
        <v/>
      </c>
      <c r="N975" s="2" t="str">
        <v/>
      </c>
      <c r="O975" s="1" t="str">
        <v/>
      </c>
      <c r="P975" s="1" t="str">
        <v/>
      </c>
      <c r="Q975" s="1" t="str">
        <v/>
      </c>
    </row>
    <row r="976" x14ac:dyDescent="0.25">
      <c r="A976" s="1" t="str">
        <v/>
      </c>
      <c r="B976" s="1" t="str">
        <v/>
      </c>
      <c r="C976" s="1" t="str">
        <v/>
      </c>
      <c r="D976" s="1" t="str">
        <v/>
      </c>
      <c r="E976" s="1" t="str">
        <v/>
      </c>
      <c r="F976" s="1" t="str">
        <v/>
      </c>
      <c r="G976" s="1" t="str">
        <v/>
      </c>
      <c r="H976" s="1" t="str">
        <v/>
      </c>
      <c r="I976" s="2" t="str">
        <v/>
      </c>
      <c r="J976" s="2" t="str">
        <v/>
      </c>
      <c r="K976" s="2" t="str">
        <v/>
      </c>
      <c r="L976" s="1" t="str">
        <v/>
      </c>
      <c r="M976" s="2" t="str">
        <v/>
      </c>
      <c r="N976" s="2" t="str">
        <v/>
      </c>
      <c r="O976" s="1" t="str">
        <v/>
      </c>
      <c r="P976" s="1" t="str">
        <v/>
      </c>
      <c r="Q976" s="1" t="str">
        <v/>
      </c>
    </row>
    <row r="977" x14ac:dyDescent="0.25">
      <c r="A977" s="1" t="str">
        <v/>
      </c>
      <c r="B977" s="1" t="str">
        <v/>
      </c>
      <c r="C977" s="1" t="str">
        <v/>
      </c>
      <c r="D977" s="1" t="str">
        <v/>
      </c>
      <c r="E977" s="1" t="str">
        <v/>
      </c>
      <c r="F977" s="1" t="str">
        <v/>
      </c>
      <c r="G977" s="1" t="str">
        <v/>
      </c>
      <c r="H977" s="1" t="str">
        <v/>
      </c>
      <c r="I977" s="2" t="str">
        <v/>
      </c>
      <c r="J977" s="2" t="str">
        <v/>
      </c>
      <c r="K977" s="2" t="str">
        <v/>
      </c>
      <c r="L977" s="1" t="str">
        <v/>
      </c>
      <c r="M977" s="2" t="str">
        <v/>
      </c>
      <c r="N977" s="2" t="str">
        <v/>
      </c>
      <c r="O977" s="1" t="str">
        <v/>
      </c>
      <c r="P977" s="1" t="str">
        <v/>
      </c>
      <c r="Q977" s="1" t="str">
        <v/>
      </c>
    </row>
    <row r="978" x14ac:dyDescent="0.25">
      <c r="A978" s="1" t="str">
        <v/>
      </c>
      <c r="B978" s="1" t="str">
        <v/>
      </c>
      <c r="C978" s="1" t="str">
        <v/>
      </c>
      <c r="D978" s="1" t="str">
        <v/>
      </c>
      <c r="E978" s="1" t="str">
        <v/>
      </c>
      <c r="F978" s="1" t="str">
        <v/>
      </c>
      <c r="G978" s="1" t="str">
        <v/>
      </c>
      <c r="H978" s="1" t="str">
        <v/>
      </c>
      <c r="I978" s="2" t="str">
        <v/>
      </c>
      <c r="J978" s="2" t="str">
        <v/>
      </c>
      <c r="K978" s="2" t="str">
        <v/>
      </c>
      <c r="L978" s="1" t="str">
        <v/>
      </c>
      <c r="M978" s="2" t="str">
        <v/>
      </c>
      <c r="N978" s="2" t="str">
        <v/>
      </c>
      <c r="O978" s="1" t="str">
        <v/>
      </c>
      <c r="P978" s="1" t="str">
        <v/>
      </c>
      <c r="Q978" s="1" t="str">
        <v/>
      </c>
    </row>
    <row r="979" x14ac:dyDescent="0.25">
      <c r="A979" s="1" t="str">
        <v/>
      </c>
      <c r="B979" s="1" t="str">
        <v/>
      </c>
      <c r="C979" s="1" t="str">
        <v/>
      </c>
      <c r="D979" s="1" t="str">
        <v/>
      </c>
      <c r="E979" s="1" t="str">
        <v/>
      </c>
      <c r="F979" s="1" t="str">
        <v/>
      </c>
      <c r="G979" s="1" t="str">
        <v/>
      </c>
      <c r="H979" s="1" t="str">
        <v/>
      </c>
      <c r="I979" s="2" t="str">
        <v/>
      </c>
      <c r="J979" s="2" t="str">
        <v/>
      </c>
      <c r="K979" s="2" t="str">
        <v/>
      </c>
      <c r="L979" s="1" t="str">
        <v/>
      </c>
      <c r="M979" s="2" t="str">
        <v/>
      </c>
      <c r="N979" s="2" t="str">
        <v/>
      </c>
      <c r="O979" s="1" t="str">
        <v/>
      </c>
      <c r="P979" s="1" t="str">
        <v/>
      </c>
      <c r="Q979" s="1" t="str">
        <v/>
      </c>
    </row>
    <row r="980" x14ac:dyDescent="0.25">
      <c r="A980" s="1" t="str">
        <v/>
      </c>
      <c r="B980" s="1" t="str">
        <v/>
      </c>
      <c r="C980" s="1" t="str">
        <v/>
      </c>
      <c r="D980" s="1" t="str">
        <v/>
      </c>
      <c r="E980" s="1" t="str">
        <v/>
      </c>
      <c r="F980" s="1" t="str">
        <v/>
      </c>
      <c r="G980" s="1" t="str">
        <v/>
      </c>
      <c r="H980" s="1" t="str">
        <v/>
      </c>
      <c r="I980" s="2" t="str">
        <v/>
      </c>
      <c r="J980" s="2" t="str">
        <v/>
      </c>
      <c r="K980" s="2" t="str">
        <v/>
      </c>
      <c r="L980" s="1" t="str">
        <v/>
      </c>
      <c r="M980" s="2" t="str">
        <v/>
      </c>
      <c r="N980" s="2" t="str">
        <v/>
      </c>
      <c r="O980" s="1" t="str">
        <v/>
      </c>
      <c r="P980" s="1" t="str">
        <v/>
      </c>
      <c r="Q980" s="1" t="str">
        <v/>
      </c>
    </row>
    <row r="981" x14ac:dyDescent="0.25">
      <c r="A981" s="1" t="str">
        <v/>
      </c>
      <c r="B981" s="1" t="str">
        <v/>
      </c>
      <c r="C981" s="1" t="str">
        <v/>
      </c>
      <c r="D981" s="1" t="str">
        <v/>
      </c>
      <c r="E981" s="1" t="str">
        <v/>
      </c>
      <c r="F981" s="1" t="str">
        <v/>
      </c>
      <c r="G981" s="1" t="str">
        <v/>
      </c>
      <c r="H981" s="1" t="str">
        <v/>
      </c>
      <c r="I981" s="2" t="str">
        <v/>
      </c>
      <c r="J981" s="2" t="str">
        <v/>
      </c>
      <c r="K981" s="2" t="str">
        <v/>
      </c>
      <c r="L981" s="1" t="str">
        <v/>
      </c>
      <c r="M981" s="2" t="str">
        <v/>
      </c>
      <c r="N981" s="2" t="str">
        <v/>
      </c>
      <c r="O981" s="1" t="str">
        <v/>
      </c>
      <c r="P981" s="1" t="str">
        <v/>
      </c>
      <c r="Q981" s="1" t="str">
        <v/>
      </c>
    </row>
    <row r="982" x14ac:dyDescent="0.25">
      <c r="A982" s="1" t="str">
        <v/>
      </c>
      <c r="B982" s="1" t="str">
        <v/>
      </c>
      <c r="C982" s="1" t="str">
        <v/>
      </c>
      <c r="D982" s="1" t="str">
        <v/>
      </c>
      <c r="E982" s="1" t="str">
        <v/>
      </c>
      <c r="F982" s="1" t="str">
        <v/>
      </c>
      <c r="G982" s="1" t="str">
        <v/>
      </c>
      <c r="H982" s="1" t="str">
        <v/>
      </c>
      <c r="I982" s="2" t="str">
        <v/>
      </c>
      <c r="J982" s="2" t="str">
        <v/>
      </c>
      <c r="K982" s="2" t="str">
        <v/>
      </c>
      <c r="L982" s="1" t="str">
        <v/>
      </c>
      <c r="M982" s="2" t="str">
        <v/>
      </c>
      <c r="N982" s="2" t="str">
        <v/>
      </c>
      <c r="O982" s="1" t="str">
        <v/>
      </c>
      <c r="P982" s="1" t="str">
        <v/>
      </c>
      <c r="Q982" s="1" t="str">
        <v/>
      </c>
    </row>
    <row r="983" x14ac:dyDescent="0.25">
      <c r="A983" s="1" t="str">
        <v/>
      </c>
      <c r="B983" s="1" t="str">
        <v/>
      </c>
      <c r="C983" s="1" t="str">
        <v/>
      </c>
      <c r="D983" s="1" t="str">
        <v/>
      </c>
      <c r="E983" s="1" t="str">
        <v/>
      </c>
      <c r="F983" s="1" t="str">
        <v/>
      </c>
      <c r="G983" s="1" t="str">
        <v/>
      </c>
      <c r="H983" s="1" t="str">
        <v/>
      </c>
      <c r="I983" s="2" t="str">
        <v/>
      </c>
      <c r="J983" s="2" t="str">
        <v/>
      </c>
      <c r="K983" s="2" t="str">
        <v/>
      </c>
      <c r="L983" s="1" t="str">
        <v/>
      </c>
      <c r="M983" s="2" t="str">
        <v/>
      </c>
      <c r="N983" s="2" t="str">
        <v/>
      </c>
      <c r="O983" s="1" t="str">
        <v/>
      </c>
      <c r="P983" s="1" t="str">
        <v/>
      </c>
      <c r="Q983" s="1" t="str">
        <v/>
      </c>
    </row>
    <row r="984" x14ac:dyDescent="0.25">
      <c r="A984" s="1" t="str">
        <v/>
      </c>
      <c r="B984" s="1" t="str">
        <v/>
      </c>
      <c r="C984" s="1" t="str">
        <v/>
      </c>
      <c r="D984" s="1" t="str">
        <v/>
      </c>
      <c r="E984" s="1" t="str">
        <v/>
      </c>
      <c r="F984" s="1" t="str">
        <v/>
      </c>
      <c r="G984" s="1" t="str">
        <v/>
      </c>
      <c r="H984" s="1" t="str">
        <v/>
      </c>
      <c r="I984" s="2" t="str">
        <v/>
      </c>
      <c r="J984" s="2" t="str">
        <v/>
      </c>
      <c r="K984" s="2" t="str">
        <v/>
      </c>
      <c r="L984" s="1" t="str">
        <v/>
      </c>
      <c r="M984" s="2" t="str">
        <v/>
      </c>
      <c r="N984" s="2" t="str">
        <v/>
      </c>
      <c r="O984" s="1" t="str">
        <v/>
      </c>
      <c r="P984" s="1" t="str">
        <v/>
      </c>
      <c r="Q984" s="1" t="str">
        <v/>
      </c>
    </row>
    <row r="985" x14ac:dyDescent="0.25">
      <c r="A985" s="1" t="str">
        <v/>
      </c>
      <c r="B985" s="1" t="str">
        <v/>
      </c>
      <c r="C985" s="1" t="str">
        <v/>
      </c>
      <c r="D985" s="1" t="str">
        <v/>
      </c>
      <c r="E985" s="1" t="str">
        <v/>
      </c>
      <c r="F985" s="1" t="str">
        <v/>
      </c>
      <c r="G985" s="1" t="str">
        <v/>
      </c>
      <c r="H985" s="1" t="str">
        <v/>
      </c>
      <c r="I985" s="2" t="str">
        <v/>
      </c>
      <c r="J985" s="2" t="str">
        <v/>
      </c>
      <c r="K985" s="2" t="str">
        <v/>
      </c>
      <c r="L985" s="1" t="str">
        <v/>
      </c>
      <c r="M985" s="2" t="str">
        <v/>
      </c>
      <c r="N985" s="2" t="str">
        <v/>
      </c>
      <c r="O985" s="1" t="str">
        <v/>
      </c>
      <c r="P985" s="1" t="str">
        <v/>
      </c>
      <c r="Q985" s="1" t="str">
        <v/>
      </c>
    </row>
    <row r="986" x14ac:dyDescent="0.25">
      <c r="A986" s="1" t="str">
        <v/>
      </c>
      <c r="B986" s="1" t="str">
        <v/>
      </c>
      <c r="C986" s="1" t="str">
        <v/>
      </c>
      <c r="D986" s="1" t="str">
        <v/>
      </c>
      <c r="E986" s="1" t="str">
        <v/>
      </c>
      <c r="F986" s="1" t="str">
        <v/>
      </c>
      <c r="G986" s="1" t="str">
        <v/>
      </c>
      <c r="H986" s="1" t="str">
        <v/>
      </c>
      <c r="I986" s="2" t="str">
        <v/>
      </c>
      <c r="J986" s="2" t="str">
        <v/>
      </c>
      <c r="K986" s="2" t="str">
        <v/>
      </c>
      <c r="L986" s="1" t="str">
        <v/>
      </c>
      <c r="M986" s="2" t="str">
        <v/>
      </c>
      <c r="N986" s="2" t="str">
        <v/>
      </c>
      <c r="O986" s="1" t="str">
        <v/>
      </c>
      <c r="P986" s="1" t="str">
        <v/>
      </c>
      <c r="Q986" s="1" t="str">
        <v/>
      </c>
    </row>
    <row r="987" x14ac:dyDescent="0.25">
      <c r="A987" s="1" t="str">
        <v/>
      </c>
      <c r="B987" s="1" t="str">
        <v/>
      </c>
      <c r="C987" s="1" t="str">
        <v/>
      </c>
      <c r="D987" s="1" t="str">
        <v/>
      </c>
      <c r="E987" s="1" t="str">
        <v/>
      </c>
      <c r="F987" s="1" t="str">
        <v/>
      </c>
      <c r="G987" s="1" t="str">
        <v/>
      </c>
      <c r="H987" s="1" t="str">
        <v/>
      </c>
      <c r="I987" s="2" t="str">
        <v/>
      </c>
      <c r="J987" s="2" t="str">
        <v/>
      </c>
      <c r="K987" s="2" t="str">
        <v/>
      </c>
      <c r="L987" s="1" t="str">
        <v/>
      </c>
      <c r="M987" s="2" t="str">
        <v/>
      </c>
      <c r="N987" s="2" t="str">
        <v/>
      </c>
      <c r="O987" s="1" t="str">
        <v/>
      </c>
      <c r="P987" s="1" t="str">
        <v/>
      </c>
      <c r="Q987" s="1" t="str">
        <v/>
      </c>
    </row>
    <row r="988" x14ac:dyDescent="0.25">
      <c r="A988" s="1" t="str">
        <v/>
      </c>
      <c r="B988" s="1" t="str">
        <v/>
      </c>
      <c r="C988" s="1" t="str">
        <v/>
      </c>
      <c r="D988" s="1" t="str">
        <v/>
      </c>
      <c r="E988" s="1" t="str">
        <v/>
      </c>
      <c r="F988" s="1" t="str">
        <v/>
      </c>
      <c r="G988" s="1" t="str">
        <v/>
      </c>
      <c r="H988" s="1" t="str">
        <v/>
      </c>
      <c r="I988" s="2" t="str">
        <v/>
      </c>
      <c r="J988" s="2" t="str">
        <v/>
      </c>
      <c r="K988" s="2" t="str">
        <v/>
      </c>
      <c r="L988" s="1" t="str">
        <v/>
      </c>
      <c r="M988" s="2" t="str">
        <v/>
      </c>
      <c r="N988" s="2" t="str">
        <v/>
      </c>
      <c r="O988" s="1" t="str">
        <v/>
      </c>
      <c r="P988" s="1" t="str">
        <v/>
      </c>
      <c r="Q988" s="1" t="str">
        <v/>
      </c>
    </row>
    <row r="989" x14ac:dyDescent="0.25">
      <c r="A989" s="1" t="str">
        <v/>
      </c>
      <c r="B989" s="1" t="str">
        <v/>
      </c>
      <c r="C989" s="1" t="str">
        <v/>
      </c>
      <c r="D989" s="1" t="str">
        <v/>
      </c>
      <c r="E989" s="1" t="str">
        <v/>
      </c>
      <c r="F989" s="1" t="str">
        <v/>
      </c>
      <c r="G989" s="1" t="str">
        <v/>
      </c>
      <c r="H989" s="1" t="str">
        <v/>
      </c>
      <c r="I989" s="2" t="str">
        <v/>
      </c>
      <c r="J989" s="2" t="str">
        <v/>
      </c>
      <c r="K989" s="2" t="str">
        <v/>
      </c>
      <c r="L989" s="1" t="str">
        <v/>
      </c>
      <c r="M989" s="2" t="str">
        <v/>
      </c>
      <c r="N989" s="2" t="str">
        <v/>
      </c>
      <c r="O989" s="1" t="str">
        <v/>
      </c>
      <c r="P989" s="1" t="str">
        <v/>
      </c>
      <c r="Q989" s="1" t="str">
        <v/>
      </c>
    </row>
    <row r="990" x14ac:dyDescent="0.25">
      <c r="A990" s="1" t="str">
        <v/>
      </c>
      <c r="B990" s="1" t="str">
        <v/>
      </c>
      <c r="C990" s="1" t="str">
        <v/>
      </c>
      <c r="D990" s="1" t="str">
        <v/>
      </c>
      <c r="E990" s="1" t="str">
        <v/>
      </c>
      <c r="F990" s="1" t="str">
        <v/>
      </c>
      <c r="G990" s="1" t="str">
        <v/>
      </c>
      <c r="H990" s="1" t="str">
        <v/>
      </c>
      <c r="I990" s="2" t="str">
        <v/>
      </c>
      <c r="J990" s="2" t="str">
        <v/>
      </c>
      <c r="K990" s="2" t="str">
        <v/>
      </c>
      <c r="L990" s="1" t="str">
        <v/>
      </c>
      <c r="M990" s="2" t="str">
        <v/>
      </c>
      <c r="N990" s="2" t="str">
        <v/>
      </c>
      <c r="O990" s="1" t="str">
        <v/>
      </c>
      <c r="P990" s="1" t="str">
        <v/>
      </c>
      <c r="Q990" s="1" t="str">
        <v/>
      </c>
    </row>
    <row r="991" x14ac:dyDescent="0.25">
      <c r="A991" s="1" t="str">
        <v/>
      </c>
      <c r="B991" s="1" t="str">
        <v/>
      </c>
      <c r="C991" s="1" t="str">
        <v/>
      </c>
      <c r="D991" s="1" t="str">
        <v/>
      </c>
      <c r="E991" s="1" t="str">
        <v/>
      </c>
      <c r="F991" s="1" t="str">
        <v/>
      </c>
      <c r="G991" s="1" t="str">
        <v/>
      </c>
      <c r="H991" s="1" t="str">
        <v/>
      </c>
      <c r="I991" s="2" t="str">
        <v/>
      </c>
      <c r="J991" s="2" t="str">
        <v/>
      </c>
      <c r="K991" s="2" t="str">
        <v/>
      </c>
      <c r="L991" s="1" t="str">
        <v/>
      </c>
      <c r="M991" s="2" t="str">
        <v/>
      </c>
      <c r="N991" s="2" t="str">
        <v/>
      </c>
      <c r="O991" s="1" t="str">
        <v/>
      </c>
      <c r="P991" s="1" t="str">
        <v/>
      </c>
      <c r="Q991" s="1" t="str">
        <v/>
      </c>
    </row>
    <row r="992" x14ac:dyDescent="0.25">
      <c r="A992" s="1" t="str">
        <v/>
      </c>
      <c r="B992" s="1" t="str">
        <v/>
      </c>
      <c r="C992" s="1" t="str">
        <v/>
      </c>
      <c r="D992" s="1" t="str">
        <v/>
      </c>
      <c r="E992" s="1" t="str">
        <v/>
      </c>
      <c r="F992" s="1" t="str">
        <v/>
      </c>
      <c r="G992" s="1" t="str">
        <v/>
      </c>
      <c r="H992" s="1" t="str">
        <v/>
      </c>
      <c r="I992" s="2" t="str">
        <v/>
      </c>
      <c r="J992" s="2" t="str">
        <v/>
      </c>
      <c r="K992" s="2" t="str">
        <v/>
      </c>
      <c r="L992" s="1" t="str">
        <v/>
      </c>
      <c r="M992" s="2" t="str">
        <v/>
      </c>
      <c r="N992" s="2" t="str">
        <v/>
      </c>
      <c r="O992" s="1" t="str">
        <v/>
      </c>
      <c r="P992" s="1" t="str">
        <v/>
      </c>
      <c r="Q992" s="1" t="str">
        <v/>
      </c>
    </row>
    <row r="993" x14ac:dyDescent="0.25">
      <c r="A993" s="1" t="str">
        <v/>
      </c>
      <c r="B993" s="1" t="str">
        <v/>
      </c>
      <c r="C993" s="1" t="str">
        <v/>
      </c>
      <c r="D993" s="1" t="str">
        <v/>
      </c>
      <c r="E993" s="1" t="str">
        <v/>
      </c>
      <c r="F993" s="1" t="str">
        <v/>
      </c>
      <c r="G993" s="1" t="str">
        <v/>
      </c>
      <c r="H993" s="1" t="str">
        <v/>
      </c>
      <c r="I993" s="2" t="str">
        <v/>
      </c>
      <c r="J993" s="2" t="str">
        <v/>
      </c>
      <c r="K993" s="2" t="str">
        <v/>
      </c>
      <c r="L993" s="1" t="str">
        <v/>
      </c>
      <c r="M993" s="2" t="str">
        <v/>
      </c>
      <c r="N993" s="2" t="str">
        <v/>
      </c>
      <c r="O993" s="1" t="str">
        <v/>
      </c>
      <c r="P993" s="1" t="str">
        <v/>
      </c>
      <c r="Q993" s="1" t="str">
        <v/>
      </c>
    </row>
    <row r="994" x14ac:dyDescent="0.25">
      <c r="A994" s="1" t="str">
        <v/>
      </c>
      <c r="B994" s="1" t="str">
        <v/>
      </c>
      <c r="C994" s="1" t="str">
        <v/>
      </c>
      <c r="D994" s="1" t="str">
        <v/>
      </c>
      <c r="E994" s="1" t="str">
        <v/>
      </c>
      <c r="F994" s="1" t="str">
        <v/>
      </c>
      <c r="G994" s="1" t="str">
        <v/>
      </c>
      <c r="H994" s="1" t="str">
        <v/>
      </c>
      <c r="I994" s="2" t="str">
        <v/>
      </c>
      <c r="J994" s="2" t="str">
        <v/>
      </c>
      <c r="K994" s="2" t="str">
        <v/>
      </c>
      <c r="L994" s="1" t="str">
        <v/>
      </c>
      <c r="M994" s="2" t="str">
        <v/>
      </c>
      <c r="N994" s="2" t="str">
        <v/>
      </c>
      <c r="O994" s="1" t="str">
        <v/>
      </c>
      <c r="P994" s="1" t="str">
        <v/>
      </c>
      <c r="Q994" s="1" t="str">
        <v/>
      </c>
    </row>
    <row r="995" x14ac:dyDescent="0.25">
      <c r="A995" s="1" t="str">
        <v/>
      </c>
      <c r="B995" s="1" t="str">
        <v/>
      </c>
      <c r="C995" s="1" t="str">
        <v/>
      </c>
      <c r="D995" s="1" t="str">
        <v/>
      </c>
      <c r="E995" s="1" t="str">
        <v/>
      </c>
      <c r="F995" s="1" t="str">
        <v/>
      </c>
      <c r="G995" s="1" t="str">
        <v/>
      </c>
      <c r="H995" s="1" t="str">
        <v/>
      </c>
      <c r="I995" s="2" t="str">
        <v/>
      </c>
      <c r="J995" s="2" t="str">
        <v/>
      </c>
      <c r="K995" s="2" t="str">
        <v/>
      </c>
      <c r="L995" s="1" t="str">
        <v/>
      </c>
      <c r="M995" s="2" t="str">
        <v/>
      </c>
      <c r="N995" s="2" t="str">
        <v/>
      </c>
      <c r="O995" s="1" t="str">
        <v/>
      </c>
      <c r="P995" s="1" t="str">
        <v/>
      </c>
      <c r="Q995" s="1" t="str">
        <v/>
      </c>
    </row>
  </sheetData>
  <autoFilter ref="A1:V995"/>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A1C7-8818-4F21-BDEE-9B85DFE7360B}">
  <dimension ref="A1:T600"/>
  <sheetViews>
    <sheetView zoomScale="79" workbookViewId="0">
      <selection activeCell="E12" sqref="E12"/>
    </sheetView>
  </sheetViews>
  <sheetFormatPr baseColWidth="10" defaultRowHeight="14.5" x14ac:dyDescent="0.35"/>
  <cols>
    <col min="1" max="1" width="16" customWidth="true"/>
    <col min="2" max="2" width="24.7265625" bestFit="true" customWidth="true"/>
    <col min="3" max="3" width="22.453125" bestFit="true" customWidth="true"/>
    <col min="4" max="4" width="22.453125" customWidth="true"/>
    <col min="5" max="20" width="16" customWidth="true"/>
  </cols>
  <sheetData>
    <row r="1" s="15" customFormat="true" ht="13" x14ac:dyDescent="0.3">
      <c r="A1" s="14" t="s">
        <v>0</v>
      </c>
      <c r="B1" s="14" t="s">
        <v>9</v>
      </c>
      <c r="C1" s="14" t="s">
        <v>950</v>
      </c>
      <c r="D1" s="14" t="s">
        <v>101</v>
      </c>
      <c r="E1" s="14" t="s">
        <v>141</v>
      </c>
      <c r="F1" s="14" t="s">
        <v>1412</v>
      </c>
      <c r="G1" s="14" t="s">
        <v>10</v>
      </c>
      <c r="H1" s="14" t="s">
        <v>11</v>
      </c>
      <c r="I1" s="14" t="s">
        <v>12</v>
      </c>
      <c r="J1" s="14" t="s">
        <v>13</v>
      </c>
      <c r="K1" s="14" t="s">
        <v>14</v>
      </c>
      <c r="L1" s="14" t="s">
        <v>15</v>
      </c>
      <c r="M1" s="14" t="s">
        <v>16</v>
      </c>
      <c r="N1" s="14" t="s">
        <v>18</v>
      </c>
      <c r="O1" s="14" t="s">
        <v>17</v>
      </c>
      <c r="P1" s="14" t="s">
        <v>133</v>
      </c>
      <c r="Q1" s="14" t="s">
        <v>134</v>
      </c>
      <c r="R1" s="14" t="s">
        <v>135</v>
      </c>
      <c r="S1" s="14" t="s">
        <v>136</v>
      </c>
      <c r="T1" s="14" t="s">
        <v>137</v>
      </c>
    </row>
    <row r="2" x14ac:dyDescent="0.35">
      <c r="A2" cm="1">
        <f t="array" ref="A2:A600">++IF((Sobrevivientes!B2:B600&lt;&gt;""),Sobrevivientes!B2:B600,"")</f>
        <v>1</v>
      </c>
      <c r="B2" t="str" cm="1">
        <f t="array" ref="B2:B600">++IF((Sobrevivientes!E2:E600&lt;&gt;""),Sobrevivientes!E2:E600,"")</f>
        <v>Zenobia (Señorita) </v>
      </c>
      <c r="C2" t="str" cm="1">
        <f t="array" ref="C2:C600">++IF((Sobrevivientes!C2:C600&lt;&gt;""),Sobrevivientes!C2:C600,"")</f>
        <v>Leyden María Capa Barrios</v>
      </c>
      <c r="D2" t="str" cm="1">
        <f t="array" ref="D2:D600">++IF((Sobrevivientes!D2:D600&lt;&gt;""),Sobrevivientes!D2:D600,"")</f>
        <v>Distrito Judicial: Callao</v>
      </c>
      <c r="E2" t="str" cm="1">
        <f t="array" ref="E2:E600">++IF((Sobrevivientes!G2:G600&lt;&gt;""),Sobrevivientes!G2:G600,"")</f>
        <v/>
      </c>
      <c r="F2" t="str" cm="1">
        <f t="array" ref="F2:F600">++IF((Sobrevivientes!H2:H600&lt;&gt;""),Sobrevivientes!H2:H600,"")</f>
        <v>No</v>
      </c>
      <c r="G2" t="str" cm="1">
        <f t="array" ref="G2:G600">++IF((Sobrevivientes!J2:J600&lt;&gt;""),Sobrevivientes!J2:J600,"")</f>
        <v/>
      </c>
      <c r="H2" t="str" cm="1">
        <f t="array" ref="H2:H600">++IF((Sobrevivientes!K2:K600&lt;&gt;""),Sobrevivientes!K2:K600,"")</f>
        <v/>
      </c>
      <c r="I2" t="str" cm="1">
        <f t="array" ref="I2:I600">++IF((Sobrevivientes!L2:L600&lt;&gt;""),Sobrevivientes!L2:L600,"")</f>
        <v/>
      </c>
      <c r="J2" t="str" cm="1">
        <f t="array" ref="J2:J600">++IF((Sobrevivientes!I2:I600&lt;&gt;""),Sobrevivientes!I2:I600,"")</f>
        <v>En coordinación</v>
      </c>
      <c r="K2" t="str" cm="1">
        <f t="array" ref="K2:K600">++IF((Sobrevivientes!N2:N600&lt;&gt;""),Sobrevivientes!N2:N600,"")</f>
        <v/>
      </c>
      <c r="L2" t="str" cm="1">
        <f t="array" ref="L2:L600">++IF((Sobrevivientes!O2:O600&lt;&gt;""),Sobrevivientes!O2:O600,"")</f>
        <v/>
      </c>
      <c r="M2" t="str" cm="1">
        <f t="array" ref="M2:M600">++IF((Sobrevivientes!Q2:Q600&lt;&gt;""),Sobrevivientes!Q2:Q600,"")</f>
        <v/>
      </c>
      <c r="N2" t="str" cm="1">
        <f t="array" ref="N2:N600">++IF((Sobrevivientes!P2:P600&lt;&gt;""),Sobrevivientes!P2:P600,"")</f>
        <v/>
      </c>
      <c r="O2" t="str" cm="1">
        <f t="array" ref="O2:O600">++IF((Sobrevivientes!R2:R600&lt;&gt;""),Sobrevivientes!R2:R600,"")</f>
        <v/>
      </c>
      <c r="P2">
        <f>IF(F2="Sí",1,0)</f>
        <v>0</v>
      </c>
      <c r="Q2">
        <f>IF(J2="En coordinación",1,0)</f>
        <v>1</v>
      </c>
      <c r="R2">
        <f>IF(J2="En coordinación",1,0)</f>
        <v>1</v>
      </c>
      <c r="S2">
        <f>IF(J2="Realizada completa",1,0)</f>
        <v>0</v>
      </c>
      <c r="T2">
        <f>IF(J2="Sin respuesta",1,0)</f>
        <v>0</v>
      </c>
    </row>
    <row r="3" x14ac:dyDescent="0.35">
      <c r="A3">
        <v>2</v>
      </c>
      <c r="B3" t="str">
        <v>CRISTINA MENDOZA (Lideresa)</v>
      </c>
      <c r="C3" t="str">
        <v>Leyden María Capa Barrios</v>
      </c>
      <c r="D3" t="str">
        <v>Distrito Judicial: Callao</v>
      </c>
      <c r="E3" t="str">
        <v/>
      </c>
      <c r="F3" t="str">
        <v>No</v>
      </c>
      <c r="G3" s="16" t="str">
        <v/>
      </c>
      <c r="H3" t="str">
        <v/>
      </c>
      <c r="I3" t="str">
        <v/>
      </c>
      <c r="J3" t="str">
        <v>En coordinación</v>
      </c>
      <c r="K3" s="16" t="str">
        <v/>
      </c>
      <c r="L3" s="16" t="str">
        <v/>
      </c>
      <c r="M3" t="str">
        <v/>
      </c>
      <c r="N3" t="str">
        <v/>
      </c>
      <c r="O3" t="str">
        <v/>
      </c>
      <c r="P3">
        <f t="shared" ref="P3" si="0">IF(F3="Sí",1,0)</f>
        <v>0</v>
      </c>
      <c r="Q3">
        <f t="shared" ref="Q3" si="1">IF(J3="En coordinación",1,0)</f>
        <v>1</v>
      </c>
      <c r="R3">
        <f t="shared" ref="R3" si="2">IF(J3="En coordinación",1,0)</f>
        <v>1</v>
      </c>
      <c r="S3">
        <f t="shared" ref="S3:S66" si="3">IF(J3="Realizada completa",1,0)</f>
        <v>0</v>
      </c>
      <c r="T3">
        <f t="shared" ref="T3:T66" si="4">IF(J3="Sin respuesta",1,0)</f>
        <v>0</v>
      </c>
    </row>
    <row r="4" x14ac:dyDescent="0.35">
      <c r="A4">
        <v>3</v>
      </c>
      <c r="B4" t="str">
        <v>Naidolith Peña (Líder)</v>
      </c>
      <c r="C4" t="str">
        <v>Leyden María Capa Barrios</v>
      </c>
      <c r="D4" t="str">
        <v>Distrito Judicial: Callao</v>
      </c>
      <c r="E4" t="str">
        <v/>
      </c>
      <c r="F4" t="str">
        <v>No</v>
      </c>
      <c r="G4" s="16" t="str">
        <v/>
      </c>
      <c r="H4" t="str">
        <v/>
      </c>
      <c r="I4" t="str">
        <v/>
      </c>
      <c r="J4" t="str">
        <v>En coordinación</v>
      </c>
      <c r="K4" t="str">
        <v/>
      </c>
      <c r="L4" t="str">
        <v/>
      </c>
      <c r="M4" t="str">
        <v/>
      </c>
      <c r="N4" t="str">
        <v/>
      </c>
      <c r="O4" t="str">
        <v/>
      </c>
      <c r="P4">
        <f t="shared" ref="P4:P67" si="5">IF(F4="Sí",1,0)</f>
        <v>0</v>
      </c>
      <c r="Q4">
        <f t="shared" ref="Q4:Q67" si="6">IF(J4="En coordinación",1,0)</f>
        <v>1</v>
      </c>
      <c r="R4">
        <f t="shared" ref="R4:R67" si="7">IF(J4="En coordinación",1,0)</f>
        <v>1</v>
      </c>
      <c r="S4">
        <f t="shared" si="3"/>
        <v>0</v>
      </c>
      <c r="T4">
        <f t="shared" si="4"/>
        <v>0</v>
      </c>
    </row>
    <row r="5" x14ac:dyDescent="0.35">
      <c r="A5">
        <v>4</v>
      </c>
      <c r="B5" t="str">
        <v>Martha Quispe</v>
      </c>
      <c r="C5" t="str">
        <v>Leyden María Capa Barrios</v>
      </c>
      <c r="D5" t="str">
        <v>Distrito Judicial: Callao</v>
      </c>
      <c r="E5" t="str">
        <v/>
      </c>
      <c r="F5" t="str">
        <v>No</v>
      </c>
      <c r="G5" t="str">
        <v/>
      </c>
      <c r="H5" t="str">
        <v/>
      </c>
      <c r="I5" t="str">
        <v/>
      </c>
      <c r="J5" t="str">
        <v>En coordinación</v>
      </c>
      <c r="K5" t="str">
        <v/>
      </c>
      <c r="L5" t="str">
        <v/>
      </c>
      <c r="M5" t="str">
        <v/>
      </c>
      <c r="N5" t="str">
        <v/>
      </c>
      <c r="O5" t="str">
        <v/>
      </c>
      <c r="P5">
        <f t="shared" si="5"/>
        <v>0</v>
      </c>
      <c r="Q5">
        <f t="shared" si="6"/>
        <v>1</v>
      </c>
      <c r="R5">
        <f t="shared" si="7"/>
        <v>1</v>
      </c>
      <c r="S5">
        <f t="shared" si="3"/>
        <v>0</v>
      </c>
      <c r="T5">
        <f t="shared" si="4"/>
        <v>0</v>
      </c>
    </row>
    <row r="6" x14ac:dyDescent="0.35">
      <c r="A6">
        <v>5</v>
      </c>
      <c r="B6" t="str">
        <v/>
      </c>
      <c r="C6" t="str">
        <v>Líder</v>
      </c>
      <c r="D6" t="str">
        <v>Distrito Judicial: Huánuco</v>
      </c>
      <c r="E6" t="str">
        <v>APOYO</v>
      </c>
      <c r="F6" t="str">
        <v>Sí</v>
      </c>
      <c r="G6" t="str">
        <v/>
      </c>
      <c r="H6" t="str">
        <v/>
      </c>
      <c r="I6" t="str">
        <v/>
      </c>
      <c r="J6" t="str">
        <v>Realizada completa</v>
      </c>
      <c r="K6" t="str">
        <v/>
      </c>
      <c r="L6" t="str">
        <v/>
      </c>
      <c r="M6" t="str">
        <v>Realizada completa</v>
      </c>
      <c r="N6" t="str">
        <v>Presencial</v>
      </c>
      <c r="O6" t="str">
        <v/>
      </c>
      <c r="P6">
        <f t="shared" si="5"/>
        <v>1</v>
      </c>
      <c r="Q6">
        <f t="shared" si="6"/>
        <v>0</v>
      </c>
      <c r="R6">
        <f t="shared" si="7"/>
        <v>0</v>
      </c>
      <c r="S6">
        <f t="shared" si="3"/>
        <v>1</v>
      </c>
      <c r="T6">
        <f t="shared" si="4"/>
        <v>0</v>
      </c>
    </row>
    <row r="7" x14ac:dyDescent="0.35">
      <c r="A7">
        <v>6</v>
      </c>
      <c r="B7" t="str">
        <v/>
      </c>
      <c r="C7" t="str">
        <v>Sobreviviente01</v>
      </c>
      <c r="D7" t="str">
        <v>Distrito Judicial: Huánuco</v>
      </c>
      <c r="E7" t="str">
        <v>APOYO</v>
      </c>
      <c r="F7" t="str">
        <v>Sí</v>
      </c>
      <c r="G7" t="str">
        <v/>
      </c>
      <c r="H7" t="str">
        <v/>
      </c>
      <c r="I7" t="str">
        <v/>
      </c>
      <c r="J7" t="str">
        <v>Realizada completa</v>
      </c>
      <c r="K7" t="str">
        <v/>
      </c>
      <c r="L7" t="str">
        <v/>
      </c>
      <c r="M7" t="str">
        <v>Realizada completa</v>
      </c>
      <c r="N7" t="str">
        <v>Presencial</v>
      </c>
      <c r="O7" t="str">
        <v/>
      </c>
      <c r="P7">
        <f t="shared" si="5"/>
        <v>1</v>
      </c>
      <c r="Q7">
        <f t="shared" si="6"/>
        <v>0</v>
      </c>
      <c r="R7">
        <f t="shared" si="7"/>
        <v>0</v>
      </c>
      <c r="S7">
        <f t="shared" si="3"/>
        <v>1</v>
      </c>
      <c r="T7">
        <f t="shared" si="4"/>
        <v>0</v>
      </c>
    </row>
    <row r="8" x14ac:dyDescent="0.35">
      <c r="A8">
        <v>7</v>
      </c>
      <c r="B8" t="str">
        <v/>
      </c>
      <c r="C8" t="str">
        <v>Sobreviviente02</v>
      </c>
      <c r="D8" t="str">
        <v>Distrito Judicial: Huánuco</v>
      </c>
      <c r="E8" t="str">
        <v>APOYO</v>
      </c>
      <c r="F8" t="str">
        <v>Sí</v>
      </c>
      <c r="G8" t="str">
        <v/>
      </c>
      <c r="H8" t="str">
        <v/>
      </c>
      <c r="I8" t="str">
        <v/>
      </c>
      <c r="J8" t="str">
        <v>Realizada completa</v>
      </c>
      <c r="K8" t="str">
        <v/>
      </c>
      <c r="L8" t="str">
        <v/>
      </c>
      <c r="M8" t="str">
        <v>Realizada completa</v>
      </c>
      <c r="N8" t="str">
        <v>Virtual</v>
      </c>
      <c r="O8" t="str">
        <v/>
      </c>
      <c r="P8">
        <f t="shared" si="5"/>
        <v>1</v>
      </c>
      <c r="Q8">
        <f t="shared" si="6"/>
        <v>0</v>
      </c>
      <c r="R8">
        <f t="shared" si="7"/>
        <v>0</v>
      </c>
      <c r="S8">
        <f t="shared" si="3"/>
        <v>1</v>
      </c>
      <c r="T8">
        <f t="shared" si="4"/>
        <v>0</v>
      </c>
    </row>
    <row r="9" x14ac:dyDescent="0.35">
      <c r="A9" t="str">
        <v/>
      </c>
      <c r="B9" t="str">
        <v/>
      </c>
      <c r="C9" t="str">
        <v/>
      </c>
      <c r="D9" t="str">
        <v/>
      </c>
      <c r="E9" t="str">
        <v/>
      </c>
      <c r="F9" t="str">
        <v/>
      </c>
      <c r="G9" t="str">
        <v/>
      </c>
      <c r="H9" t="str">
        <v/>
      </c>
      <c r="I9" t="str">
        <v/>
      </c>
      <c r="J9" t="str">
        <v/>
      </c>
      <c r="K9" t="str">
        <v/>
      </c>
      <c r="L9" t="str">
        <v/>
      </c>
      <c r="M9" t="str">
        <v/>
      </c>
      <c r="N9" t="str">
        <v/>
      </c>
      <c r="O9" t="str">
        <v/>
      </c>
      <c r="P9">
        <f t="shared" si="5"/>
        <v>0</v>
      </c>
      <c r="Q9">
        <f t="shared" si="6"/>
        <v>0</v>
      </c>
      <c r="R9">
        <f t="shared" si="7"/>
        <v>0</v>
      </c>
      <c r="S9">
        <f t="shared" si="3"/>
        <v>0</v>
      </c>
      <c r="T9">
        <f t="shared" si="4"/>
        <v>0</v>
      </c>
    </row>
    <row r="10" x14ac:dyDescent="0.35">
      <c r="A10" s="76" t="str">
        <v/>
      </c>
      <c r="B10" t="str">
        <v/>
      </c>
      <c r="C10" t="str">
        <v/>
      </c>
      <c r="D10" t="str">
        <v/>
      </c>
      <c r="E10" t="str">
        <v/>
      </c>
      <c r="F10" t="str">
        <v/>
      </c>
      <c r="G10" t="str">
        <v/>
      </c>
      <c r="H10" t="str">
        <v/>
      </c>
      <c r="I10" t="str">
        <v/>
      </c>
      <c r="J10" t="str">
        <v/>
      </c>
      <c r="K10" t="str">
        <v/>
      </c>
      <c r="L10" t="str">
        <v/>
      </c>
      <c r="M10" t="str">
        <v/>
      </c>
      <c r="N10" t="str">
        <v/>
      </c>
      <c r="O10" t="str">
        <v/>
      </c>
      <c r="P10">
        <f t="shared" si="5"/>
        <v>0</v>
      </c>
      <c r="Q10">
        <f t="shared" si="6"/>
        <v>0</v>
      </c>
      <c r="R10">
        <f t="shared" si="7"/>
        <v>0</v>
      </c>
      <c r="S10">
        <f t="shared" si="3"/>
        <v>0</v>
      </c>
      <c r="T10">
        <f t="shared" si="4"/>
        <v>0</v>
      </c>
    </row>
    <row r="11" x14ac:dyDescent="0.35">
      <c r="A11" t="str">
        <v/>
      </c>
      <c r="B11" t="str">
        <v/>
      </c>
      <c r="C11" t="str">
        <v/>
      </c>
      <c r="D11" t="str">
        <v/>
      </c>
      <c r="E11" t="str">
        <v/>
      </c>
      <c r="F11" t="str">
        <v/>
      </c>
      <c r="G11" t="str">
        <v/>
      </c>
      <c r="H11" t="str">
        <v/>
      </c>
      <c r="I11" t="str">
        <v/>
      </c>
      <c r="J11" t="str">
        <v/>
      </c>
      <c r="K11" t="str">
        <v/>
      </c>
      <c r="L11" t="str">
        <v/>
      </c>
      <c r="M11" t="str">
        <v/>
      </c>
      <c r="N11" t="str">
        <v/>
      </c>
      <c r="O11" t="str">
        <v/>
      </c>
      <c r="P11">
        <f t="shared" si="5"/>
        <v>0</v>
      </c>
      <c r="Q11">
        <f t="shared" si="6"/>
        <v>0</v>
      </c>
      <c r="R11">
        <f t="shared" si="7"/>
        <v>0</v>
      </c>
      <c r="S11">
        <f t="shared" si="3"/>
        <v>0</v>
      </c>
      <c r="T11">
        <f t="shared" si="4"/>
        <v>0</v>
      </c>
    </row>
    <row r="12" x14ac:dyDescent="0.35">
      <c r="A12" t="str">
        <v/>
      </c>
      <c r="B12" t="str">
        <v/>
      </c>
      <c r="C12" t="str">
        <v/>
      </c>
      <c r="D12" t="str">
        <v/>
      </c>
      <c r="E12" t="str">
        <v/>
      </c>
      <c r="F12" t="str">
        <v/>
      </c>
      <c r="G12" t="str">
        <v/>
      </c>
      <c r="H12" t="str">
        <v/>
      </c>
      <c r="I12" t="str">
        <v/>
      </c>
      <c r="J12" t="str">
        <v/>
      </c>
      <c r="K12" t="str">
        <v/>
      </c>
      <c r="L12" t="str">
        <v/>
      </c>
      <c r="M12" t="str">
        <v/>
      </c>
      <c r="N12" t="str">
        <v/>
      </c>
      <c r="O12" t="str">
        <v/>
      </c>
      <c r="P12">
        <f t="shared" si="5"/>
        <v>0</v>
      </c>
      <c r="Q12">
        <f t="shared" si="6"/>
        <v>0</v>
      </c>
      <c r="R12">
        <f t="shared" si="7"/>
        <v>0</v>
      </c>
      <c r="S12">
        <f t="shared" si="3"/>
        <v>0</v>
      </c>
      <c r="T12">
        <f t="shared" si="4"/>
        <v>0</v>
      </c>
    </row>
    <row r="13" x14ac:dyDescent="0.35">
      <c r="A13" t="str">
        <v/>
      </c>
      <c r="B13" t="str">
        <v/>
      </c>
      <c r="C13" t="str">
        <v/>
      </c>
      <c r="D13" t="str">
        <v/>
      </c>
      <c r="E13" t="str">
        <v/>
      </c>
      <c r="F13" t="str">
        <v/>
      </c>
      <c r="G13" t="str">
        <v/>
      </c>
      <c r="H13" t="str">
        <v/>
      </c>
      <c r="I13" t="str">
        <v/>
      </c>
      <c r="J13" t="str">
        <v/>
      </c>
      <c r="K13" t="str">
        <v/>
      </c>
      <c r="L13" t="str">
        <v/>
      </c>
      <c r="M13" t="str">
        <v/>
      </c>
      <c r="N13" t="str">
        <v/>
      </c>
      <c r="O13" t="str">
        <v/>
      </c>
      <c r="P13">
        <f t="shared" si="5"/>
        <v>0</v>
      </c>
      <c r="Q13">
        <f t="shared" si="6"/>
        <v>0</v>
      </c>
      <c r="R13">
        <f t="shared" si="7"/>
        <v>0</v>
      </c>
      <c r="S13">
        <f t="shared" si="3"/>
        <v>0</v>
      </c>
      <c r="T13">
        <f t="shared" si="4"/>
        <v>0</v>
      </c>
    </row>
    <row r="14" x14ac:dyDescent="0.35">
      <c r="A14" t="str">
        <v/>
      </c>
      <c r="B14" t="str">
        <v/>
      </c>
      <c r="C14" t="str">
        <v/>
      </c>
      <c r="D14" t="str">
        <v/>
      </c>
      <c r="E14" t="str">
        <v/>
      </c>
      <c r="F14" t="str">
        <v/>
      </c>
      <c r="G14" t="str">
        <v/>
      </c>
      <c r="H14" t="str">
        <v/>
      </c>
      <c r="I14" t="str">
        <v/>
      </c>
      <c r="J14" t="str">
        <v/>
      </c>
      <c r="K14" t="str">
        <v/>
      </c>
      <c r="L14" t="str">
        <v/>
      </c>
      <c r="M14" t="str">
        <v/>
      </c>
      <c r="N14" t="str">
        <v/>
      </c>
      <c r="O14" t="str">
        <v/>
      </c>
      <c r="P14">
        <f t="shared" si="5"/>
        <v>0</v>
      </c>
      <c r="Q14">
        <f t="shared" si="6"/>
        <v>0</v>
      </c>
      <c r="R14">
        <f t="shared" si="7"/>
        <v>0</v>
      </c>
      <c r="S14">
        <f t="shared" si="3"/>
        <v>0</v>
      </c>
      <c r="T14">
        <f t="shared" si="4"/>
        <v>0</v>
      </c>
    </row>
    <row r="15" x14ac:dyDescent="0.35">
      <c r="A15" t="str">
        <v/>
      </c>
      <c r="B15" t="str">
        <v/>
      </c>
      <c r="C15" t="str">
        <v/>
      </c>
      <c r="D15" t="str">
        <v/>
      </c>
      <c r="E15" t="str">
        <v/>
      </c>
      <c r="F15" t="str">
        <v/>
      </c>
      <c r="G15" t="str">
        <v/>
      </c>
      <c r="H15" t="str">
        <v/>
      </c>
      <c r="I15" t="str">
        <v/>
      </c>
      <c r="J15" t="str">
        <v/>
      </c>
      <c r="K15" t="str">
        <v/>
      </c>
      <c r="L15" t="str">
        <v/>
      </c>
      <c r="M15" t="str">
        <v/>
      </c>
      <c r="N15" t="str">
        <v/>
      </c>
      <c r="O15" t="str">
        <v/>
      </c>
      <c r="P15">
        <f t="shared" si="5"/>
        <v>0</v>
      </c>
      <c r="Q15">
        <f t="shared" si="6"/>
        <v>0</v>
      </c>
      <c r="R15">
        <f t="shared" si="7"/>
        <v>0</v>
      </c>
      <c r="S15">
        <f t="shared" si="3"/>
        <v>0</v>
      </c>
      <c r="T15">
        <f t="shared" si="4"/>
        <v>0</v>
      </c>
    </row>
    <row r="16" x14ac:dyDescent="0.35">
      <c r="A16" t="str">
        <v/>
      </c>
      <c r="B16" t="str">
        <v/>
      </c>
      <c r="C16" t="str">
        <v/>
      </c>
      <c r="D16" t="str">
        <v/>
      </c>
      <c r="E16" t="str">
        <v/>
      </c>
      <c r="F16" t="str">
        <v/>
      </c>
      <c r="G16" t="str">
        <v/>
      </c>
      <c r="H16" t="str">
        <v/>
      </c>
      <c r="I16" t="str">
        <v/>
      </c>
      <c r="J16" t="str">
        <v/>
      </c>
      <c r="K16" t="str">
        <v/>
      </c>
      <c r="L16" t="str">
        <v/>
      </c>
      <c r="M16" t="str">
        <v/>
      </c>
      <c r="N16" t="str">
        <v/>
      </c>
      <c r="O16" t="str">
        <v/>
      </c>
      <c r="P16">
        <f t="shared" si="5"/>
        <v>0</v>
      </c>
      <c r="Q16">
        <f t="shared" si="6"/>
        <v>0</v>
      </c>
      <c r="R16">
        <f t="shared" si="7"/>
        <v>0</v>
      </c>
      <c r="S16">
        <f t="shared" si="3"/>
        <v>0</v>
      </c>
      <c r="T16">
        <f t="shared" si="4"/>
        <v>0</v>
      </c>
    </row>
    <row r="17" x14ac:dyDescent="0.35">
      <c r="A17" t="str">
        <v/>
      </c>
      <c r="B17" t="str">
        <v/>
      </c>
      <c r="C17" t="str">
        <v/>
      </c>
      <c r="D17" t="str">
        <v/>
      </c>
      <c r="E17" t="str">
        <v/>
      </c>
      <c r="F17" t="str">
        <v/>
      </c>
      <c r="G17" t="str">
        <v/>
      </c>
      <c r="H17" t="str">
        <v/>
      </c>
      <c r="I17" t="str">
        <v/>
      </c>
      <c r="J17" t="str">
        <v/>
      </c>
      <c r="K17" t="str">
        <v/>
      </c>
      <c r="L17" t="str">
        <v/>
      </c>
      <c r="M17" t="str">
        <v/>
      </c>
      <c r="N17" t="str">
        <v/>
      </c>
      <c r="O17" t="str">
        <v/>
      </c>
      <c r="P17">
        <f t="shared" si="5"/>
        <v>0</v>
      </c>
      <c r="Q17">
        <f t="shared" si="6"/>
        <v>0</v>
      </c>
      <c r="R17">
        <f t="shared" si="7"/>
        <v>0</v>
      </c>
      <c r="S17">
        <f t="shared" si="3"/>
        <v>0</v>
      </c>
      <c r="T17">
        <f t="shared" si="4"/>
        <v>0</v>
      </c>
    </row>
    <row r="18" x14ac:dyDescent="0.35">
      <c r="A18" t="str">
        <v/>
      </c>
      <c r="B18" t="str">
        <v/>
      </c>
      <c r="C18" t="str">
        <v/>
      </c>
      <c r="D18" t="str">
        <v/>
      </c>
      <c r="E18" t="str">
        <v/>
      </c>
      <c r="F18" t="str">
        <v/>
      </c>
      <c r="G18" t="str">
        <v/>
      </c>
      <c r="H18" t="str">
        <v/>
      </c>
      <c r="I18" t="str">
        <v/>
      </c>
      <c r="J18" t="str">
        <v/>
      </c>
      <c r="K18" t="str">
        <v/>
      </c>
      <c r="L18" t="str">
        <v/>
      </c>
      <c r="M18" t="str">
        <v/>
      </c>
      <c r="N18" t="str">
        <v/>
      </c>
      <c r="O18" t="str">
        <v/>
      </c>
      <c r="P18">
        <f t="shared" si="5"/>
        <v>0</v>
      </c>
      <c r="Q18">
        <f t="shared" si="6"/>
        <v>0</v>
      </c>
      <c r="R18">
        <f t="shared" si="7"/>
        <v>0</v>
      </c>
      <c r="S18">
        <f t="shared" si="3"/>
        <v>0</v>
      </c>
      <c r="T18">
        <f t="shared" si="4"/>
        <v>0</v>
      </c>
    </row>
    <row r="19" x14ac:dyDescent="0.35">
      <c r="A19" t="str">
        <v/>
      </c>
      <c r="B19" t="str">
        <v/>
      </c>
      <c r="C19" t="str">
        <v/>
      </c>
      <c r="D19" t="str">
        <v/>
      </c>
      <c r="E19" t="str">
        <v/>
      </c>
      <c r="F19" t="str">
        <v/>
      </c>
      <c r="G19" t="str">
        <v/>
      </c>
      <c r="H19" t="str">
        <v/>
      </c>
      <c r="I19" t="str">
        <v/>
      </c>
      <c r="J19" t="str">
        <v/>
      </c>
      <c r="K19" t="str">
        <v/>
      </c>
      <c r="L19" t="str">
        <v/>
      </c>
      <c r="M19" t="str">
        <v/>
      </c>
      <c r="N19" t="str">
        <v/>
      </c>
      <c r="O19" t="str">
        <v/>
      </c>
      <c r="P19">
        <f t="shared" si="5"/>
        <v>0</v>
      </c>
      <c r="Q19">
        <f t="shared" si="6"/>
        <v>0</v>
      </c>
      <c r="R19">
        <f t="shared" si="7"/>
        <v>0</v>
      </c>
      <c r="S19">
        <f t="shared" si="3"/>
        <v>0</v>
      </c>
      <c r="T19">
        <f t="shared" si="4"/>
        <v>0</v>
      </c>
    </row>
    <row r="20" x14ac:dyDescent="0.35">
      <c r="A20" t="str">
        <v/>
      </c>
      <c r="B20" t="str">
        <v/>
      </c>
      <c r="C20" t="str">
        <v/>
      </c>
      <c r="D20" t="str">
        <v/>
      </c>
      <c r="E20" t="str">
        <v/>
      </c>
      <c r="F20" t="str">
        <v/>
      </c>
      <c r="G20" t="str">
        <v/>
      </c>
      <c r="H20" t="str">
        <v/>
      </c>
      <c r="I20" t="str">
        <v/>
      </c>
      <c r="J20" t="str">
        <v/>
      </c>
      <c r="K20" t="str">
        <v/>
      </c>
      <c r="L20" t="str">
        <v/>
      </c>
      <c r="M20" t="str">
        <v/>
      </c>
      <c r="N20" t="str">
        <v/>
      </c>
      <c r="O20" t="str">
        <v/>
      </c>
      <c r="P20">
        <f t="shared" si="5"/>
        <v>0</v>
      </c>
      <c r="Q20">
        <f t="shared" si="6"/>
        <v>0</v>
      </c>
      <c r="R20">
        <f t="shared" si="7"/>
        <v>0</v>
      </c>
      <c r="S20">
        <f t="shared" si="3"/>
        <v>0</v>
      </c>
      <c r="T20">
        <f t="shared" si="4"/>
        <v>0</v>
      </c>
    </row>
    <row r="21" x14ac:dyDescent="0.35">
      <c r="A21" t="str">
        <v/>
      </c>
      <c r="B21" t="str">
        <v/>
      </c>
      <c r="C21" t="str">
        <v/>
      </c>
      <c r="D21" t="str">
        <v/>
      </c>
      <c r="E21" t="str">
        <v/>
      </c>
      <c r="F21" t="str">
        <v/>
      </c>
      <c r="G21" t="str">
        <v/>
      </c>
      <c r="H21" t="str">
        <v/>
      </c>
      <c r="I21" t="str">
        <v/>
      </c>
      <c r="J21" t="str">
        <v/>
      </c>
      <c r="K21" t="str">
        <v/>
      </c>
      <c r="L21" t="str">
        <v/>
      </c>
      <c r="M21" t="str">
        <v/>
      </c>
      <c r="N21" t="str">
        <v/>
      </c>
      <c r="O21" t="str">
        <v/>
      </c>
      <c r="P21">
        <f t="shared" si="5"/>
        <v>0</v>
      </c>
      <c r="Q21">
        <f t="shared" si="6"/>
        <v>0</v>
      </c>
      <c r="R21">
        <f t="shared" si="7"/>
        <v>0</v>
      </c>
      <c r="S21">
        <f t="shared" si="3"/>
        <v>0</v>
      </c>
      <c r="T21">
        <f t="shared" si="4"/>
        <v>0</v>
      </c>
    </row>
    <row r="22" x14ac:dyDescent="0.35">
      <c r="A22" t="str">
        <v/>
      </c>
      <c r="B22" t="str">
        <v/>
      </c>
      <c r="C22" t="str">
        <v/>
      </c>
      <c r="D22" t="str">
        <v/>
      </c>
      <c r="E22" t="str">
        <v/>
      </c>
      <c r="F22" t="str">
        <v/>
      </c>
      <c r="G22" t="str">
        <v/>
      </c>
      <c r="H22" t="str">
        <v/>
      </c>
      <c r="I22" t="str">
        <v/>
      </c>
      <c r="J22" t="str">
        <v/>
      </c>
      <c r="K22" t="str">
        <v/>
      </c>
      <c r="L22" t="str">
        <v/>
      </c>
      <c r="M22" t="str">
        <v/>
      </c>
      <c r="N22" t="str">
        <v/>
      </c>
      <c r="O22" t="str">
        <v/>
      </c>
      <c r="P22">
        <f t="shared" si="5"/>
        <v>0</v>
      </c>
      <c r="Q22">
        <f t="shared" si="6"/>
        <v>0</v>
      </c>
      <c r="R22">
        <f t="shared" si="7"/>
        <v>0</v>
      </c>
      <c r="S22">
        <f t="shared" si="3"/>
        <v>0</v>
      </c>
      <c r="T22">
        <f t="shared" si="4"/>
        <v>0</v>
      </c>
    </row>
    <row r="23" x14ac:dyDescent="0.35">
      <c r="A23" t="str">
        <v/>
      </c>
      <c r="B23" t="str">
        <v/>
      </c>
      <c r="C23" t="str">
        <v/>
      </c>
      <c r="D23" t="str">
        <v/>
      </c>
      <c r="E23" t="str">
        <v/>
      </c>
      <c r="F23" t="str">
        <v/>
      </c>
      <c r="G23" t="str">
        <v/>
      </c>
      <c r="H23" t="str">
        <v/>
      </c>
      <c r="I23" t="str">
        <v/>
      </c>
      <c r="J23" t="str">
        <v/>
      </c>
      <c r="K23" t="str">
        <v/>
      </c>
      <c r="L23" t="str">
        <v/>
      </c>
      <c r="M23" t="str">
        <v/>
      </c>
      <c r="N23" t="str">
        <v/>
      </c>
      <c r="O23" t="str">
        <v/>
      </c>
      <c r="P23">
        <f t="shared" si="5"/>
        <v>0</v>
      </c>
      <c r="Q23">
        <f t="shared" si="6"/>
        <v>0</v>
      </c>
      <c r="R23">
        <f t="shared" si="7"/>
        <v>0</v>
      </c>
      <c r="S23">
        <f t="shared" si="3"/>
        <v>0</v>
      </c>
      <c r="T23">
        <f t="shared" si="4"/>
        <v>0</v>
      </c>
    </row>
    <row r="24" x14ac:dyDescent="0.35">
      <c r="A24" t="str">
        <v/>
      </c>
      <c r="B24" t="str">
        <v/>
      </c>
      <c r="C24" t="str">
        <v/>
      </c>
      <c r="D24" t="str">
        <v/>
      </c>
      <c r="E24" t="str">
        <v/>
      </c>
      <c r="F24" t="str">
        <v/>
      </c>
      <c r="G24" t="str">
        <v/>
      </c>
      <c r="H24" t="str">
        <v/>
      </c>
      <c r="I24" t="str">
        <v/>
      </c>
      <c r="J24" t="str">
        <v/>
      </c>
      <c r="K24" t="str">
        <v/>
      </c>
      <c r="L24" t="str">
        <v/>
      </c>
      <c r="M24" t="str">
        <v/>
      </c>
      <c r="N24" t="str">
        <v/>
      </c>
      <c r="O24" t="str">
        <v/>
      </c>
      <c r="P24">
        <f t="shared" si="5"/>
        <v>0</v>
      </c>
      <c r="Q24">
        <f t="shared" si="6"/>
        <v>0</v>
      </c>
      <c r="R24">
        <f t="shared" si="7"/>
        <v>0</v>
      </c>
      <c r="S24">
        <f t="shared" si="3"/>
        <v>0</v>
      </c>
      <c r="T24">
        <f t="shared" si="4"/>
        <v>0</v>
      </c>
    </row>
    <row r="25" x14ac:dyDescent="0.35">
      <c r="A25" t="str">
        <v/>
      </c>
      <c r="B25" t="str">
        <v/>
      </c>
      <c r="C25" t="str">
        <v/>
      </c>
      <c r="D25" t="str">
        <v/>
      </c>
      <c r="E25" t="str">
        <v/>
      </c>
      <c r="F25" t="str">
        <v/>
      </c>
      <c r="G25" t="str">
        <v/>
      </c>
      <c r="H25" t="str">
        <v/>
      </c>
      <c r="I25" t="str">
        <v/>
      </c>
      <c r="J25" t="str">
        <v/>
      </c>
      <c r="K25" t="str">
        <v/>
      </c>
      <c r="L25" t="str">
        <v/>
      </c>
      <c r="M25" t="str">
        <v/>
      </c>
      <c r="N25" t="str">
        <v/>
      </c>
      <c r="O25" t="str">
        <v/>
      </c>
      <c r="P25">
        <f t="shared" si="5"/>
        <v>0</v>
      </c>
      <c r="Q25">
        <f t="shared" si="6"/>
        <v>0</v>
      </c>
      <c r="R25">
        <f t="shared" si="7"/>
        <v>0</v>
      </c>
      <c r="S25">
        <f t="shared" si="3"/>
        <v>0</v>
      </c>
      <c r="T25">
        <f t="shared" si="4"/>
        <v>0</v>
      </c>
    </row>
    <row r="26" x14ac:dyDescent="0.35">
      <c r="A26" t="str">
        <v/>
      </c>
      <c r="B26" t="str">
        <v/>
      </c>
      <c r="C26" t="str">
        <v/>
      </c>
      <c r="D26" t="str">
        <v/>
      </c>
      <c r="E26" t="str">
        <v/>
      </c>
      <c r="F26" t="str">
        <v/>
      </c>
      <c r="G26" t="str">
        <v/>
      </c>
      <c r="H26" t="str">
        <v/>
      </c>
      <c r="I26" t="str">
        <v/>
      </c>
      <c r="J26" t="str">
        <v/>
      </c>
      <c r="K26" t="str">
        <v/>
      </c>
      <c r="L26" t="str">
        <v/>
      </c>
      <c r="M26" t="str">
        <v/>
      </c>
      <c r="N26" t="str">
        <v/>
      </c>
      <c r="O26" t="str">
        <v/>
      </c>
      <c r="P26">
        <f t="shared" si="5"/>
        <v>0</v>
      </c>
      <c r="Q26">
        <f t="shared" si="6"/>
        <v>0</v>
      </c>
      <c r="R26">
        <f t="shared" si="7"/>
        <v>0</v>
      </c>
      <c r="S26">
        <f t="shared" si="3"/>
        <v>0</v>
      </c>
      <c r="T26">
        <f t="shared" si="4"/>
        <v>0</v>
      </c>
    </row>
    <row r="27" x14ac:dyDescent="0.35">
      <c r="A27" t="str">
        <v/>
      </c>
      <c r="B27" t="str">
        <v/>
      </c>
      <c r="C27" t="str">
        <v/>
      </c>
      <c r="D27" t="str">
        <v/>
      </c>
      <c r="E27" t="str">
        <v/>
      </c>
      <c r="F27" t="str">
        <v/>
      </c>
      <c r="G27" t="str">
        <v/>
      </c>
      <c r="H27" t="str">
        <v/>
      </c>
      <c r="I27" t="str">
        <v/>
      </c>
      <c r="J27" t="str">
        <v/>
      </c>
      <c r="K27" t="str">
        <v/>
      </c>
      <c r="L27" t="str">
        <v/>
      </c>
      <c r="M27" t="str">
        <v/>
      </c>
      <c r="N27" t="str">
        <v/>
      </c>
      <c r="O27" t="str">
        <v/>
      </c>
      <c r="P27">
        <f t="shared" si="5"/>
        <v>0</v>
      </c>
      <c r="Q27">
        <f t="shared" si="6"/>
        <v>0</v>
      </c>
      <c r="R27">
        <f t="shared" si="7"/>
        <v>0</v>
      </c>
      <c r="S27">
        <f t="shared" si="3"/>
        <v>0</v>
      </c>
      <c r="T27">
        <f t="shared" si="4"/>
        <v>0</v>
      </c>
    </row>
    <row r="28" x14ac:dyDescent="0.35">
      <c r="A28" t="str">
        <v/>
      </c>
      <c r="B28" t="str">
        <v/>
      </c>
      <c r="C28" t="str">
        <v/>
      </c>
      <c r="D28" t="str">
        <v/>
      </c>
      <c r="E28" t="str">
        <v/>
      </c>
      <c r="F28" t="str">
        <v/>
      </c>
      <c r="G28" t="str">
        <v/>
      </c>
      <c r="H28" t="str">
        <v/>
      </c>
      <c r="I28" t="str">
        <v/>
      </c>
      <c r="J28" t="str">
        <v/>
      </c>
      <c r="K28" t="str">
        <v/>
      </c>
      <c r="L28" t="str">
        <v/>
      </c>
      <c r="M28" t="str">
        <v/>
      </c>
      <c r="N28" t="str">
        <v/>
      </c>
      <c r="O28" t="str">
        <v/>
      </c>
      <c r="P28">
        <f t="shared" si="5"/>
        <v>0</v>
      </c>
      <c r="Q28">
        <f t="shared" si="6"/>
        <v>0</v>
      </c>
      <c r="R28">
        <f t="shared" si="7"/>
        <v>0</v>
      </c>
      <c r="S28">
        <f t="shared" si="3"/>
        <v>0</v>
      </c>
      <c r="T28">
        <f t="shared" si="4"/>
        <v>0</v>
      </c>
    </row>
    <row r="29" x14ac:dyDescent="0.35">
      <c r="A29" t="str">
        <v/>
      </c>
      <c r="B29" t="str">
        <v/>
      </c>
      <c r="C29" t="str">
        <v/>
      </c>
      <c r="D29" t="str">
        <v/>
      </c>
      <c r="E29" t="str">
        <v/>
      </c>
      <c r="F29" t="str">
        <v/>
      </c>
      <c r="G29" t="str">
        <v/>
      </c>
      <c r="H29" t="str">
        <v/>
      </c>
      <c r="I29" t="str">
        <v/>
      </c>
      <c r="J29" t="str">
        <v/>
      </c>
      <c r="K29" t="str">
        <v/>
      </c>
      <c r="L29" t="str">
        <v/>
      </c>
      <c r="M29" t="str">
        <v/>
      </c>
      <c r="N29" t="str">
        <v/>
      </c>
      <c r="O29" t="str">
        <v/>
      </c>
      <c r="P29">
        <f t="shared" si="5"/>
        <v>0</v>
      </c>
      <c r="Q29">
        <f t="shared" si="6"/>
        <v>0</v>
      </c>
      <c r="R29">
        <f t="shared" si="7"/>
        <v>0</v>
      </c>
      <c r="S29">
        <f t="shared" si="3"/>
        <v>0</v>
      </c>
      <c r="T29">
        <f t="shared" si="4"/>
        <v>0</v>
      </c>
    </row>
    <row r="30" x14ac:dyDescent="0.35">
      <c r="A30" t="str">
        <v/>
      </c>
      <c r="B30" t="str">
        <v/>
      </c>
      <c r="C30" t="str">
        <v/>
      </c>
      <c r="D30" t="str">
        <v/>
      </c>
      <c r="E30" t="str">
        <v/>
      </c>
      <c r="F30" t="str">
        <v/>
      </c>
      <c r="G30" t="str">
        <v/>
      </c>
      <c r="H30" t="str">
        <v/>
      </c>
      <c r="I30" t="str">
        <v/>
      </c>
      <c r="J30" t="str">
        <v/>
      </c>
      <c r="K30" t="str">
        <v/>
      </c>
      <c r="L30" t="str">
        <v/>
      </c>
      <c r="M30" t="str">
        <v/>
      </c>
      <c r="N30" t="str">
        <v/>
      </c>
      <c r="O30" t="str">
        <v/>
      </c>
      <c r="P30">
        <f t="shared" si="5"/>
        <v>0</v>
      </c>
      <c r="Q30">
        <f t="shared" si="6"/>
        <v>0</v>
      </c>
      <c r="R30">
        <f t="shared" si="7"/>
        <v>0</v>
      </c>
      <c r="S30">
        <f t="shared" si="3"/>
        <v>0</v>
      </c>
      <c r="T30">
        <f t="shared" si="4"/>
        <v>0</v>
      </c>
    </row>
    <row r="31" x14ac:dyDescent="0.35">
      <c r="A31" t="str">
        <v/>
      </c>
      <c r="B31" t="str">
        <v/>
      </c>
      <c r="C31" t="str">
        <v/>
      </c>
      <c r="D31" t="str">
        <v/>
      </c>
      <c r="E31" t="str">
        <v/>
      </c>
      <c r="F31" t="str">
        <v/>
      </c>
      <c r="G31" t="str">
        <v/>
      </c>
      <c r="H31" t="str">
        <v/>
      </c>
      <c r="I31" t="str">
        <v/>
      </c>
      <c r="J31" t="str">
        <v/>
      </c>
      <c r="K31" t="str">
        <v/>
      </c>
      <c r="L31" t="str">
        <v/>
      </c>
      <c r="M31" t="str">
        <v/>
      </c>
      <c r="N31" t="str">
        <v/>
      </c>
      <c r="O31" t="str">
        <v/>
      </c>
      <c r="P31">
        <f t="shared" si="5"/>
        <v>0</v>
      </c>
      <c r="Q31">
        <f t="shared" si="6"/>
        <v>0</v>
      </c>
      <c r="R31">
        <f t="shared" si="7"/>
        <v>0</v>
      </c>
      <c r="S31">
        <f t="shared" si="3"/>
        <v>0</v>
      </c>
      <c r="T31">
        <f t="shared" si="4"/>
        <v>0</v>
      </c>
    </row>
    <row r="32" x14ac:dyDescent="0.35">
      <c r="A32" t="str">
        <v/>
      </c>
      <c r="B32" t="str">
        <v/>
      </c>
      <c r="C32" t="str">
        <v/>
      </c>
      <c r="D32" t="str">
        <v/>
      </c>
      <c r="E32" t="str">
        <v/>
      </c>
      <c r="F32" t="str">
        <v/>
      </c>
      <c r="G32" t="str">
        <v/>
      </c>
      <c r="H32" t="str">
        <v/>
      </c>
      <c r="I32" t="str">
        <v/>
      </c>
      <c r="J32" t="str">
        <v/>
      </c>
      <c r="K32" t="str">
        <v/>
      </c>
      <c r="L32" t="str">
        <v/>
      </c>
      <c r="M32" t="str">
        <v/>
      </c>
      <c r="N32" t="str">
        <v/>
      </c>
      <c r="O32" t="str">
        <v/>
      </c>
      <c r="P32">
        <f t="shared" si="5"/>
        <v>0</v>
      </c>
      <c r="Q32">
        <f t="shared" si="6"/>
        <v>0</v>
      </c>
      <c r="R32">
        <f t="shared" si="7"/>
        <v>0</v>
      </c>
      <c r="S32">
        <f t="shared" si="3"/>
        <v>0</v>
      </c>
      <c r="T32">
        <f t="shared" si="4"/>
        <v>0</v>
      </c>
    </row>
    <row r="33" x14ac:dyDescent="0.35">
      <c r="A33" t="str">
        <v/>
      </c>
      <c r="B33" t="str">
        <v/>
      </c>
      <c r="C33" t="str">
        <v/>
      </c>
      <c r="D33" t="str">
        <v/>
      </c>
      <c r="E33" t="str">
        <v/>
      </c>
      <c r="F33" t="str">
        <v/>
      </c>
      <c r="G33" t="str">
        <v/>
      </c>
      <c r="H33" t="str">
        <v/>
      </c>
      <c r="I33" t="str">
        <v/>
      </c>
      <c r="J33" t="str">
        <v/>
      </c>
      <c r="K33" t="str">
        <v/>
      </c>
      <c r="L33" t="str">
        <v/>
      </c>
      <c r="M33" t="str">
        <v/>
      </c>
      <c r="N33" t="str">
        <v/>
      </c>
      <c r="O33" t="str">
        <v/>
      </c>
      <c r="P33">
        <f t="shared" si="5"/>
        <v>0</v>
      </c>
      <c r="Q33">
        <f t="shared" si="6"/>
        <v>0</v>
      </c>
      <c r="R33">
        <f t="shared" si="7"/>
        <v>0</v>
      </c>
      <c r="S33">
        <f t="shared" si="3"/>
        <v>0</v>
      </c>
      <c r="T33">
        <f t="shared" si="4"/>
        <v>0</v>
      </c>
    </row>
    <row r="34" x14ac:dyDescent="0.35">
      <c r="A34" t="str">
        <v/>
      </c>
      <c r="B34" t="str">
        <v/>
      </c>
      <c r="C34" t="str">
        <v/>
      </c>
      <c r="D34" t="str">
        <v/>
      </c>
      <c r="E34" t="str">
        <v/>
      </c>
      <c r="F34" t="str">
        <v/>
      </c>
      <c r="G34" t="str">
        <v/>
      </c>
      <c r="H34" t="str">
        <v/>
      </c>
      <c r="I34" t="str">
        <v/>
      </c>
      <c r="J34" t="str">
        <v/>
      </c>
      <c r="K34" t="str">
        <v/>
      </c>
      <c r="L34" t="str">
        <v/>
      </c>
      <c r="M34" t="str">
        <v/>
      </c>
      <c r="N34" t="str">
        <v/>
      </c>
      <c r="O34" t="str">
        <v/>
      </c>
      <c r="P34">
        <f t="shared" si="5"/>
        <v>0</v>
      </c>
      <c r="Q34">
        <f t="shared" si="6"/>
        <v>0</v>
      </c>
      <c r="R34">
        <f t="shared" si="7"/>
        <v>0</v>
      </c>
      <c r="S34">
        <f t="shared" si="3"/>
        <v>0</v>
      </c>
      <c r="T34">
        <f t="shared" si="4"/>
        <v>0</v>
      </c>
    </row>
    <row r="35" x14ac:dyDescent="0.35">
      <c r="A35" t="str">
        <v/>
      </c>
      <c r="B35" t="str">
        <v/>
      </c>
      <c r="C35" t="str">
        <v/>
      </c>
      <c r="D35" t="str">
        <v/>
      </c>
      <c r="E35" t="str">
        <v/>
      </c>
      <c r="F35" t="str">
        <v/>
      </c>
      <c r="G35" t="str">
        <v/>
      </c>
      <c r="H35" t="str">
        <v/>
      </c>
      <c r="I35" t="str">
        <v/>
      </c>
      <c r="J35" t="str">
        <v/>
      </c>
      <c r="K35" t="str">
        <v/>
      </c>
      <c r="L35" t="str">
        <v/>
      </c>
      <c r="M35" t="str">
        <v/>
      </c>
      <c r="N35" t="str">
        <v/>
      </c>
      <c r="O35" t="str">
        <v/>
      </c>
      <c r="P35">
        <f t="shared" si="5"/>
        <v>0</v>
      </c>
      <c r="Q35">
        <f t="shared" si="6"/>
        <v>0</v>
      </c>
      <c r="R35">
        <f t="shared" si="7"/>
        <v>0</v>
      </c>
      <c r="S35">
        <f t="shared" si="3"/>
        <v>0</v>
      </c>
      <c r="T35">
        <f t="shared" si="4"/>
        <v>0</v>
      </c>
    </row>
    <row r="36" x14ac:dyDescent="0.35">
      <c r="A36" t="str">
        <v/>
      </c>
      <c r="B36" t="str">
        <v/>
      </c>
      <c r="C36" t="str">
        <v/>
      </c>
      <c r="D36" t="str">
        <v/>
      </c>
      <c r="E36" t="str">
        <v/>
      </c>
      <c r="F36" t="str">
        <v/>
      </c>
      <c r="G36" t="str">
        <v/>
      </c>
      <c r="H36" t="str">
        <v/>
      </c>
      <c r="I36" t="str">
        <v/>
      </c>
      <c r="J36" t="str">
        <v/>
      </c>
      <c r="K36" t="str">
        <v/>
      </c>
      <c r="L36" t="str">
        <v/>
      </c>
      <c r="M36" t="str">
        <v/>
      </c>
      <c r="N36" t="str">
        <v/>
      </c>
      <c r="O36" t="str">
        <v/>
      </c>
      <c r="P36">
        <f t="shared" si="5"/>
        <v>0</v>
      </c>
      <c r="Q36">
        <f t="shared" si="6"/>
        <v>0</v>
      </c>
      <c r="R36">
        <f t="shared" si="7"/>
        <v>0</v>
      </c>
      <c r="S36">
        <f t="shared" si="3"/>
        <v>0</v>
      </c>
      <c r="T36">
        <f t="shared" si="4"/>
        <v>0</v>
      </c>
    </row>
    <row r="37" x14ac:dyDescent="0.35">
      <c r="A37" t="str">
        <v/>
      </c>
      <c r="B37" t="str">
        <v/>
      </c>
      <c r="C37" t="str">
        <v/>
      </c>
      <c r="D37" t="str">
        <v/>
      </c>
      <c r="E37" t="str">
        <v/>
      </c>
      <c r="F37" t="str">
        <v/>
      </c>
      <c r="G37" t="str">
        <v/>
      </c>
      <c r="H37" t="str">
        <v/>
      </c>
      <c r="I37" t="str">
        <v/>
      </c>
      <c r="J37" t="str">
        <v/>
      </c>
      <c r="K37" t="str">
        <v/>
      </c>
      <c r="L37" t="str">
        <v/>
      </c>
      <c r="M37" t="str">
        <v/>
      </c>
      <c r="N37" t="str">
        <v/>
      </c>
      <c r="O37" t="str">
        <v/>
      </c>
      <c r="P37">
        <f t="shared" si="5"/>
        <v>0</v>
      </c>
      <c r="Q37">
        <f t="shared" si="6"/>
        <v>0</v>
      </c>
      <c r="R37">
        <f t="shared" si="7"/>
        <v>0</v>
      </c>
      <c r="S37">
        <f t="shared" si="3"/>
        <v>0</v>
      </c>
      <c r="T37">
        <f t="shared" si="4"/>
        <v>0</v>
      </c>
    </row>
    <row r="38" x14ac:dyDescent="0.35">
      <c r="A38" t="str">
        <v/>
      </c>
      <c r="B38" t="str">
        <v/>
      </c>
      <c r="C38" t="str">
        <v/>
      </c>
      <c r="D38" t="str">
        <v/>
      </c>
      <c r="E38" t="str">
        <v/>
      </c>
      <c r="F38" t="str">
        <v/>
      </c>
      <c r="G38" t="str">
        <v/>
      </c>
      <c r="H38" t="str">
        <v/>
      </c>
      <c r="I38" t="str">
        <v/>
      </c>
      <c r="J38" t="str">
        <v/>
      </c>
      <c r="K38" t="str">
        <v/>
      </c>
      <c r="L38" t="str">
        <v/>
      </c>
      <c r="M38" t="str">
        <v/>
      </c>
      <c r="N38" t="str">
        <v/>
      </c>
      <c r="O38" t="str">
        <v/>
      </c>
      <c r="P38">
        <f t="shared" si="5"/>
        <v>0</v>
      </c>
      <c r="Q38">
        <f t="shared" si="6"/>
        <v>0</v>
      </c>
      <c r="R38">
        <f t="shared" si="7"/>
        <v>0</v>
      </c>
      <c r="S38">
        <f t="shared" si="3"/>
        <v>0</v>
      </c>
      <c r="T38">
        <f t="shared" si="4"/>
        <v>0</v>
      </c>
    </row>
    <row r="39" x14ac:dyDescent="0.35">
      <c r="A39" t="str">
        <v/>
      </c>
      <c r="B39" t="str">
        <v/>
      </c>
      <c r="C39" t="str">
        <v/>
      </c>
      <c r="D39" t="str">
        <v/>
      </c>
      <c r="E39" t="str">
        <v/>
      </c>
      <c r="F39" t="str">
        <v/>
      </c>
      <c r="G39" t="str">
        <v/>
      </c>
      <c r="H39" t="str">
        <v/>
      </c>
      <c r="I39" t="str">
        <v/>
      </c>
      <c r="J39" t="str">
        <v/>
      </c>
      <c r="K39" t="str">
        <v/>
      </c>
      <c r="L39" t="str">
        <v/>
      </c>
      <c r="M39" t="str">
        <v/>
      </c>
      <c r="N39" t="str">
        <v/>
      </c>
      <c r="O39" t="str">
        <v/>
      </c>
      <c r="P39">
        <f t="shared" si="5"/>
        <v>0</v>
      </c>
      <c r="Q39">
        <f t="shared" si="6"/>
        <v>0</v>
      </c>
      <c r="R39">
        <f t="shared" si="7"/>
        <v>0</v>
      </c>
      <c r="S39">
        <f t="shared" si="3"/>
        <v>0</v>
      </c>
      <c r="T39">
        <f t="shared" si="4"/>
        <v>0</v>
      </c>
    </row>
    <row r="40" x14ac:dyDescent="0.35">
      <c r="A40" t="str">
        <v/>
      </c>
      <c r="B40" t="str">
        <v/>
      </c>
      <c r="C40" t="str">
        <v/>
      </c>
      <c r="D40" t="str">
        <v/>
      </c>
      <c r="E40" t="str">
        <v/>
      </c>
      <c r="F40" t="str">
        <v/>
      </c>
      <c r="G40" t="str">
        <v/>
      </c>
      <c r="H40" t="str">
        <v/>
      </c>
      <c r="I40" t="str">
        <v/>
      </c>
      <c r="J40" t="str">
        <v/>
      </c>
      <c r="K40" t="str">
        <v/>
      </c>
      <c r="L40" t="str">
        <v/>
      </c>
      <c r="M40" t="str">
        <v/>
      </c>
      <c r="N40" t="str">
        <v/>
      </c>
      <c r="O40" t="str">
        <v/>
      </c>
      <c r="P40">
        <f t="shared" si="5"/>
        <v>0</v>
      </c>
      <c r="Q40">
        <f t="shared" si="6"/>
        <v>0</v>
      </c>
      <c r="R40">
        <f t="shared" si="7"/>
        <v>0</v>
      </c>
      <c r="S40">
        <f t="shared" si="3"/>
        <v>0</v>
      </c>
      <c r="T40">
        <f t="shared" si="4"/>
        <v>0</v>
      </c>
    </row>
    <row r="41" x14ac:dyDescent="0.35">
      <c r="A41" t="str">
        <v/>
      </c>
      <c r="B41" t="str">
        <v/>
      </c>
      <c r="C41" t="str">
        <v/>
      </c>
      <c r="D41" t="str">
        <v/>
      </c>
      <c r="E41" t="str">
        <v/>
      </c>
      <c r="F41" t="str">
        <v/>
      </c>
      <c r="G41" t="str">
        <v/>
      </c>
      <c r="H41" t="str">
        <v/>
      </c>
      <c r="I41" t="str">
        <v/>
      </c>
      <c r="J41" t="str">
        <v/>
      </c>
      <c r="K41" t="str">
        <v/>
      </c>
      <c r="L41" t="str">
        <v/>
      </c>
      <c r="M41" t="str">
        <v/>
      </c>
      <c r="N41" t="str">
        <v/>
      </c>
      <c r="O41" t="str">
        <v/>
      </c>
      <c r="P41">
        <f t="shared" si="5"/>
        <v>0</v>
      </c>
      <c r="Q41">
        <f t="shared" si="6"/>
        <v>0</v>
      </c>
      <c r="R41">
        <f t="shared" si="7"/>
        <v>0</v>
      </c>
      <c r="S41">
        <f t="shared" si="3"/>
        <v>0</v>
      </c>
      <c r="T41">
        <f t="shared" si="4"/>
        <v>0</v>
      </c>
    </row>
    <row r="42" x14ac:dyDescent="0.35">
      <c r="A42" t="str">
        <v/>
      </c>
      <c r="B42" t="str">
        <v/>
      </c>
      <c r="C42" t="str">
        <v/>
      </c>
      <c r="D42" t="str">
        <v/>
      </c>
      <c r="E42" t="str">
        <v/>
      </c>
      <c r="F42" t="str">
        <v/>
      </c>
      <c r="G42" t="str">
        <v/>
      </c>
      <c r="H42" t="str">
        <v/>
      </c>
      <c r="I42" t="str">
        <v/>
      </c>
      <c r="J42" t="str">
        <v/>
      </c>
      <c r="K42" t="str">
        <v/>
      </c>
      <c r="L42" t="str">
        <v/>
      </c>
      <c r="M42" t="str">
        <v/>
      </c>
      <c r="N42" t="str">
        <v/>
      </c>
      <c r="O42" t="str">
        <v/>
      </c>
      <c r="P42">
        <f t="shared" si="5"/>
        <v>0</v>
      </c>
      <c r="Q42">
        <f t="shared" si="6"/>
        <v>0</v>
      </c>
      <c r="R42">
        <f t="shared" si="7"/>
        <v>0</v>
      </c>
      <c r="S42">
        <f t="shared" si="3"/>
        <v>0</v>
      </c>
      <c r="T42">
        <f t="shared" si="4"/>
        <v>0</v>
      </c>
    </row>
    <row r="43" x14ac:dyDescent="0.35">
      <c r="A43" t="str">
        <v/>
      </c>
      <c r="B43" t="str">
        <v/>
      </c>
      <c r="C43" t="str">
        <v/>
      </c>
      <c r="D43" t="str">
        <v/>
      </c>
      <c r="E43" t="str">
        <v/>
      </c>
      <c r="F43" t="str">
        <v/>
      </c>
      <c r="G43" t="str">
        <v/>
      </c>
      <c r="H43" t="str">
        <v/>
      </c>
      <c r="I43" t="str">
        <v/>
      </c>
      <c r="J43" t="str">
        <v/>
      </c>
      <c r="K43" t="str">
        <v/>
      </c>
      <c r="L43" t="str">
        <v/>
      </c>
      <c r="M43" t="str">
        <v/>
      </c>
      <c r="N43" t="str">
        <v/>
      </c>
      <c r="O43" t="str">
        <v/>
      </c>
      <c r="P43">
        <f t="shared" si="5"/>
        <v>0</v>
      </c>
      <c r="Q43">
        <f t="shared" si="6"/>
        <v>0</v>
      </c>
      <c r="R43">
        <f t="shared" si="7"/>
        <v>0</v>
      </c>
      <c r="S43">
        <f t="shared" si="3"/>
        <v>0</v>
      </c>
      <c r="T43">
        <f t="shared" si="4"/>
        <v>0</v>
      </c>
    </row>
    <row r="44" x14ac:dyDescent="0.35">
      <c r="A44" t="str">
        <v/>
      </c>
      <c r="B44" t="str">
        <v/>
      </c>
      <c r="C44" t="str">
        <v/>
      </c>
      <c r="D44" t="str">
        <v/>
      </c>
      <c r="E44" t="str">
        <v/>
      </c>
      <c r="F44" t="str">
        <v/>
      </c>
      <c r="G44" t="str">
        <v/>
      </c>
      <c r="H44" t="str">
        <v/>
      </c>
      <c r="I44" t="str">
        <v/>
      </c>
      <c r="J44" t="str">
        <v/>
      </c>
      <c r="K44" t="str">
        <v/>
      </c>
      <c r="L44" t="str">
        <v/>
      </c>
      <c r="M44" t="str">
        <v/>
      </c>
      <c r="N44" t="str">
        <v/>
      </c>
      <c r="O44" t="str">
        <v/>
      </c>
      <c r="P44">
        <f t="shared" si="5"/>
        <v>0</v>
      </c>
      <c r="Q44">
        <f t="shared" si="6"/>
        <v>0</v>
      </c>
      <c r="R44">
        <f t="shared" si="7"/>
        <v>0</v>
      </c>
      <c r="S44">
        <f t="shared" si="3"/>
        <v>0</v>
      </c>
      <c r="T44">
        <f t="shared" si="4"/>
        <v>0</v>
      </c>
    </row>
    <row r="45" x14ac:dyDescent="0.35">
      <c r="A45" t="str">
        <v/>
      </c>
      <c r="B45" t="str">
        <v/>
      </c>
      <c r="C45" t="str">
        <v/>
      </c>
      <c r="D45" t="str">
        <v/>
      </c>
      <c r="E45" t="str">
        <v/>
      </c>
      <c r="F45" t="str">
        <v/>
      </c>
      <c r="G45" t="str">
        <v/>
      </c>
      <c r="H45" t="str">
        <v/>
      </c>
      <c r="I45" t="str">
        <v/>
      </c>
      <c r="J45" t="str">
        <v/>
      </c>
      <c r="K45" t="str">
        <v/>
      </c>
      <c r="L45" t="str">
        <v/>
      </c>
      <c r="M45" t="str">
        <v/>
      </c>
      <c r="N45" t="str">
        <v/>
      </c>
      <c r="O45" t="str">
        <v/>
      </c>
      <c r="P45">
        <f t="shared" si="5"/>
        <v>0</v>
      </c>
      <c r="Q45">
        <f t="shared" si="6"/>
        <v>0</v>
      </c>
      <c r="R45">
        <f t="shared" si="7"/>
        <v>0</v>
      </c>
      <c r="S45">
        <f t="shared" si="3"/>
        <v>0</v>
      </c>
      <c r="T45">
        <f t="shared" si="4"/>
        <v>0</v>
      </c>
    </row>
    <row r="46" x14ac:dyDescent="0.35">
      <c r="A46" t="str">
        <v/>
      </c>
      <c r="B46" t="str">
        <v/>
      </c>
      <c r="C46" t="str">
        <v/>
      </c>
      <c r="D46" t="str">
        <v/>
      </c>
      <c r="E46" t="str">
        <v/>
      </c>
      <c r="F46" t="str">
        <v/>
      </c>
      <c r="G46" t="str">
        <v/>
      </c>
      <c r="H46" t="str">
        <v/>
      </c>
      <c r="I46" t="str">
        <v/>
      </c>
      <c r="J46" t="str">
        <v/>
      </c>
      <c r="K46" t="str">
        <v/>
      </c>
      <c r="L46" t="str">
        <v/>
      </c>
      <c r="M46" t="str">
        <v/>
      </c>
      <c r="N46" t="str">
        <v/>
      </c>
      <c r="O46" t="str">
        <v/>
      </c>
      <c r="P46">
        <f t="shared" si="5"/>
        <v>0</v>
      </c>
      <c r="Q46">
        <f t="shared" si="6"/>
        <v>0</v>
      </c>
      <c r="R46">
        <f t="shared" si="7"/>
        <v>0</v>
      </c>
      <c r="S46">
        <f t="shared" si="3"/>
        <v>0</v>
      </c>
      <c r="T46">
        <f t="shared" si="4"/>
        <v>0</v>
      </c>
    </row>
    <row r="47" x14ac:dyDescent="0.35">
      <c r="A47" t="str">
        <v/>
      </c>
      <c r="B47" t="str">
        <v/>
      </c>
      <c r="C47" t="str">
        <v/>
      </c>
      <c r="D47" t="str">
        <v/>
      </c>
      <c r="E47" t="str">
        <v/>
      </c>
      <c r="F47" t="str">
        <v/>
      </c>
      <c r="G47" t="str">
        <v/>
      </c>
      <c r="H47" t="str">
        <v/>
      </c>
      <c r="I47" t="str">
        <v/>
      </c>
      <c r="J47" t="str">
        <v/>
      </c>
      <c r="K47" t="str">
        <v/>
      </c>
      <c r="L47" t="str">
        <v/>
      </c>
      <c r="M47" t="str">
        <v/>
      </c>
      <c r="N47" t="str">
        <v/>
      </c>
      <c r="O47" t="str">
        <v/>
      </c>
      <c r="P47">
        <f t="shared" si="5"/>
        <v>0</v>
      </c>
      <c r="Q47">
        <f t="shared" si="6"/>
        <v>0</v>
      </c>
      <c r="R47">
        <f t="shared" si="7"/>
        <v>0</v>
      </c>
      <c r="S47">
        <f t="shared" si="3"/>
        <v>0</v>
      </c>
      <c r="T47">
        <f t="shared" si="4"/>
        <v>0</v>
      </c>
    </row>
    <row r="48" x14ac:dyDescent="0.35">
      <c r="A48" t="str">
        <v/>
      </c>
      <c r="B48" t="str">
        <v/>
      </c>
      <c r="C48" t="str">
        <v/>
      </c>
      <c r="D48" t="str">
        <v/>
      </c>
      <c r="E48" t="str">
        <v/>
      </c>
      <c r="F48" t="str">
        <v/>
      </c>
      <c r="G48" t="str">
        <v/>
      </c>
      <c r="H48" t="str">
        <v/>
      </c>
      <c r="I48" t="str">
        <v/>
      </c>
      <c r="J48" t="str">
        <v/>
      </c>
      <c r="K48" t="str">
        <v/>
      </c>
      <c r="L48" t="str">
        <v/>
      </c>
      <c r="M48" t="str">
        <v/>
      </c>
      <c r="N48" t="str">
        <v/>
      </c>
      <c r="O48" t="str">
        <v/>
      </c>
      <c r="P48">
        <f t="shared" si="5"/>
        <v>0</v>
      </c>
      <c r="Q48">
        <f t="shared" si="6"/>
        <v>0</v>
      </c>
      <c r="R48">
        <f t="shared" si="7"/>
        <v>0</v>
      </c>
      <c r="S48">
        <f t="shared" si="3"/>
        <v>0</v>
      </c>
      <c r="T48">
        <f t="shared" si="4"/>
        <v>0</v>
      </c>
    </row>
    <row r="49" x14ac:dyDescent="0.35">
      <c r="A49" t="str">
        <v/>
      </c>
      <c r="B49" t="str">
        <v/>
      </c>
      <c r="C49" t="str">
        <v/>
      </c>
      <c r="D49" t="str">
        <v/>
      </c>
      <c r="E49" t="str">
        <v/>
      </c>
      <c r="F49" t="str">
        <v/>
      </c>
      <c r="G49" t="str">
        <v/>
      </c>
      <c r="H49" t="str">
        <v/>
      </c>
      <c r="I49" t="str">
        <v/>
      </c>
      <c r="J49" t="str">
        <v/>
      </c>
      <c r="K49" t="str">
        <v/>
      </c>
      <c r="L49" t="str">
        <v/>
      </c>
      <c r="M49" t="str">
        <v/>
      </c>
      <c r="N49" t="str">
        <v/>
      </c>
      <c r="O49" t="str">
        <v/>
      </c>
      <c r="P49">
        <f t="shared" si="5"/>
        <v>0</v>
      </c>
      <c r="Q49">
        <f t="shared" si="6"/>
        <v>0</v>
      </c>
      <c r="R49">
        <f t="shared" si="7"/>
        <v>0</v>
      </c>
      <c r="S49">
        <f t="shared" si="3"/>
        <v>0</v>
      </c>
      <c r="T49">
        <f t="shared" si="4"/>
        <v>0</v>
      </c>
    </row>
    <row r="50" x14ac:dyDescent="0.35">
      <c r="A50" t="str">
        <v/>
      </c>
      <c r="B50" t="str">
        <v/>
      </c>
      <c r="C50" t="str">
        <v/>
      </c>
      <c r="D50" t="str">
        <v/>
      </c>
      <c r="E50" t="str">
        <v/>
      </c>
      <c r="F50" t="str">
        <v/>
      </c>
      <c r="G50" t="str">
        <v/>
      </c>
      <c r="H50" t="str">
        <v/>
      </c>
      <c r="I50" t="str">
        <v/>
      </c>
      <c r="J50" t="str">
        <v/>
      </c>
      <c r="K50" t="str">
        <v/>
      </c>
      <c r="L50" t="str">
        <v/>
      </c>
      <c r="M50" t="str">
        <v/>
      </c>
      <c r="N50" t="str">
        <v/>
      </c>
      <c r="O50" t="str">
        <v/>
      </c>
      <c r="P50">
        <f t="shared" si="5"/>
        <v>0</v>
      </c>
      <c r="Q50">
        <f t="shared" si="6"/>
        <v>0</v>
      </c>
      <c r="R50">
        <f t="shared" si="7"/>
        <v>0</v>
      </c>
      <c r="S50">
        <f t="shared" si="3"/>
        <v>0</v>
      </c>
      <c r="T50">
        <f t="shared" si="4"/>
        <v>0</v>
      </c>
    </row>
    <row r="51" x14ac:dyDescent="0.35">
      <c r="A51" t="str">
        <v/>
      </c>
      <c r="B51" t="str">
        <v/>
      </c>
      <c r="C51" t="str">
        <v/>
      </c>
      <c r="D51" t="str">
        <v/>
      </c>
      <c r="E51" t="str">
        <v/>
      </c>
      <c r="F51" t="str">
        <v/>
      </c>
      <c r="G51" t="str">
        <v/>
      </c>
      <c r="H51" t="str">
        <v/>
      </c>
      <c r="I51" t="str">
        <v/>
      </c>
      <c r="J51" t="str">
        <v/>
      </c>
      <c r="K51" t="str">
        <v/>
      </c>
      <c r="L51" t="str">
        <v/>
      </c>
      <c r="M51" t="str">
        <v/>
      </c>
      <c r="N51" t="str">
        <v/>
      </c>
      <c r="O51" t="str">
        <v/>
      </c>
      <c r="P51">
        <f t="shared" si="5"/>
        <v>0</v>
      </c>
      <c r="Q51">
        <f t="shared" si="6"/>
        <v>0</v>
      </c>
      <c r="R51">
        <f t="shared" si="7"/>
        <v>0</v>
      </c>
      <c r="S51">
        <f t="shared" si="3"/>
        <v>0</v>
      </c>
      <c r="T51">
        <f t="shared" si="4"/>
        <v>0</v>
      </c>
    </row>
    <row r="52" x14ac:dyDescent="0.35">
      <c r="A52" t="str">
        <v/>
      </c>
      <c r="B52" t="str">
        <v/>
      </c>
      <c r="C52" t="str">
        <v/>
      </c>
      <c r="D52" t="str">
        <v/>
      </c>
      <c r="E52" t="str">
        <v/>
      </c>
      <c r="F52" t="str">
        <v/>
      </c>
      <c r="G52" t="str">
        <v/>
      </c>
      <c r="H52" t="str">
        <v/>
      </c>
      <c r="I52" t="str">
        <v/>
      </c>
      <c r="J52" t="str">
        <v/>
      </c>
      <c r="K52" t="str">
        <v/>
      </c>
      <c r="L52" t="str">
        <v/>
      </c>
      <c r="M52" t="str">
        <v/>
      </c>
      <c r="N52" t="str">
        <v/>
      </c>
      <c r="O52" t="str">
        <v/>
      </c>
      <c r="P52">
        <f t="shared" si="5"/>
        <v>0</v>
      </c>
      <c r="Q52">
        <f t="shared" si="6"/>
        <v>0</v>
      </c>
      <c r="R52">
        <f t="shared" si="7"/>
        <v>0</v>
      </c>
      <c r="S52">
        <f t="shared" si="3"/>
        <v>0</v>
      </c>
      <c r="T52">
        <f t="shared" si="4"/>
        <v>0</v>
      </c>
    </row>
    <row r="53" x14ac:dyDescent="0.35">
      <c r="A53" t="str">
        <v/>
      </c>
      <c r="B53" t="str">
        <v/>
      </c>
      <c r="C53" t="str">
        <v/>
      </c>
      <c r="D53" t="str">
        <v/>
      </c>
      <c r="E53" t="str">
        <v/>
      </c>
      <c r="F53" t="str">
        <v/>
      </c>
      <c r="G53" t="str">
        <v/>
      </c>
      <c r="H53" t="str">
        <v/>
      </c>
      <c r="I53" t="str">
        <v/>
      </c>
      <c r="J53" t="str">
        <v/>
      </c>
      <c r="K53" t="str">
        <v/>
      </c>
      <c r="L53" t="str">
        <v/>
      </c>
      <c r="M53" t="str">
        <v/>
      </c>
      <c r="N53" t="str">
        <v/>
      </c>
      <c r="O53" t="str">
        <v/>
      </c>
      <c r="P53">
        <f t="shared" si="5"/>
        <v>0</v>
      </c>
      <c r="Q53">
        <f t="shared" si="6"/>
        <v>0</v>
      </c>
      <c r="R53">
        <f t="shared" si="7"/>
        <v>0</v>
      </c>
      <c r="S53">
        <f t="shared" si="3"/>
        <v>0</v>
      </c>
      <c r="T53">
        <f t="shared" si="4"/>
        <v>0</v>
      </c>
    </row>
    <row r="54" x14ac:dyDescent="0.35">
      <c r="A54" t="str">
        <v/>
      </c>
      <c r="B54" t="str">
        <v/>
      </c>
      <c r="C54" t="str">
        <v/>
      </c>
      <c r="D54" t="str">
        <v/>
      </c>
      <c r="E54" t="str">
        <v/>
      </c>
      <c r="F54" t="str">
        <v/>
      </c>
      <c r="G54" t="str">
        <v/>
      </c>
      <c r="H54" t="str">
        <v/>
      </c>
      <c r="I54" t="str">
        <v/>
      </c>
      <c r="J54" t="str">
        <v/>
      </c>
      <c r="K54" t="str">
        <v/>
      </c>
      <c r="L54" t="str">
        <v/>
      </c>
      <c r="M54" t="str">
        <v/>
      </c>
      <c r="N54" t="str">
        <v/>
      </c>
      <c r="O54" t="str">
        <v/>
      </c>
      <c r="P54">
        <f t="shared" si="5"/>
        <v>0</v>
      </c>
      <c r="Q54">
        <f t="shared" si="6"/>
        <v>0</v>
      </c>
      <c r="R54">
        <f t="shared" si="7"/>
        <v>0</v>
      </c>
      <c r="S54">
        <f t="shared" si="3"/>
        <v>0</v>
      </c>
      <c r="T54">
        <f t="shared" si="4"/>
        <v>0</v>
      </c>
    </row>
    <row r="55" x14ac:dyDescent="0.35">
      <c r="A55" t="str">
        <v/>
      </c>
      <c r="B55" t="str">
        <v/>
      </c>
      <c r="C55" t="str">
        <v/>
      </c>
      <c r="D55" t="str">
        <v/>
      </c>
      <c r="E55" t="str">
        <v/>
      </c>
      <c r="F55" t="str">
        <v/>
      </c>
      <c r="G55" t="str">
        <v/>
      </c>
      <c r="H55" t="str">
        <v/>
      </c>
      <c r="I55" t="str">
        <v/>
      </c>
      <c r="J55" t="str">
        <v/>
      </c>
      <c r="K55" t="str">
        <v/>
      </c>
      <c r="L55" t="str">
        <v/>
      </c>
      <c r="M55" t="str">
        <v/>
      </c>
      <c r="N55" t="str">
        <v/>
      </c>
      <c r="O55" t="str">
        <v/>
      </c>
      <c r="P55">
        <f t="shared" si="5"/>
        <v>0</v>
      </c>
      <c r="Q55">
        <f t="shared" si="6"/>
        <v>0</v>
      </c>
      <c r="R55">
        <f t="shared" si="7"/>
        <v>0</v>
      </c>
      <c r="S55">
        <f t="shared" si="3"/>
        <v>0</v>
      </c>
      <c r="T55">
        <f t="shared" si="4"/>
        <v>0</v>
      </c>
    </row>
    <row r="56" x14ac:dyDescent="0.35">
      <c r="A56" t="str">
        <v/>
      </c>
      <c r="B56" t="str">
        <v/>
      </c>
      <c r="C56" t="str">
        <v/>
      </c>
      <c r="D56" t="str">
        <v/>
      </c>
      <c r="E56" t="str">
        <v/>
      </c>
      <c r="F56" t="str">
        <v/>
      </c>
      <c r="G56" t="str">
        <v/>
      </c>
      <c r="H56" t="str">
        <v/>
      </c>
      <c r="I56" t="str">
        <v/>
      </c>
      <c r="J56" t="str">
        <v/>
      </c>
      <c r="K56" t="str">
        <v/>
      </c>
      <c r="L56" t="str">
        <v/>
      </c>
      <c r="M56" t="str">
        <v/>
      </c>
      <c r="N56" t="str">
        <v/>
      </c>
      <c r="O56" t="str">
        <v/>
      </c>
      <c r="P56">
        <f t="shared" si="5"/>
        <v>0</v>
      </c>
      <c r="Q56">
        <f t="shared" si="6"/>
        <v>0</v>
      </c>
      <c r="R56">
        <f t="shared" si="7"/>
        <v>0</v>
      </c>
      <c r="S56">
        <f t="shared" si="3"/>
        <v>0</v>
      </c>
      <c r="T56">
        <f t="shared" si="4"/>
        <v>0</v>
      </c>
    </row>
    <row r="57" x14ac:dyDescent="0.35">
      <c r="A57" t="str">
        <v/>
      </c>
      <c r="B57" t="str">
        <v/>
      </c>
      <c r="C57" t="str">
        <v/>
      </c>
      <c r="D57" t="str">
        <v/>
      </c>
      <c r="E57" t="str">
        <v/>
      </c>
      <c r="F57" t="str">
        <v/>
      </c>
      <c r="G57" t="str">
        <v/>
      </c>
      <c r="H57" t="str">
        <v/>
      </c>
      <c r="I57" t="str">
        <v/>
      </c>
      <c r="J57" t="str">
        <v/>
      </c>
      <c r="K57" t="str">
        <v/>
      </c>
      <c r="L57" t="str">
        <v/>
      </c>
      <c r="M57" t="str">
        <v/>
      </c>
      <c r="N57" t="str">
        <v/>
      </c>
      <c r="O57" t="str">
        <v/>
      </c>
      <c r="P57">
        <f t="shared" si="5"/>
        <v>0</v>
      </c>
      <c r="Q57">
        <f t="shared" si="6"/>
        <v>0</v>
      </c>
      <c r="R57">
        <f t="shared" si="7"/>
        <v>0</v>
      </c>
      <c r="S57">
        <f t="shared" si="3"/>
        <v>0</v>
      </c>
      <c r="T57">
        <f t="shared" si="4"/>
        <v>0</v>
      </c>
    </row>
    <row r="58" x14ac:dyDescent="0.35">
      <c r="A58" t="str">
        <v/>
      </c>
      <c r="B58" t="str">
        <v/>
      </c>
      <c r="C58" t="str">
        <v/>
      </c>
      <c r="D58" t="str">
        <v/>
      </c>
      <c r="E58" t="str">
        <v/>
      </c>
      <c r="F58" t="str">
        <v/>
      </c>
      <c r="G58" t="str">
        <v/>
      </c>
      <c r="H58" t="str">
        <v/>
      </c>
      <c r="I58" t="str">
        <v/>
      </c>
      <c r="J58" t="str">
        <v/>
      </c>
      <c r="K58" t="str">
        <v/>
      </c>
      <c r="L58" t="str">
        <v/>
      </c>
      <c r="M58" t="str">
        <v/>
      </c>
      <c r="N58" t="str">
        <v/>
      </c>
      <c r="O58" t="str">
        <v/>
      </c>
      <c r="P58">
        <f t="shared" si="5"/>
        <v>0</v>
      </c>
      <c r="Q58">
        <f t="shared" si="6"/>
        <v>0</v>
      </c>
      <c r="R58">
        <f t="shared" si="7"/>
        <v>0</v>
      </c>
      <c r="S58">
        <f t="shared" si="3"/>
        <v>0</v>
      </c>
      <c r="T58">
        <f t="shared" si="4"/>
        <v>0</v>
      </c>
    </row>
    <row r="59" x14ac:dyDescent="0.35">
      <c r="A59" t="str">
        <v/>
      </c>
      <c r="B59" t="str">
        <v/>
      </c>
      <c r="C59" t="str">
        <v/>
      </c>
      <c r="D59" t="str">
        <v/>
      </c>
      <c r="E59" t="str">
        <v/>
      </c>
      <c r="F59" t="str">
        <v/>
      </c>
      <c r="G59" t="str">
        <v/>
      </c>
      <c r="H59" t="str">
        <v/>
      </c>
      <c r="I59" t="str">
        <v/>
      </c>
      <c r="J59" t="str">
        <v/>
      </c>
      <c r="K59" t="str">
        <v/>
      </c>
      <c r="L59" t="str">
        <v/>
      </c>
      <c r="M59" t="str">
        <v/>
      </c>
      <c r="N59" t="str">
        <v/>
      </c>
      <c r="O59" t="str">
        <v/>
      </c>
      <c r="P59">
        <f t="shared" si="5"/>
        <v>0</v>
      </c>
      <c r="Q59">
        <f t="shared" si="6"/>
        <v>0</v>
      </c>
      <c r="R59">
        <f t="shared" si="7"/>
        <v>0</v>
      </c>
      <c r="S59">
        <f t="shared" si="3"/>
        <v>0</v>
      </c>
      <c r="T59">
        <f t="shared" si="4"/>
        <v>0</v>
      </c>
    </row>
    <row r="60" x14ac:dyDescent="0.35">
      <c r="A60" t="str">
        <v/>
      </c>
      <c r="B60" t="str">
        <v/>
      </c>
      <c r="C60" t="str">
        <v/>
      </c>
      <c r="D60" t="str">
        <v/>
      </c>
      <c r="E60" t="str">
        <v/>
      </c>
      <c r="F60" t="str">
        <v/>
      </c>
      <c r="G60" t="str">
        <v/>
      </c>
      <c r="H60" t="str">
        <v/>
      </c>
      <c r="I60" t="str">
        <v/>
      </c>
      <c r="J60" t="str">
        <v/>
      </c>
      <c r="K60" t="str">
        <v/>
      </c>
      <c r="L60" t="str">
        <v/>
      </c>
      <c r="M60" t="str">
        <v/>
      </c>
      <c r="N60" t="str">
        <v/>
      </c>
      <c r="O60" t="str">
        <v/>
      </c>
      <c r="P60">
        <f t="shared" si="5"/>
        <v>0</v>
      </c>
      <c r="Q60">
        <f t="shared" si="6"/>
        <v>0</v>
      </c>
      <c r="R60">
        <f t="shared" si="7"/>
        <v>0</v>
      </c>
      <c r="S60">
        <f t="shared" si="3"/>
        <v>0</v>
      </c>
      <c r="T60">
        <f t="shared" si="4"/>
        <v>0</v>
      </c>
    </row>
    <row r="61" x14ac:dyDescent="0.35">
      <c r="A61" t="str">
        <v/>
      </c>
      <c r="B61" t="str">
        <v/>
      </c>
      <c r="C61" t="str">
        <v/>
      </c>
      <c r="D61" t="str">
        <v/>
      </c>
      <c r="E61" t="str">
        <v/>
      </c>
      <c r="F61" t="str">
        <v/>
      </c>
      <c r="G61" t="str">
        <v/>
      </c>
      <c r="H61" t="str">
        <v/>
      </c>
      <c r="I61" t="str">
        <v/>
      </c>
      <c r="J61" t="str">
        <v/>
      </c>
      <c r="K61" t="str">
        <v/>
      </c>
      <c r="L61" t="str">
        <v/>
      </c>
      <c r="M61" t="str">
        <v/>
      </c>
      <c r="N61" t="str">
        <v/>
      </c>
      <c r="O61" t="str">
        <v/>
      </c>
      <c r="P61">
        <f t="shared" si="5"/>
        <v>0</v>
      </c>
      <c r="Q61">
        <f t="shared" si="6"/>
        <v>0</v>
      </c>
      <c r="R61">
        <f t="shared" si="7"/>
        <v>0</v>
      </c>
      <c r="S61">
        <f t="shared" si="3"/>
        <v>0</v>
      </c>
      <c r="T61">
        <f t="shared" si="4"/>
        <v>0</v>
      </c>
    </row>
    <row r="62" x14ac:dyDescent="0.35">
      <c r="A62" t="str">
        <v/>
      </c>
      <c r="B62" t="str">
        <v/>
      </c>
      <c r="C62" t="str">
        <v/>
      </c>
      <c r="D62" t="str">
        <v/>
      </c>
      <c r="E62" t="str">
        <v/>
      </c>
      <c r="F62" t="str">
        <v/>
      </c>
      <c r="G62" t="str">
        <v/>
      </c>
      <c r="H62" t="str">
        <v/>
      </c>
      <c r="I62" t="str">
        <v/>
      </c>
      <c r="J62" t="str">
        <v/>
      </c>
      <c r="K62" t="str">
        <v/>
      </c>
      <c r="L62" t="str">
        <v/>
      </c>
      <c r="M62" t="str">
        <v/>
      </c>
      <c r="N62" t="str">
        <v/>
      </c>
      <c r="O62" t="str">
        <v/>
      </c>
      <c r="P62">
        <f t="shared" si="5"/>
        <v>0</v>
      </c>
      <c r="Q62">
        <f t="shared" si="6"/>
        <v>0</v>
      </c>
      <c r="R62">
        <f t="shared" si="7"/>
        <v>0</v>
      </c>
      <c r="S62">
        <f t="shared" si="3"/>
        <v>0</v>
      </c>
      <c r="T62">
        <f t="shared" si="4"/>
        <v>0</v>
      </c>
    </row>
    <row r="63" x14ac:dyDescent="0.35">
      <c r="A63" t="str">
        <v/>
      </c>
      <c r="B63" t="str">
        <v/>
      </c>
      <c r="C63" t="str">
        <v/>
      </c>
      <c r="D63" t="str">
        <v/>
      </c>
      <c r="E63" t="str">
        <v/>
      </c>
      <c r="F63" t="str">
        <v/>
      </c>
      <c r="G63" t="str">
        <v/>
      </c>
      <c r="H63" t="str">
        <v/>
      </c>
      <c r="I63" t="str">
        <v/>
      </c>
      <c r="J63" t="str">
        <v/>
      </c>
      <c r="K63" t="str">
        <v/>
      </c>
      <c r="L63" t="str">
        <v/>
      </c>
      <c r="M63" t="str">
        <v/>
      </c>
      <c r="N63" t="str">
        <v/>
      </c>
      <c r="O63" t="str">
        <v/>
      </c>
      <c r="P63">
        <f t="shared" si="5"/>
        <v>0</v>
      </c>
      <c r="Q63">
        <f t="shared" si="6"/>
        <v>0</v>
      </c>
      <c r="R63">
        <f t="shared" si="7"/>
        <v>0</v>
      </c>
      <c r="S63">
        <f t="shared" si="3"/>
        <v>0</v>
      </c>
      <c r="T63">
        <f t="shared" si="4"/>
        <v>0</v>
      </c>
    </row>
    <row r="64" x14ac:dyDescent="0.35">
      <c r="A64" t="str">
        <v/>
      </c>
      <c r="B64" t="str">
        <v/>
      </c>
      <c r="C64" t="str">
        <v/>
      </c>
      <c r="D64" t="str">
        <v/>
      </c>
      <c r="E64" t="str">
        <v/>
      </c>
      <c r="F64" t="str">
        <v/>
      </c>
      <c r="G64" t="str">
        <v/>
      </c>
      <c r="H64" t="str">
        <v/>
      </c>
      <c r="I64" t="str">
        <v/>
      </c>
      <c r="J64" t="str">
        <v/>
      </c>
      <c r="K64" t="str">
        <v/>
      </c>
      <c r="L64" t="str">
        <v/>
      </c>
      <c r="M64" t="str">
        <v/>
      </c>
      <c r="N64" t="str">
        <v/>
      </c>
      <c r="O64" t="str">
        <v/>
      </c>
      <c r="P64">
        <f t="shared" si="5"/>
        <v>0</v>
      </c>
      <c r="Q64">
        <f t="shared" si="6"/>
        <v>0</v>
      </c>
      <c r="R64">
        <f t="shared" si="7"/>
        <v>0</v>
      </c>
      <c r="S64">
        <f t="shared" si="3"/>
        <v>0</v>
      </c>
      <c r="T64">
        <f t="shared" si="4"/>
        <v>0</v>
      </c>
    </row>
    <row r="65" x14ac:dyDescent="0.35">
      <c r="A65" t="str">
        <v/>
      </c>
      <c r="B65" t="str">
        <v/>
      </c>
      <c r="C65" t="str">
        <v/>
      </c>
      <c r="D65" t="str">
        <v/>
      </c>
      <c r="E65" t="str">
        <v/>
      </c>
      <c r="F65" t="str">
        <v/>
      </c>
      <c r="G65" t="str">
        <v/>
      </c>
      <c r="H65" t="str">
        <v/>
      </c>
      <c r="I65" t="str">
        <v/>
      </c>
      <c r="J65" t="str">
        <v/>
      </c>
      <c r="K65" t="str">
        <v/>
      </c>
      <c r="L65" t="str">
        <v/>
      </c>
      <c r="M65" t="str">
        <v/>
      </c>
      <c r="N65" t="str">
        <v/>
      </c>
      <c r="O65" t="str">
        <v/>
      </c>
      <c r="P65">
        <f t="shared" si="5"/>
        <v>0</v>
      </c>
      <c r="Q65">
        <f t="shared" si="6"/>
        <v>0</v>
      </c>
      <c r="R65">
        <f t="shared" si="7"/>
        <v>0</v>
      </c>
      <c r="S65">
        <f t="shared" si="3"/>
        <v>0</v>
      </c>
      <c r="T65">
        <f t="shared" si="4"/>
        <v>0</v>
      </c>
    </row>
    <row r="66" x14ac:dyDescent="0.35">
      <c r="A66" t="str">
        <v/>
      </c>
      <c r="B66" t="str">
        <v/>
      </c>
      <c r="C66" t="str">
        <v/>
      </c>
      <c r="D66" t="str">
        <v/>
      </c>
      <c r="E66" t="str">
        <v/>
      </c>
      <c r="F66" t="str">
        <v/>
      </c>
      <c r="G66" t="str">
        <v/>
      </c>
      <c r="H66" t="str">
        <v/>
      </c>
      <c r="I66" t="str">
        <v/>
      </c>
      <c r="J66" t="str">
        <v/>
      </c>
      <c r="K66" t="str">
        <v/>
      </c>
      <c r="L66" t="str">
        <v/>
      </c>
      <c r="M66" t="str">
        <v/>
      </c>
      <c r="N66" t="str">
        <v/>
      </c>
      <c r="O66" t="str">
        <v/>
      </c>
      <c r="P66">
        <f t="shared" si="5"/>
        <v>0</v>
      </c>
      <c r="Q66">
        <f t="shared" si="6"/>
        <v>0</v>
      </c>
      <c r="R66">
        <f t="shared" si="7"/>
        <v>0</v>
      </c>
      <c r="S66">
        <f t="shared" si="3"/>
        <v>0</v>
      </c>
      <c r="T66">
        <f t="shared" si="4"/>
        <v>0</v>
      </c>
    </row>
    <row r="67" x14ac:dyDescent="0.35">
      <c r="A67" t="str">
        <v/>
      </c>
      <c r="B67" t="str">
        <v/>
      </c>
      <c r="C67" t="str">
        <v/>
      </c>
      <c r="D67" t="str">
        <v/>
      </c>
      <c r="E67" t="str">
        <v/>
      </c>
      <c r="F67" t="str">
        <v/>
      </c>
      <c r="G67" t="str">
        <v/>
      </c>
      <c r="H67" t="str">
        <v/>
      </c>
      <c r="I67" t="str">
        <v/>
      </c>
      <c r="J67" t="str">
        <v/>
      </c>
      <c r="K67" t="str">
        <v/>
      </c>
      <c r="L67" t="str">
        <v/>
      </c>
      <c r="M67" t="str">
        <v/>
      </c>
      <c r="N67" t="str">
        <v/>
      </c>
      <c r="O67" t="str">
        <v/>
      </c>
      <c r="P67">
        <f t="shared" si="5"/>
        <v>0</v>
      </c>
      <c r="Q67">
        <f t="shared" si="6"/>
        <v>0</v>
      </c>
      <c r="R67">
        <f t="shared" si="7"/>
        <v>0</v>
      </c>
      <c r="S67">
        <f t="shared" ref="S67:S130" si="8">IF(J67="Realizada completa",1,0)</f>
        <v>0</v>
      </c>
      <c r="T67">
        <f t="shared" ref="T67:T130" si="9">IF(J67="Sin respuesta",1,0)</f>
        <v>0</v>
      </c>
    </row>
    <row r="68" x14ac:dyDescent="0.35">
      <c r="A68" t="str">
        <v/>
      </c>
      <c r="B68" t="str">
        <v/>
      </c>
      <c r="C68" t="str">
        <v/>
      </c>
      <c r="D68" t="str">
        <v/>
      </c>
      <c r="E68" t="str">
        <v/>
      </c>
      <c r="F68" t="str">
        <v/>
      </c>
      <c r="G68" t="str">
        <v/>
      </c>
      <c r="H68" t="str">
        <v/>
      </c>
      <c r="I68" t="str">
        <v/>
      </c>
      <c r="J68" t="str">
        <v/>
      </c>
      <c r="K68" t="str">
        <v/>
      </c>
      <c r="L68" t="str">
        <v/>
      </c>
      <c r="M68" t="str">
        <v/>
      </c>
      <c r="N68" t="str">
        <v/>
      </c>
      <c r="O68" t="str">
        <v/>
      </c>
      <c r="P68">
        <f t="shared" ref="P68:P131" si="10">IF(F68="Sí",1,0)</f>
        <v>0</v>
      </c>
      <c r="Q68">
        <f t="shared" ref="Q68:Q131" si="11">IF(J68="En coordinación",1,0)</f>
        <v>0</v>
      </c>
      <c r="R68">
        <f t="shared" ref="R68:R131" si="12">IF(J68="En coordinación",1,0)</f>
        <v>0</v>
      </c>
      <c r="S68">
        <f t="shared" si="8"/>
        <v>0</v>
      </c>
      <c r="T68">
        <f t="shared" si="9"/>
        <v>0</v>
      </c>
    </row>
    <row r="69" x14ac:dyDescent="0.35">
      <c r="A69" t="str">
        <v/>
      </c>
      <c r="B69" t="str">
        <v/>
      </c>
      <c r="C69" t="str">
        <v/>
      </c>
      <c r="D69" t="str">
        <v/>
      </c>
      <c r="E69" t="str">
        <v/>
      </c>
      <c r="F69" t="str">
        <v/>
      </c>
      <c r="G69" t="str">
        <v/>
      </c>
      <c r="H69" t="str">
        <v/>
      </c>
      <c r="I69" t="str">
        <v/>
      </c>
      <c r="J69" t="str">
        <v/>
      </c>
      <c r="K69" t="str">
        <v/>
      </c>
      <c r="L69" t="str">
        <v/>
      </c>
      <c r="M69" t="str">
        <v/>
      </c>
      <c r="N69" t="str">
        <v/>
      </c>
      <c r="O69" t="str">
        <v/>
      </c>
      <c r="P69">
        <f t="shared" si="10"/>
        <v>0</v>
      </c>
      <c r="Q69">
        <f t="shared" si="11"/>
        <v>0</v>
      </c>
      <c r="R69">
        <f t="shared" si="12"/>
        <v>0</v>
      </c>
      <c r="S69">
        <f t="shared" si="8"/>
        <v>0</v>
      </c>
      <c r="T69">
        <f t="shared" si="9"/>
        <v>0</v>
      </c>
    </row>
    <row r="70" x14ac:dyDescent="0.35">
      <c r="A70" t="str">
        <v/>
      </c>
      <c r="B70" t="str">
        <v/>
      </c>
      <c r="C70" t="str">
        <v/>
      </c>
      <c r="D70" t="str">
        <v/>
      </c>
      <c r="E70" t="str">
        <v/>
      </c>
      <c r="F70" t="str">
        <v/>
      </c>
      <c r="G70" t="str">
        <v/>
      </c>
      <c r="H70" t="str">
        <v/>
      </c>
      <c r="I70" t="str">
        <v/>
      </c>
      <c r="J70" t="str">
        <v/>
      </c>
      <c r="K70" t="str">
        <v/>
      </c>
      <c r="L70" t="str">
        <v/>
      </c>
      <c r="M70" t="str">
        <v/>
      </c>
      <c r="N70" t="str">
        <v/>
      </c>
      <c r="O70" t="str">
        <v/>
      </c>
      <c r="P70">
        <f t="shared" si="10"/>
        <v>0</v>
      </c>
      <c r="Q70">
        <f t="shared" si="11"/>
        <v>0</v>
      </c>
      <c r="R70">
        <f t="shared" si="12"/>
        <v>0</v>
      </c>
      <c r="S70">
        <f t="shared" si="8"/>
        <v>0</v>
      </c>
      <c r="T70">
        <f t="shared" si="9"/>
        <v>0</v>
      </c>
    </row>
    <row r="71" x14ac:dyDescent="0.35">
      <c r="A71" t="str">
        <v/>
      </c>
      <c r="B71" t="str">
        <v/>
      </c>
      <c r="C71" t="str">
        <v/>
      </c>
      <c r="D71" t="str">
        <v/>
      </c>
      <c r="E71" t="str">
        <v/>
      </c>
      <c r="F71" t="str">
        <v/>
      </c>
      <c r="G71" t="str">
        <v/>
      </c>
      <c r="H71" t="str">
        <v/>
      </c>
      <c r="I71" t="str">
        <v/>
      </c>
      <c r="J71" t="str">
        <v/>
      </c>
      <c r="K71" t="str">
        <v/>
      </c>
      <c r="L71" t="str">
        <v/>
      </c>
      <c r="M71" t="str">
        <v/>
      </c>
      <c r="N71" t="str">
        <v/>
      </c>
      <c r="O71" t="str">
        <v/>
      </c>
      <c r="P71">
        <f t="shared" si="10"/>
        <v>0</v>
      </c>
      <c r="Q71">
        <f t="shared" si="11"/>
        <v>0</v>
      </c>
      <c r="R71">
        <f t="shared" si="12"/>
        <v>0</v>
      </c>
      <c r="S71">
        <f t="shared" si="8"/>
        <v>0</v>
      </c>
      <c r="T71">
        <f t="shared" si="9"/>
        <v>0</v>
      </c>
    </row>
    <row r="72" x14ac:dyDescent="0.35">
      <c r="A72" t="str">
        <v/>
      </c>
      <c r="B72" t="str">
        <v/>
      </c>
      <c r="C72" t="str">
        <v/>
      </c>
      <c r="D72" t="str">
        <v/>
      </c>
      <c r="E72" t="str">
        <v/>
      </c>
      <c r="F72" t="str">
        <v/>
      </c>
      <c r="G72" t="str">
        <v/>
      </c>
      <c r="H72" t="str">
        <v/>
      </c>
      <c r="I72" t="str">
        <v/>
      </c>
      <c r="J72" t="str">
        <v/>
      </c>
      <c r="K72" t="str">
        <v/>
      </c>
      <c r="L72" t="str">
        <v/>
      </c>
      <c r="M72" t="str">
        <v/>
      </c>
      <c r="N72" t="str">
        <v/>
      </c>
      <c r="O72" t="str">
        <v/>
      </c>
      <c r="P72">
        <f t="shared" si="10"/>
        <v>0</v>
      </c>
      <c r="Q72">
        <f t="shared" si="11"/>
        <v>0</v>
      </c>
      <c r="R72">
        <f t="shared" si="12"/>
        <v>0</v>
      </c>
      <c r="S72">
        <f t="shared" si="8"/>
        <v>0</v>
      </c>
      <c r="T72">
        <f t="shared" si="9"/>
        <v>0</v>
      </c>
    </row>
    <row r="73" x14ac:dyDescent="0.35">
      <c r="A73" t="str">
        <v/>
      </c>
      <c r="B73" t="str">
        <v/>
      </c>
      <c r="C73" t="str">
        <v/>
      </c>
      <c r="D73" t="str">
        <v/>
      </c>
      <c r="E73" t="str">
        <v/>
      </c>
      <c r="F73" t="str">
        <v/>
      </c>
      <c r="G73" t="str">
        <v/>
      </c>
      <c r="H73" t="str">
        <v/>
      </c>
      <c r="I73" t="str">
        <v/>
      </c>
      <c r="J73" t="str">
        <v/>
      </c>
      <c r="K73" t="str">
        <v/>
      </c>
      <c r="L73" t="str">
        <v/>
      </c>
      <c r="M73" t="str">
        <v/>
      </c>
      <c r="N73" t="str">
        <v/>
      </c>
      <c r="O73" t="str">
        <v/>
      </c>
      <c r="P73">
        <f t="shared" si="10"/>
        <v>0</v>
      </c>
      <c r="Q73">
        <f t="shared" si="11"/>
        <v>0</v>
      </c>
      <c r="R73">
        <f t="shared" si="12"/>
        <v>0</v>
      </c>
      <c r="S73">
        <f t="shared" si="8"/>
        <v>0</v>
      </c>
      <c r="T73">
        <f t="shared" si="9"/>
        <v>0</v>
      </c>
    </row>
    <row r="74" x14ac:dyDescent="0.35">
      <c r="A74" t="str">
        <v/>
      </c>
      <c r="B74" t="str">
        <v/>
      </c>
      <c r="C74" t="str">
        <v/>
      </c>
      <c r="D74" t="str">
        <v/>
      </c>
      <c r="E74" t="str">
        <v/>
      </c>
      <c r="F74" t="str">
        <v/>
      </c>
      <c r="G74" t="str">
        <v/>
      </c>
      <c r="H74" t="str">
        <v/>
      </c>
      <c r="I74" t="str">
        <v/>
      </c>
      <c r="J74" t="str">
        <v/>
      </c>
      <c r="K74" t="str">
        <v/>
      </c>
      <c r="L74" t="str">
        <v/>
      </c>
      <c r="M74" t="str">
        <v/>
      </c>
      <c r="N74" t="str">
        <v/>
      </c>
      <c r="O74" t="str">
        <v/>
      </c>
      <c r="P74">
        <f t="shared" si="10"/>
        <v>0</v>
      </c>
      <c r="Q74">
        <f t="shared" si="11"/>
        <v>0</v>
      </c>
      <c r="R74">
        <f t="shared" si="12"/>
        <v>0</v>
      </c>
      <c r="S74">
        <f t="shared" si="8"/>
        <v>0</v>
      </c>
      <c r="T74">
        <f t="shared" si="9"/>
        <v>0</v>
      </c>
    </row>
    <row r="75" x14ac:dyDescent="0.35">
      <c r="A75" t="str">
        <v/>
      </c>
      <c r="B75" t="str">
        <v/>
      </c>
      <c r="C75" t="str">
        <v/>
      </c>
      <c r="D75" t="str">
        <v/>
      </c>
      <c r="E75" t="str">
        <v/>
      </c>
      <c r="F75" t="str">
        <v/>
      </c>
      <c r="G75" t="str">
        <v/>
      </c>
      <c r="H75" t="str">
        <v/>
      </c>
      <c r="I75" t="str">
        <v/>
      </c>
      <c r="J75" t="str">
        <v/>
      </c>
      <c r="K75" t="str">
        <v/>
      </c>
      <c r="L75" t="str">
        <v/>
      </c>
      <c r="M75" t="str">
        <v/>
      </c>
      <c r="N75" t="str">
        <v/>
      </c>
      <c r="O75" t="str">
        <v/>
      </c>
      <c r="P75">
        <f t="shared" si="10"/>
        <v>0</v>
      </c>
      <c r="Q75">
        <f t="shared" si="11"/>
        <v>0</v>
      </c>
      <c r="R75">
        <f t="shared" si="12"/>
        <v>0</v>
      </c>
      <c r="S75">
        <f t="shared" si="8"/>
        <v>0</v>
      </c>
      <c r="T75">
        <f t="shared" si="9"/>
        <v>0</v>
      </c>
    </row>
    <row r="76" x14ac:dyDescent="0.35">
      <c r="A76" t="str">
        <v/>
      </c>
      <c r="B76" t="str">
        <v/>
      </c>
      <c r="C76" t="str">
        <v/>
      </c>
      <c r="D76" t="str">
        <v/>
      </c>
      <c r="E76" t="str">
        <v/>
      </c>
      <c r="F76" t="str">
        <v/>
      </c>
      <c r="G76" t="str">
        <v/>
      </c>
      <c r="H76" t="str">
        <v/>
      </c>
      <c r="I76" t="str">
        <v/>
      </c>
      <c r="J76" t="str">
        <v/>
      </c>
      <c r="K76" t="str">
        <v/>
      </c>
      <c r="L76" t="str">
        <v/>
      </c>
      <c r="M76" t="str">
        <v/>
      </c>
      <c r="N76" t="str">
        <v/>
      </c>
      <c r="O76" t="str">
        <v/>
      </c>
      <c r="P76">
        <f t="shared" si="10"/>
        <v>0</v>
      </c>
      <c r="Q76">
        <f t="shared" si="11"/>
        <v>0</v>
      </c>
      <c r="R76">
        <f t="shared" si="12"/>
        <v>0</v>
      </c>
      <c r="S76">
        <f t="shared" si="8"/>
        <v>0</v>
      </c>
      <c r="T76">
        <f t="shared" si="9"/>
        <v>0</v>
      </c>
    </row>
    <row r="77" x14ac:dyDescent="0.35">
      <c r="A77" t="str">
        <v/>
      </c>
      <c r="B77" t="str">
        <v/>
      </c>
      <c r="C77" t="str">
        <v/>
      </c>
      <c r="D77" t="str">
        <v/>
      </c>
      <c r="E77" t="str">
        <v/>
      </c>
      <c r="F77" t="str">
        <v/>
      </c>
      <c r="G77" t="str">
        <v/>
      </c>
      <c r="H77" t="str">
        <v/>
      </c>
      <c r="I77" t="str">
        <v/>
      </c>
      <c r="J77" t="str">
        <v/>
      </c>
      <c r="K77" t="str">
        <v/>
      </c>
      <c r="L77" t="str">
        <v/>
      </c>
      <c r="M77" t="str">
        <v/>
      </c>
      <c r="N77" t="str">
        <v/>
      </c>
      <c r="O77" t="str">
        <v/>
      </c>
      <c r="P77">
        <f t="shared" si="10"/>
        <v>0</v>
      </c>
      <c r="Q77">
        <f t="shared" si="11"/>
        <v>0</v>
      </c>
      <c r="R77">
        <f t="shared" si="12"/>
        <v>0</v>
      </c>
      <c r="S77">
        <f t="shared" si="8"/>
        <v>0</v>
      </c>
      <c r="T77">
        <f t="shared" si="9"/>
        <v>0</v>
      </c>
    </row>
    <row r="78" x14ac:dyDescent="0.35">
      <c r="A78" t="str">
        <v/>
      </c>
      <c r="B78" t="str">
        <v/>
      </c>
      <c r="C78" t="str">
        <v/>
      </c>
      <c r="D78" t="str">
        <v/>
      </c>
      <c r="E78" t="str">
        <v/>
      </c>
      <c r="F78" t="str">
        <v/>
      </c>
      <c r="G78" t="str">
        <v/>
      </c>
      <c r="H78" t="str">
        <v/>
      </c>
      <c r="I78" t="str">
        <v/>
      </c>
      <c r="J78" t="str">
        <v/>
      </c>
      <c r="K78" t="str">
        <v/>
      </c>
      <c r="L78" t="str">
        <v/>
      </c>
      <c r="M78" t="str">
        <v/>
      </c>
      <c r="N78" t="str">
        <v/>
      </c>
      <c r="O78" t="str">
        <v/>
      </c>
      <c r="P78">
        <f t="shared" si="10"/>
        <v>0</v>
      </c>
      <c r="Q78">
        <f t="shared" si="11"/>
        <v>0</v>
      </c>
      <c r="R78">
        <f t="shared" si="12"/>
        <v>0</v>
      </c>
      <c r="S78">
        <f t="shared" si="8"/>
        <v>0</v>
      </c>
      <c r="T78">
        <f t="shared" si="9"/>
        <v>0</v>
      </c>
    </row>
    <row r="79" x14ac:dyDescent="0.35">
      <c r="A79" t="str">
        <v/>
      </c>
      <c r="B79" t="str">
        <v/>
      </c>
      <c r="C79" t="str">
        <v/>
      </c>
      <c r="D79" t="str">
        <v/>
      </c>
      <c r="E79" t="str">
        <v/>
      </c>
      <c r="F79" t="str">
        <v/>
      </c>
      <c r="G79" t="str">
        <v/>
      </c>
      <c r="H79" t="str">
        <v/>
      </c>
      <c r="I79" t="str">
        <v/>
      </c>
      <c r="J79" t="str">
        <v/>
      </c>
      <c r="K79" t="str">
        <v/>
      </c>
      <c r="L79" t="str">
        <v/>
      </c>
      <c r="M79" t="str">
        <v/>
      </c>
      <c r="N79" t="str">
        <v/>
      </c>
      <c r="O79" t="str">
        <v/>
      </c>
      <c r="P79">
        <f t="shared" si="10"/>
        <v>0</v>
      </c>
      <c r="Q79">
        <f t="shared" si="11"/>
        <v>0</v>
      </c>
      <c r="R79">
        <f t="shared" si="12"/>
        <v>0</v>
      </c>
      <c r="S79">
        <f t="shared" si="8"/>
        <v>0</v>
      </c>
      <c r="T79">
        <f t="shared" si="9"/>
        <v>0</v>
      </c>
    </row>
    <row r="80" x14ac:dyDescent="0.35">
      <c r="A80" t="str">
        <v/>
      </c>
      <c r="B80" t="str">
        <v/>
      </c>
      <c r="C80" t="str">
        <v/>
      </c>
      <c r="D80" t="str">
        <v/>
      </c>
      <c r="E80" t="str">
        <v/>
      </c>
      <c r="F80" t="str">
        <v/>
      </c>
      <c r="G80" t="str">
        <v/>
      </c>
      <c r="H80" t="str">
        <v/>
      </c>
      <c r="I80" t="str">
        <v/>
      </c>
      <c r="J80" t="str">
        <v/>
      </c>
      <c r="K80" t="str">
        <v/>
      </c>
      <c r="L80" t="str">
        <v/>
      </c>
      <c r="M80" t="str">
        <v/>
      </c>
      <c r="N80" t="str">
        <v/>
      </c>
      <c r="O80" t="str">
        <v/>
      </c>
      <c r="P80">
        <f t="shared" si="10"/>
        <v>0</v>
      </c>
      <c r="Q80">
        <f t="shared" si="11"/>
        <v>0</v>
      </c>
      <c r="R80">
        <f t="shared" si="12"/>
        <v>0</v>
      </c>
      <c r="S80">
        <f t="shared" si="8"/>
        <v>0</v>
      </c>
      <c r="T80">
        <f t="shared" si="9"/>
        <v>0</v>
      </c>
    </row>
    <row r="81" x14ac:dyDescent="0.35">
      <c r="A81" t="str">
        <v/>
      </c>
      <c r="B81" t="str">
        <v/>
      </c>
      <c r="C81" t="str">
        <v/>
      </c>
      <c r="D81" t="str">
        <v/>
      </c>
      <c r="E81" t="str">
        <v/>
      </c>
      <c r="F81" t="str">
        <v/>
      </c>
      <c r="G81" t="str">
        <v/>
      </c>
      <c r="H81" t="str">
        <v/>
      </c>
      <c r="I81" t="str">
        <v/>
      </c>
      <c r="J81" t="str">
        <v/>
      </c>
      <c r="K81" t="str">
        <v/>
      </c>
      <c r="L81" t="str">
        <v/>
      </c>
      <c r="M81" t="str">
        <v/>
      </c>
      <c r="N81" t="str">
        <v/>
      </c>
      <c r="O81" t="str">
        <v/>
      </c>
      <c r="P81">
        <f t="shared" si="10"/>
        <v>0</v>
      </c>
      <c r="Q81">
        <f t="shared" si="11"/>
        <v>0</v>
      </c>
      <c r="R81">
        <f t="shared" si="12"/>
        <v>0</v>
      </c>
      <c r="S81">
        <f t="shared" si="8"/>
        <v>0</v>
      </c>
      <c r="T81">
        <f t="shared" si="9"/>
        <v>0</v>
      </c>
    </row>
    <row r="82" x14ac:dyDescent="0.35">
      <c r="A82" t="str">
        <v/>
      </c>
      <c r="B82" t="str">
        <v/>
      </c>
      <c r="C82" t="str">
        <v/>
      </c>
      <c r="D82" t="str">
        <v/>
      </c>
      <c r="E82" t="str">
        <v/>
      </c>
      <c r="F82" t="str">
        <v/>
      </c>
      <c r="G82" t="str">
        <v/>
      </c>
      <c r="H82" t="str">
        <v/>
      </c>
      <c r="I82" t="str">
        <v/>
      </c>
      <c r="J82" t="str">
        <v/>
      </c>
      <c r="K82" t="str">
        <v/>
      </c>
      <c r="L82" t="str">
        <v/>
      </c>
      <c r="M82" t="str">
        <v/>
      </c>
      <c r="N82" t="str">
        <v/>
      </c>
      <c r="O82" t="str">
        <v/>
      </c>
      <c r="P82">
        <f t="shared" si="10"/>
        <v>0</v>
      </c>
      <c r="Q82">
        <f t="shared" si="11"/>
        <v>0</v>
      </c>
      <c r="R82">
        <f t="shared" si="12"/>
        <v>0</v>
      </c>
      <c r="S82">
        <f t="shared" si="8"/>
        <v>0</v>
      </c>
      <c r="T82">
        <f t="shared" si="9"/>
        <v>0</v>
      </c>
    </row>
    <row r="83" x14ac:dyDescent="0.35">
      <c r="A83" t="str">
        <v/>
      </c>
      <c r="B83" t="str">
        <v/>
      </c>
      <c r="C83" t="str">
        <v/>
      </c>
      <c r="D83" t="str">
        <v/>
      </c>
      <c r="E83" t="str">
        <v/>
      </c>
      <c r="F83" t="str">
        <v/>
      </c>
      <c r="G83" t="str">
        <v/>
      </c>
      <c r="H83" t="str">
        <v/>
      </c>
      <c r="I83" t="str">
        <v/>
      </c>
      <c r="J83" t="str">
        <v/>
      </c>
      <c r="K83" t="str">
        <v/>
      </c>
      <c r="L83" t="str">
        <v/>
      </c>
      <c r="M83" t="str">
        <v/>
      </c>
      <c r="N83" t="str">
        <v/>
      </c>
      <c r="O83" t="str">
        <v/>
      </c>
      <c r="P83">
        <f t="shared" si="10"/>
        <v>0</v>
      </c>
      <c r="Q83">
        <f t="shared" si="11"/>
        <v>0</v>
      </c>
      <c r="R83">
        <f t="shared" si="12"/>
        <v>0</v>
      </c>
      <c r="S83">
        <f t="shared" si="8"/>
        <v>0</v>
      </c>
      <c r="T83">
        <f t="shared" si="9"/>
        <v>0</v>
      </c>
    </row>
    <row r="84" x14ac:dyDescent="0.35">
      <c r="A84" t="str">
        <v/>
      </c>
      <c r="B84" t="str">
        <v/>
      </c>
      <c r="C84" t="str">
        <v/>
      </c>
      <c r="D84" t="str">
        <v/>
      </c>
      <c r="E84" t="str">
        <v/>
      </c>
      <c r="F84" t="str">
        <v/>
      </c>
      <c r="G84" t="str">
        <v/>
      </c>
      <c r="H84" t="str">
        <v/>
      </c>
      <c r="I84" t="str">
        <v/>
      </c>
      <c r="J84" t="str">
        <v/>
      </c>
      <c r="K84" t="str">
        <v/>
      </c>
      <c r="L84" t="str">
        <v/>
      </c>
      <c r="M84" t="str">
        <v/>
      </c>
      <c r="N84" t="str">
        <v/>
      </c>
      <c r="O84" t="str">
        <v/>
      </c>
      <c r="P84">
        <f t="shared" si="10"/>
        <v>0</v>
      </c>
      <c r="Q84">
        <f t="shared" si="11"/>
        <v>0</v>
      </c>
      <c r="R84">
        <f t="shared" si="12"/>
        <v>0</v>
      </c>
      <c r="S84">
        <f t="shared" si="8"/>
        <v>0</v>
      </c>
      <c r="T84">
        <f t="shared" si="9"/>
        <v>0</v>
      </c>
    </row>
    <row r="85" x14ac:dyDescent="0.35">
      <c r="A85" t="str">
        <v/>
      </c>
      <c r="B85" t="str">
        <v/>
      </c>
      <c r="C85" t="str">
        <v/>
      </c>
      <c r="D85" t="str">
        <v/>
      </c>
      <c r="E85" t="str">
        <v/>
      </c>
      <c r="F85" t="str">
        <v/>
      </c>
      <c r="G85" t="str">
        <v/>
      </c>
      <c r="H85" t="str">
        <v/>
      </c>
      <c r="I85" t="str">
        <v/>
      </c>
      <c r="J85" t="str">
        <v/>
      </c>
      <c r="K85" t="str">
        <v/>
      </c>
      <c r="L85" t="str">
        <v/>
      </c>
      <c r="M85" t="str">
        <v/>
      </c>
      <c r="N85" t="str">
        <v/>
      </c>
      <c r="O85" t="str">
        <v/>
      </c>
      <c r="P85">
        <f t="shared" si="10"/>
        <v>0</v>
      </c>
      <c r="Q85">
        <f t="shared" si="11"/>
        <v>0</v>
      </c>
      <c r="R85">
        <f t="shared" si="12"/>
        <v>0</v>
      </c>
      <c r="S85">
        <f t="shared" si="8"/>
        <v>0</v>
      </c>
      <c r="T85">
        <f t="shared" si="9"/>
        <v>0</v>
      </c>
    </row>
    <row r="86" x14ac:dyDescent="0.35">
      <c r="A86" t="str">
        <v/>
      </c>
      <c r="B86" t="str">
        <v/>
      </c>
      <c r="C86" t="str">
        <v/>
      </c>
      <c r="D86" t="str">
        <v/>
      </c>
      <c r="E86" t="str">
        <v/>
      </c>
      <c r="F86" t="str">
        <v/>
      </c>
      <c r="G86" t="str">
        <v/>
      </c>
      <c r="H86" t="str">
        <v/>
      </c>
      <c r="I86" t="str">
        <v/>
      </c>
      <c r="J86" t="str">
        <v/>
      </c>
      <c r="K86" t="str">
        <v/>
      </c>
      <c r="L86" t="str">
        <v/>
      </c>
      <c r="M86" t="str">
        <v/>
      </c>
      <c r="N86" t="str">
        <v/>
      </c>
      <c r="O86" t="str">
        <v/>
      </c>
      <c r="P86">
        <f t="shared" si="10"/>
        <v>0</v>
      </c>
      <c r="Q86">
        <f t="shared" si="11"/>
        <v>0</v>
      </c>
      <c r="R86">
        <f t="shared" si="12"/>
        <v>0</v>
      </c>
      <c r="S86">
        <f t="shared" si="8"/>
        <v>0</v>
      </c>
      <c r="T86">
        <f t="shared" si="9"/>
        <v>0</v>
      </c>
    </row>
    <row r="87" x14ac:dyDescent="0.35">
      <c r="A87" t="str">
        <v/>
      </c>
      <c r="B87" t="str">
        <v/>
      </c>
      <c r="C87" t="str">
        <v/>
      </c>
      <c r="D87" t="str">
        <v/>
      </c>
      <c r="E87" t="str">
        <v/>
      </c>
      <c r="F87" t="str">
        <v/>
      </c>
      <c r="G87" t="str">
        <v/>
      </c>
      <c r="H87" t="str">
        <v/>
      </c>
      <c r="I87" t="str">
        <v/>
      </c>
      <c r="J87" t="str">
        <v/>
      </c>
      <c r="K87" t="str">
        <v/>
      </c>
      <c r="L87" t="str">
        <v/>
      </c>
      <c r="M87" t="str">
        <v/>
      </c>
      <c r="N87" t="str">
        <v/>
      </c>
      <c r="O87" t="str">
        <v/>
      </c>
      <c r="P87">
        <f t="shared" si="10"/>
        <v>0</v>
      </c>
      <c r="Q87">
        <f t="shared" si="11"/>
        <v>0</v>
      </c>
      <c r="R87">
        <f t="shared" si="12"/>
        <v>0</v>
      </c>
      <c r="S87">
        <f t="shared" si="8"/>
        <v>0</v>
      </c>
      <c r="T87">
        <f t="shared" si="9"/>
        <v>0</v>
      </c>
    </row>
    <row r="88" x14ac:dyDescent="0.35">
      <c r="A88" t="str">
        <v/>
      </c>
      <c r="B88" t="str">
        <v/>
      </c>
      <c r="C88" t="str">
        <v/>
      </c>
      <c r="D88" t="str">
        <v/>
      </c>
      <c r="E88" t="str">
        <v/>
      </c>
      <c r="F88" t="str">
        <v/>
      </c>
      <c r="G88" t="str">
        <v/>
      </c>
      <c r="H88" t="str">
        <v/>
      </c>
      <c r="I88" t="str">
        <v/>
      </c>
      <c r="J88" t="str">
        <v/>
      </c>
      <c r="K88" t="str">
        <v/>
      </c>
      <c r="L88" t="str">
        <v/>
      </c>
      <c r="M88" t="str">
        <v/>
      </c>
      <c r="N88" t="str">
        <v/>
      </c>
      <c r="O88" t="str">
        <v/>
      </c>
      <c r="P88">
        <f t="shared" si="10"/>
        <v>0</v>
      </c>
      <c r="Q88">
        <f t="shared" si="11"/>
        <v>0</v>
      </c>
      <c r="R88">
        <f t="shared" si="12"/>
        <v>0</v>
      </c>
      <c r="S88">
        <f t="shared" si="8"/>
        <v>0</v>
      </c>
      <c r="T88">
        <f t="shared" si="9"/>
        <v>0</v>
      </c>
    </row>
    <row r="89" x14ac:dyDescent="0.35">
      <c r="A89" t="str">
        <v/>
      </c>
      <c r="B89" t="str">
        <v/>
      </c>
      <c r="C89" t="str">
        <v/>
      </c>
      <c r="D89" t="str">
        <v/>
      </c>
      <c r="E89" t="str">
        <v/>
      </c>
      <c r="F89" t="str">
        <v/>
      </c>
      <c r="G89" t="str">
        <v/>
      </c>
      <c r="H89" t="str">
        <v/>
      </c>
      <c r="I89" t="str">
        <v/>
      </c>
      <c r="J89" t="str">
        <v/>
      </c>
      <c r="K89" t="str">
        <v/>
      </c>
      <c r="L89" t="str">
        <v/>
      </c>
      <c r="M89" t="str">
        <v/>
      </c>
      <c r="N89" t="str">
        <v/>
      </c>
      <c r="O89" t="str">
        <v/>
      </c>
      <c r="P89">
        <f t="shared" si="10"/>
        <v>0</v>
      </c>
      <c r="Q89">
        <f t="shared" si="11"/>
        <v>0</v>
      </c>
      <c r="R89">
        <f t="shared" si="12"/>
        <v>0</v>
      </c>
      <c r="S89">
        <f t="shared" si="8"/>
        <v>0</v>
      </c>
      <c r="T89">
        <f t="shared" si="9"/>
        <v>0</v>
      </c>
    </row>
    <row r="90" x14ac:dyDescent="0.35">
      <c r="A90" t="str">
        <v/>
      </c>
      <c r="B90" t="str">
        <v/>
      </c>
      <c r="C90" t="str">
        <v/>
      </c>
      <c r="D90" t="str">
        <v/>
      </c>
      <c r="E90" t="str">
        <v/>
      </c>
      <c r="F90" t="str">
        <v/>
      </c>
      <c r="G90" t="str">
        <v/>
      </c>
      <c r="H90" t="str">
        <v/>
      </c>
      <c r="I90" t="str">
        <v/>
      </c>
      <c r="J90" t="str">
        <v/>
      </c>
      <c r="K90" t="str">
        <v/>
      </c>
      <c r="L90" t="str">
        <v/>
      </c>
      <c r="M90" t="str">
        <v/>
      </c>
      <c r="N90" t="str">
        <v/>
      </c>
      <c r="O90" t="str">
        <v/>
      </c>
      <c r="P90">
        <f t="shared" si="10"/>
        <v>0</v>
      </c>
      <c r="Q90">
        <f t="shared" si="11"/>
        <v>0</v>
      </c>
      <c r="R90">
        <f t="shared" si="12"/>
        <v>0</v>
      </c>
      <c r="S90">
        <f t="shared" si="8"/>
        <v>0</v>
      </c>
      <c r="T90">
        <f t="shared" si="9"/>
        <v>0</v>
      </c>
    </row>
    <row r="91" x14ac:dyDescent="0.35">
      <c r="A91" t="str">
        <v/>
      </c>
      <c r="B91" t="str">
        <v/>
      </c>
      <c r="C91" t="str">
        <v/>
      </c>
      <c r="D91" t="str">
        <v/>
      </c>
      <c r="E91" t="str">
        <v/>
      </c>
      <c r="F91" t="str">
        <v/>
      </c>
      <c r="G91" t="str">
        <v/>
      </c>
      <c r="H91" t="str">
        <v/>
      </c>
      <c r="I91" t="str">
        <v/>
      </c>
      <c r="J91" t="str">
        <v/>
      </c>
      <c r="K91" t="str">
        <v/>
      </c>
      <c r="L91" t="str">
        <v/>
      </c>
      <c r="M91" t="str">
        <v/>
      </c>
      <c r="N91" t="str">
        <v/>
      </c>
      <c r="O91" t="str">
        <v/>
      </c>
      <c r="P91">
        <f t="shared" si="10"/>
        <v>0</v>
      </c>
      <c r="Q91">
        <f t="shared" si="11"/>
        <v>0</v>
      </c>
      <c r="R91">
        <f t="shared" si="12"/>
        <v>0</v>
      </c>
      <c r="S91">
        <f t="shared" si="8"/>
        <v>0</v>
      </c>
      <c r="T91">
        <f t="shared" si="9"/>
        <v>0</v>
      </c>
    </row>
    <row r="92" x14ac:dyDescent="0.35">
      <c r="A92" t="str">
        <v/>
      </c>
      <c r="B92" t="str">
        <v/>
      </c>
      <c r="C92" t="str">
        <v/>
      </c>
      <c r="D92" t="str">
        <v/>
      </c>
      <c r="E92" t="str">
        <v/>
      </c>
      <c r="F92" t="str">
        <v/>
      </c>
      <c r="G92" t="str">
        <v/>
      </c>
      <c r="H92" t="str">
        <v/>
      </c>
      <c r="I92" t="str">
        <v/>
      </c>
      <c r="J92" t="str">
        <v/>
      </c>
      <c r="K92" t="str">
        <v/>
      </c>
      <c r="L92" t="str">
        <v/>
      </c>
      <c r="M92" t="str">
        <v/>
      </c>
      <c r="N92" t="str">
        <v/>
      </c>
      <c r="O92" t="str">
        <v/>
      </c>
      <c r="P92">
        <f t="shared" si="10"/>
        <v>0</v>
      </c>
      <c r="Q92">
        <f t="shared" si="11"/>
        <v>0</v>
      </c>
      <c r="R92">
        <f t="shared" si="12"/>
        <v>0</v>
      </c>
      <c r="S92">
        <f t="shared" si="8"/>
        <v>0</v>
      </c>
      <c r="T92">
        <f t="shared" si="9"/>
        <v>0</v>
      </c>
    </row>
    <row r="93" x14ac:dyDescent="0.35">
      <c r="A93" t="str">
        <v/>
      </c>
      <c r="B93" t="str">
        <v/>
      </c>
      <c r="C93" t="str">
        <v/>
      </c>
      <c r="D93" t="str">
        <v/>
      </c>
      <c r="E93" t="str">
        <v/>
      </c>
      <c r="F93" t="str">
        <v/>
      </c>
      <c r="G93" t="str">
        <v/>
      </c>
      <c r="H93" t="str">
        <v/>
      </c>
      <c r="I93" t="str">
        <v/>
      </c>
      <c r="J93" t="str">
        <v/>
      </c>
      <c r="K93" t="str">
        <v/>
      </c>
      <c r="L93" t="str">
        <v/>
      </c>
      <c r="M93" t="str">
        <v/>
      </c>
      <c r="N93" t="str">
        <v/>
      </c>
      <c r="O93" t="str">
        <v/>
      </c>
      <c r="P93">
        <f t="shared" si="10"/>
        <v>0</v>
      </c>
      <c r="Q93">
        <f t="shared" si="11"/>
        <v>0</v>
      </c>
      <c r="R93">
        <f t="shared" si="12"/>
        <v>0</v>
      </c>
      <c r="S93">
        <f t="shared" si="8"/>
        <v>0</v>
      </c>
      <c r="T93">
        <f t="shared" si="9"/>
        <v>0</v>
      </c>
    </row>
    <row r="94" x14ac:dyDescent="0.35">
      <c r="A94" t="str">
        <v/>
      </c>
      <c r="B94" t="str">
        <v/>
      </c>
      <c r="C94" t="str">
        <v/>
      </c>
      <c r="D94" t="str">
        <v/>
      </c>
      <c r="E94" t="str">
        <v/>
      </c>
      <c r="F94" t="str">
        <v/>
      </c>
      <c r="G94" t="str">
        <v/>
      </c>
      <c r="H94" t="str">
        <v/>
      </c>
      <c r="I94" t="str">
        <v/>
      </c>
      <c r="J94" t="str">
        <v/>
      </c>
      <c r="K94" t="str">
        <v/>
      </c>
      <c r="L94" t="str">
        <v/>
      </c>
      <c r="M94" t="str">
        <v/>
      </c>
      <c r="N94" t="str">
        <v/>
      </c>
      <c r="O94" t="str">
        <v/>
      </c>
      <c r="P94">
        <f t="shared" si="10"/>
        <v>0</v>
      </c>
      <c r="Q94">
        <f t="shared" si="11"/>
        <v>0</v>
      </c>
      <c r="R94">
        <f t="shared" si="12"/>
        <v>0</v>
      </c>
      <c r="S94">
        <f t="shared" si="8"/>
        <v>0</v>
      </c>
      <c r="T94">
        <f t="shared" si="9"/>
        <v>0</v>
      </c>
    </row>
    <row r="95" x14ac:dyDescent="0.35">
      <c r="A95" t="str">
        <v/>
      </c>
      <c r="B95" t="str">
        <v/>
      </c>
      <c r="C95" t="str">
        <v/>
      </c>
      <c r="D95" t="str">
        <v/>
      </c>
      <c r="E95" t="str">
        <v/>
      </c>
      <c r="F95" t="str">
        <v/>
      </c>
      <c r="G95" t="str">
        <v/>
      </c>
      <c r="H95" t="str">
        <v/>
      </c>
      <c r="I95" t="str">
        <v/>
      </c>
      <c r="J95" t="str">
        <v/>
      </c>
      <c r="K95" t="str">
        <v/>
      </c>
      <c r="L95" t="str">
        <v/>
      </c>
      <c r="M95" t="str">
        <v/>
      </c>
      <c r="N95" t="str">
        <v/>
      </c>
      <c r="O95" t="str">
        <v/>
      </c>
      <c r="P95">
        <f t="shared" si="10"/>
        <v>0</v>
      </c>
      <c r="Q95">
        <f t="shared" si="11"/>
        <v>0</v>
      </c>
      <c r="R95">
        <f t="shared" si="12"/>
        <v>0</v>
      </c>
      <c r="S95">
        <f t="shared" si="8"/>
        <v>0</v>
      </c>
      <c r="T95">
        <f t="shared" si="9"/>
        <v>0</v>
      </c>
    </row>
    <row r="96" x14ac:dyDescent="0.35">
      <c r="A96" t="str">
        <v/>
      </c>
      <c r="B96" t="str">
        <v/>
      </c>
      <c r="C96" t="str">
        <v/>
      </c>
      <c r="D96" t="str">
        <v/>
      </c>
      <c r="E96" t="str">
        <v/>
      </c>
      <c r="F96" t="str">
        <v/>
      </c>
      <c r="G96" t="str">
        <v/>
      </c>
      <c r="H96" t="str">
        <v/>
      </c>
      <c r="I96" t="str">
        <v/>
      </c>
      <c r="J96" t="str">
        <v/>
      </c>
      <c r="K96" t="str">
        <v/>
      </c>
      <c r="L96" t="str">
        <v/>
      </c>
      <c r="M96" t="str">
        <v/>
      </c>
      <c r="N96" t="str">
        <v/>
      </c>
      <c r="O96" t="str">
        <v/>
      </c>
      <c r="P96">
        <f t="shared" si="10"/>
        <v>0</v>
      </c>
      <c r="Q96">
        <f t="shared" si="11"/>
        <v>0</v>
      </c>
      <c r="R96">
        <f t="shared" si="12"/>
        <v>0</v>
      </c>
      <c r="S96">
        <f t="shared" si="8"/>
        <v>0</v>
      </c>
      <c r="T96">
        <f t="shared" si="9"/>
        <v>0</v>
      </c>
    </row>
    <row r="97" x14ac:dyDescent="0.35">
      <c r="A97" t="str">
        <v/>
      </c>
      <c r="B97" t="str">
        <v/>
      </c>
      <c r="C97" t="str">
        <v/>
      </c>
      <c r="D97" t="str">
        <v/>
      </c>
      <c r="E97" t="str">
        <v/>
      </c>
      <c r="F97" t="str">
        <v/>
      </c>
      <c r="G97" t="str">
        <v/>
      </c>
      <c r="H97" t="str">
        <v/>
      </c>
      <c r="I97" t="str">
        <v/>
      </c>
      <c r="J97" t="str">
        <v/>
      </c>
      <c r="K97" t="str">
        <v/>
      </c>
      <c r="L97" t="str">
        <v/>
      </c>
      <c r="M97" t="str">
        <v/>
      </c>
      <c r="N97" t="str">
        <v/>
      </c>
      <c r="O97" t="str">
        <v/>
      </c>
      <c r="P97">
        <f t="shared" si="10"/>
        <v>0</v>
      </c>
      <c r="Q97">
        <f t="shared" si="11"/>
        <v>0</v>
      </c>
      <c r="R97">
        <f t="shared" si="12"/>
        <v>0</v>
      </c>
      <c r="S97">
        <f t="shared" si="8"/>
        <v>0</v>
      </c>
      <c r="T97">
        <f t="shared" si="9"/>
        <v>0</v>
      </c>
    </row>
    <row r="98" x14ac:dyDescent="0.35">
      <c r="A98" t="str">
        <v/>
      </c>
      <c r="B98" t="str">
        <v/>
      </c>
      <c r="C98" t="str">
        <v/>
      </c>
      <c r="D98" t="str">
        <v/>
      </c>
      <c r="E98" t="str">
        <v/>
      </c>
      <c r="F98" t="str">
        <v/>
      </c>
      <c r="G98" t="str">
        <v/>
      </c>
      <c r="H98" t="str">
        <v/>
      </c>
      <c r="I98" t="str">
        <v/>
      </c>
      <c r="J98" t="str">
        <v/>
      </c>
      <c r="K98" t="str">
        <v/>
      </c>
      <c r="L98" t="str">
        <v/>
      </c>
      <c r="M98" t="str">
        <v/>
      </c>
      <c r="N98" t="str">
        <v/>
      </c>
      <c r="O98" t="str">
        <v/>
      </c>
      <c r="P98">
        <f t="shared" si="10"/>
        <v>0</v>
      </c>
      <c r="Q98">
        <f t="shared" si="11"/>
        <v>0</v>
      </c>
      <c r="R98">
        <f t="shared" si="12"/>
        <v>0</v>
      </c>
      <c r="S98">
        <f t="shared" si="8"/>
        <v>0</v>
      </c>
      <c r="T98">
        <f t="shared" si="9"/>
        <v>0</v>
      </c>
    </row>
    <row r="99" x14ac:dyDescent="0.35">
      <c r="A99" t="str">
        <v/>
      </c>
      <c r="B99" t="str">
        <v/>
      </c>
      <c r="C99" t="str">
        <v/>
      </c>
      <c r="D99" t="str">
        <v/>
      </c>
      <c r="E99" t="str">
        <v/>
      </c>
      <c r="F99" t="str">
        <v/>
      </c>
      <c r="G99" t="str">
        <v/>
      </c>
      <c r="H99" t="str">
        <v/>
      </c>
      <c r="I99" t="str">
        <v/>
      </c>
      <c r="J99" t="str">
        <v/>
      </c>
      <c r="K99" t="str">
        <v/>
      </c>
      <c r="L99" t="str">
        <v/>
      </c>
      <c r="M99" t="str">
        <v/>
      </c>
      <c r="N99" t="str">
        <v/>
      </c>
      <c r="O99" t="str">
        <v/>
      </c>
      <c r="P99">
        <f t="shared" si="10"/>
        <v>0</v>
      </c>
      <c r="Q99">
        <f t="shared" si="11"/>
        <v>0</v>
      </c>
      <c r="R99">
        <f t="shared" si="12"/>
        <v>0</v>
      </c>
      <c r="S99">
        <f t="shared" si="8"/>
        <v>0</v>
      </c>
      <c r="T99">
        <f t="shared" si="9"/>
        <v>0</v>
      </c>
    </row>
    <row r="100" x14ac:dyDescent="0.35">
      <c r="A100" t="str">
        <v/>
      </c>
      <c r="B100" t="str">
        <v/>
      </c>
      <c r="C100" t="str">
        <v/>
      </c>
      <c r="D100" t="str">
        <v/>
      </c>
      <c r="E100" t="str">
        <v/>
      </c>
      <c r="F100" t="str">
        <v/>
      </c>
      <c r="G100" t="str">
        <v/>
      </c>
      <c r="H100" t="str">
        <v/>
      </c>
      <c r="I100" t="str">
        <v/>
      </c>
      <c r="J100" t="str">
        <v/>
      </c>
      <c r="K100" t="str">
        <v/>
      </c>
      <c r="L100" t="str">
        <v/>
      </c>
      <c r="M100" t="str">
        <v/>
      </c>
      <c r="N100" t="str">
        <v/>
      </c>
      <c r="O100" t="str">
        <v/>
      </c>
      <c r="P100">
        <f t="shared" si="10"/>
        <v>0</v>
      </c>
      <c r="Q100">
        <f t="shared" si="11"/>
        <v>0</v>
      </c>
      <c r="R100">
        <f t="shared" si="12"/>
        <v>0</v>
      </c>
      <c r="S100">
        <f t="shared" si="8"/>
        <v>0</v>
      </c>
      <c r="T100">
        <f t="shared" si="9"/>
        <v>0</v>
      </c>
    </row>
    <row r="101" x14ac:dyDescent="0.35">
      <c r="A101" t="str">
        <v/>
      </c>
      <c r="B101" t="str">
        <v/>
      </c>
      <c r="C101" t="str">
        <v/>
      </c>
      <c r="D101" t="str">
        <v/>
      </c>
      <c r="E101" t="str">
        <v/>
      </c>
      <c r="F101" t="str">
        <v/>
      </c>
      <c r="G101" t="str">
        <v/>
      </c>
      <c r="H101" t="str">
        <v/>
      </c>
      <c r="I101" t="str">
        <v/>
      </c>
      <c r="J101" t="str">
        <v/>
      </c>
      <c r="K101" t="str">
        <v/>
      </c>
      <c r="L101" t="str">
        <v/>
      </c>
      <c r="M101" t="str">
        <v/>
      </c>
      <c r="N101" t="str">
        <v/>
      </c>
      <c r="O101" t="str">
        <v/>
      </c>
      <c r="P101">
        <f t="shared" si="10"/>
        <v>0</v>
      </c>
      <c r="Q101">
        <f t="shared" si="11"/>
        <v>0</v>
      </c>
      <c r="R101">
        <f t="shared" si="12"/>
        <v>0</v>
      </c>
      <c r="S101">
        <f t="shared" si="8"/>
        <v>0</v>
      </c>
      <c r="T101">
        <f t="shared" si="9"/>
        <v>0</v>
      </c>
    </row>
    <row r="102" x14ac:dyDescent="0.35">
      <c r="A102" t="str">
        <v/>
      </c>
      <c r="B102" t="str">
        <v/>
      </c>
      <c r="C102" t="str">
        <v/>
      </c>
      <c r="D102" t="str">
        <v/>
      </c>
      <c r="E102" t="str">
        <v/>
      </c>
      <c r="F102" t="str">
        <v/>
      </c>
      <c r="G102" t="str">
        <v/>
      </c>
      <c r="H102" t="str">
        <v/>
      </c>
      <c r="I102" t="str">
        <v/>
      </c>
      <c r="J102" t="str">
        <v/>
      </c>
      <c r="K102" t="str">
        <v/>
      </c>
      <c r="L102" t="str">
        <v/>
      </c>
      <c r="M102" t="str">
        <v/>
      </c>
      <c r="N102" t="str">
        <v/>
      </c>
      <c r="O102" t="str">
        <v/>
      </c>
      <c r="P102">
        <f t="shared" si="10"/>
        <v>0</v>
      </c>
      <c r="Q102">
        <f t="shared" si="11"/>
        <v>0</v>
      </c>
      <c r="R102">
        <f t="shared" si="12"/>
        <v>0</v>
      </c>
      <c r="S102">
        <f t="shared" si="8"/>
        <v>0</v>
      </c>
      <c r="T102">
        <f t="shared" si="9"/>
        <v>0</v>
      </c>
    </row>
    <row r="103" x14ac:dyDescent="0.35">
      <c r="A103" t="str">
        <v/>
      </c>
      <c r="B103" t="str">
        <v/>
      </c>
      <c r="C103" t="str">
        <v/>
      </c>
      <c r="D103" t="str">
        <v/>
      </c>
      <c r="E103" t="str">
        <v/>
      </c>
      <c r="F103" t="str">
        <v/>
      </c>
      <c r="G103" t="str">
        <v/>
      </c>
      <c r="H103" t="str">
        <v/>
      </c>
      <c r="I103" t="str">
        <v/>
      </c>
      <c r="J103" t="str">
        <v/>
      </c>
      <c r="K103" t="str">
        <v/>
      </c>
      <c r="L103" t="str">
        <v/>
      </c>
      <c r="M103" t="str">
        <v/>
      </c>
      <c r="N103" t="str">
        <v/>
      </c>
      <c r="O103" t="str">
        <v/>
      </c>
      <c r="P103">
        <f t="shared" si="10"/>
        <v>0</v>
      </c>
      <c r="Q103">
        <f t="shared" si="11"/>
        <v>0</v>
      </c>
      <c r="R103">
        <f t="shared" si="12"/>
        <v>0</v>
      </c>
      <c r="S103">
        <f t="shared" si="8"/>
        <v>0</v>
      </c>
      <c r="T103">
        <f t="shared" si="9"/>
        <v>0</v>
      </c>
    </row>
    <row r="104" x14ac:dyDescent="0.35">
      <c r="A104" t="str">
        <v/>
      </c>
      <c r="B104" t="str">
        <v/>
      </c>
      <c r="C104" t="str">
        <v/>
      </c>
      <c r="D104" t="str">
        <v/>
      </c>
      <c r="E104" t="str">
        <v/>
      </c>
      <c r="F104" t="str">
        <v/>
      </c>
      <c r="G104" t="str">
        <v/>
      </c>
      <c r="H104" t="str">
        <v/>
      </c>
      <c r="I104" t="str">
        <v/>
      </c>
      <c r="J104" t="str">
        <v/>
      </c>
      <c r="K104" t="str">
        <v/>
      </c>
      <c r="L104" t="str">
        <v/>
      </c>
      <c r="M104" t="str">
        <v/>
      </c>
      <c r="N104" t="str">
        <v/>
      </c>
      <c r="O104" t="str">
        <v/>
      </c>
      <c r="P104">
        <f t="shared" si="10"/>
        <v>0</v>
      </c>
      <c r="Q104">
        <f t="shared" si="11"/>
        <v>0</v>
      </c>
      <c r="R104">
        <f t="shared" si="12"/>
        <v>0</v>
      </c>
      <c r="S104">
        <f t="shared" si="8"/>
        <v>0</v>
      </c>
      <c r="T104">
        <f t="shared" si="9"/>
        <v>0</v>
      </c>
    </row>
    <row r="105" x14ac:dyDescent="0.35">
      <c r="A105" t="str">
        <v/>
      </c>
      <c r="B105" t="str">
        <v/>
      </c>
      <c r="C105" t="str">
        <v/>
      </c>
      <c r="D105" t="str">
        <v/>
      </c>
      <c r="E105" t="str">
        <v/>
      </c>
      <c r="F105" t="str">
        <v/>
      </c>
      <c r="G105" t="str">
        <v/>
      </c>
      <c r="H105" t="str">
        <v/>
      </c>
      <c r="I105" t="str">
        <v/>
      </c>
      <c r="J105" t="str">
        <v/>
      </c>
      <c r="K105" t="str">
        <v/>
      </c>
      <c r="L105" t="str">
        <v/>
      </c>
      <c r="M105" t="str">
        <v/>
      </c>
      <c r="N105" t="str">
        <v/>
      </c>
      <c r="O105" t="str">
        <v/>
      </c>
      <c r="P105">
        <f t="shared" si="10"/>
        <v>0</v>
      </c>
      <c r="Q105">
        <f t="shared" si="11"/>
        <v>0</v>
      </c>
      <c r="R105">
        <f t="shared" si="12"/>
        <v>0</v>
      </c>
      <c r="S105">
        <f t="shared" si="8"/>
        <v>0</v>
      </c>
      <c r="T105">
        <f t="shared" si="9"/>
        <v>0</v>
      </c>
    </row>
    <row r="106" x14ac:dyDescent="0.35">
      <c r="A106" t="str">
        <v/>
      </c>
      <c r="B106" t="str">
        <v/>
      </c>
      <c r="C106" t="str">
        <v/>
      </c>
      <c r="D106" t="str">
        <v/>
      </c>
      <c r="E106" t="str">
        <v/>
      </c>
      <c r="F106" t="str">
        <v/>
      </c>
      <c r="G106" t="str">
        <v/>
      </c>
      <c r="H106" t="str">
        <v/>
      </c>
      <c r="I106" t="str">
        <v/>
      </c>
      <c r="J106" t="str">
        <v/>
      </c>
      <c r="K106" t="str">
        <v/>
      </c>
      <c r="L106" t="str">
        <v/>
      </c>
      <c r="M106" t="str">
        <v/>
      </c>
      <c r="N106" t="str">
        <v/>
      </c>
      <c r="O106" t="str">
        <v/>
      </c>
      <c r="P106">
        <f t="shared" si="10"/>
        <v>0</v>
      </c>
      <c r="Q106">
        <f t="shared" si="11"/>
        <v>0</v>
      </c>
      <c r="R106">
        <f t="shared" si="12"/>
        <v>0</v>
      </c>
      <c r="S106">
        <f t="shared" si="8"/>
        <v>0</v>
      </c>
      <c r="T106">
        <f t="shared" si="9"/>
        <v>0</v>
      </c>
    </row>
    <row r="107" x14ac:dyDescent="0.35">
      <c r="A107" t="str">
        <v/>
      </c>
      <c r="B107" t="str">
        <v/>
      </c>
      <c r="C107" t="str">
        <v/>
      </c>
      <c r="D107" t="str">
        <v/>
      </c>
      <c r="E107" t="str">
        <v/>
      </c>
      <c r="F107" t="str">
        <v/>
      </c>
      <c r="G107" t="str">
        <v/>
      </c>
      <c r="H107" t="str">
        <v/>
      </c>
      <c r="I107" t="str">
        <v/>
      </c>
      <c r="J107" t="str">
        <v/>
      </c>
      <c r="K107" t="str">
        <v/>
      </c>
      <c r="L107" t="str">
        <v/>
      </c>
      <c r="M107" t="str">
        <v/>
      </c>
      <c r="N107" t="str">
        <v/>
      </c>
      <c r="O107" t="str">
        <v/>
      </c>
      <c r="P107">
        <f t="shared" si="10"/>
        <v>0</v>
      </c>
      <c r="Q107">
        <f t="shared" si="11"/>
        <v>0</v>
      </c>
      <c r="R107">
        <f t="shared" si="12"/>
        <v>0</v>
      </c>
      <c r="S107">
        <f t="shared" si="8"/>
        <v>0</v>
      </c>
      <c r="T107">
        <f t="shared" si="9"/>
        <v>0</v>
      </c>
    </row>
    <row r="108" x14ac:dyDescent="0.35">
      <c r="A108" t="str">
        <v/>
      </c>
      <c r="B108" t="str">
        <v/>
      </c>
      <c r="C108" t="str">
        <v/>
      </c>
      <c r="D108" t="str">
        <v/>
      </c>
      <c r="E108" t="str">
        <v/>
      </c>
      <c r="F108" t="str">
        <v/>
      </c>
      <c r="G108" t="str">
        <v/>
      </c>
      <c r="H108" t="str">
        <v/>
      </c>
      <c r="I108" t="str">
        <v/>
      </c>
      <c r="J108" t="str">
        <v/>
      </c>
      <c r="K108" t="str">
        <v/>
      </c>
      <c r="L108" t="str">
        <v/>
      </c>
      <c r="M108" t="str">
        <v/>
      </c>
      <c r="N108" t="str">
        <v/>
      </c>
      <c r="O108" t="str">
        <v/>
      </c>
      <c r="P108">
        <f t="shared" si="10"/>
        <v>0</v>
      </c>
      <c r="Q108">
        <f t="shared" si="11"/>
        <v>0</v>
      </c>
      <c r="R108">
        <f t="shared" si="12"/>
        <v>0</v>
      </c>
      <c r="S108">
        <f t="shared" si="8"/>
        <v>0</v>
      </c>
      <c r="T108">
        <f t="shared" si="9"/>
        <v>0</v>
      </c>
    </row>
    <row r="109" x14ac:dyDescent="0.35">
      <c r="A109" t="str">
        <v/>
      </c>
      <c r="B109" t="str">
        <v/>
      </c>
      <c r="C109" t="str">
        <v/>
      </c>
      <c r="D109" t="str">
        <v/>
      </c>
      <c r="E109" t="str">
        <v/>
      </c>
      <c r="F109" t="str">
        <v/>
      </c>
      <c r="G109" t="str">
        <v/>
      </c>
      <c r="H109" t="str">
        <v/>
      </c>
      <c r="I109" t="str">
        <v/>
      </c>
      <c r="J109" t="str">
        <v/>
      </c>
      <c r="K109" t="str">
        <v/>
      </c>
      <c r="L109" t="str">
        <v/>
      </c>
      <c r="M109" t="str">
        <v/>
      </c>
      <c r="N109" t="str">
        <v/>
      </c>
      <c r="O109" t="str">
        <v/>
      </c>
      <c r="P109">
        <f t="shared" si="10"/>
        <v>0</v>
      </c>
      <c r="Q109">
        <f t="shared" si="11"/>
        <v>0</v>
      </c>
      <c r="R109">
        <f t="shared" si="12"/>
        <v>0</v>
      </c>
      <c r="S109">
        <f t="shared" si="8"/>
        <v>0</v>
      </c>
      <c r="T109">
        <f t="shared" si="9"/>
        <v>0</v>
      </c>
    </row>
    <row r="110" x14ac:dyDescent="0.35">
      <c r="A110" t="str">
        <v/>
      </c>
      <c r="B110" t="str">
        <v/>
      </c>
      <c r="C110" t="str">
        <v/>
      </c>
      <c r="D110" t="str">
        <v/>
      </c>
      <c r="E110" t="str">
        <v/>
      </c>
      <c r="F110" t="str">
        <v/>
      </c>
      <c r="G110" t="str">
        <v/>
      </c>
      <c r="H110" t="str">
        <v/>
      </c>
      <c r="I110" t="str">
        <v/>
      </c>
      <c r="J110" t="str">
        <v/>
      </c>
      <c r="K110" t="str">
        <v/>
      </c>
      <c r="L110" t="str">
        <v/>
      </c>
      <c r="M110" t="str">
        <v/>
      </c>
      <c r="N110" t="str">
        <v/>
      </c>
      <c r="O110" t="str">
        <v/>
      </c>
      <c r="P110">
        <f t="shared" si="10"/>
        <v>0</v>
      </c>
      <c r="Q110">
        <f t="shared" si="11"/>
        <v>0</v>
      </c>
      <c r="R110">
        <f t="shared" si="12"/>
        <v>0</v>
      </c>
      <c r="S110">
        <f t="shared" si="8"/>
        <v>0</v>
      </c>
      <c r="T110">
        <f t="shared" si="9"/>
        <v>0</v>
      </c>
    </row>
    <row r="111" x14ac:dyDescent="0.35">
      <c r="A111" t="str">
        <v/>
      </c>
      <c r="B111" t="str">
        <v/>
      </c>
      <c r="C111" t="str">
        <v/>
      </c>
      <c r="D111" t="str">
        <v/>
      </c>
      <c r="E111" t="str">
        <v/>
      </c>
      <c r="F111" t="str">
        <v/>
      </c>
      <c r="G111" t="str">
        <v/>
      </c>
      <c r="H111" t="str">
        <v/>
      </c>
      <c r="I111" t="str">
        <v/>
      </c>
      <c r="J111" t="str">
        <v/>
      </c>
      <c r="K111" t="str">
        <v/>
      </c>
      <c r="L111" t="str">
        <v/>
      </c>
      <c r="M111" t="str">
        <v/>
      </c>
      <c r="N111" t="str">
        <v/>
      </c>
      <c r="O111" t="str">
        <v/>
      </c>
      <c r="P111">
        <f t="shared" si="10"/>
        <v>0</v>
      </c>
      <c r="Q111">
        <f t="shared" si="11"/>
        <v>0</v>
      </c>
      <c r="R111">
        <f t="shared" si="12"/>
        <v>0</v>
      </c>
      <c r="S111">
        <f t="shared" si="8"/>
        <v>0</v>
      </c>
      <c r="T111">
        <f t="shared" si="9"/>
        <v>0</v>
      </c>
    </row>
    <row r="112" x14ac:dyDescent="0.35">
      <c r="A112" t="str">
        <v/>
      </c>
      <c r="B112" t="str">
        <v/>
      </c>
      <c r="C112" t="str">
        <v/>
      </c>
      <c r="D112" t="str">
        <v/>
      </c>
      <c r="E112" t="str">
        <v/>
      </c>
      <c r="F112" t="str">
        <v/>
      </c>
      <c r="G112" t="str">
        <v/>
      </c>
      <c r="H112" t="str">
        <v/>
      </c>
      <c r="I112" t="str">
        <v/>
      </c>
      <c r="J112" t="str">
        <v/>
      </c>
      <c r="K112" t="str">
        <v/>
      </c>
      <c r="L112" t="str">
        <v/>
      </c>
      <c r="M112" t="str">
        <v/>
      </c>
      <c r="N112" t="str">
        <v/>
      </c>
      <c r="O112" t="str">
        <v/>
      </c>
      <c r="P112">
        <f t="shared" si="10"/>
        <v>0</v>
      </c>
      <c r="Q112">
        <f t="shared" si="11"/>
        <v>0</v>
      </c>
      <c r="R112">
        <f t="shared" si="12"/>
        <v>0</v>
      </c>
      <c r="S112">
        <f t="shared" si="8"/>
        <v>0</v>
      </c>
      <c r="T112">
        <f t="shared" si="9"/>
        <v>0</v>
      </c>
    </row>
    <row r="113" x14ac:dyDescent="0.35">
      <c r="A113" t="str">
        <v/>
      </c>
      <c r="B113" t="str">
        <v/>
      </c>
      <c r="C113" t="str">
        <v/>
      </c>
      <c r="D113" t="str">
        <v/>
      </c>
      <c r="E113" t="str">
        <v/>
      </c>
      <c r="F113" t="str">
        <v/>
      </c>
      <c r="G113" t="str">
        <v/>
      </c>
      <c r="H113" t="str">
        <v/>
      </c>
      <c r="I113" t="str">
        <v/>
      </c>
      <c r="J113" t="str">
        <v/>
      </c>
      <c r="K113" t="str">
        <v/>
      </c>
      <c r="L113" t="str">
        <v/>
      </c>
      <c r="M113" t="str">
        <v/>
      </c>
      <c r="N113" t="str">
        <v/>
      </c>
      <c r="O113" t="str">
        <v/>
      </c>
      <c r="P113">
        <f t="shared" si="10"/>
        <v>0</v>
      </c>
      <c r="Q113">
        <f t="shared" si="11"/>
        <v>0</v>
      </c>
      <c r="R113">
        <f t="shared" si="12"/>
        <v>0</v>
      </c>
      <c r="S113">
        <f t="shared" si="8"/>
        <v>0</v>
      </c>
      <c r="T113">
        <f t="shared" si="9"/>
        <v>0</v>
      </c>
    </row>
    <row r="114" x14ac:dyDescent="0.35">
      <c r="A114" t="str">
        <v/>
      </c>
      <c r="B114" t="str">
        <v/>
      </c>
      <c r="C114" t="str">
        <v/>
      </c>
      <c r="D114" t="str">
        <v/>
      </c>
      <c r="E114" t="str">
        <v/>
      </c>
      <c r="F114" t="str">
        <v/>
      </c>
      <c r="G114" t="str">
        <v/>
      </c>
      <c r="H114" t="str">
        <v/>
      </c>
      <c r="I114" t="str">
        <v/>
      </c>
      <c r="J114" t="str">
        <v/>
      </c>
      <c r="K114" t="str">
        <v/>
      </c>
      <c r="L114" t="str">
        <v/>
      </c>
      <c r="M114" t="str">
        <v/>
      </c>
      <c r="N114" t="str">
        <v/>
      </c>
      <c r="O114" t="str">
        <v/>
      </c>
      <c r="P114">
        <f t="shared" si="10"/>
        <v>0</v>
      </c>
      <c r="Q114">
        <f t="shared" si="11"/>
        <v>0</v>
      </c>
      <c r="R114">
        <f t="shared" si="12"/>
        <v>0</v>
      </c>
      <c r="S114">
        <f t="shared" si="8"/>
        <v>0</v>
      </c>
      <c r="T114">
        <f t="shared" si="9"/>
        <v>0</v>
      </c>
    </row>
    <row r="115" x14ac:dyDescent="0.35">
      <c r="A115" t="str">
        <v/>
      </c>
      <c r="B115" t="str">
        <v/>
      </c>
      <c r="C115" t="str">
        <v/>
      </c>
      <c r="D115" t="str">
        <v/>
      </c>
      <c r="E115" t="str">
        <v/>
      </c>
      <c r="F115" t="str">
        <v/>
      </c>
      <c r="G115" t="str">
        <v/>
      </c>
      <c r="H115" t="str">
        <v/>
      </c>
      <c r="I115" t="str">
        <v/>
      </c>
      <c r="J115" t="str">
        <v/>
      </c>
      <c r="K115" t="str">
        <v/>
      </c>
      <c r="L115" t="str">
        <v/>
      </c>
      <c r="M115" t="str">
        <v/>
      </c>
      <c r="N115" t="str">
        <v/>
      </c>
      <c r="O115" t="str">
        <v/>
      </c>
      <c r="P115">
        <f t="shared" si="10"/>
        <v>0</v>
      </c>
      <c r="Q115">
        <f t="shared" si="11"/>
        <v>0</v>
      </c>
      <c r="R115">
        <f t="shared" si="12"/>
        <v>0</v>
      </c>
      <c r="S115">
        <f t="shared" si="8"/>
        <v>0</v>
      </c>
      <c r="T115">
        <f t="shared" si="9"/>
        <v>0</v>
      </c>
    </row>
    <row r="116" x14ac:dyDescent="0.35">
      <c r="A116" t="str">
        <v/>
      </c>
      <c r="B116" t="str">
        <v/>
      </c>
      <c r="C116" t="str">
        <v/>
      </c>
      <c r="D116" t="str">
        <v/>
      </c>
      <c r="E116" t="str">
        <v/>
      </c>
      <c r="F116" t="str">
        <v/>
      </c>
      <c r="G116" t="str">
        <v/>
      </c>
      <c r="H116" t="str">
        <v/>
      </c>
      <c r="I116" t="str">
        <v/>
      </c>
      <c r="J116" t="str">
        <v/>
      </c>
      <c r="K116" t="str">
        <v/>
      </c>
      <c r="L116" t="str">
        <v/>
      </c>
      <c r="M116" t="str">
        <v/>
      </c>
      <c r="N116" t="str">
        <v/>
      </c>
      <c r="O116" t="str">
        <v/>
      </c>
      <c r="P116">
        <f t="shared" si="10"/>
        <v>0</v>
      </c>
      <c r="Q116">
        <f t="shared" si="11"/>
        <v>0</v>
      </c>
      <c r="R116">
        <f t="shared" si="12"/>
        <v>0</v>
      </c>
      <c r="S116">
        <f t="shared" si="8"/>
        <v>0</v>
      </c>
      <c r="T116">
        <f t="shared" si="9"/>
        <v>0</v>
      </c>
    </row>
    <row r="117" x14ac:dyDescent="0.35">
      <c r="A117" t="str">
        <v/>
      </c>
      <c r="B117" t="str">
        <v/>
      </c>
      <c r="C117" t="str">
        <v/>
      </c>
      <c r="D117" t="str">
        <v/>
      </c>
      <c r="E117" t="str">
        <v/>
      </c>
      <c r="F117" t="str">
        <v/>
      </c>
      <c r="G117" t="str">
        <v/>
      </c>
      <c r="H117" t="str">
        <v/>
      </c>
      <c r="I117" t="str">
        <v/>
      </c>
      <c r="J117" t="str">
        <v/>
      </c>
      <c r="K117" t="str">
        <v/>
      </c>
      <c r="L117" t="str">
        <v/>
      </c>
      <c r="M117" t="str">
        <v/>
      </c>
      <c r="N117" t="str">
        <v/>
      </c>
      <c r="O117" t="str">
        <v/>
      </c>
      <c r="P117">
        <f t="shared" si="10"/>
        <v>0</v>
      </c>
      <c r="Q117">
        <f t="shared" si="11"/>
        <v>0</v>
      </c>
      <c r="R117">
        <f t="shared" si="12"/>
        <v>0</v>
      </c>
      <c r="S117">
        <f t="shared" si="8"/>
        <v>0</v>
      </c>
      <c r="T117">
        <f t="shared" si="9"/>
        <v>0</v>
      </c>
    </row>
    <row r="118" x14ac:dyDescent="0.35">
      <c r="A118" t="str">
        <v/>
      </c>
      <c r="B118" t="str">
        <v/>
      </c>
      <c r="C118" t="str">
        <v/>
      </c>
      <c r="D118" t="str">
        <v/>
      </c>
      <c r="E118" t="str">
        <v/>
      </c>
      <c r="F118" t="str">
        <v/>
      </c>
      <c r="G118" t="str">
        <v/>
      </c>
      <c r="H118" t="str">
        <v/>
      </c>
      <c r="I118" t="str">
        <v/>
      </c>
      <c r="J118" t="str">
        <v/>
      </c>
      <c r="K118" t="str">
        <v/>
      </c>
      <c r="L118" t="str">
        <v/>
      </c>
      <c r="M118" t="str">
        <v/>
      </c>
      <c r="N118" t="str">
        <v/>
      </c>
      <c r="O118" t="str">
        <v/>
      </c>
      <c r="P118">
        <f t="shared" si="10"/>
        <v>0</v>
      </c>
      <c r="Q118">
        <f t="shared" si="11"/>
        <v>0</v>
      </c>
      <c r="R118">
        <f t="shared" si="12"/>
        <v>0</v>
      </c>
      <c r="S118">
        <f t="shared" si="8"/>
        <v>0</v>
      </c>
      <c r="T118">
        <f t="shared" si="9"/>
        <v>0</v>
      </c>
    </row>
    <row r="119" x14ac:dyDescent="0.35">
      <c r="A119" t="str">
        <v/>
      </c>
      <c r="B119" t="str">
        <v/>
      </c>
      <c r="C119" t="str">
        <v/>
      </c>
      <c r="D119" t="str">
        <v/>
      </c>
      <c r="E119" t="str">
        <v/>
      </c>
      <c r="F119" t="str">
        <v/>
      </c>
      <c r="G119" t="str">
        <v/>
      </c>
      <c r="H119" t="str">
        <v/>
      </c>
      <c r="I119" t="str">
        <v/>
      </c>
      <c r="J119" t="str">
        <v/>
      </c>
      <c r="K119" t="str">
        <v/>
      </c>
      <c r="L119" t="str">
        <v/>
      </c>
      <c r="M119" t="str">
        <v/>
      </c>
      <c r="N119" t="str">
        <v/>
      </c>
      <c r="O119" t="str">
        <v/>
      </c>
      <c r="P119">
        <f t="shared" si="10"/>
        <v>0</v>
      </c>
      <c r="Q119">
        <f t="shared" si="11"/>
        <v>0</v>
      </c>
      <c r="R119">
        <f t="shared" si="12"/>
        <v>0</v>
      </c>
      <c r="S119">
        <f t="shared" si="8"/>
        <v>0</v>
      </c>
      <c r="T119">
        <f t="shared" si="9"/>
        <v>0</v>
      </c>
    </row>
    <row r="120" x14ac:dyDescent="0.35">
      <c r="A120" t="str">
        <v/>
      </c>
      <c r="B120" t="str">
        <v/>
      </c>
      <c r="C120" t="str">
        <v/>
      </c>
      <c r="D120" t="str">
        <v/>
      </c>
      <c r="E120" t="str">
        <v/>
      </c>
      <c r="F120" t="str">
        <v/>
      </c>
      <c r="G120" t="str">
        <v/>
      </c>
      <c r="H120" t="str">
        <v/>
      </c>
      <c r="I120" t="str">
        <v/>
      </c>
      <c r="J120" t="str">
        <v/>
      </c>
      <c r="K120" t="str">
        <v/>
      </c>
      <c r="L120" t="str">
        <v/>
      </c>
      <c r="M120" t="str">
        <v/>
      </c>
      <c r="N120" t="str">
        <v/>
      </c>
      <c r="O120" t="str">
        <v/>
      </c>
      <c r="P120">
        <f t="shared" si="10"/>
        <v>0</v>
      </c>
      <c r="Q120">
        <f t="shared" si="11"/>
        <v>0</v>
      </c>
      <c r="R120">
        <f t="shared" si="12"/>
        <v>0</v>
      </c>
      <c r="S120">
        <f t="shared" si="8"/>
        <v>0</v>
      </c>
      <c r="T120">
        <f t="shared" si="9"/>
        <v>0</v>
      </c>
    </row>
    <row r="121" x14ac:dyDescent="0.35">
      <c r="A121" t="str">
        <v/>
      </c>
      <c r="B121" t="str">
        <v/>
      </c>
      <c r="C121" t="str">
        <v/>
      </c>
      <c r="D121" t="str">
        <v/>
      </c>
      <c r="E121" t="str">
        <v/>
      </c>
      <c r="F121" t="str">
        <v/>
      </c>
      <c r="G121" t="str">
        <v/>
      </c>
      <c r="H121" t="str">
        <v/>
      </c>
      <c r="I121" t="str">
        <v/>
      </c>
      <c r="J121" t="str">
        <v/>
      </c>
      <c r="K121" t="str">
        <v/>
      </c>
      <c r="L121" t="str">
        <v/>
      </c>
      <c r="M121" t="str">
        <v/>
      </c>
      <c r="N121" t="str">
        <v/>
      </c>
      <c r="O121" t="str">
        <v/>
      </c>
      <c r="P121">
        <f t="shared" si="10"/>
        <v>0</v>
      </c>
      <c r="Q121">
        <f t="shared" si="11"/>
        <v>0</v>
      </c>
      <c r="R121">
        <f t="shared" si="12"/>
        <v>0</v>
      </c>
      <c r="S121">
        <f t="shared" si="8"/>
        <v>0</v>
      </c>
      <c r="T121">
        <f t="shared" si="9"/>
        <v>0</v>
      </c>
    </row>
    <row r="122" x14ac:dyDescent="0.35">
      <c r="A122" t="str">
        <v/>
      </c>
      <c r="B122" t="str">
        <v/>
      </c>
      <c r="C122" t="str">
        <v/>
      </c>
      <c r="D122" t="str">
        <v/>
      </c>
      <c r="E122" t="str">
        <v/>
      </c>
      <c r="F122" t="str">
        <v/>
      </c>
      <c r="G122" t="str">
        <v/>
      </c>
      <c r="H122" t="str">
        <v/>
      </c>
      <c r="I122" t="str">
        <v/>
      </c>
      <c r="J122" t="str">
        <v/>
      </c>
      <c r="K122" t="str">
        <v/>
      </c>
      <c r="L122" t="str">
        <v/>
      </c>
      <c r="M122" t="str">
        <v/>
      </c>
      <c r="N122" t="str">
        <v/>
      </c>
      <c r="O122" t="str">
        <v/>
      </c>
      <c r="P122">
        <f t="shared" si="10"/>
        <v>0</v>
      </c>
      <c r="Q122">
        <f t="shared" si="11"/>
        <v>0</v>
      </c>
      <c r="R122">
        <f t="shared" si="12"/>
        <v>0</v>
      </c>
      <c r="S122">
        <f t="shared" si="8"/>
        <v>0</v>
      </c>
      <c r="T122">
        <f t="shared" si="9"/>
        <v>0</v>
      </c>
    </row>
    <row r="123" x14ac:dyDescent="0.35">
      <c r="A123" t="str">
        <v/>
      </c>
      <c r="B123" t="str">
        <v/>
      </c>
      <c r="C123" t="str">
        <v/>
      </c>
      <c r="D123" t="str">
        <v/>
      </c>
      <c r="E123" t="str">
        <v/>
      </c>
      <c r="F123" t="str">
        <v/>
      </c>
      <c r="G123" t="str">
        <v/>
      </c>
      <c r="H123" t="str">
        <v/>
      </c>
      <c r="I123" t="str">
        <v/>
      </c>
      <c r="J123" t="str">
        <v/>
      </c>
      <c r="K123" t="str">
        <v/>
      </c>
      <c r="L123" t="str">
        <v/>
      </c>
      <c r="M123" t="str">
        <v/>
      </c>
      <c r="N123" t="str">
        <v/>
      </c>
      <c r="O123" t="str">
        <v/>
      </c>
      <c r="P123">
        <f t="shared" si="10"/>
        <v>0</v>
      </c>
      <c r="Q123">
        <f t="shared" si="11"/>
        <v>0</v>
      </c>
      <c r="R123">
        <f t="shared" si="12"/>
        <v>0</v>
      </c>
      <c r="S123">
        <f t="shared" si="8"/>
        <v>0</v>
      </c>
      <c r="T123">
        <f t="shared" si="9"/>
        <v>0</v>
      </c>
    </row>
    <row r="124" x14ac:dyDescent="0.35">
      <c r="A124" t="str">
        <v/>
      </c>
      <c r="B124" t="str">
        <v/>
      </c>
      <c r="C124" t="str">
        <v/>
      </c>
      <c r="D124" t="str">
        <v/>
      </c>
      <c r="E124" t="str">
        <v/>
      </c>
      <c r="F124" t="str">
        <v/>
      </c>
      <c r="G124" t="str">
        <v/>
      </c>
      <c r="H124" t="str">
        <v/>
      </c>
      <c r="I124" t="str">
        <v/>
      </c>
      <c r="J124" t="str">
        <v/>
      </c>
      <c r="K124" t="str">
        <v/>
      </c>
      <c r="L124" t="str">
        <v/>
      </c>
      <c r="M124" t="str">
        <v/>
      </c>
      <c r="N124" t="str">
        <v/>
      </c>
      <c r="O124" t="str">
        <v/>
      </c>
      <c r="P124">
        <f t="shared" si="10"/>
        <v>0</v>
      </c>
      <c r="Q124">
        <f t="shared" si="11"/>
        <v>0</v>
      </c>
      <c r="R124">
        <f t="shared" si="12"/>
        <v>0</v>
      </c>
      <c r="S124">
        <f t="shared" si="8"/>
        <v>0</v>
      </c>
      <c r="T124">
        <f t="shared" si="9"/>
        <v>0</v>
      </c>
    </row>
    <row r="125" x14ac:dyDescent="0.35">
      <c r="A125" t="str">
        <v/>
      </c>
      <c r="B125" t="str">
        <v/>
      </c>
      <c r="C125" t="str">
        <v/>
      </c>
      <c r="D125" t="str">
        <v/>
      </c>
      <c r="E125" t="str">
        <v/>
      </c>
      <c r="F125" t="str">
        <v/>
      </c>
      <c r="G125" t="str">
        <v/>
      </c>
      <c r="H125" t="str">
        <v/>
      </c>
      <c r="I125" t="str">
        <v/>
      </c>
      <c r="J125" t="str">
        <v/>
      </c>
      <c r="K125" t="str">
        <v/>
      </c>
      <c r="L125" t="str">
        <v/>
      </c>
      <c r="M125" t="str">
        <v/>
      </c>
      <c r="N125" t="str">
        <v/>
      </c>
      <c r="O125" t="str">
        <v/>
      </c>
      <c r="P125">
        <f t="shared" si="10"/>
        <v>0</v>
      </c>
      <c r="Q125">
        <f t="shared" si="11"/>
        <v>0</v>
      </c>
      <c r="R125">
        <f t="shared" si="12"/>
        <v>0</v>
      </c>
      <c r="S125">
        <f t="shared" si="8"/>
        <v>0</v>
      </c>
      <c r="T125">
        <f t="shared" si="9"/>
        <v>0</v>
      </c>
    </row>
    <row r="126" x14ac:dyDescent="0.35">
      <c r="A126" t="str">
        <v/>
      </c>
      <c r="B126" t="str">
        <v/>
      </c>
      <c r="C126" t="str">
        <v/>
      </c>
      <c r="D126" t="str">
        <v/>
      </c>
      <c r="E126" t="str">
        <v/>
      </c>
      <c r="F126" t="str">
        <v/>
      </c>
      <c r="G126" t="str">
        <v/>
      </c>
      <c r="H126" t="str">
        <v/>
      </c>
      <c r="I126" t="str">
        <v/>
      </c>
      <c r="J126" t="str">
        <v/>
      </c>
      <c r="K126" t="str">
        <v/>
      </c>
      <c r="L126" t="str">
        <v/>
      </c>
      <c r="M126" t="str">
        <v/>
      </c>
      <c r="N126" t="str">
        <v/>
      </c>
      <c r="O126" t="str">
        <v/>
      </c>
      <c r="P126">
        <f t="shared" si="10"/>
        <v>0</v>
      </c>
      <c r="Q126">
        <f t="shared" si="11"/>
        <v>0</v>
      </c>
      <c r="R126">
        <f t="shared" si="12"/>
        <v>0</v>
      </c>
      <c r="S126">
        <f t="shared" si="8"/>
        <v>0</v>
      </c>
      <c r="T126">
        <f t="shared" si="9"/>
        <v>0</v>
      </c>
    </row>
    <row r="127" x14ac:dyDescent="0.35">
      <c r="A127" t="str">
        <v/>
      </c>
      <c r="B127" t="str">
        <v/>
      </c>
      <c r="C127" t="str">
        <v/>
      </c>
      <c r="D127" t="str">
        <v/>
      </c>
      <c r="E127" t="str">
        <v/>
      </c>
      <c r="F127" t="str">
        <v/>
      </c>
      <c r="G127" t="str">
        <v/>
      </c>
      <c r="H127" t="str">
        <v/>
      </c>
      <c r="I127" t="str">
        <v/>
      </c>
      <c r="J127" t="str">
        <v/>
      </c>
      <c r="K127" t="str">
        <v/>
      </c>
      <c r="L127" t="str">
        <v/>
      </c>
      <c r="M127" t="str">
        <v/>
      </c>
      <c r="N127" t="str">
        <v/>
      </c>
      <c r="O127" t="str">
        <v/>
      </c>
      <c r="P127">
        <f t="shared" si="10"/>
        <v>0</v>
      </c>
      <c r="Q127">
        <f t="shared" si="11"/>
        <v>0</v>
      </c>
      <c r="R127">
        <f t="shared" si="12"/>
        <v>0</v>
      </c>
      <c r="S127">
        <f t="shared" si="8"/>
        <v>0</v>
      </c>
      <c r="T127">
        <f t="shared" si="9"/>
        <v>0</v>
      </c>
    </row>
    <row r="128" x14ac:dyDescent="0.35">
      <c r="A128" t="str">
        <v/>
      </c>
      <c r="B128" t="str">
        <v/>
      </c>
      <c r="C128" t="str">
        <v/>
      </c>
      <c r="D128" t="str">
        <v/>
      </c>
      <c r="E128" t="str">
        <v/>
      </c>
      <c r="F128" t="str">
        <v/>
      </c>
      <c r="G128" t="str">
        <v/>
      </c>
      <c r="H128" t="str">
        <v/>
      </c>
      <c r="I128" t="str">
        <v/>
      </c>
      <c r="J128" t="str">
        <v/>
      </c>
      <c r="K128" t="str">
        <v/>
      </c>
      <c r="L128" t="str">
        <v/>
      </c>
      <c r="M128" t="str">
        <v/>
      </c>
      <c r="N128" t="str">
        <v/>
      </c>
      <c r="O128" t="str">
        <v/>
      </c>
      <c r="P128">
        <f t="shared" si="10"/>
        <v>0</v>
      </c>
      <c r="Q128">
        <f t="shared" si="11"/>
        <v>0</v>
      </c>
      <c r="R128">
        <f t="shared" si="12"/>
        <v>0</v>
      </c>
      <c r="S128">
        <f t="shared" si="8"/>
        <v>0</v>
      </c>
      <c r="T128">
        <f t="shared" si="9"/>
        <v>0</v>
      </c>
    </row>
    <row r="129" x14ac:dyDescent="0.35">
      <c r="A129" t="str">
        <v/>
      </c>
      <c r="B129" t="str">
        <v/>
      </c>
      <c r="C129" t="str">
        <v/>
      </c>
      <c r="D129" t="str">
        <v/>
      </c>
      <c r="E129" t="str">
        <v/>
      </c>
      <c r="F129" t="str">
        <v/>
      </c>
      <c r="G129" t="str">
        <v/>
      </c>
      <c r="H129" t="str">
        <v/>
      </c>
      <c r="I129" t="str">
        <v/>
      </c>
      <c r="J129" t="str">
        <v/>
      </c>
      <c r="K129" t="str">
        <v/>
      </c>
      <c r="L129" t="str">
        <v/>
      </c>
      <c r="M129" t="str">
        <v/>
      </c>
      <c r="N129" t="str">
        <v/>
      </c>
      <c r="O129" t="str">
        <v/>
      </c>
      <c r="P129">
        <f t="shared" si="10"/>
        <v>0</v>
      </c>
      <c r="Q129">
        <f t="shared" si="11"/>
        <v>0</v>
      </c>
      <c r="R129">
        <f t="shared" si="12"/>
        <v>0</v>
      </c>
      <c r="S129">
        <f t="shared" si="8"/>
        <v>0</v>
      </c>
      <c r="T129">
        <f t="shared" si="9"/>
        <v>0</v>
      </c>
    </row>
    <row r="130" x14ac:dyDescent="0.35">
      <c r="A130" t="str">
        <v/>
      </c>
      <c r="B130" t="str">
        <v/>
      </c>
      <c r="C130" t="str">
        <v/>
      </c>
      <c r="D130" t="str">
        <v/>
      </c>
      <c r="E130" t="str">
        <v/>
      </c>
      <c r="F130" t="str">
        <v/>
      </c>
      <c r="G130" t="str">
        <v/>
      </c>
      <c r="H130" t="str">
        <v/>
      </c>
      <c r="I130" t="str">
        <v/>
      </c>
      <c r="J130" t="str">
        <v/>
      </c>
      <c r="K130" t="str">
        <v/>
      </c>
      <c r="L130" t="str">
        <v/>
      </c>
      <c r="M130" t="str">
        <v/>
      </c>
      <c r="N130" t="str">
        <v/>
      </c>
      <c r="O130" t="str">
        <v/>
      </c>
      <c r="P130">
        <f t="shared" si="10"/>
        <v>0</v>
      </c>
      <c r="Q130">
        <f t="shared" si="11"/>
        <v>0</v>
      </c>
      <c r="R130">
        <f t="shared" si="12"/>
        <v>0</v>
      </c>
      <c r="S130">
        <f t="shared" si="8"/>
        <v>0</v>
      </c>
      <c r="T130">
        <f t="shared" si="9"/>
        <v>0</v>
      </c>
    </row>
    <row r="131" x14ac:dyDescent="0.35">
      <c r="A131" t="str">
        <v/>
      </c>
      <c r="B131" t="str">
        <v/>
      </c>
      <c r="C131" t="str">
        <v/>
      </c>
      <c r="D131" t="str">
        <v/>
      </c>
      <c r="E131" t="str">
        <v/>
      </c>
      <c r="F131" t="str">
        <v/>
      </c>
      <c r="G131" t="str">
        <v/>
      </c>
      <c r="H131" t="str">
        <v/>
      </c>
      <c r="I131" t="str">
        <v/>
      </c>
      <c r="J131" t="str">
        <v/>
      </c>
      <c r="K131" t="str">
        <v/>
      </c>
      <c r="L131" t="str">
        <v/>
      </c>
      <c r="M131" t="str">
        <v/>
      </c>
      <c r="N131" t="str">
        <v/>
      </c>
      <c r="O131" t="str">
        <v/>
      </c>
      <c r="P131">
        <f t="shared" si="10"/>
        <v>0</v>
      </c>
      <c r="Q131">
        <f t="shared" si="11"/>
        <v>0</v>
      </c>
      <c r="R131">
        <f t="shared" si="12"/>
        <v>0</v>
      </c>
      <c r="S131">
        <f t="shared" ref="S131:S194" si="13">IF(J131="Realizada completa",1,0)</f>
        <v>0</v>
      </c>
      <c r="T131">
        <f t="shared" ref="T131:T194" si="14">IF(J131="Sin respuesta",1,0)</f>
        <v>0</v>
      </c>
    </row>
    <row r="132" x14ac:dyDescent="0.35">
      <c r="A132" t="str">
        <v/>
      </c>
      <c r="B132" t="str">
        <v/>
      </c>
      <c r="C132" t="str">
        <v/>
      </c>
      <c r="D132" t="str">
        <v/>
      </c>
      <c r="E132" t="str">
        <v/>
      </c>
      <c r="F132" t="str">
        <v/>
      </c>
      <c r="G132" t="str">
        <v/>
      </c>
      <c r="H132" t="str">
        <v/>
      </c>
      <c r="I132" t="str">
        <v/>
      </c>
      <c r="J132" t="str">
        <v/>
      </c>
      <c r="K132" t="str">
        <v/>
      </c>
      <c r="L132" t="str">
        <v/>
      </c>
      <c r="M132" t="str">
        <v/>
      </c>
      <c r="N132" t="str">
        <v/>
      </c>
      <c r="O132" t="str">
        <v/>
      </c>
      <c r="P132">
        <f t="shared" ref="P132:P195" si="15">IF(F132="Sí",1,0)</f>
        <v>0</v>
      </c>
      <c r="Q132">
        <f t="shared" ref="Q132:Q195" si="16">IF(J132="En coordinación",1,0)</f>
        <v>0</v>
      </c>
      <c r="R132">
        <f t="shared" ref="R132:R195" si="17">IF(J132="En coordinación",1,0)</f>
        <v>0</v>
      </c>
      <c r="S132">
        <f t="shared" si="13"/>
        <v>0</v>
      </c>
      <c r="T132">
        <f t="shared" si="14"/>
        <v>0</v>
      </c>
    </row>
    <row r="133" x14ac:dyDescent="0.35">
      <c r="A133" t="str">
        <v/>
      </c>
      <c r="B133" t="str">
        <v/>
      </c>
      <c r="C133" t="str">
        <v/>
      </c>
      <c r="D133" t="str">
        <v/>
      </c>
      <c r="E133" t="str">
        <v/>
      </c>
      <c r="F133" t="str">
        <v/>
      </c>
      <c r="G133" t="str">
        <v/>
      </c>
      <c r="H133" t="str">
        <v/>
      </c>
      <c r="I133" t="str">
        <v/>
      </c>
      <c r="J133" t="str">
        <v/>
      </c>
      <c r="K133" t="str">
        <v/>
      </c>
      <c r="L133" t="str">
        <v/>
      </c>
      <c r="M133" t="str">
        <v/>
      </c>
      <c r="N133" t="str">
        <v/>
      </c>
      <c r="O133" t="str">
        <v/>
      </c>
      <c r="P133">
        <f t="shared" si="15"/>
        <v>0</v>
      </c>
      <c r="Q133">
        <f t="shared" si="16"/>
        <v>0</v>
      </c>
      <c r="R133">
        <f t="shared" si="17"/>
        <v>0</v>
      </c>
      <c r="S133">
        <f t="shared" si="13"/>
        <v>0</v>
      </c>
      <c r="T133">
        <f t="shared" si="14"/>
        <v>0</v>
      </c>
    </row>
    <row r="134" x14ac:dyDescent="0.35">
      <c r="A134" t="str">
        <v/>
      </c>
      <c r="B134" t="str">
        <v/>
      </c>
      <c r="C134" t="str">
        <v/>
      </c>
      <c r="D134" t="str">
        <v/>
      </c>
      <c r="E134" t="str">
        <v/>
      </c>
      <c r="F134" t="str">
        <v/>
      </c>
      <c r="G134" t="str">
        <v/>
      </c>
      <c r="H134" t="str">
        <v/>
      </c>
      <c r="I134" t="str">
        <v/>
      </c>
      <c r="J134" t="str">
        <v/>
      </c>
      <c r="K134" t="str">
        <v/>
      </c>
      <c r="L134" t="str">
        <v/>
      </c>
      <c r="M134" t="str">
        <v/>
      </c>
      <c r="N134" t="str">
        <v/>
      </c>
      <c r="O134" t="str">
        <v/>
      </c>
      <c r="P134">
        <f t="shared" si="15"/>
        <v>0</v>
      </c>
      <c r="Q134">
        <f t="shared" si="16"/>
        <v>0</v>
      </c>
      <c r="R134">
        <f t="shared" si="17"/>
        <v>0</v>
      </c>
      <c r="S134">
        <f t="shared" si="13"/>
        <v>0</v>
      </c>
      <c r="T134">
        <f t="shared" si="14"/>
        <v>0</v>
      </c>
    </row>
    <row r="135" x14ac:dyDescent="0.35">
      <c r="A135" t="str">
        <v/>
      </c>
      <c r="B135" t="str">
        <v/>
      </c>
      <c r="C135" t="str">
        <v/>
      </c>
      <c r="D135" t="str">
        <v/>
      </c>
      <c r="E135" t="str">
        <v/>
      </c>
      <c r="F135" t="str">
        <v/>
      </c>
      <c r="G135" t="str">
        <v/>
      </c>
      <c r="H135" t="str">
        <v/>
      </c>
      <c r="I135" t="str">
        <v/>
      </c>
      <c r="J135" t="str">
        <v/>
      </c>
      <c r="K135" t="str">
        <v/>
      </c>
      <c r="L135" t="str">
        <v/>
      </c>
      <c r="M135" t="str">
        <v/>
      </c>
      <c r="N135" t="str">
        <v/>
      </c>
      <c r="O135" t="str">
        <v/>
      </c>
      <c r="P135">
        <f t="shared" si="15"/>
        <v>0</v>
      </c>
      <c r="Q135">
        <f t="shared" si="16"/>
        <v>0</v>
      </c>
      <c r="R135">
        <f t="shared" si="17"/>
        <v>0</v>
      </c>
      <c r="S135">
        <f t="shared" si="13"/>
        <v>0</v>
      </c>
      <c r="T135">
        <f t="shared" si="14"/>
        <v>0</v>
      </c>
    </row>
    <row r="136" x14ac:dyDescent="0.35">
      <c r="A136" t="str">
        <v/>
      </c>
      <c r="B136" t="str">
        <v/>
      </c>
      <c r="C136" t="str">
        <v/>
      </c>
      <c r="D136" t="str">
        <v/>
      </c>
      <c r="E136" t="str">
        <v/>
      </c>
      <c r="F136" t="str">
        <v/>
      </c>
      <c r="G136" t="str">
        <v/>
      </c>
      <c r="H136" t="str">
        <v/>
      </c>
      <c r="I136" t="str">
        <v/>
      </c>
      <c r="J136" t="str">
        <v/>
      </c>
      <c r="K136" t="str">
        <v/>
      </c>
      <c r="L136" t="str">
        <v/>
      </c>
      <c r="M136" t="str">
        <v/>
      </c>
      <c r="N136" t="str">
        <v/>
      </c>
      <c r="O136" t="str">
        <v/>
      </c>
      <c r="P136">
        <f t="shared" si="15"/>
        <v>0</v>
      </c>
      <c r="Q136">
        <f t="shared" si="16"/>
        <v>0</v>
      </c>
      <c r="R136">
        <f t="shared" si="17"/>
        <v>0</v>
      </c>
      <c r="S136">
        <f t="shared" si="13"/>
        <v>0</v>
      </c>
      <c r="T136">
        <f t="shared" si="14"/>
        <v>0</v>
      </c>
    </row>
    <row r="137" x14ac:dyDescent="0.35">
      <c r="A137" t="str">
        <v/>
      </c>
      <c r="B137" t="str">
        <v/>
      </c>
      <c r="C137" t="str">
        <v/>
      </c>
      <c r="D137" t="str">
        <v/>
      </c>
      <c r="E137" t="str">
        <v/>
      </c>
      <c r="F137" t="str">
        <v/>
      </c>
      <c r="G137" t="str">
        <v/>
      </c>
      <c r="H137" t="str">
        <v/>
      </c>
      <c r="I137" t="str">
        <v/>
      </c>
      <c r="J137" t="str">
        <v/>
      </c>
      <c r="K137" t="str">
        <v/>
      </c>
      <c r="L137" t="str">
        <v/>
      </c>
      <c r="M137" t="str">
        <v/>
      </c>
      <c r="N137" t="str">
        <v/>
      </c>
      <c r="O137" t="str">
        <v/>
      </c>
      <c r="P137">
        <f t="shared" si="15"/>
        <v>0</v>
      </c>
      <c r="Q137">
        <f t="shared" si="16"/>
        <v>0</v>
      </c>
      <c r="R137">
        <f t="shared" si="17"/>
        <v>0</v>
      </c>
      <c r="S137">
        <f t="shared" si="13"/>
        <v>0</v>
      </c>
      <c r="T137">
        <f t="shared" si="14"/>
        <v>0</v>
      </c>
    </row>
    <row r="138" x14ac:dyDescent="0.35">
      <c r="A138" t="str">
        <v/>
      </c>
      <c r="B138" t="str">
        <v/>
      </c>
      <c r="C138" t="str">
        <v/>
      </c>
      <c r="D138" t="str">
        <v/>
      </c>
      <c r="E138" t="str">
        <v/>
      </c>
      <c r="F138" t="str">
        <v/>
      </c>
      <c r="G138" t="str">
        <v/>
      </c>
      <c r="H138" t="str">
        <v/>
      </c>
      <c r="I138" t="str">
        <v/>
      </c>
      <c r="J138" t="str">
        <v/>
      </c>
      <c r="K138" t="str">
        <v/>
      </c>
      <c r="L138" t="str">
        <v/>
      </c>
      <c r="M138" t="str">
        <v/>
      </c>
      <c r="N138" t="str">
        <v/>
      </c>
      <c r="O138" t="str">
        <v/>
      </c>
      <c r="P138">
        <f t="shared" si="15"/>
        <v>0</v>
      </c>
      <c r="Q138">
        <f t="shared" si="16"/>
        <v>0</v>
      </c>
      <c r="R138">
        <f t="shared" si="17"/>
        <v>0</v>
      </c>
      <c r="S138">
        <f t="shared" si="13"/>
        <v>0</v>
      </c>
      <c r="T138">
        <f t="shared" si="14"/>
        <v>0</v>
      </c>
    </row>
    <row r="139" x14ac:dyDescent="0.35">
      <c r="A139" t="str">
        <v/>
      </c>
      <c r="B139" t="str">
        <v/>
      </c>
      <c r="C139" t="str">
        <v/>
      </c>
      <c r="D139" t="str">
        <v/>
      </c>
      <c r="E139" t="str">
        <v/>
      </c>
      <c r="F139" t="str">
        <v/>
      </c>
      <c r="G139" t="str">
        <v/>
      </c>
      <c r="H139" t="str">
        <v/>
      </c>
      <c r="I139" t="str">
        <v/>
      </c>
      <c r="J139" t="str">
        <v/>
      </c>
      <c r="K139" t="str">
        <v/>
      </c>
      <c r="L139" t="str">
        <v/>
      </c>
      <c r="M139" t="str">
        <v/>
      </c>
      <c r="N139" t="str">
        <v/>
      </c>
      <c r="O139" t="str">
        <v/>
      </c>
      <c r="P139">
        <f t="shared" si="15"/>
        <v>0</v>
      </c>
      <c r="Q139">
        <f t="shared" si="16"/>
        <v>0</v>
      </c>
      <c r="R139">
        <f t="shared" si="17"/>
        <v>0</v>
      </c>
      <c r="S139">
        <f t="shared" si="13"/>
        <v>0</v>
      </c>
      <c r="T139">
        <f t="shared" si="14"/>
        <v>0</v>
      </c>
    </row>
    <row r="140" x14ac:dyDescent="0.35">
      <c r="A140" t="str">
        <v/>
      </c>
      <c r="B140" t="str">
        <v/>
      </c>
      <c r="C140" t="str">
        <v/>
      </c>
      <c r="D140" t="str">
        <v/>
      </c>
      <c r="E140" t="str">
        <v/>
      </c>
      <c r="F140" t="str">
        <v/>
      </c>
      <c r="G140" t="str">
        <v/>
      </c>
      <c r="H140" t="str">
        <v/>
      </c>
      <c r="I140" t="str">
        <v/>
      </c>
      <c r="J140" t="str">
        <v/>
      </c>
      <c r="K140" t="str">
        <v/>
      </c>
      <c r="L140" t="str">
        <v/>
      </c>
      <c r="M140" t="str">
        <v/>
      </c>
      <c r="N140" t="str">
        <v/>
      </c>
      <c r="O140" t="str">
        <v/>
      </c>
      <c r="P140">
        <f t="shared" si="15"/>
        <v>0</v>
      </c>
      <c r="Q140">
        <f t="shared" si="16"/>
        <v>0</v>
      </c>
      <c r="R140">
        <f t="shared" si="17"/>
        <v>0</v>
      </c>
      <c r="S140">
        <f t="shared" si="13"/>
        <v>0</v>
      </c>
      <c r="T140">
        <f t="shared" si="14"/>
        <v>0</v>
      </c>
    </row>
    <row r="141" x14ac:dyDescent="0.35">
      <c r="A141" t="str">
        <v/>
      </c>
      <c r="B141" t="str">
        <v/>
      </c>
      <c r="C141" t="str">
        <v/>
      </c>
      <c r="D141" t="str">
        <v/>
      </c>
      <c r="E141" t="str">
        <v/>
      </c>
      <c r="F141" t="str">
        <v/>
      </c>
      <c r="G141" t="str">
        <v/>
      </c>
      <c r="H141" t="str">
        <v/>
      </c>
      <c r="I141" t="str">
        <v/>
      </c>
      <c r="J141" t="str">
        <v/>
      </c>
      <c r="K141" t="str">
        <v/>
      </c>
      <c r="L141" t="str">
        <v/>
      </c>
      <c r="M141" t="str">
        <v/>
      </c>
      <c r="N141" t="str">
        <v/>
      </c>
      <c r="O141" t="str">
        <v/>
      </c>
      <c r="P141">
        <f t="shared" si="15"/>
        <v>0</v>
      </c>
      <c r="Q141">
        <f t="shared" si="16"/>
        <v>0</v>
      </c>
      <c r="R141">
        <f t="shared" si="17"/>
        <v>0</v>
      </c>
      <c r="S141">
        <f t="shared" si="13"/>
        <v>0</v>
      </c>
      <c r="T141">
        <f t="shared" si="14"/>
        <v>0</v>
      </c>
    </row>
    <row r="142" x14ac:dyDescent="0.35">
      <c r="A142" t="str">
        <v/>
      </c>
      <c r="B142" t="str">
        <v/>
      </c>
      <c r="C142" t="str">
        <v/>
      </c>
      <c r="D142" t="str">
        <v/>
      </c>
      <c r="E142" t="str">
        <v/>
      </c>
      <c r="F142" t="str">
        <v/>
      </c>
      <c r="G142" t="str">
        <v/>
      </c>
      <c r="H142" t="str">
        <v/>
      </c>
      <c r="I142" t="str">
        <v/>
      </c>
      <c r="J142" t="str">
        <v/>
      </c>
      <c r="K142" t="str">
        <v/>
      </c>
      <c r="L142" t="str">
        <v/>
      </c>
      <c r="M142" t="str">
        <v/>
      </c>
      <c r="N142" t="str">
        <v/>
      </c>
      <c r="O142" t="str">
        <v/>
      </c>
      <c r="P142">
        <f t="shared" si="15"/>
        <v>0</v>
      </c>
      <c r="Q142">
        <f t="shared" si="16"/>
        <v>0</v>
      </c>
      <c r="R142">
        <f t="shared" si="17"/>
        <v>0</v>
      </c>
      <c r="S142">
        <f t="shared" si="13"/>
        <v>0</v>
      </c>
      <c r="T142">
        <f t="shared" si="14"/>
        <v>0</v>
      </c>
    </row>
    <row r="143" x14ac:dyDescent="0.35">
      <c r="A143" t="str">
        <v/>
      </c>
      <c r="B143" t="str">
        <v/>
      </c>
      <c r="C143" t="str">
        <v/>
      </c>
      <c r="D143" t="str">
        <v/>
      </c>
      <c r="E143" t="str">
        <v/>
      </c>
      <c r="F143" t="str">
        <v/>
      </c>
      <c r="G143" t="str">
        <v/>
      </c>
      <c r="H143" t="str">
        <v/>
      </c>
      <c r="I143" t="str">
        <v/>
      </c>
      <c r="J143" t="str">
        <v/>
      </c>
      <c r="K143" t="str">
        <v/>
      </c>
      <c r="L143" t="str">
        <v/>
      </c>
      <c r="M143" t="str">
        <v/>
      </c>
      <c r="N143" t="str">
        <v/>
      </c>
      <c r="O143" t="str">
        <v/>
      </c>
      <c r="P143">
        <f t="shared" si="15"/>
        <v>0</v>
      </c>
      <c r="Q143">
        <f t="shared" si="16"/>
        <v>0</v>
      </c>
      <c r="R143">
        <f t="shared" si="17"/>
        <v>0</v>
      </c>
      <c r="S143">
        <f t="shared" si="13"/>
        <v>0</v>
      </c>
      <c r="T143">
        <f t="shared" si="14"/>
        <v>0</v>
      </c>
    </row>
    <row r="144" x14ac:dyDescent="0.35">
      <c r="A144" t="str">
        <v/>
      </c>
      <c r="B144" t="str">
        <v/>
      </c>
      <c r="C144" t="str">
        <v/>
      </c>
      <c r="D144" t="str">
        <v/>
      </c>
      <c r="E144" t="str">
        <v/>
      </c>
      <c r="F144" t="str">
        <v/>
      </c>
      <c r="G144" t="str">
        <v/>
      </c>
      <c r="H144" t="str">
        <v/>
      </c>
      <c r="I144" t="str">
        <v/>
      </c>
      <c r="J144" t="str">
        <v/>
      </c>
      <c r="K144" t="str">
        <v/>
      </c>
      <c r="L144" t="str">
        <v/>
      </c>
      <c r="M144" t="str">
        <v/>
      </c>
      <c r="N144" t="str">
        <v/>
      </c>
      <c r="O144" t="str">
        <v/>
      </c>
      <c r="P144">
        <f t="shared" si="15"/>
        <v>0</v>
      </c>
      <c r="Q144">
        <f t="shared" si="16"/>
        <v>0</v>
      </c>
      <c r="R144">
        <f t="shared" si="17"/>
        <v>0</v>
      </c>
      <c r="S144">
        <f t="shared" si="13"/>
        <v>0</v>
      </c>
      <c r="T144">
        <f t="shared" si="14"/>
        <v>0</v>
      </c>
    </row>
    <row r="145" x14ac:dyDescent="0.35">
      <c r="A145" t="str">
        <v/>
      </c>
      <c r="B145" t="str">
        <v/>
      </c>
      <c r="C145" t="str">
        <v/>
      </c>
      <c r="D145" t="str">
        <v/>
      </c>
      <c r="E145" t="str">
        <v/>
      </c>
      <c r="F145" t="str">
        <v/>
      </c>
      <c r="G145" t="str">
        <v/>
      </c>
      <c r="H145" t="str">
        <v/>
      </c>
      <c r="I145" t="str">
        <v/>
      </c>
      <c r="J145" t="str">
        <v/>
      </c>
      <c r="K145" t="str">
        <v/>
      </c>
      <c r="L145" t="str">
        <v/>
      </c>
      <c r="M145" t="str">
        <v/>
      </c>
      <c r="N145" t="str">
        <v/>
      </c>
      <c r="O145" t="str">
        <v/>
      </c>
      <c r="P145">
        <f t="shared" si="15"/>
        <v>0</v>
      </c>
      <c r="Q145">
        <f t="shared" si="16"/>
        <v>0</v>
      </c>
      <c r="R145">
        <f t="shared" si="17"/>
        <v>0</v>
      </c>
      <c r="S145">
        <f t="shared" si="13"/>
        <v>0</v>
      </c>
      <c r="T145">
        <f t="shared" si="14"/>
        <v>0</v>
      </c>
    </row>
    <row r="146" x14ac:dyDescent="0.35">
      <c r="A146" t="str">
        <v/>
      </c>
      <c r="B146" t="str">
        <v/>
      </c>
      <c r="C146" t="str">
        <v/>
      </c>
      <c r="D146" t="str">
        <v/>
      </c>
      <c r="E146" t="str">
        <v/>
      </c>
      <c r="F146" t="str">
        <v/>
      </c>
      <c r="G146" t="str">
        <v/>
      </c>
      <c r="H146" t="str">
        <v/>
      </c>
      <c r="I146" t="str">
        <v/>
      </c>
      <c r="J146" t="str">
        <v/>
      </c>
      <c r="K146" t="str">
        <v/>
      </c>
      <c r="L146" t="str">
        <v/>
      </c>
      <c r="M146" t="str">
        <v/>
      </c>
      <c r="N146" t="str">
        <v/>
      </c>
      <c r="O146" t="str">
        <v/>
      </c>
      <c r="P146">
        <f t="shared" si="15"/>
        <v>0</v>
      </c>
      <c r="Q146">
        <f t="shared" si="16"/>
        <v>0</v>
      </c>
      <c r="R146">
        <f t="shared" si="17"/>
        <v>0</v>
      </c>
      <c r="S146">
        <f t="shared" si="13"/>
        <v>0</v>
      </c>
      <c r="T146">
        <f t="shared" si="14"/>
        <v>0</v>
      </c>
    </row>
    <row r="147" x14ac:dyDescent="0.35">
      <c r="A147" t="str">
        <v/>
      </c>
      <c r="B147" t="str">
        <v/>
      </c>
      <c r="C147" t="str">
        <v/>
      </c>
      <c r="D147" t="str">
        <v/>
      </c>
      <c r="E147" t="str">
        <v/>
      </c>
      <c r="F147" t="str">
        <v/>
      </c>
      <c r="G147" t="str">
        <v/>
      </c>
      <c r="H147" t="str">
        <v/>
      </c>
      <c r="I147" t="str">
        <v/>
      </c>
      <c r="J147" t="str">
        <v/>
      </c>
      <c r="K147" t="str">
        <v/>
      </c>
      <c r="L147" t="str">
        <v/>
      </c>
      <c r="M147" t="str">
        <v/>
      </c>
      <c r="N147" t="str">
        <v/>
      </c>
      <c r="O147" t="str">
        <v/>
      </c>
      <c r="P147">
        <f t="shared" si="15"/>
        <v>0</v>
      </c>
      <c r="Q147">
        <f t="shared" si="16"/>
        <v>0</v>
      </c>
      <c r="R147">
        <f t="shared" si="17"/>
        <v>0</v>
      </c>
      <c r="S147">
        <f t="shared" si="13"/>
        <v>0</v>
      </c>
      <c r="T147">
        <f t="shared" si="14"/>
        <v>0</v>
      </c>
    </row>
    <row r="148" x14ac:dyDescent="0.35">
      <c r="A148" t="str">
        <v/>
      </c>
      <c r="B148" t="str">
        <v/>
      </c>
      <c r="C148" t="str">
        <v/>
      </c>
      <c r="D148" t="str">
        <v/>
      </c>
      <c r="E148" t="str">
        <v/>
      </c>
      <c r="F148" t="str">
        <v/>
      </c>
      <c r="G148" t="str">
        <v/>
      </c>
      <c r="H148" t="str">
        <v/>
      </c>
      <c r="I148" t="str">
        <v/>
      </c>
      <c r="J148" t="str">
        <v/>
      </c>
      <c r="K148" t="str">
        <v/>
      </c>
      <c r="L148" t="str">
        <v/>
      </c>
      <c r="M148" t="str">
        <v/>
      </c>
      <c r="N148" t="str">
        <v/>
      </c>
      <c r="O148" t="str">
        <v/>
      </c>
      <c r="P148">
        <f t="shared" si="15"/>
        <v>0</v>
      </c>
      <c r="Q148">
        <f t="shared" si="16"/>
        <v>0</v>
      </c>
      <c r="R148">
        <f t="shared" si="17"/>
        <v>0</v>
      </c>
      <c r="S148">
        <f t="shared" si="13"/>
        <v>0</v>
      </c>
      <c r="T148">
        <f t="shared" si="14"/>
        <v>0</v>
      </c>
    </row>
    <row r="149" x14ac:dyDescent="0.35">
      <c r="A149" t="str">
        <v/>
      </c>
      <c r="B149" t="str">
        <v/>
      </c>
      <c r="C149" t="str">
        <v/>
      </c>
      <c r="D149" t="str">
        <v/>
      </c>
      <c r="E149" t="str">
        <v/>
      </c>
      <c r="F149" t="str">
        <v/>
      </c>
      <c r="G149" t="str">
        <v/>
      </c>
      <c r="H149" t="str">
        <v/>
      </c>
      <c r="I149" t="str">
        <v/>
      </c>
      <c r="J149" t="str">
        <v/>
      </c>
      <c r="K149" t="str">
        <v/>
      </c>
      <c r="L149" t="str">
        <v/>
      </c>
      <c r="M149" t="str">
        <v/>
      </c>
      <c r="N149" t="str">
        <v/>
      </c>
      <c r="O149" t="str">
        <v/>
      </c>
      <c r="P149">
        <f t="shared" si="15"/>
        <v>0</v>
      </c>
      <c r="Q149">
        <f t="shared" si="16"/>
        <v>0</v>
      </c>
      <c r="R149">
        <f t="shared" si="17"/>
        <v>0</v>
      </c>
      <c r="S149">
        <f t="shared" si="13"/>
        <v>0</v>
      </c>
      <c r="T149">
        <f t="shared" si="14"/>
        <v>0</v>
      </c>
    </row>
    <row r="150" x14ac:dyDescent="0.35">
      <c r="A150" t="str">
        <v/>
      </c>
      <c r="B150" t="str">
        <v/>
      </c>
      <c r="C150" t="str">
        <v/>
      </c>
      <c r="D150" t="str">
        <v/>
      </c>
      <c r="E150" t="str">
        <v/>
      </c>
      <c r="F150" t="str">
        <v/>
      </c>
      <c r="G150" t="str">
        <v/>
      </c>
      <c r="H150" t="str">
        <v/>
      </c>
      <c r="I150" t="str">
        <v/>
      </c>
      <c r="J150" t="str">
        <v/>
      </c>
      <c r="K150" t="str">
        <v/>
      </c>
      <c r="L150" t="str">
        <v/>
      </c>
      <c r="M150" t="str">
        <v/>
      </c>
      <c r="N150" t="str">
        <v/>
      </c>
      <c r="O150" t="str">
        <v/>
      </c>
      <c r="P150">
        <f t="shared" si="15"/>
        <v>0</v>
      </c>
      <c r="Q150">
        <f t="shared" si="16"/>
        <v>0</v>
      </c>
      <c r="R150">
        <f t="shared" si="17"/>
        <v>0</v>
      </c>
      <c r="S150">
        <f t="shared" si="13"/>
        <v>0</v>
      </c>
      <c r="T150">
        <f t="shared" si="14"/>
        <v>0</v>
      </c>
    </row>
    <row r="151" x14ac:dyDescent="0.35">
      <c r="A151" t="str">
        <v/>
      </c>
      <c r="B151" t="str">
        <v/>
      </c>
      <c r="C151" t="str">
        <v/>
      </c>
      <c r="D151" t="str">
        <v/>
      </c>
      <c r="E151" t="str">
        <v/>
      </c>
      <c r="F151" t="str">
        <v/>
      </c>
      <c r="G151" t="str">
        <v/>
      </c>
      <c r="H151" t="str">
        <v/>
      </c>
      <c r="I151" t="str">
        <v/>
      </c>
      <c r="J151" t="str">
        <v/>
      </c>
      <c r="K151" t="str">
        <v/>
      </c>
      <c r="L151" t="str">
        <v/>
      </c>
      <c r="M151" t="str">
        <v/>
      </c>
      <c r="N151" t="str">
        <v/>
      </c>
      <c r="O151" t="str">
        <v/>
      </c>
      <c r="P151">
        <f t="shared" si="15"/>
        <v>0</v>
      </c>
      <c r="Q151">
        <f t="shared" si="16"/>
        <v>0</v>
      </c>
      <c r="R151">
        <f t="shared" si="17"/>
        <v>0</v>
      </c>
      <c r="S151">
        <f t="shared" si="13"/>
        <v>0</v>
      </c>
      <c r="T151">
        <f t="shared" si="14"/>
        <v>0</v>
      </c>
    </row>
    <row r="152" x14ac:dyDescent="0.35">
      <c r="A152" t="str">
        <v/>
      </c>
      <c r="B152" t="str">
        <v/>
      </c>
      <c r="C152" t="str">
        <v/>
      </c>
      <c r="D152" t="str">
        <v/>
      </c>
      <c r="E152" t="str">
        <v/>
      </c>
      <c r="F152" t="str">
        <v/>
      </c>
      <c r="G152" t="str">
        <v/>
      </c>
      <c r="H152" t="str">
        <v/>
      </c>
      <c r="I152" t="str">
        <v/>
      </c>
      <c r="J152" t="str">
        <v/>
      </c>
      <c r="K152" t="str">
        <v/>
      </c>
      <c r="L152" t="str">
        <v/>
      </c>
      <c r="M152" t="str">
        <v/>
      </c>
      <c r="N152" t="str">
        <v/>
      </c>
      <c r="O152" t="str">
        <v/>
      </c>
      <c r="P152">
        <f t="shared" si="15"/>
        <v>0</v>
      </c>
      <c r="Q152">
        <f t="shared" si="16"/>
        <v>0</v>
      </c>
      <c r="R152">
        <f t="shared" si="17"/>
        <v>0</v>
      </c>
      <c r="S152">
        <f t="shared" si="13"/>
        <v>0</v>
      </c>
      <c r="T152">
        <f t="shared" si="14"/>
        <v>0</v>
      </c>
    </row>
    <row r="153" x14ac:dyDescent="0.35">
      <c r="A153" t="str">
        <v/>
      </c>
      <c r="B153" t="str">
        <v/>
      </c>
      <c r="C153" t="str">
        <v/>
      </c>
      <c r="D153" t="str">
        <v/>
      </c>
      <c r="E153" t="str">
        <v/>
      </c>
      <c r="F153" t="str">
        <v/>
      </c>
      <c r="G153" t="str">
        <v/>
      </c>
      <c r="H153" t="str">
        <v/>
      </c>
      <c r="I153" t="str">
        <v/>
      </c>
      <c r="J153" t="str">
        <v/>
      </c>
      <c r="K153" t="str">
        <v/>
      </c>
      <c r="L153" t="str">
        <v/>
      </c>
      <c r="M153" t="str">
        <v/>
      </c>
      <c r="N153" t="str">
        <v/>
      </c>
      <c r="O153" t="str">
        <v/>
      </c>
      <c r="P153">
        <f t="shared" si="15"/>
        <v>0</v>
      </c>
      <c r="Q153">
        <f t="shared" si="16"/>
        <v>0</v>
      </c>
      <c r="R153">
        <f t="shared" si="17"/>
        <v>0</v>
      </c>
      <c r="S153">
        <f t="shared" si="13"/>
        <v>0</v>
      </c>
      <c r="T153">
        <f t="shared" si="14"/>
        <v>0</v>
      </c>
    </row>
    <row r="154" x14ac:dyDescent="0.35">
      <c r="A154" t="str">
        <v/>
      </c>
      <c r="B154" t="str">
        <v/>
      </c>
      <c r="C154" t="str">
        <v/>
      </c>
      <c r="D154" t="str">
        <v/>
      </c>
      <c r="E154" t="str">
        <v/>
      </c>
      <c r="F154" t="str">
        <v/>
      </c>
      <c r="G154" t="str">
        <v/>
      </c>
      <c r="H154" t="str">
        <v/>
      </c>
      <c r="I154" t="str">
        <v/>
      </c>
      <c r="J154" t="str">
        <v/>
      </c>
      <c r="K154" t="str">
        <v/>
      </c>
      <c r="L154" t="str">
        <v/>
      </c>
      <c r="M154" t="str">
        <v/>
      </c>
      <c r="N154" t="str">
        <v/>
      </c>
      <c r="O154" t="str">
        <v/>
      </c>
      <c r="P154">
        <f t="shared" si="15"/>
        <v>0</v>
      </c>
      <c r="Q154">
        <f t="shared" si="16"/>
        <v>0</v>
      </c>
      <c r="R154">
        <f t="shared" si="17"/>
        <v>0</v>
      </c>
      <c r="S154">
        <f t="shared" si="13"/>
        <v>0</v>
      </c>
      <c r="T154">
        <f t="shared" si="14"/>
        <v>0</v>
      </c>
    </row>
    <row r="155" x14ac:dyDescent="0.35">
      <c r="A155" t="str">
        <v/>
      </c>
      <c r="B155" t="str">
        <v/>
      </c>
      <c r="C155" t="str">
        <v/>
      </c>
      <c r="D155" t="str">
        <v/>
      </c>
      <c r="E155" t="str">
        <v/>
      </c>
      <c r="F155" t="str">
        <v/>
      </c>
      <c r="G155" t="str">
        <v/>
      </c>
      <c r="H155" t="str">
        <v/>
      </c>
      <c r="I155" t="str">
        <v/>
      </c>
      <c r="J155" t="str">
        <v/>
      </c>
      <c r="K155" t="str">
        <v/>
      </c>
      <c r="L155" t="str">
        <v/>
      </c>
      <c r="M155" t="str">
        <v/>
      </c>
      <c r="N155" t="str">
        <v/>
      </c>
      <c r="O155" t="str">
        <v/>
      </c>
      <c r="P155">
        <f t="shared" si="15"/>
        <v>0</v>
      </c>
      <c r="Q155">
        <f t="shared" si="16"/>
        <v>0</v>
      </c>
      <c r="R155">
        <f t="shared" si="17"/>
        <v>0</v>
      </c>
      <c r="S155">
        <f t="shared" si="13"/>
        <v>0</v>
      </c>
      <c r="T155">
        <f t="shared" si="14"/>
        <v>0</v>
      </c>
    </row>
    <row r="156" x14ac:dyDescent="0.35">
      <c r="A156" t="str">
        <v/>
      </c>
      <c r="B156" t="str">
        <v/>
      </c>
      <c r="C156" t="str">
        <v/>
      </c>
      <c r="D156" t="str">
        <v/>
      </c>
      <c r="E156" t="str">
        <v/>
      </c>
      <c r="F156" t="str">
        <v/>
      </c>
      <c r="G156" t="str">
        <v/>
      </c>
      <c r="H156" t="str">
        <v/>
      </c>
      <c r="I156" t="str">
        <v/>
      </c>
      <c r="J156" t="str">
        <v/>
      </c>
      <c r="K156" t="str">
        <v/>
      </c>
      <c r="L156" t="str">
        <v/>
      </c>
      <c r="M156" t="str">
        <v/>
      </c>
      <c r="N156" t="str">
        <v/>
      </c>
      <c r="O156" t="str">
        <v/>
      </c>
      <c r="P156">
        <f t="shared" si="15"/>
        <v>0</v>
      </c>
      <c r="Q156">
        <f t="shared" si="16"/>
        <v>0</v>
      </c>
      <c r="R156">
        <f t="shared" si="17"/>
        <v>0</v>
      </c>
      <c r="S156">
        <f t="shared" si="13"/>
        <v>0</v>
      </c>
      <c r="T156">
        <f t="shared" si="14"/>
        <v>0</v>
      </c>
    </row>
    <row r="157" x14ac:dyDescent="0.35">
      <c r="A157" t="str">
        <v/>
      </c>
      <c r="B157" t="str">
        <v/>
      </c>
      <c r="C157" t="str">
        <v/>
      </c>
      <c r="D157" t="str">
        <v/>
      </c>
      <c r="E157" t="str">
        <v/>
      </c>
      <c r="F157" t="str">
        <v/>
      </c>
      <c r="G157" t="str">
        <v/>
      </c>
      <c r="H157" t="str">
        <v/>
      </c>
      <c r="I157" t="str">
        <v/>
      </c>
      <c r="J157" t="str">
        <v/>
      </c>
      <c r="K157" t="str">
        <v/>
      </c>
      <c r="L157" t="str">
        <v/>
      </c>
      <c r="M157" t="str">
        <v/>
      </c>
      <c r="N157" t="str">
        <v/>
      </c>
      <c r="O157" t="str">
        <v/>
      </c>
      <c r="P157">
        <f t="shared" si="15"/>
        <v>0</v>
      </c>
      <c r="Q157">
        <f t="shared" si="16"/>
        <v>0</v>
      </c>
      <c r="R157">
        <f t="shared" si="17"/>
        <v>0</v>
      </c>
      <c r="S157">
        <f t="shared" si="13"/>
        <v>0</v>
      </c>
      <c r="T157">
        <f t="shared" si="14"/>
        <v>0</v>
      </c>
    </row>
    <row r="158" x14ac:dyDescent="0.35">
      <c r="A158" t="str">
        <v/>
      </c>
      <c r="B158" t="str">
        <v/>
      </c>
      <c r="C158" t="str">
        <v/>
      </c>
      <c r="D158" t="str">
        <v/>
      </c>
      <c r="E158" t="str">
        <v/>
      </c>
      <c r="F158" t="str">
        <v/>
      </c>
      <c r="G158" t="str">
        <v/>
      </c>
      <c r="H158" t="str">
        <v/>
      </c>
      <c r="I158" t="str">
        <v/>
      </c>
      <c r="J158" t="str">
        <v/>
      </c>
      <c r="K158" t="str">
        <v/>
      </c>
      <c r="L158" t="str">
        <v/>
      </c>
      <c r="M158" t="str">
        <v/>
      </c>
      <c r="N158" t="str">
        <v/>
      </c>
      <c r="O158" t="str">
        <v/>
      </c>
      <c r="P158">
        <f t="shared" si="15"/>
        <v>0</v>
      </c>
      <c r="Q158">
        <f t="shared" si="16"/>
        <v>0</v>
      </c>
      <c r="R158">
        <f t="shared" si="17"/>
        <v>0</v>
      </c>
      <c r="S158">
        <f t="shared" si="13"/>
        <v>0</v>
      </c>
      <c r="T158">
        <f t="shared" si="14"/>
        <v>0</v>
      </c>
    </row>
    <row r="159" x14ac:dyDescent="0.35">
      <c r="A159" t="str">
        <v/>
      </c>
      <c r="B159" t="str">
        <v/>
      </c>
      <c r="C159" t="str">
        <v/>
      </c>
      <c r="D159" t="str">
        <v/>
      </c>
      <c r="E159" t="str">
        <v/>
      </c>
      <c r="F159" t="str">
        <v/>
      </c>
      <c r="G159" t="str">
        <v/>
      </c>
      <c r="H159" t="str">
        <v/>
      </c>
      <c r="I159" t="str">
        <v/>
      </c>
      <c r="J159" t="str">
        <v/>
      </c>
      <c r="K159" t="str">
        <v/>
      </c>
      <c r="L159" t="str">
        <v/>
      </c>
      <c r="M159" t="str">
        <v/>
      </c>
      <c r="N159" t="str">
        <v/>
      </c>
      <c r="O159" t="str">
        <v/>
      </c>
      <c r="P159">
        <f t="shared" si="15"/>
        <v>0</v>
      </c>
      <c r="Q159">
        <f t="shared" si="16"/>
        <v>0</v>
      </c>
      <c r="R159">
        <f t="shared" si="17"/>
        <v>0</v>
      </c>
      <c r="S159">
        <f t="shared" si="13"/>
        <v>0</v>
      </c>
      <c r="T159">
        <f t="shared" si="14"/>
        <v>0</v>
      </c>
    </row>
    <row r="160" x14ac:dyDescent="0.35">
      <c r="A160" t="str">
        <v/>
      </c>
      <c r="B160" t="str">
        <v/>
      </c>
      <c r="C160" t="str">
        <v/>
      </c>
      <c r="D160" t="str">
        <v/>
      </c>
      <c r="E160" t="str">
        <v/>
      </c>
      <c r="F160" t="str">
        <v/>
      </c>
      <c r="G160" t="str">
        <v/>
      </c>
      <c r="H160" t="str">
        <v/>
      </c>
      <c r="I160" t="str">
        <v/>
      </c>
      <c r="J160" t="str">
        <v/>
      </c>
      <c r="K160" t="str">
        <v/>
      </c>
      <c r="L160" t="str">
        <v/>
      </c>
      <c r="M160" t="str">
        <v/>
      </c>
      <c r="N160" t="str">
        <v/>
      </c>
      <c r="O160" t="str">
        <v/>
      </c>
      <c r="P160">
        <f t="shared" si="15"/>
        <v>0</v>
      </c>
      <c r="Q160">
        <f t="shared" si="16"/>
        <v>0</v>
      </c>
      <c r="R160">
        <f t="shared" si="17"/>
        <v>0</v>
      </c>
      <c r="S160">
        <f t="shared" si="13"/>
        <v>0</v>
      </c>
      <c r="T160">
        <f t="shared" si="14"/>
        <v>0</v>
      </c>
    </row>
    <row r="161" x14ac:dyDescent="0.35">
      <c r="A161" t="str">
        <v/>
      </c>
      <c r="B161" t="str">
        <v/>
      </c>
      <c r="C161" t="str">
        <v/>
      </c>
      <c r="D161" t="str">
        <v/>
      </c>
      <c r="E161" t="str">
        <v/>
      </c>
      <c r="F161" t="str">
        <v/>
      </c>
      <c r="G161" t="str">
        <v/>
      </c>
      <c r="H161" t="str">
        <v/>
      </c>
      <c r="I161" t="str">
        <v/>
      </c>
      <c r="J161" t="str">
        <v/>
      </c>
      <c r="K161" t="str">
        <v/>
      </c>
      <c r="L161" t="str">
        <v/>
      </c>
      <c r="M161" t="str">
        <v/>
      </c>
      <c r="N161" t="str">
        <v/>
      </c>
      <c r="O161" t="str">
        <v/>
      </c>
      <c r="P161">
        <f t="shared" si="15"/>
        <v>0</v>
      </c>
      <c r="Q161">
        <f t="shared" si="16"/>
        <v>0</v>
      </c>
      <c r="R161">
        <f t="shared" si="17"/>
        <v>0</v>
      </c>
      <c r="S161">
        <f t="shared" si="13"/>
        <v>0</v>
      </c>
      <c r="T161">
        <f t="shared" si="14"/>
        <v>0</v>
      </c>
    </row>
    <row r="162" x14ac:dyDescent="0.35">
      <c r="A162" t="str">
        <v/>
      </c>
      <c r="B162" t="str">
        <v/>
      </c>
      <c r="C162" t="str">
        <v/>
      </c>
      <c r="D162" t="str">
        <v/>
      </c>
      <c r="E162" t="str">
        <v/>
      </c>
      <c r="F162" t="str">
        <v/>
      </c>
      <c r="G162" t="str">
        <v/>
      </c>
      <c r="H162" t="str">
        <v/>
      </c>
      <c r="I162" t="str">
        <v/>
      </c>
      <c r="J162" t="str">
        <v/>
      </c>
      <c r="K162" t="str">
        <v/>
      </c>
      <c r="L162" t="str">
        <v/>
      </c>
      <c r="M162" t="str">
        <v/>
      </c>
      <c r="N162" t="str">
        <v/>
      </c>
      <c r="O162" t="str">
        <v/>
      </c>
      <c r="P162">
        <f t="shared" si="15"/>
        <v>0</v>
      </c>
      <c r="Q162">
        <f t="shared" si="16"/>
        <v>0</v>
      </c>
      <c r="R162">
        <f t="shared" si="17"/>
        <v>0</v>
      </c>
      <c r="S162">
        <f t="shared" si="13"/>
        <v>0</v>
      </c>
      <c r="T162">
        <f t="shared" si="14"/>
        <v>0</v>
      </c>
    </row>
    <row r="163" x14ac:dyDescent="0.35">
      <c r="A163" t="str">
        <v/>
      </c>
      <c r="B163" t="str">
        <v/>
      </c>
      <c r="C163" t="str">
        <v/>
      </c>
      <c r="D163" t="str">
        <v/>
      </c>
      <c r="E163" t="str">
        <v/>
      </c>
      <c r="F163" t="str">
        <v/>
      </c>
      <c r="G163" t="str">
        <v/>
      </c>
      <c r="H163" t="str">
        <v/>
      </c>
      <c r="I163" t="str">
        <v/>
      </c>
      <c r="J163" t="str">
        <v/>
      </c>
      <c r="K163" t="str">
        <v/>
      </c>
      <c r="L163" t="str">
        <v/>
      </c>
      <c r="M163" t="str">
        <v/>
      </c>
      <c r="N163" t="str">
        <v/>
      </c>
      <c r="O163" t="str">
        <v/>
      </c>
      <c r="P163">
        <f t="shared" si="15"/>
        <v>0</v>
      </c>
      <c r="Q163">
        <f t="shared" si="16"/>
        <v>0</v>
      </c>
      <c r="R163">
        <f t="shared" si="17"/>
        <v>0</v>
      </c>
      <c r="S163">
        <f t="shared" si="13"/>
        <v>0</v>
      </c>
      <c r="T163">
        <f t="shared" si="14"/>
        <v>0</v>
      </c>
    </row>
    <row r="164" x14ac:dyDescent="0.35">
      <c r="A164" t="str">
        <v/>
      </c>
      <c r="B164" t="str">
        <v/>
      </c>
      <c r="C164" t="str">
        <v/>
      </c>
      <c r="D164" t="str">
        <v/>
      </c>
      <c r="E164" t="str">
        <v/>
      </c>
      <c r="F164" t="str">
        <v/>
      </c>
      <c r="G164" t="str">
        <v/>
      </c>
      <c r="H164" t="str">
        <v/>
      </c>
      <c r="I164" t="str">
        <v/>
      </c>
      <c r="J164" t="str">
        <v/>
      </c>
      <c r="K164" t="str">
        <v/>
      </c>
      <c r="L164" t="str">
        <v/>
      </c>
      <c r="M164" t="str">
        <v/>
      </c>
      <c r="N164" t="str">
        <v/>
      </c>
      <c r="O164" t="str">
        <v/>
      </c>
      <c r="P164">
        <f t="shared" si="15"/>
        <v>0</v>
      </c>
      <c r="Q164">
        <f t="shared" si="16"/>
        <v>0</v>
      </c>
      <c r="R164">
        <f t="shared" si="17"/>
        <v>0</v>
      </c>
      <c r="S164">
        <f t="shared" si="13"/>
        <v>0</v>
      </c>
      <c r="T164">
        <f t="shared" si="14"/>
        <v>0</v>
      </c>
    </row>
    <row r="165" x14ac:dyDescent="0.35">
      <c r="A165" t="str">
        <v/>
      </c>
      <c r="B165" t="str">
        <v/>
      </c>
      <c r="C165" t="str">
        <v/>
      </c>
      <c r="D165" t="str">
        <v/>
      </c>
      <c r="E165" t="str">
        <v/>
      </c>
      <c r="F165" t="str">
        <v/>
      </c>
      <c r="G165" t="str">
        <v/>
      </c>
      <c r="H165" t="str">
        <v/>
      </c>
      <c r="I165" t="str">
        <v/>
      </c>
      <c r="J165" t="str">
        <v/>
      </c>
      <c r="K165" t="str">
        <v/>
      </c>
      <c r="L165" t="str">
        <v/>
      </c>
      <c r="M165" t="str">
        <v/>
      </c>
      <c r="N165" t="str">
        <v/>
      </c>
      <c r="O165" t="str">
        <v/>
      </c>
      <c r="P165">
        <f t="shared" si="15"/>
        <v>0</v>
      </c>
      <c r="Q165">
        <f t="shared" si="16"/>
        <v>0</v>
      </c>
      <c r="R165">
        <f t="shared" si="17"/>
        <v>0</v>
      </c>
      <c r="S165">
        <f t="shared" si="13"/>
        <v>0</v>
      </c>
      <c r="T165">
        <f t="shared" si="14"/>
        <v>0</v>
      </c>
    </row>
    <row r="166" x14ac:dyDescent="0.35">
      <c r="A166" t="str">
        <v/>
      </c>
      <c r="B166" t="str">
        <v/>
      </c>
      <c r="C166" t="str">
        <v/>
      </c>
      <c r="D166" t="str">
        <v/>
      </c>
      <c r="E166" t="str">
        <v/>
      </c>
      <c r="F166" t="str">
        <v/>
      </c>
      <c r="G166" t="str">
        <v/>
      </c>
      <c r="H166" t="str">
        <v/>
      </c>
      <c r="I166" t="str">
        <v/>
      </c>
      <c r="J166" t="str">
        <v/>
      </c>
      <c r="K166" t="str">
        <v/>
      </c>
      <c r="L166" t="str">
        <v/>
      </c>
      <c r="M166" t="str">
        <v/>
      </c>
      <c r="N166" t="str">
        <v/>
      </c>
      <c r="O166" t="str">
        <v/>
      </c>
      <c r="P166">
        <f t="shared" si="15"/>
        <v>0</v>
      </c>
      <c r="Q166">
        <f t="shared" si="16"/>
        <v>0</v>
      </c>
      <c r="R166">
        <f t="shared" si="17"/>
        <v>0</v>
      </c>
      <c r="S166">
        <f t="shared" si="13"/>
        <v>0</v>
      </c>
      <c r="T166">
        <f t="shared" si="14"/>
        <v>0</v>
      </c>
    </row>
    <row r="167" x14ac:dyDescent="0.35">
      <c r="A167" t="str">
        <v/>
      </c>
      <c r="B167" t="str">
        <v/>
      </c>
      <c r="C167" t="str">
        <v/>
      </c>
      <c r="D167" t="str">
        <v/>
      </c>
      <c r="E167" t="str">
        <v/>
      </c>
      <c r="F167" t="str">
        <v/>
      </c>
      <c r="G167" t="str">
        <v/>
      </c>
      <c r="H167" t="str">
        <v/>
      </c>
      <c r="I167" t="str">
        <v/>
      </c>
      <c r="J167" t="str">
        <v/>
      </c>
      <c r="K167" t="str">
        <v/>
      </c>
      <c r="L167" t="str">
        <v/>
      </c>
      <c r="M167" t="str">
        <v/>
      </c>
      <c r="N167" t="str">
        <v/>
      </c>
      <c r="O167" t="str">
        <v/>
      </c>
      <c r="P167">
        <f t="shared" si="15"/>
        <v>0</v>
      </c>
      <c r="Q167">
        <f t="shared" si="16"/>
        <v>0</v>
      </c>
      <c r="R167">
        <f t="shared" si="17"/>
        <v>0</v>
      </c>
      <c r="S167">
        <f t="shared" si="13"/>
        <v>0</v>
      </c>
      <c r="T167">
        <f t="shared" si="14"/>
        <v>0</v>
      </c>
    </row>
    <row r="168" x14ac:dyDescent="0.35">
      <c r="A168" t="str">
        <v/>
      </c>
      <c r="B168" t="str">
        <v/>
      </c>
      <c r="C168" t="str">
        <v/>
      </c>
      <c r="D168" t="str">
        <v/>
      </c>
      <c r="E168" t="str">
        <v/>
      </c>
      <c r="F168" t="str">
        <v/>
      </c>
      <c r="G168" t="str">
        <v/>
      </c>
      <c r="H168" t="str">
        <v/>
      </c>
      <c r="I168" t="str">
        <v/>
      </c>
      <c r="J168" t="str">
        <v/>
      </c>
      <c r="K168" t="str">
        <v/>
      </c>
      <c r="L168" t="str">
        <v/>
      </c>
      <c r="M168" t="str">
        <v/>
      </c>
      <c r="N168" t="str">
        <v/>
      </c>
      <c r="O168" t="str">
        <v/>
      </c>
      <c r="P168">
        <f t="shared" si="15"/>
        <v>0</v>
      </c>
      <c r="Q168">
        <f t="shared" si="16"/>
        <v>0</v>
      </c>
      <c r="R168">
        <f t="shared" si="17"/>
        <v>0</v>
      </c>
      <c r="S168">
        <f t="shared" si="13"/>
        <v>0</v>
      </c>
      <c r="T168">
        <f t="shared" si="14"/>
        <v>0</v>
      </c>
    </row>
    <row r="169" x14ac:dyDescent="0.35">
      <c r="A169" t="str">
        <v/>
      </c>
      <c r="B169" t="str">
        <v/>
      </c>
      <c r="C169" t="str">
        <v/>
      </c>
      <c r="D169" t="str">
        <v/>
      </c>
      <c r="E169" t="str">
        <v/>
      </c>
      <c r="F169" t="str">
        <v/>
      </c>
      <c r="G169" t="str">
        <v/>
      </c>
      <c r="H169" t="str">
        <v/>
      </c>
      <c r="I169" t="str">
        <v/>
      </c>
      <c r="J169" t="str">
        <v/>
      </c>
      <c r="K169" t="str">
        <v/>
      </c>
      <c r="L169" t="str">
        <v/>
      </c>
      <c r="M169" t="str">
        <v/>
      </c>
      <c r="N169" t="str">
        <v/>
      </c>
      <c r="O169" t="str">
        <v/>
      </c>
      <c r="P169">
        <f t="shared" si="15"/>
        <v>0</v>
      </c>
      <c r="Q169">
        <f t="shared" si="16"/>
        <v>0</v>
      </c>
      <c r="R169">
        <f t="shared" si="17"/>
        <v>0</v>
      </c>
      <c r="S169">
        <f t="shared" si="13"/>
        <v>0</v>
      </c>
      <c r="T169">
        <f t="shared" si="14"/>
        <v>0</v>
      </c>
    </row>
    <row r="170" x14ac:dyDescent="0.35">
      <c r="A170" t="str">
        <v/>
      </c>
      <c r="B170" t="str">
        <v/>
      </c>
      <c r="C170" t="str">
        <v/>
      </c>
      <c r="D170" t="str">
        <v/>
      </c>
      <c r="E170" t="str">
        <v/>
      </c>
      <c r="F170" t="str">
        <v/>
      </c>
      <c r="G170" t="str">
        <v/>
      </c>
      <c r="H170" t="str">
        <v/>
      </c>
      <c r="I170" t="str">
        <v/>
      </c>
      <c r="J170" t="str">
        <v/>
      </c>
      <c r="K170" t="str">
        <v/>
      </c>
      <c r="L170" t="str">
        <v/>
      </c>
      <c r="M170" t="str">
        <v/>
      </c>
      <c r="N170" t="str">
        <v/>
      </c>
      <c r="O170" t="str">
        <v/>
      </c>
      <c r="P170">
        <f t="shared" si="15"/>
        <v>0</v>
      </c>
      <c r="Q170">
        <f t="shared" si="16"/>
        <v>0</v>
      </c>
      <c r="R170">
        <f t="shared" si="17"/>
        <v>0</v>
      </c>
      <c r="S170">
        <f t="shared" si="13"/>
        <v>0</v>
      </c>
      <c r="T170">
        <f t="shared" si="14"/>
        <v>0</v>
      </c>
    </row>
    <row r="171" x14ac:dyDescent="0.35">
      <c r="A171" t="str">
        <v/>
      </c>
      <c r="B171" t="str">
        <v/>
      </c>
      <c r="C171" t="str">
        <v/>
      </c>
      <c r="D171" t="str">
        <v/>
      </c>
      <c r="E171" t="str">
        <v/>
      </c>
      <c r="F171" t="str">
        <v/>
      </c>
      <c r="G171" t="str">
        <v/>
      </c>
      <c r="H171" t="str">
        <v/>
      </c>
      <c r="I171" t="str">
        <v/>
      </c>
      <c r="J171" t="str">
        <v/>
      </c>
      <c r="K171" t="str">
        <v/>
      </c>
      <c r="L171" t="str">
        <v/>
      </c>
      <c r="M171" t="str">
        <v/>
      </c>
      <c r="N171" t="str">
        <v/>
      </c>
      <c r="O171" t="str">
        <v/>
      </c>
      <c r="P171">
        <f t="shared" si="15"/>
        <v>0</v>
      </c>
      <c r="Q171">
        <f t="shared" si="16"/>
        <v>0</v>
      </c>
      <c r="R171">
        <f t="shared" si="17"/>
        <v>0</v>
      </c>
      <c r="S171">
        <f t="shared" si="13"/>
        <v>0</v>
      </c>
      <c r="T171">
        <f t="shared" si="14"/>
        <v>0</v>
      </c>
    </row>
    <row r="172" x14ac:dyDescent="0.35">
      <c r="A172" t="str">
        <v/>
      </c>
      <c r="B172" t="str">
        <v/>
      </c>
      <c r="C172" t="str">
        <v/>
      </c>
      <c r="D172" t="str">
        <v/>
      </c>
      <c r="E172" t="str">
        <v/>
      </c>
      <c r="F172" t="str">
        <v/>
      </c>
      <c r="G172" t="str">
        <v/>
      </c>
      <c r="H172" t="str">
        <v/>
      </c>
      <c r="I172" t="str">
        <v/>
      </c>
      <c r="J172" t="str">
        <v/>
      </c>
      <c r="K172" t="str">
        <v/>
      </c>
      <c r="L172" t="str">
        <v/>
      </c>
      <c r="M172" t="str">
        <v/>
      </c>
      <c r="N172" t="str">
        <v/>
      </c>
      <c r="O172" t="str">
        <v/>
      </c>
      <c r="P172">
        <f t="shared" si="15"/>
        <v>0</v>
      </c>
      <c r="Q172">
        <f t="shared" si="16"/>
        <v>0</v>
      </c>
      <c r="R172">
        <f t="shared" si="17"/>
        <v>0</v>
      </c>
      <c r="S172">
        <f t="shared" si="13"/>
        <v>0</v>
      </c>
      <c r="T172">
        <f t="shared" si="14"/>
        <v>0</v>
      </c>
    </row>
    <row r="173" x14ac:dyDescent="0.35">
      <c r="A173" t="str">
        <v/>
      </c>
      <c r="B173" t="str">
        <v/>
      </c>
      <c r="C173" t="str">
        <v/>
      </c>
      <c r="D173" t="str">
        <v/>
      </c>
      <c r="E173" t="str">
        <v/>
      </c>
      <c r="F173" t="str">
        <v/>
      </c>
      <c r="G173" t="str">
        <v/>
      </c>
      <c r="H173" t="str">
        <v/>
      </c>
      <c r="I173" t="str">
        <v/>
      </c>
      <c r="J173" t="str">
        <v/>
      </c>
      <c r="K173" t="str">
        <v/>
      </c>
      <c r="L173" t="str">
        <v/>
      </c>
      <c r="M173" t="str">
        <v/>
      </c>
      <c r="N173" t="str">
        <v/>
      </c>
      <c r="O173" t="str">
        <v/>
      </c>
      <c r="P173">
        <f t="shared" si="15"/>
        <v>0</v>
      </c>
      <c r="Q173">
        <f t="shared" si="16"/>
        <v>0</v>
      </c>
      <c r="R173">
        <f t="shared" si="17"/>
        <v>0</v>
      </c>
      <c r="S173">
        <f t="shared" si="13"/>
        <v>0</v>
      </c>
      <c r="T173">
        <f t="shared" si="14"/>
        <v>0</v>
      </c>
    </row>
    <row r="174" x14ac:dyDescent="0.35">
      <c r="A174" t="str">
        <v/>
      </c>
      <c r="B174" t="str">
        <v/>
      </c>
      <c r="C174" t="str">
        <v/>
      </c>
      <c r="D174" t="str">
        <v/>
      </c>
      <c r="E174" t="str">
        <v/>
      </c>
      <c r="F174" t="str">
        <v/>
      </c>
      <c r="G174" t="str">
        <v/>
      </c>
      <c r="H174" t="str">
        <v/>
      </c>
      <c r="I174" t="str">
        <v/>
      </c>
      <c r="J174" t="str">
        <v/>
      </c>
      <c r="K174" t="str">
        <v/>
      </c>
      <c r="L174" t="str">
        <v/>
      </c>
      <c r="M174" t="str">
        <v/>
      </c>
      <c r="N174" t="str">
        <v/>
      </c>
      <c r="O174" t="str">
        <v/>
      </c>
      <c r="P174">
        <f t="shared" si="15"/>
        <v>0</v>
      </c>
      <c r="Q174">
        <f t="shared" si="16"/>
        <v>0</v>
      </c>
      <c r="R174">
        <f t="shared" si="17"/>
        <v>0</v>
      </c>
      <c r="S174">
        <f t="shared" si="13"/>
        <v>0</v>
      </c>
      <c r="T174">
        <f t="shared" si="14"/>
        <v>0</v>
      </c>
    </row>
    <row r="175" x14ac:dyDescent="0.35">
      <c r="A175" t="str">
        <v/>
      </c>
      <c r="B175" t="str">
        <v/>
      </c>
      <c r="C175" t="str">
        <v/>
      </c>
      <c r="D175" t="str">
        <v/>
      </c>
      <c r="E175" t="str">
        <v/>
      </c>
      <c r="F175" t="str">
        <v/>
      </c>
      <c r="G175" t="str">
        <v/>
      </c>
      <c r="H175" t="str">
        <v/>
      </c>
      <c r="I175" t="str">
        <v/>
      </c>
      <c r="J175" t="str">
        <v/>
      </c>
      <c r="K175" t="str">
        <v/>
      </c>
      <c r="L175" t="str">
        <v/>
      </c>
      <c r="M175" t="str">
        <v/>
      </c>
      <c r="N175" t="str">
        <v/>
      </c>
      <c r="O175" t="str">
        <v/>
      </c>
      <c r="P175">
        <f t="shared" si="15"/>
        <v>0</v>
      </c>
      <c r="Q175">
        <f t="shared" si="16"/>
        <v>0</v>
      </c>
      <c r="R175">
        <f t="shared" si="17"/>
        <v>0</v>
      </c>
      <c r="S175">
        <f t="shared" si="13"/>
        <v>0</v>
      </c>
      <c r="T175">
        <f t="shared" si="14"/>
        <v>0</v>
      </c>
    </row>
    <row r="176" x14ac:dyDescent="0.35">
      <c r="A176" t="str">
        <v/>
      </c>
      <c r="B176" t="str">
        <v/>
      </c>
      <c r="C176" t="str">
        <v/>
      </c>
      <c r="D176" t="str">
        <v/>
      </c>
      <c r="E176" t="str">
        <v/>
      </c>
      <c r="F176" t="str">
        <v/>
      </c>
      <c r="G176" t="str">
        <v/>
      </c>
      <c r="H176" t="str">
        <v/>
      </c>
      <c r="I176" t="str">
        <v/>
      </c>
      <c r="J176" t="str">
        <v/>
      </c>
      <c r="K176" t="str">
        <v/>
      </c>
      <c r="L176" t="str">
        <v/>
      </c>
      <c r="M176" t="str">
        <v/>
      </c>
      <c r="N176" t="str">
        <v/>
      </c>
      <c r="O176" t="str">
        <v/>
      </c>
      <c r="P176">
        <f t="shared" si="15"/>
        <v>0</v>
      </c>
      <c r="Q176">
        <f t="shared" si="16"/>
        <v>0</v>
      </c>
      <c r="R176">
        <f t="shared" si="17"/>
        <v>0</v>
      </c>
      <c r="S176">
        <f t="shared" si="13"/>
        <v>0</v>
      </c>
      <c r="T176">
        <f t="shared" si="14"/>
        <v>0</v>
      </c>
    </row>
    <row r="177" x14ac:dyDescent="0.35">
      <c r="A177" t="str">
        <v/>
      </c>
      <c r="B177" t="str">
        <v/>
      </c>
      <c r="C177" t="str">
        <v/>
      </c>
      <c r="D177" t="str">
        <v/>
      </c>
      <c r="E177" t="str">
        <v/>
      </c>
      <c r="F177" t="str">
        <v/>
      </c>
      <c r="G177" t="str">
        <v/>
      </c>
      <c r="H177" t="str">
        <v/>
      </c>
      <c r="I177" t="str">
        <v/>
      </c>
      <c r="J177" t="str">
        <v/>
      </c>
      <c r="K177" t="str">
        <v/>
      </c>
      <c r="L177" t="str">
        <v/>
      </c>
      <c r="M177" t="str">
        <v/>
      </c>
      <c r="N177" t="str">
        <v/>
      </c>
      <c r="O177" t="str">
        <v/>
      </c>
      <c r="P177">
        <f t="shared" si="15"/>
        <v>0</v>
      </c>
      <c r="Q177">
        <f t="shared" si="16"/>
        <v>0</v>
      </c>
      <c r="R177">
        <f t="shared" si="17"/>
        <v>0</v>
      </c>
      <c r="S177">
        <f t="shared" si="13"/>
        <v>0</v>
      </c>
      <c r="T177">
        <f t="shared" si="14"/>
        <v>0</v>
      </c>
    </row>
    <row r="178" x14ac:dyDescent="0.35">
      <c r="A178" t="str">
        <v/>
      </c>
      <c r="B178" t="str">
        <v/>
      </c>
      <c r="C178" t="str">
        <v/>
      </c>
      <c r="D178" t="str">
        <v/>
      </c>
      <c r="E178" t="str">
        <v/>
      </c>
      <c r="F178" t="str">
        <v/>
      </c>
      <c r="G178" t="str">
        <v/>
      </c>
      <c r="H178" t="str">
        <v/>
      </c>
      <c r="I178" t="str">
        <v/>
      </c>
      <c r="J178" t="str">
        <v/>
      </c>
      <c r="K178" t="str">
        <v/>
      </c>
      <c r="L178" t="str">
        <v/>
      </c>
      <c r="M178" t="str">
        <v/>
      </c>
      <c r="N178" t="str">
        <v/>
      </c>
      <c r="O178" t="str">
        <v/>
      </c>
      <c r="P178">
        <f t="shared" si="15"/>
        <v>0</v>
      </c>
      <c r="Q178">
        <f t="shared" si="16"/>
        <v>0</v>
      </c>
      <c r="R178">
        <f t="shared" si="17"/>
        <v>0</v>
      </c>
      <c r="S178">
        <f t="shared" si="13"/>
        <v>0</v>
      </c>
      <c r="T178">
        <f t="shared" si="14"/>
        <v>0</v>
      </c>
    </row>
    <row r="179" x14ac:dyDescent="0.35">
      <c r="A179" t="str">
        <v/>
      </c>
      <c r="B179" t="str">
        <v/>
      </c>
      <c r="C179" t="str">
        <v/>
      </c>
      <c r="D179" t="str">
        <v/>
      </c>
      <c r="E179" t="str">
        <v/>
      </c>
      <c r="F179" t="str">
        <v/>
      </c>
      <c r="G179" t="str">
        <v/>
      </c>
      <c r="H179" t="str">
        <v/>
      </c>
      <c r="I179" t="str">
        <v/>
      </c>
      <c r="J179" t="str">
        <v/>
      </c>
      <c r="K179" t="str">
        <v/>
      </c>
      <c r="L179" t="str">
        <v/>
      </c>
      <c r="M179" t="str">
        <v/>
      </c>
      <c r="N179" t="str">
        <v/>
      </c>
      <c r="O179" t="str">
        <v/>
      </c>
      <c r="P179">
        <f t="shared" si="15"/>
        <v>0</v>
      </c>
      <c r="Q179">
        <f t="shared" si="16"/>
        <v>0</v>
      </c>
      <c r="R179">
        <f t="shared" si="17"/>
        <v>0</v>
      </c>
      <c r="S179">
        <f t="shared" si="13"/>
        <v>0</v>
      </c>
      <c r="T179">
        <f t="shared" si="14"/>
        <v>0</v>
      </c>
    </row>
    <row r="180" x14ac:dyDescent="0.35">
      <c r="A180" t="str">
        <v/>
      </c>
      <c r="B180" t="str">
        <v/>
      </c>
      <c r="C180" t="str">
        <v/>
      </c>
      <c r="D180" t="str">
        <v/>
      </c>
      <c r="E180" t="str">
        <v/>
      </c>
      <c r="F180" t="str">
        <v/>
      </c>
      <c r="G180" t="str">
        <v/>
      </c>
      <c r="H180" t="str">
        <v/>
      </c>
      <c r="I180" t="str">
        <v/>
      </c>
      <c r="J180" t="str">
        <v/>
      </c>
      <c r="K180" t="str">
        <v/>
      </c>
      <c r="L180" t="str">
        <v/>
      </c>
      <c r="M180" t="str">
        <v/>
      </c>
      <c r="N180" t="str">
        <v/>
      </c>
      <c r="O180" t="str">
        <v/>
      </c>
      <c r="P180">
        <f t="shared" si="15"/>
        <v>0</v>
      </c>
      <c r="Q180">
        <f t="shared" si="16"/>
        <v>0</v>
      </c>
      <c r="R180">
        <f t="shared" si="17"/>
        <v>0</v>
      </c>
      <c r="S180">
        <f t="shared" si="13"/>
        <v>0</v>
      </c>
      <c r="T180">
        <f t="shared" si="14"/>
        <v>0</v>
      </c>
    </row>
    <row r="181" x14ac:dyDescent="0.35">
      <c r="A181" t="str">
        <v/>
      </c>
      <c r="B181" t="str">
        <v/>
      </c>
      <c r="C181" t="str">
        <v/>
      </c>
      <c r="D181" t="str">
        <v/>
      </c>
      <c r="E181" t="str">
        <v/>
      </c>
      <c r="F181" t="str">
        <v/>
      </c>
      <c r="G181" t="str">
        <v/>
      </c>
      <c r="H181" t="str">
        <v/>
      </c>
      <c r="I181" t="str">
        <v/>
      </c>
      <c r="J181" t="str">
        <v/>
      </c>
      <c r="K181" t="str">
        <v/>
      </c>
      <c r="L181" t="str">
        <v/>
      </c>
      <c r="M181" t="str">
        <v/>
      </c>
      <c r="N181" t="str">
        <v/>
      </c>
      <c r="O181" t="str">
        <v/>
      </c>
      <c r="P181">
        <f t="shared" si="15"/>
        <v>0</v>
      </c>
      <c r="Q181">
        <f t="shared" si="16"/>
        <v>0</v>
      </c>
      <c r="R181">
        <f t="shared" si="17"/>
        <v>0</v>
      </c>
      <c r="S181">
        <f t="shared" si="13"/>
        <v>0</v>
      </c>
      <c r="T181">
        <f t="shared" si="14"/>
        <v>0</v>
      </c>
    </row>
    <row r="182" x14ac:dyDescent="0.35">
      <c r="A182" t="str">
        <v/>
      </c>
      <c r="B182" t="str">
        <v/>
      </c>
      <c r="C182" t="str">
        <v/>
      </c>
      <c r="D182" t="str">
        <v/>
      </c>
      <c r="E182" t="str">
        <v/>
      </c>
      <c r="F182" t="str">
        <v/>
      </c>
      <c r="G182" t="str">
        <v/>
      </c>
      <c r="H182" t="str">
        <v/>
      </c>
      <c r="I182" t="str">
        <v/>
      </c>
      <c r="J182" t="str">
        <v/>
      </c>
      <c r="K182" t="str">
        <v/>
      </c>
      <c r="L182" t="str">
        <v/>
      </c>
      <c r="M182" t="str">
        <v/>
      </c>
      <c r="N182" t="str">
        <v/>
      </c>
      <c r="O182" t="str">
        <v/>
      </c>
      <c r="P182">
        <f t="shared" si="15"/>
        <v>0</v>
      </c>
      <c r="Q182">
        <f t="shared" si="16"/>
        <v>0</v>
      </c>
      <c r="R182">
        <f t="shared" si="17"/>
        <v>0</v>
      </c>
      <c r="S182">
        <f t="shared" si="13"/>
        <v>0</v>
      </c>
      <c r="T182">
        <f t="shared" si="14"/>
        <v>0</v>
      </c>
    </row>
    <row r="183" x14ac:dyDescent="0.35">
      <c r="A183" t="str">
        <v/>
      </c>
      <c r="B183" t="str">
        <v/>
      </c>
      <c r="C183" t="str">
        <v/>
      </c>
      <c r="D183" t="str">
        <v/>
      </c>
      <c r="E183" t="str">
        <v/>
      </c>
      <c r="F183" t="str">
        <v/>
      </c>
      <c r="G183" t="str">
        <v/>
      </c>
      <c r="H183" t="str">
        <v/>
      </c>
      <c r="I183" t="str">
        <v/>
      </c>
      <c r="J183" t="str">
        <v/>
      </c>
      <c r="K183" t="str">
        <v/>
      </c>
      <c r="L183" t="str">
        <v/>
      </c>
      <c r="M183" t="str">
        <v/>
      </c>
      <c r="N183" t="str">
        <v/>
      </c>
      <c r="O183" t="str">
        <v/>
      </c>
      <c r="P183">
        <f t="shared" si="15"/>
        <v>0</v>
      </c>
      <c r="Q183">
        <f t="shared" si="16"/>
        <v>0</v>
      </c>
      <c r="R183">
        <f t="shared" si="17"/>
        <v>0</v>
      </c>
      <c r="S183">
        <f t="shared" si="13"/>
        <v>0</v>
      </c>
      <c r="T183">
        <f t="shared" si="14"/>
        <v>0</v>
      </c>
    </row>
    <row r="184" x14ac:dyDescent="0.35">
      <c r="A184" t="str">
        <v/>
      </c>
      <c r="B184" t="str">
        <v/>
      </c>
      <c r="C184" t="str">
        <v/>
      </c>
      <c r="D184" t="str">
        <v/>
      </c>
      <c r="E184" t="str">
        <v/>
      </c>
      <c r="F184" t="str">
        <v/>
      </c>
      <c r="G184" t="str">
        <v/>
      </c>
      <c r="H184" t="str">
        <v/>
      </c>
      <c r="I184" t="str">
        <v/>
      </c>
      <c r="J184" t="str">
        <v/>
      </c>
      <c r="K184" t="str">
        <v/>
      </c>
      <c r="L184" t="str">
        <v/>
      </c>
      <c r="M184" t="str">
        <v/>
      </c>
      <c r="N184" t="str">
        <v/>
      </c>
      <c r="O184" t="str">
        <v/>
      </c>
      <c r="P184">
        <f t="shared" si="15"/>
        <v>0</v>
      </c>
      <c r="Q184">
        <f t="shared" si="16"/>
        <v>0</v>
      </c>
      <c r="R184">
        <f t="shared" si="17"/>
        <v>0</v>
      </c>
      <c r="S184">
        <f t="shared" si="13"/>
        <v>0</v>
      </c>
      <c r="T184">
        <f t="shared" si="14"/>
        <v>0</v>
      </c>
    </row>
    <row r="185" x14ac:dyDescent="0.35">
      <c r="A185" t="str">
        <v/>
      </c>
      <c r="B185" t="str">
        <v/>
      </c>
      <c r="C185" t="str">
        <v/>
      </c>
      <c r="D185" t="str">
        <v/>
      </c>
      <c r="E185" t="str">
        <v/>
      </c>
      <c r="F185" t="str">
        <v/>
      </c>
      <c r="G185" t="str">
        <v/>
      </c>
      <c r="H185" t="str">
        <v/>
      </c>
      <c r="I185" t="str">
        <v/>
      </c>
      <c r="J185" t="str">
        <v/>
      </c>
      <c r="K185" t="str">
        <v/>
      </c>
      <c r="L185" t="str">
        <v/>
      </c>
      <c r="M185" t="str">
        <v/>
      </c>
      <c r="N185" t="str">
        <v/>
      </c>
      <c r="O185" t="str">
        <v/>
      </c>
      <c r="P185">
        <f t="shared" si="15"/>
        <v>0</v>
      </c>
      <c r="Q185">
        <f t="shared" si="16"/>
        <v>0</v>
      </c>
      <c r="R185">
        <f t="shared" si="17"/>
        <v>0</v>
      </c>
      <c r="S185">
        <f t="shared" si="13"/>
        <v>0</v>
      </c>
      <c r="T185">
        <f t="shared" si="14"/>
        <v>0</v>
      </c>
    </row>
    <row r="186" x14ac:dyDescent="0.35">
      <c r="A186" t="str">
        <v/>
      </c>
      <c r="B186" t="str">
        <v/>
      </c>
      <c r="C186" t="str">
        <v/>
      </c>
      <c r="D186" t="str">
        <v/>
      </c>
      <c r="E186" t="str">
        <v/>
      </c>
      <c r="F186" t="str">
        <v/>
      </c>
      <c r="G186" t="str">
        <v/>
      </c>
      <c r="H186" t="str">
        <v/>
      </c>
      <c r="I186" t="str">
        <v/>
      </c>
      <c r="J186" t="str">
        <v/>
      </c>
      <c r="K186" t="str">
        <v/>
      </c>
      <c r="L186" t="str">
        <v/>
      </c>
      <c r="M186" t="str">
        <v/>
      </c>
      <c r="N186" t="str">
        <v/>
      </c>
      <c r="O186" t="str">
        <v/>
      </c>
      <c r="P186">
        <f t="shared" si="15"/>
        <v>0</v>
      </c>
      <c r="Q186">
        <f t="shared" si="16"/>
        <v>0</v>
      </c>
      <c r="R186">
        <f t="shared" si="17"/>
        <v>0</v>
      </c>
      <c r="S186">
        <f t="shared" si="13"/>
        <v>0</v>
      </c>
      <c r="T186">
        <f t="shared" si="14"/>
        <v>0</v>
      </c>
    </row>
    <row r="187" x14ac:dyDescent="0.35">
      <c r="A187" t="str">
        <v/>
      </c>
      <c r="B187" t="str">
        <v/>
      </c>
      <c r="C187" t="str">
        <v/>
      </c>
      <c r="D187" t="str">
        <v/>
      </c>
      <c r="E187" t="str">
        <v/>
      </c>
      <c r="F187" t="str">
        <v/>
      </c>
      <c r="G187" t="str">
        <v/>
      </c>
      <c r="H187" t="str">
        <v/>
      </c>
      <c r="I187" t="str">
        <v/>
      </c>
      <c r="J187" t="str">
        <v/>
      </c>
      <c r="K187" t="str">
        <v/>
      </c>
      <c r="L187" t="str">
        <v/>
      </c>
      <c r="M187" t="str">
        <v/>
      </c>
      <c r="N187" t="str">
        <v/>
      </c>
      <c r="O187" t="str">
        <v/>
      </c>
      <c r="P187">
        <f t="shared" si="15"/>
        <v>0</v>
      </c>
      <c r="Q187">
        <f t="shared" si="16"/>
        <v>0</v>
      </c>
      <c r="R187">
        <f t="shared" si="17"/>
        <v>0</v>
      </c>
      <c r="S187">
        <f t="shared" si="13"/>
        <v>0</v>
      </c>
      <c r="T187">
        <f t="shared" si="14"/>
        <v>0</v>
      </c>
    </row>
    <row r="188" x14ac:dyDescent="0.35">
      <c r="A188" t="str">
        <v/>
      </c>
      <c r="B188" t="str">
        <v/>
      </c>
      <c r="C188" t="str">
        <v/>
      </c>
      <c r="D188" t="str">
        <v/>
      </c>
      <c r="E188" t="str">
        <v/>
      </c>
      <c r="F188" t="str">
        <v/>
      </c>
      <c r="G188" t="str">
        <v/>
      </c>
      <c r="H188" t="str">
        <v/>
      </c>
      <c r="I188" t="str">
        <v/>
      </c>
      <c r="J188" t="str">
        <v/>
      </c>
      <c r="K188" t="str">
        <v/>
      </c>
      <c r="L188" t="str">
        <v/>
      </c>
      <c r="M188" t="str">
        <v/>
      </c>
      <c r="N188" t="str">
        <v/>
      </c>
      <c r="O188" t="str">
        <v/>
      </c>
      <c r="P188">
        <f t="shared" si="15"/>
        <v>0</v>
      </c>
      <c r="Q188">
        <f t="shared" si="16"/>
        <v>0</v>
      </c>
      <c r="R188">
        <f t="shared" si="17"/>
        <v>0</v>
      </c>
      <c r="S188">
        <f t="shared" si="13"/>
        <v>0</v>
      </c>
      <c r="T188">
        <f t="shared" si="14"/>
        <v>0</v>
      </c>
    </row>
    <row r="189" x14ac:dyDescent="0.35">
      <c r="A189" t="str">
        <v/>
      </c>
      <c r="B189" t="str">
        <v/>
      </c>
      <c r="C189" t="str">
        <v/>
      </c>
      <c r="D189" t="str">
        <v/>
      </c>
      <c r="E189" t="str">
        <v/>
      </c>
      <c r="F189" t="str">
        <v/>
      </c>
      <c r="G189" t="str">
        <v/>
      </c>
      <c r="H189" t="str">
        <v/>
      </c>
      <c r="I189" t="str">
        <v/>
      </c>
      <c r="J189" t="str">
        <v/>
      </c>
      <c r="K189" t="str">
        <v/>
      </c>
      <c r="L189" t="str">
        <v/>
      </c>
      <c r="M189" t="str">
        <v/>
      </c>
      <c r="N189" t="str">
        <v/>
      </c>
      <c r="O189" t="str">
        <v/>
      </c>
      <c r="P189">
        <f t="shared" si="15"/>
        <v>0</v>
      </c>
      <c r="Q189">
        <f t="shared" si="16"/>
        <v>0</v>
      </c>
      <c r="R189">
        <f t="shared" si="17"/>
        <v>0</v>
      </c>
      <c r="S189">
        <f t="shared" si="13"/>
        <v>0</v>
      </c>
      <c r="T189">
        <f t="shared" si="14"/>
        <v>0</v>
      </c>
    </row>
    <row r="190" x14ac:dyDescent="0.35">
      <c r="A190" t="str">
        <v/>
      </c>
      <c r="B190" t="str">
        <v/>
      </c>
      <c r="C190" t="str">
        <v/>
      </c>
      <c r="D190" t="str">
        <v/>
      </c>
      <c r="E190" t="str">
        <v/>
      </c>
      <c r="F190" t="str">
        <v/>
      </c>
      <c r="G190" t="str">
        <v/>
      </c>
      <c r="H190" t="str">
        <v/>
      </c>
      <c r="I190" t="str">
        <v/>
      </c>
      <c r="J190" t="str">
        <v/>
      </c>
      <c r="K190" t="str">
        <v/>
      </c>
      <c r="L190" t="str">
        <v/>
      </c>
      <c r="M190" t="str">
        <v/>
      </c>
      <c r="N190" t="str">
        <v/>
      </c>
      <c r="O190" t="str">
        <v/>
      </c>
      <c r="P190">
        <f t="shared" si="15"/>
        <v>0</v>
      </c>
      <c r="Q190">
        <f t="shared" si="16"/>
        <v>0</v>
      </c>
      <c r="R190">
        <f t="shared" si="17"/>
        <v>0</v>
      </c>
      <c r="S190">
        <f t="shared" si="13"/>
        <v>0</v>
      </c>
      <c r="T190">
        <f t="shared" si="14"/>
        <v>0</v>
      </c>
    </row>
    <row r="191" x14ac:dyDescent="0.35">
      <c r="A191" t="str">
        <v/>
      </c>
      <c r="B191" t="str">
        <v/>
      </c>
      <c r="C191" t="str">
        <v/>
      </c>
      <c r="D191" t="str">
        <v/>
      </c>
      <c r="E191" t="str">
        <v/>
      </c>
      <c r="F191" t="str">
        <v/>
      </c>
      <c r="G191" t="str">
        <v/>
      </c>
      <c r="H191" t="str">
        <v/>
      </c>
      <c r="I191" t="str">
        <v/>
      </c>
      <c r="J191" t="str">
        <v/>
      </c>
      <c r="K191" t="str">
        <v/>
      </c>
      <c r="L191" t="str">
        <v/>
      </c>
      <c r="M191" t="str">
        <v/>
      </c>
      <c r="N191" t="str">
        <v/>
      </c>
      <c r="O191" t="str">
        <v/>
      </c>
      <c r="P191">
        <f t="shared" si="15"/>
        <v>0</v>
      </c>
      <c r="Q191">
        <f t="shared" si="16"/>
        <v>0</v>
      </c>
      <c r="R191">
        <f t="shared" si="17"/>
        <v>0</v>
      </c>
      <c r="S191">
        <f t="shared" si="13"/>
        <v>0</v>
      </c>
      <c r="T191">
        <f t="shared" si="14"/>
        <v>0</v>
      </c>
    </row>
    <row r="192" x14ac:dyDescent="0.35">
      <c r="A192" t="str">
        <v/>
      </c>
      <c r="B192" t="str">
        <v/>
      </c>
      <c r="C192" t="str">
        <v/>
      </c>
      <c r="D192" t="str">
        <v/>
      </c>
      <c r="E192" t="str">
        <v/>
      </c>
      <c r="F192" t="str">
        <v/>
      </c>
      <c r="G192" t="str">
        <v/>
      </c>
      <c r="H192" t="str">
        <v/>
      </c>
      <c r="I192" t="str">
        <v/>
      </c>
      <c r="J192" t="str">
        <v/>
      </c>
      <c r="K192" t="str">
        <v/>
      </c>
      <c r="L192" t="str">
        <v/>
      </c>
      <c r="M192" t="str">
        <v/>
      </c>
      <c r="N192" t="str">
        <v/>
      </c>
      <c r="O192" t="str">
        <v/>
      </c>
      <c r="P192">
        <f t="shared" si="15"/>
        <v>0</v>
      </c>
      <c r="Q192">
        <f t="shared" si="16"/>
        <v>0</v>
      </c>
      <c r="R192">
        <f t="shared" si="17"/>
        <v>0</v>
      </c>
      <c r="S192">
        <f t="shared" si="13"/>
        <v>0</v>
      </c>
      <c r="T192">
        <f t="shared" si="14"/>
        <v>0</v>
      </c>
    </row>
    <row r="193" x14ac:dyDescent="0.35">
      <c r="A193" t="str">
        <v/>
      </c>
      <c r="B193" t="str">
        <v/>
      </c>
      <c r="C193" t="str">
        <v/>
      </c>
      <c r="D193" t="str">
        <v/>
      </c>
      <c r="E193" t="str">
        <v/>
      </c>
      <c r="F193" t="str">
        <v/>
      </c>
      <c r="G193" t="str">
        <v/>
      </c>
      <c r="H193" t="str">
        <v/>
      </c>
      <c r="I193" t="str">
        <v/>
      </c>
      <c r="J193" t="str">
        <v/>
      </c>
      <c r="K193" t="str">
        <v/>
      </c>
      <c r="L193" t="str">
        <v/>
      </c>
      <c r="M193" t="str">
        <v/>
      </c>
      <c r="N193" t="str">
        <v/>
      </c>
      <c r="O193" t="str">
        <v/>
      </c>
      <c r="P193">
        <f t="shared" si="15"/>
        <v>0</v>
      </c>
      <c r="Q193">
        <f t="shared" si="16"/>
        <v>0</v>
      </c>
      <c r="R193">
        <f t="shared" si="17"/>
        <v>0</v>
      </c>
      <c r="S193">
        <f t="shared" si="13"/>
        <v>0</v>
      </c>
      <c r="T193">
        <f t="shared" si="14"/>
        <v>0</v>
      </c>
    </row>
    <row r="194" x14ac:dyDescent="0.35">
      <c r="A194" t="str">
        <v/>
      </c>
      <c r="B194" t="str">
        <v/>
      </c>
      <c r="C194" t="str">
        <v/>
      </c>
      <c r="D194" t="str">
        <v/>
      </c>
      <c r="E194" t="str">
        <v/>
      </c>
      <c r="F194" t="str">
        <v/>
      </c>
      <c r="G194" t="str">
        <v/>
      </c>
      <c r="H194" t="str">
        <v/>
      </c>
      <c r="I194" t="str">
        <v/>
      </c>
      <c r="J194" t="str">
        <v/>
      </c>
      <c r="K194" t="str">
        <v/>
      </c>
      <c r="L194" t="str">
        <v/>
      </c>
      <c r="M194" t="str">
        <v/>
      </c>
      <c r="N194" t="str">
        <v/>
      </c>
      <c r="O194" t="str">
        <v/>
      </c>
      <c r="P194">
        <f t="shared" si="15"/>
        <v>0</v>
      </c>
      <c r="Q194">
        <f t="shared" si="16"/>
        <v>0</v>
      </c>
      <c r="R194">
        <f t="shared" si="17"/>
        <v>0</v>
      </c>
      <c r="S194">
        <f t="shared" si="13"/>
        <v>0</v>
      </c>
      <c r="T194">
        <f t="shared" si="14"/>
        <v>0</v>
      </c>
    </row>
    <row r="195" x14ac:dyDescent="0.35">
      <c r="A195" t="str">
        <v/>
      </c>
      <c r="B195" t="str">
        <v/>
      </c>
      <c r="C195" t="str">
        <v/>
      </c>
      <c r="D195" t="str">
        <v/>
      </c>
      <c r="E195" t="str">
        <v/>
      </c>
      <c r="F195" t="str">
        <v/>
      </c>
      <c r="G195" t="str">
        <v/>
      </c>
      <c r="H195" t="str">
        <v/>
      </c>
      <c r="I195" t="str">
        <v/>
      </c>
      <c r="J195" t="str">
        <v/>
      </c>
      <c r="K195" t="str">
        <v/>
      </c>
      <c r="L195" t="str">
        <v/>
      </c>
      <c r="M195" t="str">
        <v/>
      </c>
      <c r="N195" t="str">
        <v/>
      </c>
      <c r="O195" t="str">
        <v/>
      </c>
      <c r="P195">
        <f t="shared" si="15"/>
        <v>0</v>
      </c>
      <c r="Q195">
        <f t="shared" si="16"/>
        <v>0</v>
      </c>
      <c r="R195">
        <f t="shared" si="17"/>
        <v>0</v>
      </c>
      <c r="S195">
        <f t="shared" ref="S195:S258" si="18">IF(J195="Realizada completa",1,0)</f>
        <v>0</v>
      </c>
      <c r="T195">
        <f t="shared" ref="T195:T258" si="19">IF(J195="Sin respuesta",1,0)</f>
        <v>0</v>
      </c>
    </row>
    <row r="196" x14ac:dyDescent="0.35">
      <c r="A196" t="str">
        <v/>
      </c>
      <c r="B196" t="str">
        <v/>
      </c>
      <c r="C196" t="str">
        <v/>
      </c>
      <c r="D196" t="str">
        <v/>
      </c>
      <c r="E196" t="str">
        <v/>
      </c>
      <c r="F196" t="str">
        <v/>
      </c>
      <c r="G196" t="str">
        <v/>
      </c>
      <c r="H196" t="str">
        <v/>
      </c>
      <c r="I196" t="str">
        <v/>
      </c>
      <c r="J196" t="str">
        <v/>
      </c>
      <c r="K196" t="str">
        <v/>
      </c>
      <c r="L196" t="str">
        <v/>
      </c>
      <c r="M196" t="str">
        <v/>
      </c>
      <c r="N196" t="str">
        <v/>
      </c>
      <c r="O196" t="str">
        <v/>
      </c>
      <c r="P196">
        <f t="shared" ref="P196:P259" si="20">IF(F196="Sí",1,0)</f>
        <v>0</v>
      </c>
      <c r="Q196">
        <f t="shared" ref="Q196:Q259" si="21">IF(J196="En coordinación",1,0)</f>
        <v>0</v>
      </c>
      <c r="R196">
        <f t="shared" ref="R196:R259" si="22">IF(J196="En coordinación",1,0)</f>
        <v>0</v>
      </c>
      <c r="S196">
        <f t="shared" si="18"/>
        <v>0</v>
      </c>
      <c r="T196">
        <f t="shared" si="19"/>
        <v>0</v>
      </c>
    </row>
    <row r="197" x14ac:dyDescent="0.35">
      <c r="A197" t="str">
        <v/>
      </c>
      <c r="B197" t="str">
        <v/>
      </c>
      <c r="C197" t="str">
        <v/>
      </c>
      <c r="D197" t="str">
        <v/>
      </c>
      <c r="E197" t="str">
        <v/>
      </c>
      <c r="F197" t="str">
        <v/>
      </c>
      <c r="G197" t="str">
        <v/>
      </c>
      <c r="H197" t="str">
        <v/>
      </c>
      <c r="I197" t="str">
        <v/>
      </c>
      <c r="J197" t="str">
        <v/>
      </c>
      <c r="K197" t="str">
        <v/>
      </c>
      <c r="L197" t="str">
        <v/>
      </c>
      <c r="M197" t="str">
        <v/>
      </c>
      <c r="N197" t="str">
        <v/>
      </c>
      <c r="O197" t="str">
        <v/>
      </c>
      <c r="P197">
        <f t="shared" si="20"/>
        <v>0</v>
      </c>
      <c r="Q197">
        <f t="shared" si="21"/>
        <v>0</v>
      </c>
      <c r="R197">
        <f t="shared" si="22"/>
        <v>0</v>
      </c>
      <c r="S197">
        <f t="shared" si="18"/>
        <v>0</v>
      </c>
      <c r="T197">
        <f t="shared" si="19"/>
        <v>0</v>
      </c>
    </row>
    <row r="198" x14ac:dyDescent="0.35">
      <c r="A198" t="str">
        <v/>
      </c>
      <c r="B198" t="str">
        <v/>
      </c>
      <c r="C198" t="str">
        <v/>
      </c>
      <c r="D198" t="str">
        <v/>
      </c>
      <c r="E198" t="str">
        <v/>
      </c>
      <c r="F198" t="str">
        <v/>
      </c>
      <c r="G198" t="str">
        <v/>
      </c>
      <c r="H198" t="str">
        <v/>
      </c>
      <c r="I198" t="str">
        <v/>
      </c>
      <c r="J198" t="str">
        <v/>
      </c>
      <c r="K198" t="str">
        <v/>
      </c>
      <c r="L198" t="str">
        <v/>
      </c>
      <c r="M198" t="str">
        <v/>
      </c>
      <c r="N198" t="str">
        <v/>
      </c>
      <c r="O198" t="str">
        <v/>
      </c>
      <c r="P198">
        <f t="shared" si="20"/>
        <v>0</v>
      </c>
      <c r="Q198">
        <f t="shared" si="21"/>
        <v>0</v>
      </c>
      <c r="R198">
        <f t="shared" si="22"/>
        <v>0</v>
      </c>
      <c r="S198">
        <f t="shared" si="18"/>
        <v>0</v>
      </c>
      <c r="T198">
        <f t="shared" si="19"/>
        <v>0</v>
      </c>
    </row>
    <row r="199" x14ac:dyDescent="0.35">
      <c r="A199" t="str">
        <v/>
      </c>
      <c r="B199" t="str">
        <v/>
      </c>
      <c r="C199" t="str">
        <v/>
      </c>
      <c r="D199" t="str">
        <v/>
      </c>
      <c r="E199" t="str">
        <v/>
      </c>
      <c r="F199" t="str">
        <v/>
      </c>
      <c r="G199" t="str">
        <v/>
      </c>
      <c r="H199" t="str">
        <v/>
      </c>
      <c r="I199" t="str">
        <v/>
      </c>
      <c r="J199" t="str">
        <v/>
      </c>
      <c r="K199" t="str">
        <v/>
      </c>
      <c r="L199" t="str">
        <v/>
      </c>
      <c r="M199" t="str">
        <v/>
      </c>
      <c r="N199" t="str">
        <v/>
      </c>
      <c r="O199" t="str">
        <v/>
      </c>
      <c r="P199">
        <f t="shared" si="20"/>
        <v>0</v>
      </c>
      <c r="Q199">
        <f t="shared" si="21"/>
        <v>0</v>
      </c>
      <c r="R199">
        <f t="shared" si="22"/>
        <v>0</v>
      </c>
      <c r="S199">
        <f t="shared" si="18"/>
        <v>0</v>
      </c>
      <c r="T199">
        <f t="shared" si="19"/>
        <v>0</v>
      </c>
    </row>
    <row r="200" x14ac:dyDescent="0.35">
      <c r="A200" t="str">
        <v/>
      </c>
      <c r="B200" t="str">
        <v/>
      </c>
      <c r="C200" t="str">
        <v/>
      </c>
      <c r="D200" t="str">
        <v/>
      </c>
      <c r="E200" t="str">
        <v/>
      </c>
      <c r="F200" t="str">
        <v/>
      </c>
      <c r="G200" t="str">
        <v/>
      </c>
      <c r="H200" t="str">
        <v/>
      </c>
      <c r="I200" t="str">
        <v/>
      </c>
      <c r="J200" t="str">
        <v/>
      </c>
      <c r="K200" t="str">
        <v/>
      </c>
      <c r="L200" t="str">
        <v/>
      </c>
      <c r="M200" t="str">
        <v/>
      </c>
      <c r="N200" t="str">
        <v/>
      </c>
      <c r="O200" t="str">
        <v/>
      </c>
      <c r="P200">
        <f t="shared" si="20"/>
        <v>0</v>
      </c>
      <c r="Q200">
        <f t="shared" si="21"/>
        <v>0</v>
      </c>
      <c r="R200">
        <f t="shared" si="22"/>
        <v>0</v>
      </c>
      <c r="S200">
        <f t="shared" si="18"/>
        <v>0</v>
      </c>
      <c r="T200">
        <f t="shared" si="19"/>
        <v>0</v>
      </c>
    </row>
    <row r="201" x14ac:dyDescent="0.35">
      <c r="A201" t="str">
        <v/>
      </c>
      <c r="B201" t="str">
        <v/>
      </c>
      <c r="C201" t="str">
        <v/>
      </c>
      <c r="D201" t="str">
        <v/>
      </c>
      <c r="E201" t="str">
        <v/>
      </c>
      <c r="F201" t="str">
        <v/>
      </c>
      <c r="G201" t="str">
        <v/>
      </c>
      <c r="H201" t="str">
        <v/>
      </c>
      <c r="I201" t="str">
        <v/>
      </c>
      <c r="J201" t="str">
        <v/>
      </c>
      <c r="K201" t="str">
        <v/>
      </c>
      <c r="L201" t="str">
        <v/>
      </c>
      <c r="M201" t="str">
        <v/>
      </c>
      <c r="N201" t="str">
        <v/>
      </c>
      <c r="O201" t="str">
        <v/>
      </c>
      <c r="P201">
        <f t="shared" si="20"/>
        <v>0</v>
      </c>
      <c r="Q201">
        <f t="shared" si="21"/>
        <v>0</v>
      </c>
      <c r="R201">
        <f t="shared" si="22"/>
        <v>0</v>
      </c>
      <c r="S201">
        <f t="shared" si="18"/>
        <v>0</v>
      </c>
      <c r="T201">
        <f t="shared" si="19"/>
        <v>0</v>
      </c>
    </row>
    <row r="202" x14ac:dyDescent="0.35">
      <c r="A202" t="str">
        <v/>
      </c>
      <c r="B202" t="str">
        <v/>
      </c>
      <c r="C202" t="str">
        <v/>
      </c>
      <c r="D202" t="str">
        <v/>
      </c>
      <c r="E202" t="str">
        <v/>
      </c>
      <c r="F202" t="str">
        <v/>
      </c>
      <c r="G202" t="str">
        <v/>
      </c>
      <c r="H202" t="str">
        <v/>
      </c>
      <c r="I202" t="str">
        <v/>
      </c>
      <c r="J202" t="str">
        <v/>
      </c>
      <c r="K202" t="str">
        <v/>
      </c>
      <c r="L202" t="str">
        <v/>
      </c>
      <c r="M202" t="str">
        <v/>
      </c>
      <c r="N202" t="str">
        <v/>
      </c>
      <c r="O202" t="str">
        <v/>
      </c>
      <c r="P202">
        <f t="shared" si="20"/>
        <v>0</v>
      </c>
      <c r="Q202">
        <f t="shared" si="21"/>
        <v>0</v>
      </c>
      <c r="R202">
        <f t="shared" si="22"/>
        <v>0</v>
      </c>
      <c r="S202">
        <f t="shared" si="18"/>
        <v>0</v>
      </c>
      <c r="T202">
        <f t="shared" si="19"/>
        <v>0</v>
      </c>
    </row>
    <row r="203" x14ac:dyDescent="0.35">
      <c r="A203" t="str">
        <v/>
      </c>
      <c r="B203" t="str">
        <v/>
      </c>
      <c r="C203" t="str">
        <v/>
      </c>
      <c r="D203" t="str">
        <v/>
      </c>
      <c r="E203" t="str">
        <v/>
      </c>
      <c r="F203" t="str">
        <v/>
      </c>
      <c r="G203" t="str">
        <v/>
      </c>
      <c r="H203" t="str">
        <v/>
      </c>
      <c r="I203" t="str">
        <v/>
      </c>
      <c r="J203" t="str">
        <v/>
      </c>
      <c r="K203" t="str">
        <v/>
      </c>
      <c r="L203" t="str">
        <v/>
      </c>
      <c r="M203" t="str">
        <v/>
      </c>
      <c r="N203" t="str">
        <v/>
      </c>
      <c r="O203" t="str">
        <v/>
      </c>
      <c r="P203">
        <f t="shared" si="20"/>
        <v>0</v>
      </c>
      <c r="Q203">
        <f t="shared" si="21"/>
        <v>0</v>
      </c>
      <c r="R203">
        <f t="shared" si="22"/>
        <v>0</v>
      </c>
      <c r="S203">
        <f t="shared" si="18"/>
        <v>0</v>
      </c>
      <c r="T203">
        <f t="shared" si="19"/>
        <v>0</v>
      </c>
    </row>
    <row r="204" x14ac:dyDescent="0.35">
      <c r="A204" t="str">
        <v/>
      </c>
      <c r="B204" t="str">
        <v/>
      </c>
      <c r="C204" t="str">
        <v/>
      </c>
      <c r="D204" t="str">
        <v/>
      </c>
      <c r="E204" t="str">
        <v/>
      </c>
      <c r="F204" t="str">
        <v/>
      </c>
      <c r="G204" t="str">
        <v/>
      </c>
      <c r="H204" t="str">
        <v/>
      </c>
      <c r="I204" t="str">
        <v/>
      </c>
      <c r="J204" t="str">
        <v/>
      </c>
      <c r="K204" t="str">
        <v/>
      </c>
      <c r="L204" t="str">
        <v/>
      </c>
      <c r="M204" t="str">
        <v/>
      </c>
      <c r="N204" t="str">
        <v/>
      </c>
      <c r="O204" t="str">
        <v/>
      </c>
      <c r="P204">
        <f t="shared" si="20"/>
        <v>0</v>
      </c>
      <c r="Q204">
        <f t="shared" si="21"/>
        <v>0</v>
      </c>
      <c r="R204">
        <f t="shared" si="22"/>
        <v>0</v>
      </c>
      <c r="S204">
        <f t="shared" si="18"/>
        <v>0</v>
      </c>
      <c r="T204">
        <f t="shared" si="19"/>
        <v>0</v>
      </c>
    </row>
    <row r="205" x14ac:dyDescent="0.35">
      <c r="A205" t="str">
        <v/>
      </c>
      <c r="B205" t="str">
        <v/>
      </c>
      <c r="C205" t="str">
        <v/>
      </c>
      <c r="D205" t="str">
        <v/>
      </c>
      <c r="E205" t="str">
        <v/>
      </c>
      <c r="F205" t="str">
        <v/>
      </c>
      <c r="G205" t="str">
        <v/>
      </c>
      <c r="H205" t="str">
        <v/>
      </c>
      <c r="I205" t="str">
        <v/>
      </c>
      <c r="J205" t="str">
        <v/>
      </c>
      <c r="K205" t="str">
        <v/>
      </c>
      <c r="L205" t="str">
        <v/>
      </c>
      <c r="M205" t="str">
        <v/>
      </c>
      <c r="N205" t="str">
        <v/>
      </c>
      <c r="O205" t="str">
        <v/>
      </c>
      <c r="P205">
        <f t="shared" si="20"/>
        <v>0</v>
      </c>
      <c r="Q205">
        <f t="shared" si="21"/>
        <v>0</v>
      </c>
      <c r="R205">
        <f t="shared" si="22"/>
        <v>0</v>
      </c>
      <c r="S205">
        <f t="shared" si="18"/>
        <v>0</v>
      </c>
      <c r="T205">
        <f t="shared" si="19"/>
        <v>0</v>
      </c>
    </row>
    <row r="206" x14ac:dyDescent="0.35">
      <c r="A206" t="str">
        <v/>
      </c>
      <c r="B206" t="str">
        <v/>
      </c>
      <c r="C206" t="str">
        <v/>
      </c>
      <c r="D206" t="str">
        <v/>
      </c>
      <c r="E206" t="str">
        <v/>
      </c>
      <c r="F206" t="str">
        <v/>
      </c>
      <c r="G206" t="str">
        <v/>
      </c>
      <c r="H206" t="str">
        <v/>
      </c>
      <c r="I206" t="str">
        <v/>
      </c>
      <c r="J206" t="str">
        <v/>
      </c>
      <c r="K206" t="str">
        <v/>
      </c>
      <c r="L206" t="str">
        <v/>
      </c>
      <c r="M206" t="str">
        <v/>
      </c>
      <c r="N206" t="str">
        <v/>
      </c>
      <c r="O206" t="str">
        <v/>
      </c>
      <c r="P206">
        <f t="shared" si="20"/>
        <v>0</v>
      </c>
      <c r="Q206">
        <f t="shared" si="21"/>
        <v>0</v>
      </c>
      <c r="R206">
        <f t="shared" si="22"/>
        <v>0</v>
      </c>
      <c r="S206">
        <f t="shared" si="18"/>
        <v>0</v>
      </c>
      <c r="T206">
        <f t="shared" si="19"/>
        <v>0</v>
      </c>
    </row>
    <row r="207" x14ac:dyDescent="0.35">
      <c r="A207" t="str">
        <v/>
      </c>
      <c r="B207" t="str">
        <v/>
      </c>
      <c r="C207" t="str">
        <v/>
      </c>
      <c r="D207" t="str">
        <v/>
      </c>
      <c r="E207" t="str">
        <v/>
      </c>
      <c r="F207" t="str">
        <v/>
      </c>
      <c r="G207" t="str">
        <v/>
      </c>
      <c r="H207" t="str">
        <v/>
      </c>
      <c r="I207" t="str">
        <v/>
      </c>
      <c r="J207" t="str">
        <v/>
      </c>
      <c r="K207" t="str">
        <v/>
      </c>
      <c r="L207" t="str">
        <v/>
      </c>
      <c r="M207" t="str">
        <v/>
      </c>
      <c r="N207" t="str">
        <v/>
      </c>
      <c r="O207" t="str">
        <v/>
      </c>
      <c r="P207">
        <f t="shared" si="20"/>
        <v>0</v>
      </c>
      <c r="Q207">
        <f t="shared" si="21"/>
        <v>0</v>
      </c>
      <c r="R207">
        <f t="shared" si="22"/>
        <v>0</v>
      </c>
      <c r="S207">
        <f t="shared" si="18"/>
        <v>0</v>
      </c>
      <c r="T207">
        <f t="shared" si="19"/>
        <v>0</v>
      </c>
    </row>
    <row r="208" x14ac:dyDescent="0.35">
      <c r="A208" t="str">
        <v/>
      </c>
      <c r="B208" t="str">
        <v/>
      </c>
      <c r="C208" t="str">
        <v/>
      </c>
      <c r="D208" t="str">
        <v/>
      </c>
      <c r="E208" t="str">
        <v/>
      </c>
      <c r="F208" t="str">
        <v/>
      </c>
      <c r="G208" t="str">
        <v/>
      </c>
      <c r="H208" t="str">
        <v/>
      </c>
      <c r="I208" t="str">
        <v/>
      </c>
      <c r="J208" t="str">
        <v/>
      </c>
      <c r="K208" t="str">
        <v/>
      </c>
      <c r="L208" t="str">
        <v/>
      </c>
      <c r="M208" t="str">
        <v/>
      </c>
      <c r="N208" t="str">
        <v/>
      </c>
      <c r="O208" t="str">
        <v/>
      </c>
      <c r="P208">
        <f t="shared" si="20"/>
        <v>0</v>
      </c>
      <c r="Q208">
        <f t="shared" si="21"/>
        <v>0</v>
      </c>
      <c r="R208">
        <f t="shared" si="22"/>
        <v>0</v>
      </c>
      <c r="S208">
        <f t="shared" si="18"/>
        <v>0</v>
      </c>
      <c r="T208">
        <f t="shared" si="19"/>
        <v>0</v>
      </c>
    </row>
    <row r="209" x14ac:dyDescent="0.35">
      <c r="A209" t="str">
        <v/>
      </c>
      <c r="B209" t="str">
        <v/>
      </c>
      <c r="C209" t="str">
        <v/>
      </c>
      <c r="D209" t="str">
        <v/>
      </c>
      <c r="E209" t="str">
        <v/>
      </c>
      <c r="F209" t="str">
        <v/>
      </c>
      <c r="G209" t="str">
        <v/>
      </c>
      <c r="H209" t="str">
        <v/>
      </c>
      <c r="I209" t="str">
        <v/>
      </c>
      <c r="J209" t="str">
        <v/>
      </c>
      <c r="K209" t="str">
        <v/>
      </c>
      <c r="L209" t="str">
        <v/>
      </c>
      <c r="M209" t="str">
        <v/>
      </c>
      <c r="N209" t="str">
        <v/>
      </c>
      <c r="O209" t="str">
        <v/>
      </c>
      <c r="P209">
        <f t="shared" si="20"/>
        <v>0</v>
      </c>
      <c r="Q209">
        <f t="shared" si="21"/>
        <v>0</v>
      </c>
      <c r="R209">
        <f t="shared" si="22"/>
        <v>0</v>
      </c>
      <c r="S209">
        <f t="shared" si="18"/>
        <v>0</v>
      </c>
      <c r="T209">
        <f t="shared" si="19"/>
        <v>0</v>
      </c>
    </row>
    <row r="210" x14ac:dyDescent="0.35">
      <c r="A210" t="str">
        <v/>
      </c>
      <c r="B210" t="str">
        <v/>
      </c>
      <c r="C210" t="str">
        <v/>
      </c>
      <c r="D210" t="str">
        <v/>
      </c>
      <c r="E210" t="str">
        <v/>
      </c>
      <c r="F210" t="str">
        <v/>
      </c>
      <c r="G210" t="str">
        <v/>
      </c>
      <c r="H210" t="str">
        <v/>
      </c>
      <c r="I210" t="str">
        <v/>
      </c>
      <c r="J210" t="str">
        <v/>
      </c>
      <c r="K210" t="str">
        <v/>
      </c>
      <c r="L210" t="str">
        <v/>
      </c>
      <c r="M210" t="str">
        <v/>
      </c>
      <c r="N210" t="str">
        <v/>
      </c>
      <c r="O210" t="str">
        <v/>
      </c>
      <c r="P210">
        <f t="shared" si="20"/>
        <v>0</v>
      </c>
      <c r="Q210">
        <f t="shared" si="21"/>
        <v>0</v>
      </c>
      <c r="R210">
        <f t="shared" si="22"/>
        <v>0</v>
      </c>
      <c r="S210">
        <f t="shared" si="18"/>
        <v>0</v>
      </c>
      <c r="T210">
        <f t="shared" si="19"/>
        <v>0</v>
      </c>
    </row>
    <row r="211" x14ac:dyDescent="0.35">
      <c r="A211" t="str">
        <v/>
      </c>
      <c r="B211" t="str">
        <v/>
      </c>
      <c r="C211" t="str">
        <v/>
      </c>
      <c r="D211" t="str">
        <v/>
      </c>
      <c r="E211" t="str">
        <v/>
      </c>
      <c r="F211" t="str">
        <v/>
      </c>
      <c r="G211" t="str">
        <v/>
      </c>
      <c r="H211" t="str">
        <v/>
      </c>
      <c r="I211" t="str">
        <v/>
      </c>
      <c r="J211" t="str">
        <v/>
      </c>
      <c r="K211" t="str">
        <v/>
      </c>
      <c r="L211" t="str">
        <v/>
      </c>
      <c r="M211" t="str">
        <v/>
      </c>
      <c r="N211" t="str">
        <v/>
      </c>
      <c r="O211" t="str">
        <v/>
      </c>
      <c r="P211">
        <f t="shared" si="20"/>
        <v>0</v>
      </c>
      <c r="Q211">
        <f t="shared" si="21"/>
        <v>0</v>
      </c>
      <c r="R211">
        <f t="shared" si="22"/>
        <v>0</v>
      </c>
      <c r="S211">
        <f t="shared" si="18"/>
        <v>0</v>
      </c>
      <c r="T211">
        <f t="shared" si="19"/>
        <v>0</v>
      </c>
    </row>
    <row r="212" x14ac:dyDescent="0.35">
      <c r="A212" t="str">
        <v/>
      </c>
      <c r="B212" t="str">
        <v/>
      </c>
      <c r="C212" t="str">
        <v/>
      </c>
      <c r="D212" t="str">
        <v/>
      </c>
      <c r="E212" t="str">
        <v/>
      </c>
      <c r="F212" t="str">
        <v/>
      </c>
      <c r="G212" t="str">
        <v/>
      </c>
      <c r="H212" t="str">
        <v/>
      </c>
      <c r="I212" t="str">
        <v/>
      </c>
      <c r="J212" t="str">
        <v/>
      </c>
      <c r="K212" t="str">
        <v/>
      </c>
      <c r="L212" t="str">
        <v/>
      </c>
      <c r="M212" t="str">
        <v/>
      </c>
      <c r="N212" t="str">
        <v/>
      </c>
      <c r="O212" t="str">
        <v/>
      </c>
      <c r="P212">
        <f t="shared" si="20"/>
        <v>0</v>
      </c>
      <c r="Q212">
        <f t="shared" si="21"/>
        <v>0</v>
      </c>
      <c r="R212">
        <f t="shared" si="22"/>
        <v>0</v>
      </c>
      <c r="S212">
        <f t="shared" si="18"/>
        <v>0</v>
      </c>
      <c r="T212">
        <f t="shared" si="19"/>
        <v>0</v>
      </c>
    </row>
    <row r="213" x14ac:dyDescent="0.35">
      <c r="A213" t="str">
        <v/>
      </c>
      <c r="B213" t="str">
        <v/>
      </c>
      <c r="C213" t="str">
        <v/>
      </c>
      <c r="D213" t="str">
        <v/>
      </c>
      <c r="E213" t="str">
        <v/>
      </c>
      <c r="F213" t="str">
        <v/>
      </c>
      <c r="G213" t="str">
        <v/>
      </c>
      <c r="H213" t="str">
        <v/>
      </c>
      <c r="I213" t="str">
        <v/>
      </c>
      <c r="J213" t="str">
        <v/>
      </c>
      <c r="K213" t="str">
        <v/>
      </c>
      <c r="L213" t="str">
        <v/>
      </c>
      <c r="M213" t="str">
        <v/>
      </c>
      <c r="N213" t="str">
        <v/>
      </c>
      <c r="O213" t="str">
        <v/>
      </c>
      <c r="P213">
        <f t="shared" si="20"/>
        <v>0</v>
      </c>
      <c r="Q213">
        <f t="shared" si="21"/>
        <v>0</v>
      </c>
      <c r="R213">
        <f t="shared" si="22"/>
        <v>0</v>
      </c>
      <c r="S213">
        <f t="shared" si="18"/>
        <v>0</v>
      </c>
      <c r="T213">
        <f t="shared" si="19"/>
        <v>0</v>
      </c>
    </row>
    <row r="214" x14ac:dyDescent="0.35">
      <c r="A214" t="str">
        <v/>
      </c>
      <c r="B214" t="str">
        <v/>
      </c>
      <c r="C214" t="str">
        <v/>
      </c>
      <c r="D214" t="str">
        <v/>
      </c>
      <c r="E214" t="str">
        <v/>
      </c>
      <c r="F214" t="str">
        <v/>
      </c>
      <c r="G214" t="str">
        <v/>
      </c>
      <c r="H214" t="str">
        <v/>
      </c>
      <c r="I214" t="str">
        <v/>
      </c>
      <c r="J214" t="str">
        <v/>
      </c>
      <c r="K214" t="str">
        <v/>
      </c>
      <c r="L214" t="str">
        <v/>
      </c>
      <c r="M214" t="str">
        <v/>
      </c>
      <c r="N214" t="str">
        <v/>
      </c>
      <c r="O214" t="str">
        <v/>
      </c>
      <c r="P214">
        <f t="shared" si="20"/>
        <v>0</v>
      </c>
      <c r="Q214">
        <f t="shared" si="21"/>
        <v>0</v>
      </c>
      <c r="R214">
        <f t="shared" si="22"/>
        <v>0</v>
      </c>
      <c r="S214">
        <f t="shared" si="18"/>
        <v>0</v>
      </c>
      <c r="T214">
        <f t="shared" si="19"/>
        <v>0</v>
      </c>
    </row>
    <row r="215" x14ac:dyDescent="0.35">
      <c r="A215" t="str">
        <v/>
      </c>
      <c r="B215" t="str">
        <v/>
      </c>
      <c r="C215" t="str">
        <v/>
      </c>
      <c r="D215" t="str">
        <v/>
      </c>
      <c r="E215" t="str">
        <v/>
      </c>
      <c r="F215" t="str">
        <v/>
      </c>
      <c r="G215" t="str">
        <v/>
      </c>
      <c r="H215" t="str">
        <v/>
      </c>
      <c r="I215" t="str">
        <v/>
      </c>
      <c r="J215" t="str">
        <v/>
      </c>
      <c r="K215" t="str">
        <v/>
      </c>
      <c r="L215" t="str">
        <v/>
      </c>
      <c r="M215" t="str">
        <v/>
      </c>
      <c r="N215" t="str">
        <v/>
      </c>
      <c r="O215" t="str">
        <v/>
      </c>
      <c r="P215">
        <f t="shared" si="20"/>
        <v>0</v>
      </c>
      <c r="Q215">
        <f t="shared" si="21"/>
        <v>0</v>
      </c>
      <c r="R215">
        <f t="shared" si="22"/>
        <v>0</v>
      </c>
      <c r="S215">
        <f t="shared" si="18"/>
        <v>0</v>
      </c>
      <c r="T215">
        <f t="shared" si="19"/>
        <v>0</v>
      </c>
    </row>
    <row r="216" x14ac:dyDescent="0.35">
      <c r="A216" t="str">
        <v/>
      </c>
      <c r="B216" t="str">
        <v/>
      </c>
      <c r="C216" t="str">
        <v/>
      </c>
      <c r="D216" t="str">
        <v/>
      </c>
      <c r="E216" t="str">
        <v/>
      </c>
      <c r="F216" t="str">
        <v/>
      </c>
      <c r="G216" t="str">
        <v/>
      </c>
      <c r="H216" t="str">
        <v/>
      </c>
      <c r="I216" t="str">
        <v/>
      </c>
      <c r="J216" t="str">
        <v/>
      </c>
      <c r="K216" t="str">
        <v/>
      </c>
      <c r="L216" t="str">
        <v/>
      </c>
      <c r="M216" t="str">
        <v/>
      </c>
      <c r="N216" t="str">
        <v/>
      </c>
      <c r="O216" t="str">
        <v/>
      </c>
      <c r="P216">
        <f t="shared" si="20"/>
        <v>0</v>
      </c>
      <c r="Q216">
        <f t="shared" si="21"/>
        <v>0</v>
      </c>
      <c r="R216">
        <f t="shared" si="22"/>
        <v>0</v>
      </c>
      <c r="S216">
        <f t="shared" si="18"/>
        <v>0</v>
      </c>
      <c r="T216">
        <f t="shared" si="19"/>
        <v>0</v>
      </c>
    </row>
    <row r="217" x14ac:dyDescent="0.35">
      <c r="A217" t="str">
        <v/>
      </c>
      <c r="B217" t="str">
        <v/>
      </c>
      <c r="C217" t="str">
        <v/>
      </c>
      <c r="D217" t="str">
        <v/>
      </c>
      <c r="E217" t="str">
        <v/>
      </c>
      <c r="F217" t="str">
        <v/>
      </c>
      <c r="G217" t="str">
        <v/>
      </c>
      <c r="H217" t="str">
        <v/>
      </c>
      <c r="I217" t="str">
        <v/>
      </c>
      <c r="J217" t="str">
        <v/>
      </c>
      <c r="K217" t="str">
        <v/>
      </c>
      <c r="L217" t="str">
        <v/>
      </c>
      <c r="M217" t="str">
        <v/>
      </c>
      <c r="N217" t="str">
        <v/>
      </c>
      <c r="O217" t="str">
        <v/>
      </c>
      <c r="P217">
        <f t="shared" si="20"/>
        <v>0</v>
      </c>
      <c r="Q217">
        <f t="shared" si="21"/>
        <v>0</v>
      </c>
      <c r="R217">
        <f t="shared" si="22"/>
        <v>0</v>
      </c>
      <c r="S217">
        <f t="shared" si="18"/>
        <v>0</v>
      </c>
      <c r="T217">
        <f t="shared" si="19"/>
        <v>0</v>
      </c>
    </row>
    <row r="218" x14ac:dyDescent="0.35">
      <c r="A218" t="str">
        <v/>
      </c>
      <c r="B218" t="str">
        <v/>
      </c>
      <c r="C218" t="str">
        <v/>
      </c>
      <c r="D218" t="str">
        <v/>
      </c>
      <c r="E218" t="str">
        <v/>
      </c>
      <c r="F218" t="str">
        <v/>
      </c>
      <c r="G218" t="str">
        <v/>
      </c>
      <c r="H218" t="str">
        <v/>
      </c>
      <c r="I218" t="str">
        <v/>
      </c>
      <c r="J218" t="str">
        <v/>
      </c>
      <c r="K218" t="str">
        <v/>
      </c>
      <c r="L218" t="str">
        <v/>
      </c>
      <c r="M218" t="str">
        <v/>
      </c>
      <c r="N218" t="str">
        <v/>
      </c>
      <c r="O218" t="str">
        <v/>
      </c>
      <c r="P218">
        <f t="shared" si="20"/>
        <v>0</v>
      </c>
      <c r="Q218">
        <f t="shared" si="21"/>
        <v>0</v>
      </c>
      <c r="R218">
        <f t="shared" si="22"/>
        <v>0</v>
      </c>
      <c r="S218">
        <f t="shared" si="18"/>
        <v>0</v>
      </c>
      <c r="T218">
        <f t="shared" si="19"/>
        <v>0</v>
      </c>
    </row>
    <row r="219" x14ac:dyDescent="0.35">
      <c r="A219" t="str">
        <v/>
      </c>
      <c r="B219" t="str">
        <v/>
      </c>
      <c r="C219" t="str">
        <v/>
      </c>
      <c r="D219" t="str">
        <v/>
      </c>
      <c r="E219" t="str">
        <v/>
      </c>
      <c r="F219" t="str">
        <v/>
      </c>
      <c r="G219" t="str">
        <v/>
      </c>
      <c r="H219" t="str">
        <v/>
      </c>
      <c r="I219" t="str">
        <v/>
      </c>
      <c r="J219" t="str">
        <v/>
      </c>
      <c r="K219" t="str">
        <v/>
      </c>
      <c r="L219" t="str">
        <v/>
      </c>
      <c r="M219" t="str">
        <v/>
      </c>
      <c r="N219" t="str">
        <v/>
      </c>
      <c r="O219" t="str">
        <v/>
      </c>
      <c r="P219">
        <f t="shared" si="20"/>
        <v>0</v>
      </c>
      <c r="Q219">
        <f t="shared" si="21"/>
        <v>0</v>
      </c>
      <c r="R219">
        <f t="shared" si="22"/>
        <v>0</v>
      </c>
      <c r="S219">
        <f t="shared" si="18"/>
        <v>0</v>
      </c>
      <c r="T219">
        <f t="shared" si="19"/>
        <v>0</v>
      </c>
    </row>
    <row r="220" x14ac:dyDescent="0.35">
      <c r="A220" t="str">
        <v/>
      </c>
      <c r="B220" t="str">
        <v/>
      </c>
      <c r="C220" t="str">
        <v/>
      </c>
      <c r="D220" t="str">
        <v/>
      </c>
      <c r="E220" t="str">
        <v/>
      </c>
      <c r="F220" t="str">
        <v/>
      </c>
      <c r="G220" t="str">
        <v/>
      </c>
      <c r="H220" t="str">
        <v/>
      </c>
      <c r="I220" t="str">
        <v/>
      </c>
      <c r="J220" t="str">
        <v/>
      </c>
      <c r="K220" t="str">
        <v/>
      </c>
      <c r="L220" t="str">
        <v/>
      </c>
      <c r="M220" t="str">
        <v/>
      </c>
      <c r="N220" t="str">
        <v/>
      </c>
      <c r="O220" t="str">
        <v/>
      </c>
      <c r="P220">
        <f t="shared" si="20"/>
        <v>0</v>
      </c>
      <c r="Q220">
        <f t="shared" si="21"/>
        <v>0</v>
      </c>
      <c r="R220">
        <f t="shared" si="22"/>
        <v>0</v>
      </c>
      <c r="S220">
        <f t="shared" si="18"/>
        <v>0</v>
      </c>
      <c r="T220">
        <f t="shared" si="19"/>
        <v>0</v>
      </c>
    </row>
    <row r="221" x14ac:dyDescent="0.35">
      <c r="A221" t="str">
        <v/>
      </c>
      <c r="B221" t="str">
        <v/>
      </c>
      <c r="C221" t="str">
        <v/>
      </c>
      <c r="D221" t="str">
        <v/>
      </c>
      <c r="E221" t="str">
        <v/>
      </c>
      <c r="F221" t="str">
        <v/>
      </c>
      <c r="G221" t="str">
        <v/>
      </c>
      <c r="H221" t="str">
        <v/>
      </c>
      <c r="I221" t="str">
        <v/>
      </c>
      <c r="J221" t="str">
        <v/>
      </c>
      <c r="K221" t="str">
        <v/>
      </c>
      <c r="L221" t="str">
        <v/>
      </c>
      <c r="M221" t="str">
        <v/>
      </c>
      <c r="N221" t="str">
        <v/>
      </c>
      <c r="O221" t="str">
        <v/>
      </c>
      <c r="P221">
        <f t="shared" si="20"/>
        <v>0</v>
      </c>
      <c r="Q221">
        <f t="shared" si="21"/>
        <v>0</v>
      </c>
      <c r="R221">
        <f t="shared" si="22"/>
        <v>0</v>
      </c>
      <c r="S221">
        <f t="shared" si="18"/>
        <v>0</v>
      </c>
      <c r="T221">
        <f t="shared" si="19"/>
        <v>0</v>
      </c>
    </row>
    <row r="222" x14ac:dyDescent="0.35">
      <c r="A222" t="str">
        <v/>
      </c>
      <c r="B222" t="str">
        <v/>
      </c>
      <c r="C222" t="str">
        <v/>
      </c>
      <c r="D222" t="str">
        <v/>
      </c>
      <c r="E222" t="str">
        <v/>
      </c>
      <c r="F222" t="str">
        <v/>
      </c>
      <c r="G222" t="str">
        <v/>
      </c>
      <c r="H222" t="str">
        <v/>
      </c>
      <c r="I222" t="str">
        <v/>
      </c>
      <c r="J222" t="str">
        <v/>
      </c>
      <c r="K222" t="str">
        <v/>
      </c>
      <c r="L222" t="str">
        <v/>
      </c>
      <c r="M222" t="str">
        <v/>
      </c>
      <c r="N222" t="str">
        <v/>
      </c>
      <c r="O222" t="str">
        <v/>
      </c>
      <c r="P222">
        <f t="shared" si="20"/>
        <v>0</v>
      </c>
      <c r="Q222">
        <f t="shared" si="21"/>
        <v>0</v>
      </c>
      <c r="R222">
        <f t="shared" si="22"/>
        <v>0</v>
      </c>
      <c r="S222">
        <f t="shared" si="18"/>
        <v>0</v>
      </c>
      <c r="T222">
        <f t="shared" si="19"/>
        <v>0</v>
      </c>
    </row>
    <row r="223" x14ac:dyDescent="0.35">
      <c r="A223" t="str">
        <v/>
      </c>
      <c r="B223" t="str">
        <v/>
      </c>
      <c r="C223" t="str">
        <v/>
      </c>
      <c r="D223" t="str">
        <v/>
      </c>
      <c r="E223" t="str">
        <v/>
      </c>
      <c r="F223" t="str">
        <v/>
      </c>
      <c r="G223" t="str">
        <v/>
      </c>
      <c r="H223" t="str">
        <v/>
      </c>
      <c r="I223" t="str">
        <v/>
      </c>
      <c r="J223" t="str">
        <v/>
      </c>
      <c r="K223" t="str">
        <v/>
      </c>
      <c r="L223" t="str">
        <v/>
      </c>
      <c r="M223" t="str">
        <v/>
      </c>
      <c r="N223" t="str">
        <v/>
      </c>
      <c r="O223" t="str">
        <v/>
      </c>
      <c r="P223">
        <f t="shared" si="20"/>
        <v>0</v>
      </c>
      <c r="Q223">
        <f t="shared" si="21"/>
        <v>0</v>
      </c>
      <c r="R223">
        <f t="shared" si="22"/>
        <v>0</v>
      </c>
      <c r="S223">
        <f t="shared" si="18"/>
        <v>0</v>
      </c>
      <c r="T223">
        <f t="shared" si="19"/>
        <v>0</v>
      </c>
    </row>
    <row r="224" x14ac:dyDescent="0.35">
      <c r="A224" t="str">
        <v/>
      </c>
      <c r="B224" t="str">
        <v/>
      </c>
      <c r="C224" t="str">
        <v/>
      </c>
      <c r="D224" t="str">
        <v/>
      </c>
      <c r="E224" t="str">
        <v/>
      </c>
      <c r="F224" t="str">
        <v/>
      </c>
      <c r="G224" t="str">
        <v/>
      </c>
      <c r="H224" t="str">
        <v/>
      </c>
      <c r="I224" t="str">
        <v/>
      </c>
      <c r="J224" t="str">
        <v/>
      </c>
      <c r="K224" t="str">
        <v/>
      </c>
      <c r="L224" t="str">
        <v/>
      </c>
      <c r="M224" t="str">
        <v/>
      </c>
      <c r="N224" t="str">
        <v/>
      </c>
      <c r="O224" t="str">
        <v/>
      </c>
      <c r="P224">
        <f t="shared" si="20"/>
        <v>0</v>
      </c>
      <c r="Q224">
        <f t="shared" si="21"/>
        <v>0</v>
      </c>
      <c r="R224">
        <f t="shared" si="22"/>
        <v>0</v>
      </c>
      <c r="S224">
        <f t="shared" si="18"/>
        <v>0</v>
      </c>
      <c r="T224">
        <f t="shared" si="19"/>
        <v>0</v>
      </c>
    </row>
    <row r="225" x14ac:dyDescent="0.35">
      <c r="A225" t="str">
        <v/>
      </c>
      <c r="B225" t="str">
        <v/>
      </c>
      <c r="C225" t="str">
        <v/>
      </c>
      <c r="D225" t="str">
        <v/>
      </c>
      <c r="E225" t="str">
        <v/>
      </c>
      <c r="F225" t="str">
        <v/>
      </c>
      <c r="G225" t="str">
        <v/>
      </c>
      <c r="H225" t="str">
        <v/>
      </c>
      <c r="I225" t="str">
        <v/>
      </c>
      <c r="J225" t="str">
        <v/>
      </c>
      <c r="K225" t="str">
        <v/>
      </c>
      <c r="L225" t="str">
        <v/>
      </c>
      <c r="M225" t="str">
        <v/>
      </c>
      <c r="N225" t="str">
        <v/>
      </c>
      <c r="O225" t="str">
        <v/>
      </c>
      <c r="P225">
        <f t="shared" si="20"/>
        <v>0</v>
      </c>
      <c r="Q225">
        <f t="shared" si="21"/>
        <v>0</v>
      </c>
      <c r="R225">
        <f t="shared" si="22"/>
        <v>0</v>
      </c>
      <c r="S225">
        <f t="shared" si="18"/>
        <v>0</v>
      </c>
      <c r="T225">
        <f t="shared" si="19"/>
        <v>0</v>
      </c>
    </row>
    <row r="226" x14ac:dyDescent="0.35">
      <c r="A226" t="str">
        <v/>
      </c>
      <c r="B226" t="str">
        <v/>
      </c>
      <c r="C226" t="str">
        <v/>
      </c>
      <c r="D226" t="str">
        <v/>
      </c>
      <c r="E226" t="str">
        <v/>
      </c>
      <c r="F226" t="str">
        <v/>
      </c>
      <c r="G226" t="str">
        <v/>
      </c>
      <c r="H226" t="str">
        <v/>
      </c>
      <c r="I226" t="str">
        <v/>
      </c>
      <c r="J226" t="str">
        <v/>
      </c>
      <c r="K226" t="str">
        <v/>
      </c>
      <c r="L226" t="str">
        <v/>
      </c>
      <c r="M226" t="str">
        <v/>
      </c>
      <c r="N226" t="str">
        <v/>
      </c>
      <c r="O226" t="str">
        <v/>
      </c>
      <c r="P226">
        <f t="shared" si="20"/>
        <v>0</v>
      </c>
      <c r="Q226">
        <f t="shared" si="21"/>
        <v>0</v>
      </c>
      <c r="R226">
        <f t="shared" si="22"/>
        <v>0</v>
      </c>
      <c r="S226">
        <f t="shared" si="18"/>
        <v>0</v>
      </c>
      <c r="T226">
        <f t="shared" si="19"/>
        <v>0</v>
      </c>
    </row>
    <row r="227" x14ac:dyDescent="0.35">
      <c r="A227" t="str">
        <v/>
      </c>
      <c r="B227" t="str">
        <v/>
      </c>
      <c r="C227" t="str">
        <v/>
      </c>
      <c r="D227" t="str">
        <v/>
      </c>
      <c r="E227" t="str">
        <v/>
      </c>
      <c r="F227" t="str">
        <v/>
      </c>
      <c r="G227" t="str">
        <v/>
      </c>
      <c r="H227" t="str">
        <v/>
      </c>
      <c r="I227" t="str">
        <v/>
      </c>
      <c r="J227" t="str">
        <v/>
      </c>
      <c r="K227" t="str">
        <v/>
      </c>
      <c r="L227" t="str">
        <v/>
      </c>
      <c r="M227" t="str">
        <v/>
      </c>
      <c r="N227" t="str">
        <v/>
      </c>
      <c r="O227" t="str">
        <v/>
      </c>
      <c r="P227">
        <f t="shared" si="20"/>
        <v>0</v>
      </c>
      <c r="Q227">
        <f t="shared" si="21"/>
        <v>0</v>
      </c>
      <c r="R227">
        <f t="shared" si="22"/>
        <v>0</v>
      </c>
      <c r="S227">
        <f t="shared" si="18"/>
        <v>0</v>
      </c>
      <c r="T227">
        <f t="shared" si="19"/>
        <v>0</v>
      </c>
    </row>
    <row r="228" x14ac:dyDescent="0.35">
      <c r="A228" t="str">
        <v/>
      </c>
      <c r="B228" t="str">
        <v/>
      </c>
      <c r="C228" t="str">
        <v/>
      </c>
      <c r="D228" t="str">
        <v/>
      </c>
      <c r="E228" t="str">
        <v/>
      </c>
      <c r="F228" t="str">
        <v/>
      </c>
      <c r="G228" t="str">
        <v/>
      </c>
      <c r="H228" t="str">
        <v/>
      </c>
      <c r="I228" t="str">
        <v/>
      </c>
      <c r="J228" t="str">
        <v/>
      </c>
      <c r="K228" t="str">
        <v/>
      </c>
      <c r="L228" t="str">
        <v/>
      </c>
      <c r="M228" t="str">
        <v/>
      </c>
      <c r="N228" t="str">
        <v/>
      </c>
      <c r="O228" t="str">
        <v/>
      </c>
      <c r="P228">
        <f t="shared" si="20"/>
        <v>0</v>
      </c>
      <c r="Q228">
        <f t="shared" si="21"/>
        <v>0</v>
      </c>
      <c r="R228">
        <f t="shared" si="22"/>
        <v>0</v>
      </c>
      <c r="S228">
        <f t="shared" si="18"/>
        <v>0</v>
      </c>
      <c r="T228">
        <f t="shared" si="19"/>
        <v>0</v>
      </c>
    </row>
    <row r="229" x14ac:dyDescent="0.35">
      <c r="A229" t="str">
        <v/>
      </c>
      <c r="B229" t="str">
        <v/>
      </c>
      <c r="C229" t="str">
        <v/>
      </c>
      <c r="D229" t="str">
        <v/>
      </c>
      <c r="E229" t="str">
        <v/>
      </c>
      <c r="F229" t="str">
        <v/>
      </c>
      <c r="G229" t="str">
        <v/>
      </c>
      <c r="H229" t="str">
        <v/>
      </c>
      <c r="I229" t="str">
        <v/>
      </c>
      <c r="J229" t="str">
        <v/>
      </c>
      <c r="K229" t="str">
        <v/>
      </c>
      <c r="L229" t="str">
        <v/>
      </c>
      <c r="M229" t="str">
        <v/>
      </c>
      <c r="N229" t="str">
        <v/>
      </c>
      <c r="O229" t="str">
        <v/>
      </c>
      <c r="P229">
        <f t="shared" si="20"/>
        <v>0</v>
      </c>
      <c r="Q229">
        <f t="shared" si="21"/>
        <v>0</v>
      </c>
      <c r="R229">
        <f t="shared" si="22"/>
        <v>0</v>
      </c>
      <c r="S229">
        <f t="shared" si="18"/>
        <v>0</v>
      </c>
      <c r="T229">
        <f t="shared" si="19"/>
        <v>0</v>
      </c>
    </row>
    <row r="230" x14ac:dyDescent="0.35">
      <c r="A230" t="str">
        <v/>
      </c>
      <c r="B230" t="str">
        <v/>
      </c>
      <c r="C230" t="str">
        <v/>
      </c>
      <c r="D230" t="str">
        <v/>
      </c>
      <c r="E230" t="str">
        <v/>
      </c>
      <c r="F230" t="str">
        <v/>
      </c>
      <c r="G230" t="str">
        <v/>
      </c>
      <c r="H230" t="str">
        <v/>
      </c>
      <c r="I230" t="str">
        <v/>
      </c>
      <c r="J230" t="str">
        <v/>
      </c>
      <c r="K230" t="str">
        <v/>
      </c>
      <c r="L230" t="str">
        <v/>
      </c>
      <c r="M230" t="str">
        <v/>
      </c>
      <c r="N230" t="str">
        <v/>
      </c>
      <c r="O230" t="str">
        <v/>
      </c>
      <c r="P230">
        <f t="shared" si="20"/>
        <v>0</v>
      </c>
      <c r="Q230">
        <f t="shared" si="21"/>
        <v>0</v>
      </c>
      <c r="R230">
        <f t="shared" si="22"/>
        <v>0</v>
      </c>
      <c r="S230">
        <f t="shared" si="18"/>
        <v>0</v>
      </c>
      <c r="T230">
        <f t="shared" si="19"/>
        <v>0</v>
      </c>
    </row>
    <row r="231" x14ac:dyDescent="0.35">
      <c r="A231" t="str">
        <v/>
      </c>
      <c r="B231" t="str">
        <v/>
      </c>
      <c r="C231" t="str">
        <v/>
      </c>
      <c r="D231" t="str">
        <v/>
      </c>
      <c r="E231" t="str">
        <v/>
      </c>
      <c r="F231" t="str">
        <v/>
      </c>
      <c r="G231" t="str">
        <v/>
      </c>
      <c r="H231" t="str">
        <v/>
      </c>
      <c r="I231" t="str">
        <v/>
      </c>
      <c r="J231" t="str">
        <v/>
      </c>
      <c r="K231" t="str">
        <v/>
      </c>
      <c r="L231" t="str">
        <v/>
      </c>
      <c r="M231" t="str">
        <v/>
      </c>
      <c r="N231" t="str">
        <v/>
      </c>
      <c r="O231" t="str">
        <v/>
      </c>
      <c r="P231">
        <f t="shared" si="20"/>
        <v>0</v>
      </c>
      <c r="Q231">
        <f t="shared" si="21"/>
        <v>0</v>
      </c>
      <c r="R231">
        <f t="shared" si="22"/>
        <v>0</v>
      </c>
      <c r="S231">
        <f t="shared" si="18"/>
        <v>0</v>
      </c>
      <c r="T231">
        <f t="shared" si="19"/>
        <v>0</v>
      </c>
    </row>
    <row r="232" x14ac:dyDescent="0.35">
      <c r="A232" t="str">
        <v/>
      </c>
      <c r="B232" t="str">
        <v/>
      </c>
      <c r="C232" t="str">
        <v/>
      </c>
      <c r="D232" t="str">
        <v/>
      </c>
      <c r="E232" t="str">
        <v/>
      </c>
      <c r="F232" t="str">
        <v/>
      </c>
      <c r="G232" t="str">
        <v/>
      </c>
      <c r="H232" t="str">
        <v/>
      </c>
      <c r="I232" t="str">
        <v/>
      </c>
      <c r="J232" t="str">
        <v/>
      </c>
      <c r="K232" t="str">
        <v/>
      </c>
      <c r="L232" t="str">
        <v/>
      </c>
      <c r="M232" t="str">
        <v/>
      </c>
      <c r="N232" t="str">
        <v/>
      </c>
      <c r="O232" t="str">
        <v/>
      </c>
      <c r="P232">
        <f t="shared" si="20"/>
        <v>0</v>
      </c>
      <c r="Q232">
        <f t="shared" si="21"/>
        <v>0</v>
      </c>
      <c r="R232">
        <f t="shared" si="22"/>
        <v>0</v>
      </c>
      <c r="S232">
        <f t="shared" si="18"/>
        <v>0</v>
      </c>
      <c r="T232">
        <f t="shared" si="19"/>
        <v>0</v>
      </c>
    </row>
    <row r="233" x14ac:dyDescent="0.35">
      <c r="A233" t="str">
        <v/>
      </c>
      <c r="B233" t="str">
        <v/>
      </c>
      <c r="C233" t="str">
        <v/>
      </c>
      <c r="D233" t="str">
        <v/>
      </c>
      <c r="E233" t="str">
        <v/>
      </c>
      <c r="F233" t="str">
        <v/>
      </c>
      <c r="G233" t="str">
        <v/>
      </c>
      <c r="H233" t="str">
        <v/>
      </c>
      <c r="I233" t="str">
        <v/>
      </c>
      <c r="J233" t="str">
        <v/>
      </c>
      <c r="K233" t="str">
        <v/>
      </c>
      <c r="L233" t="str">
        <v/>
      </c>
      <c r="M233" t="str">
        <v/>
      </c>
      <c r="N233" t="str">
        <v/>
      </c>
      <c r="O233" t="str">
        <v/>
      </c>
      <c r="P233">
        <f t="shared" si="20"/>
        <v>0</v>
      </c>
      <c r="Q233">
        <f t="shared" si="21"/>
        <v>0</v>
      </c>
      <c r="R233">
        <f t="shared" si="22"/>
        <v>0</v>
      </c>
      <c r="S233">
        <f t="shared" si="18"/>
        <v>0</v>
      </c>
      <c r="T233">
        <f t="shared" si="19"/>
        <v>0</v>
      </c>
    </row>
    <row r="234" x14ac:dyDescent="0.35">
      <c r="A234" t="str">
        <v/>
      </c>
      <c r="B234" t="str">
        <v/>
      </c>
      <c r="C234" t="str">
        <v/>
      </c>
      <c r="D234" t="str">
        <v/>
      </c>
      <c r="E234" t="str">
        <v/>
      </c>
      <c r="F234" t="str">
        <v/>
      </c>
      <c r="G234" t="str">
        <v/>
      </c>
      <c r="H234" t="str">
        <v/>
      </c>
      <c r="I234" t="str">
        <v/>
      </c>
      <c r="J234" t="str">
        <v/>
      </c>
      <c r="K234" t="str">
        <v/>
      </c>
      <c r="L234" t="str">
        <v/>
      </c>
      <c r="M234" t="str">
        <v/>
      </c>
      <c r="N234" t="str">
        <v/>
      </c>
      <c r="O234" t="str">
        <v/>
      </c>
      <c r="P234">
        <f t="shared" si="20"/>
        <v>0</v>
      </c>
      <c r="Q234">
        <f t="shared" si="21"/>
        <v>0</v>
      </c>
      <c r="R234">
        <f t="shared" si="22"/>
        <v>0</v>
      </c>
      <c r="S234">
        <f t="shared" si="18"/>
        <v>0</v>
      </c>
      <c r="T234">
        <f t="shared" si="19"/>
        <v>0</v>
      </c>
    </row>
    <row r="235" x14ac:dyDescent="0.35">
      <c r="A235" t="str">
        <v/>
      </c>
      <c r="B235" t="str">
        <v/>
      </c>
      <c r="C235" t="str">
        <v/>
      </c>
      <c r="D235" t="str">
        <v/>
      </c>
      <c r="E235" t="str">
        <v/>
      </c>
      <c r="F235" t="str">
        <v/>
      </c>
      <c r="G235" t="str">
        <v/>
      </c>
      <c r="H235" t="str">
        <v/>
      </c>
      <c r="I235" t="str">
        <v/>
      </c>
      <c r="J235" t="str">
        <v/>
      </c>
      <c r="K235" t="str">
        <v/>
      </c>
      <c r="L235" t="str">
        <v/>
      </c>
      <c r="M235" t="str">
        <v/>
      </c>
      <c r="N235" t="str">
        <v/>
      </c>
      <c r="O235" t="str">
        <v/>
      </c>
      <c r="P235">
        <f t="shared" si="20"/>
        <v>0</v>
      </c>
      <c r="Q235">
        <f t="shared" si="21"/>
        <v>0</v>
      </c>
      <c r="R235">
        <f t="shared" si="22"/>
        <v>0</v>
      </c>
      <c r="S235">
        <f t="shared" si="18"/>
        <v>0</v>
      </c>
      <c r="T235">
        <f t="shared" si="19"/>
        <v>0</v>
      </c>
    </row>
    <row r="236" x14ac:dyDescent="0.35">
      <c r="A236" t="str">
        <v/>
      </c>
      <c r="B236" t="str">
        <v/>
      </c>
      <c r="C236" t="str">
        <v/>
      </c>
      <c r="D236" t="str">
        <v/>
      </c>
      <c r="E236" t="str">
        <v/>
      </c>
      <c r="F236" t="str">
        <v/>
      </c>
      <c r="G236" t="str">
        <v/>
      </c>
      <c r="H236" t="str">
        <v/>
      </c>
      <c r="I236" t="str">
        <v/>
      </c>
      <c r="J236" t="str">
        <v/>
      </c>
      <c r="K236" t="str">
        <v/>
      </c>
      <c r="L236" t="str">
        <v/>
      </c>
      <c r="M236" t="str">
        <v/>
      </c>
      <c r="N236" t="str">
        <v/>
      </c>
      <c r="O236" t="str">
        <v/>
      </c>
      <c r="P236">
        <f t="shared" si="20"/>
        <v>0</v>
      </c>
      <c r="Q236">
        <f t="shared" si="21"/>
        <v>0</v>
      </c>
      <c r="R236">
        <f t="shared" si="22"/>
        <v>0</v>
      </c>
      <c r="S236">
        <f t="shared" si="18"/>
        <v>0</v>
      </c>
      <c r="T236">
        <f t="shared" si="19"/>
        <v>0</v>
      </c>
    </row>
    <row r="237" x14ac:dyDescent="0.35">
      <c r="A237" t="str">
        <v/>
      </c>
      <c r="B237" t="str">
        <v/>
      </c>
      <c r="C237" t="str">
        <v/>
      </c>
      <c r="D237" t="str">
        <v/>
      </c>
      <c r="E237" t="str">
        <v/>
      </c>
      <c r="F237" t="str">
        <v/>
      </c>
      <c r="G237" t="str">
        <v/>
      </c>
      <c r="H237" t="str">
        <v/>
      </c>
      <c r="I237" t="str">
        <v/>
      </c>
      <c r="J237" t="str">
        <v/>
      </c>
      <c r="K237" t="str">
        <v/>
      </c>
      <c r="L237" t="str">
        <v/>
      </c>
      <c r="M237" t="str">
        <v/>
      </c>
      <c r="N237" t="str">
        <v/>
      </c>
      <c r="O237" t="str">
        <v/>
      </c>
      <c r="P237">
        <f t="shared" si="20"/>
        <v>0</v>
      </c>
      <c r="Q237">
        <f t="shared" si="21"/>
        <v>0</v>
      </c>
      <c r="R237">
        <f t="shared" si="22"/>
        <v>0</v>
      </c>
      <c r="S237">
        <f t="shared" si="18"/>
        <v>0</v>
      </c>
      <c r="T237">
        <f t="shared" si="19"/>
        <v>0</v>
      </c>
    </row>
    <row r="238" x14ac:dyDescent="0.35">
      <c r="A238" t="str">
        <v/>
      </c>
      <c r="B238" t="str">
        <v/>
      </c>
      <c r="C238" t="str">
        <v/>
      </c>
      <c r="D238" t="str">
        <v/>
      </c>
      <c r="E238" t="str">
        <v/>
      </c>
      <c r="F238" t="str">
        <v/>
      </c>
      <c r="G238" t="str">
        <v/>
      </c>
      <c r="H238" t="str">
        <v/>
      </c>
      <c r="I238" t="str">
        <v/>
      </c>
      <c r="J238" t="str">
        <v/>
      </c>
      <c r="K238" t="str">
        <v/>
      </c>
      <c r="L238" t="str">
        <v/>
      </c>
      <c r="M238" t="str">
        <v/>
      </c>
      <c r="N238" t="str">
        <v/>
      </c>
      <c r="O238" t="str">
        <v/>
      </c>
      <c r="P238">
        <f t="shared" si="20"/>
        <v>0</v>
      </c>
      <c r="Q238">
        <f t="shared" si="21"/>
        <v>0</v>
      </c>
      <c r="R238">
        <f t="shared" si="22"/>
        <v>0</v>
      </c>
      <c r="S238">
        <f t="shared" si="18"/>
        <v>0</v>
      </c>
      <c r="T238">
        <f t="shared" si="19"/>
        <v>0</v>
      </c>
    </row>
    <row r="239" x14ac:dyDescent="0.35">
      <c r="A239" t="str">
        <v/>
      </c>
      <c r="B239" t="str">
        <v/>
      </c>
      <c r="C239" t="str">
        <v/>
      </c>
      <c r="D239" t="str">
        <v/>
      </c>
      <c r="E239" t="str">
        <v/>
      </c>
      <c r="F239" t="str">
        <v/>
      </c>
      <c r="G239" t="str">
        <v/>
      </c>
      <c r="H239" t="str">
        <v/>
      </c>
      <c r="I239" t="str">
        <v/>
      </c>
      <c r="J239" t="str">
        <v/>
      </c>
      <c r="K239" t="str">
        <v/>
      </c>
      <c r="L239" t="str">
        <v/>
      </c>
      <c r="M239" t="str">
        <v/>
      </c>
      <c r="N239" t="str">
        <v/>
      </c>
      <c r="O239" t="str">
        <v/>
      </c>
      <c r="P239">
        <f t="shared" si="20"/>
        <v>0</v>
      </c>
      <c r="Q239">
        <f t="shared" si="21"/>
        <v>0</v>
      </c>
      <c r="R239">
        <f t="shared" si="22"/>
        <v>0</v>
      </c>
      <c r="S239">
        <f t="shared" si="18"/>
        <v>0</v>
      </c>
      <c r="T239">
        <f t="shared" si="19"/>
        <v>0</v>
      </c>
    </row>
    <row r="240" x14ac:dyDescent="0.35">
      <c r="A240" t="str">
        <v/>
      </c>
      <c r="B240" t="str">
        <v/>
      </c>
      <c r="C240" t="str">
        <v/>
      </c>
      <c r="D240" t="str">
        <v/>
      </c>
      <c r="E240" t="str">
        <v/>
      </c>
      <c r="F240" t="str">
        <v/>
      </c>
      <c r="G240" t="str">
        <v/>
      </c>
      <c r="H240" t="str">
        <v/>
      </c>
      <c r="I240" t="str">
        <v/>
      </c>
      <c r="J240" t="str">
        <v/>
      </c>
      <c r="K240" t="str">
        <v/>
      </c>
      <c r="L240" t="str">
        <v/>
      </c>
      <c r="M240" t="str">
        <v/>
      </c>
      <c r="N240" t="str">
        <v/>
      </c>
      <c r="O240" t="str">
        <v/>
      </c>
      <c r="P240">
        <f t="shared" si="20"/>
        <v>0</v>
      </c>
      <c r="Q240">
        <f t="shared" si="21"/>
        <v>0</v>
      </c>
      <c r="R240">
        <f t="shared" si="22"/>
        <v>0</v>
      </c>
      <c r="S240">
        <f t="shared" si="18"/>
        <v>0</v>
      </c>
      <c r="T240">
        <f t="shared" si="19"/>
        <v>0</v>
      </c>
    </row>
    <row r="241" x14ac:dyDescent="0.35">
      <c r="A241" t="str">
        <v/>
      </c>
      <c r="B241" t="str">
        <v/>
      </c>
      <c r="C241" t="str">
        <v/>
      </c>
      <c r="D241" t="str">
        <v/>
      </c>
      <c r="E241" t="str">
        <v/>
      </c>
      <c r="F241" t="str">
        <v/>
      </c>
      <c r="G241" t="str">
        <v/>
      </c>
      <c r="H241" t="str">
        <v/>
      </c>
      <c r="I241" t="str">
        <v/>
      </c>
      <c r="J241" t="str">
        <v/>
      </c>
      <c r="K241" t="str">
        <v/>
      </c>
      <c r="L241" t="str">
        <v/>
      </c>
      <c r="M241" t="str">
        <v/>
      </c>
      <c r="N241" t="str">
        <v/>
      </c>
      <c r="O241" t="str">
        <v/>
      </c>
      <c r="P241">
        <f t="shared" si="20"/>
        <v>0</v>
      </c>
      <c r="Q241">
        <f t="shared" si="21"/>
        <v>0</v>
      </c>
      <c r="R241">
        <f t="shared" si="22"/>
        <v>0</v>
      </c>
      <c r="S241">
        <f t="shared" si="18"/>
        <v>0</v>
      </c>
      <c r="T241">
        <f t="shared" si="19"/>
        <v>0</v>
      </c>
    </row>
    <row r="242" x14ac:dyDescent="0.35">
      <c r="A242" t="str">
        <v/>
      </c>
      <c r="B242" t="str">
        <v/>
      </c>
      <c r="C242" t="str">
        <v/>
      </c>
      <c r="D242" t="str">
        <v/>
      </c>
      <c r="E242" t="str">
        <v/>
      </c>
      <c r="F242" t="str">
        <v/>
      </c>
      <c r="G242" t="str">
        <v/>
      </c>
      <c r="H242" t="str">
        <v/>
      </c>
      <c r="I242" t="str">
        <v/>
      </c>
      <c r="J242" t="str">
        <v/>
      </c>
      <c r="K242" t="str">
        <v/>
      </c>
      <c r="L242" t="str">
        <v/>
      </c>
      <c r="M242" t="str">
        <v/>
      </c>
      <c r="N242" t="str">
        <v/>
      </c>
      <c r="O242" t="str">
        <v/>
      </c>
      <c r="P242">
        <f t="shared" si="20"/>
        <v>0</v>
      </c>
      <c r="Q242">
        <f t="shared" si="21"/>
        <v>0</v>
      </c>
      <c r="R242">
        <f t="shared" si="22"/>
        <v>0</v>
      </c>
      <c r="S242">
        <f t="shared" si="18"/>
        <v>0</v>
      </c>
      <c r="T242">
        <f t="shared" si="19"/>
        <v>0</v>
      </c>
    </row>
    <row r="243" x14ac:dyDescent="0.35">
      <c r="A243" t="str">
        <v/>
      </c>
      <c r="B243" t="str">
        <v/>
      </c>
      <c r="C243" t="str">
        <v/>
      </c>
      <c r="D243" t="str">
        <v/>
      </c>
      <c r="E243" t="str">
        <v/>
      </c>
      <c r="F243" t="str">
        <v/>
      </c>
      <c r="G243" t="str">
        <v/>
      </c>
      <c r="H243" t="str">
        <v/>
      </c>
      <c r="I243" t="str">
        <v/>
      </c>
      <c r="J243" t="str">
        <v/>
      </c>
      <c r="K243" t="str">
        <v/>
      </c>
      <c r="L243" t="str">
        <v/>
      </c>
      <c r="M243" t="str">
        <v/>
      </c>
      <c r="N243" t="str">
        <v/>
      </c>
      <c r="O243" t="str">
        <v/>
      </c>
      <c r="P243">
        <f t="shared" si="20"/>
        <v>0</v>
      </c>
      <c r="Q243">
        <f t="shared" si="21"/>
        <v>0</v>
      </c>
      <c r="R243">
        <f t="shared" si="22"/>
        <v>0</v>
      </c>
      <c r="S243">
        <f t="shared" si="18"/>
        <v>0</v>
      </c>
      <c r="T243">
        <f t="shared" si="19"/>
        <v>0</v>
      </c>
    </row>
    <row r="244" x14ac:dyDescent="0.35">
      <c r="A244" t="str">
        <v/>
      </c>
      <c r="B244" t="str">
        <v/>
      </c>
      <c r="C244" t="str">
        <v/>
      </c>
      <c r="D244" t="str">
        <v/>
      </c>
      <c r="E244" t="str">
        <v/>
      </c>
      <c r="F244" t="str">
        <v/>
      </c>
      <c r="G244" t="str">
        <v/>
      </c>
      <c r="H244" t="str">
        <v/>
      </c>
      <c r="I244" t="str">
        <v/>
      </c>
      <c r="J244" t="str">
        <v/>
      </c>
      <c r="K244" t="str">
        <v/>
      </c>
      <c r="L244" t="str">
        <v/>
      </c>
      <c r="M244" t="str">
        <v/>
      </c>
      <c r="N244" t="str">
        <v/>
      </c>
      <c r="O244" t="str">
        <v/>
      </c>
      <c r="P244">
        <f t="shared" si="20"/>
        <v>0</v>
      </c>
      <c r="Q244">
        <f t="shared" si="21"/>
        <v>0</v>
      </c>
      <c r="R244">
        <f t="shared" si="22"/>
        <v>0</v>
      </c>
      <c r="S244">
        <f t="shared" si="18"/>
        <v>0</v>
      </c>
      <c r="T244">
        <f t="shared" si="19"/>
        <v>0</v>
      </c>
    </row>
    <row r="245" x14ac:dyDescent="0.35">
      <c r="A245" t="str">
        <v/>
      </c>
      <c r="B245" t="str">
        <v/>
      </c>
      <c r="C245" t="str">
        <v/>
      </c>
      <c r="D245" t="str">
        <v/>
      </c>
      <c r="E245" t="str">
        <v/>
      </c>
      <c r="F245" t="str">
        <v/>
      </c>
      <c r="G245" t="str">
        <v/>
      </c>
      <c r="H245" t="str">
        <v/>
      </c>
      <c r="I245" t="str">
        <v/>
      </c>
      <c r="J245" t="str">
        <v/>
      </c>
      <c r="K245" t="str">
        <v/>
      </c>
      <c r="L245" t="str">
        <v/>
      </c>
      <c r="M245" t="str">
        <v/>
      </c>
      <c r="N245" t="str">
        <v/>
      </c>
      <c r="O245" t="str">
        <v/>
      </c>
      <c r="P245">
        <f t="shared" si="20"/>
        <v>0</v>
      </c>
      <c r="Q245">
        <f t="shared" si="21"/>
        <v>0</v>
      </c>
      <c r="R245">
        <f t="shared" si="22"/>
        <v>0</v>
      </c>
      <c r="S245">
        <f t="shared" si="18"/>
        <v>0</v>
      </c>
      <c r="T245">
        <f t="shared" si="19"/>
        <v>0</v>
      </c>
    </row>
    <row r="246" x14ac:dyDescent="0.35">
      <c r="A246" t="str">
        <v/>
      </c>
      <c r="B246" t="str">
        <v/>
      </c>
      <c r="C246" t="str">
        <v/>
      </c>
      <c r="D246" t="str">
        <v/>
      </c>
      <c r="E246" t="str">
        <v/>
      </c>
      <c r="F246" t="str">
        <v/>
      </c>
      <c r="G246" t="str">
        <v/>
      </c>
      <c r="H246" t="str">
        <v/>
      </c>
      <c r="I246" t="str">
        <v/>
      </c>
      <c r="J246" t="str">
        <v/>
      </c>
      <c r="K246" t="str">
        <v/>
      </c>
      <c r="L246" t="str">
        <v/>
      </c>
      <c r="M246" t="str">
        <v/>
      </c>
      <c r="N246" t="str">
        <v/>
      </c>
      <c r="O246" t="str">
        <v/>
      </c>
      <c r="P246">
        <f t="shared" si="20"/>
        <v>0</v>
      </c>
      <c r="Q246">
        <f t="shared" si="21"/>
        <v>0</v>
      </c>
      <c r="R246">
        <f t="shared" si="22"/>
        <v>0</v>
      </c>
      <c r="S246">
        <f t="shared" si="18"/>
        <v>0</v>
      </c>
      <c r="T246">
        <f t="shared" si="19"/>
        <v>0</v>
      </c>
    </row>
    <row r="247" x14ac:dyDescent="0.35">
      <c r="A247" t="str">
        <v/>
      </c>
      <c r="B247" t="str">
        <v/>
      </c>
      <c r="C247" t="str">
        <v/>
      </c>
      <c r="D247" t="str">
        <v/>
      </c>
      <c r="E247" t="str">
        <v/>
      </c>
      <c r="F247" t="str">
        <v/>
      </c>
      <c r="G247" t="str">
        <v/>
      </c>
      <c r="H247" t="str">
        <v/>
      </c>
      <c r="I247" t="str">
        <v/>
      </c>
      <c r="J247" t="str">
        <v/>
      </c>
      <c r="K247" t="str">
        <v/>
      </c>
      <c r="L247" t="str">
        <v/>
      </c>
      <c r="M247" t="str">
        <v/>
      </c>
      <c r="N247" t="str">
        <v/>
      </c>
      <c r="O247" t="str">
        <v/>
      </c>
      <c r="P247">
        <f t="shared" si="20"/>
        <v>0</v>
      </c>
      <c r="Q247">
        <f t="shared" si="21"/>
        <v>0</v>
      </c>
      <c r="R247">
        <f t="shared" si="22"/>
        <v>0</v>
      </c>
      <c r="S247">
        <f t="shared" si="18"/>
        <v>0</v>
      </c>
      <c r="T247">
        <f t="shared" si="19"/>
        <v>0</v>
      </c>
    </row>
    <row r="248" x14ac:dyDescent="0.35">
      <c r="A248" t="str">
        <v/>
      </c>
      <c r="B248" t="str">
        <v/>
      </c>
      <c r="C248" t="str">
        <v/>
      </c>
      <c r="D248" t="str">
        <v/>
      </c>
      <c r="E248" t="str">
        <v/>
      </c>
      <c r="F248" t="str">
        <v/>
      </c>
      <c r="G248" t="str">
        <v/>
      </c>
      <c r="H248" t="str">
        <v/>
      </c>
      <c r="I248" t="str">
        <v/>
      </c>
      <c r="J248" t="str">
        <v/>
      </c>
      <c r="K248" t="str">
        <v/>
      </c>
      <c r="L248" t="str">
        <v/>
      </c>
      <c r="M248" t="str">
        <v/>
      </c>
      <c r="N248" t="str">
        <v/>
      </c>
      <c r="O248" t="str">
        <v/>
      </c>
      <c r="P248">
        <f t="shared" si="20"/>
        <v>0</v>
      </c>
      <c r="Q248">
        <f t="shared" si="21"/>
        <v>0</v>
      </c>
      <c r="R248">
        <f t="shared" si="22"/>
        <v>0</v>
      </c>
      <c r="S248">
        <f t="shared" si="18"/>
        <v>0</v>
      </c>
      <c r="T248">
        <f t="shared" si="19"/>
        <v>0</v>
      </c>
    </row>
    <row r="249" x14ac:dyDescent="0.35">
      <c r="A249" t="str">
        <v/>
      </c>
      <c r="B249" t="str">
        <v/>
      </c>
      <c r="C249" t="str">
        <v/>
      </c>
      <c r="D249" t="str">
        <v/>
      </c>
      <c r="E249" t="str">
        <v/>
      </c>
      <c r="F249" t="str">
        <v/>
      </c>
      <c r="G249" t="str">
        <v/>
      </c>
      <c r="H249" t="str">
        <v/>
      </c>
      <c r="I249" t="str">
        <v/>
      </c>
      <c r="J249" t="str">
        <v/>
      </c>
      <c r="K249" t="str">
        <v/>
      </c>
      <c r="L249" t="str">
        <v/>
      </c>
      <c r="M249" t="str">
        <v/>
      </c>
      <c r="N249" t="str">
        <v/>
      </c>
      <c r="O249" t="str">
        <v/>
      </c>
      <c r="P249">
        <f t="shared" si="20"/>
        <v>0</v>
      </c>
      <c r="Q249">
        <f t="shared" si="21"/>
        <v>0</v>
      </c>
      <c r="R249">
        <f t="shared" si="22"/>
        <v>0</v>
      </c>
      <c r="S249">
        <f t="shared" si="18"/>
        <v>0</v>
      </c>
      <c r="T249">
        <f t="shared" si="19"/>
        <v>0</v>
      </c>
    </row>
    <row r="250" x14ac:dyDescent="0.35">
      <c r="A250" t="str">
        <v/>
      </c>
      <c r="B250" t="str">
        <v/>
      </c>
      <c r="C250" t="str">
        <v/>
      </c>
      <c r="D250" t="str">
        <v/>
      </c>
      <c r="E250" t="str">
        <v/>
      </c>
      <c r="F250" t="str">
        <v/>
      </c>
      <c r="G250" t="str">
        <v/>
      </c>
      <c r="H250" t="str">
        <v/>
      </c>
      <c r="I250" t="str">
        <v/>
      </c>
      <c r="J250" t="str">
        <v/>
      </c>
      <c r="K250" t="str">
        <v/>
      </c>
      <c r="L250" t="str">
        <v/>
      </c>
      <c r="M250" t="str">
        <v/>
      </c>
      <c r="N250" t="str">
        <v/>
      </c>
      <c r="O250" t="str">
        <v/>
      </c>
      <c r="P250">
        <f t="shared" si="20"/>
        <v>0</v>
      </c>
      <c r="Q250">
        <f t="shared" si="21"/>
        <v>0</v>
      </c>
      <c r="R250">
        <f t="shared" si="22"/>
        <v>0</v>
      </c>
      <c r="S250">
        <f t="shared" si="18"/>
        <v>0</v>
      </c>
      <c r="T250">
        <f t="shared" si="19"/>
        <v>0</v>
      </c>
    </row>
    <row r="251" x14ac:dyDescent="0.35">
      <c r="A251" t="str">
        <v/>
      </c>
      <c r="B251" t="str">
        <v/>
      </c>
      <c r="C251" t="str">
        <v/>
      </c>
      <c r="D251" t="str">
        <v/>
      </c>
      <c r="E251" t="str">
        <v/>
      </c>
      <c r="F251" t="str">
        <v/>
      </c>
      <c r="G251" t="str">
        <v/>
      </c>
      <c r="H251" t="str">
        <v/>
      </c>
      <c r="I251" t="str">
        <v/>
      </c>
      <c r="J251" t="str">
        <v/>
      </c>
      <c r="K251" t="str">
        <v/>
      </c>
      <c r="L251" t="str">
        <v/>
      </c>
      <c r="M251" t="str">
        <v/>
      </c>
      <c r="N251" t="str">
        <v/>
      </c>
      <c r="O251" t="str">
        <v/>
      </c>
      <c r="P251">
        <f t="shared" si="20"/>
        <v>0</v>
      </c>
      <c r="Q251">
        <f t="shared" si="21"/>
        <v>0</v>
      </c>
      <c r="R251">
        <f t="shared" si="22"/>
        <v>0</v>
      </c>
      <c r="S251">
        <f t="shared" si="18"/>
        <v>0</v>
      </c>
      <c r="T251">
        <f t="shared" si="19"/>
        <v>0</v>
      </c>
    </row>
    <row r="252" x14ac:dyDescent="0.35">
      <c r="A252" t="str">
        <v/>
      </c>
      <c r="B252" t="str">
        <v/>
      </c>
      <c r="C252" t="str">
        <v/>
      </c>
      <c r="D252" t="str">
        <v/>
      </c>
      <c r="E252" t="str">
        <v/>
      </c>
      <c r="F252" t="str">
        <v/>
      </c>
      <c r="G252" t="str">
        <v/>
      </c>
      <c r="H252" t="str">
        <v/>
      </c>
      <c r="I252" t="str">
        <v/>
      </c>
      <c r="J252" t="str">
        <v/>
      </c>
      <c r="K252" t="str">
        <v/>
      </c>
      <c r="L252" t="str">
        <v/>
      </c>
      <c r="M252" t="str">
        <v/>
      </c>
      <c r="N252" t="str">
        <v/>
      </c>
      <c r="O252" t="str">
        <v/>
      </c>
      <c r="P252">
        <f t="shared" si="20"/>
        <v>0</v>
      </c>
      <c r="Q252">
        <f t="shared" si="21"/>
        <v>0</v>
      </c>
      <c r="R252">
        <f t="shared" si="22"/>
        <v>0</v>
      </c>
      <c r="S252">
        <f t="shared" si="18"/>
        <v>0</v>
      </c>
      <c r="T252">
        <f t="shared" si="19"/>
        <v>0</v>
      </c>
    </row>
    <row r="253" x14ac:dyDescent="0.35">
      <c r="A253" t="str">
        <v/>
      </c>
      <c r="B253" t="str">
        <v/>
      </c>
      <c r="C253" t="str">
        <v/>
      </c>
      <c r="D253" t="str">
        <v/>
      </c>
      <c r="E253" t="str">
        <v/>
      </c>
      <c r="F253" t="str">
        <v/>
      </c>
      <c r="G253" t="str">
        <v/>
      </c>
      <c r="H253" t="str">
        <v/>
      </c>
      <c r="I253" t="str">
        <v/>
      </c>
      <c r="J253" t="str">
        <v/>
      </c>
      <c r="K253" t="str">
        <v/>
      </c>
      <c r="L253" t="str">
        <v/>
      </c>
      <c r="M253" t="str">
        <v/>
      </c>
      <c r="N253" t="str">
        <v/>
      </c>
      <c r="O253" t="str">
        <v/>
      </c>
      <c r="P253">
        <f t="shared" si="20"/>
        <v>0</v>
      </c>
      <c r="Q253">
        <f t="shared" si="21"/>
        <v>0</v>
      </c>
      <c r="R253">
        <f t="shared" si="22"/>
        <v>0</v>
      </c>
      <c r="S253">
        <f t="shared" si="18"/>
        <v>0</v>
      </c>
      <c r="T253">
        <f t="shared" si="19"/>
        <v>0</v>
      </c>
    </row>
    <row r="254" x14ac:dyDescent="0.35">
      <c r="A254" t="str">
        <v/>
      </c>
      <c r="B254" t="str">
        <v/>
      </c>
      <c r="C254" t="str">
        <v/>
      </c>
      <c r="D254" t="str">
        <v/>
      </c>
      <c r="E254" t="str">
        <v/>
      </c>
      <c r="F254" t="str">
        <v/>
      </c>
      <c r="G254" t="str">
        <v/>
      </c>
      <c r="H254" t="str">
        <v/>
      </c>
      <c r="I254" t="str">
        <v/>
      </c>
      <c r="J254" t="str">
        <v/>
      </c>
      <c r="K254" t="str">
        <v/>
      </c>
      <c r="L254" t="str">
        <v/>
      </c>
      <c r="M254" t="str">
        <v/>
      </c>
      <c r="N254" t="str">
        <v/>
      </c>
      <c r="O254" t="str">
        <v/>
      </c>
      <c r="P254">
        <f t="shared" si="20"/>
        <v>0</v>
      </c>
      <c r="Q254">
        <f t="shared" si="21"/>
        <v>0</v>
      </c>
      <c r="R254">
        <f t="shared" si="22"/>
        <v>0</v>
      </c>
      <c r="S254">
        <f t="shared" si="18"/>
        <v>0</v>
      </c>
      <c r="T254">
        <f t="shared" si="19"/>
        <v>0</v>
      </c>
    </row>
    <row r="255" x14ac:dyDescent="0.35">
      <c r="A255" t="str">
        <v/>
      </c>
      <c r="B255" t="str">
        <v/>
      </c>
      <c r="C255" t="str">
        <v/>
      </c>
      <c r="D255" t="str">
        <v/>
      </c>
      <c r="E255" t="str">
        <v/>
      </c>
      <c r="F255" t="str">
        <v/>
      </c>
      <c r="G255" t="str">
        <v/>
      </c>
      <c r="H255" t="str">
        <v/>
      </c>
      <c r="I255" t="str">
        <v/>
      </c>
      <c r="J255" t="str">
        <v/>
      </c>
      <c r="K255" t="str">
        <v/>
      </c>
      <c r="L255" t="str">
        <v/>
      </c>
      <c r="M255" t="str">
        <v/>
      </c>
      <c r="N255" t="str">
        <v/>
      </c>
      <c r="O255" t="str">
        <v/>
      </c>
      <c r="P255">
        <f t="shared" si="20"/>
        <v>0</v>
      </c>
      <c r="Q255">
        <f t="shared" si="21"/>
        <v>0</v>
      </c>
      <c r="R255">
        <f t="shared" si="22"/>
        <v>0</v>
      </c>
      <c r="S255">
        <f t="shared" si="18"/>
        <v>0</v>
      </c>
      <c r="T255">
        <f t="shared" si="19"/>
        <v>0</v>
      </c>
    </row>
    <row r="256" x14ac:dyDescent="0.35">
      <c r="A256" t="str">
        <v/>
      </c>
      <c r="B256" t="str">
        <v/>
      </c>
      <c r="C256" t="str">
        <v/>
      </c>
      <c r="D256" t="str">
        <v/>
      </c>
      <c r="E256" t="str">
        <v/>
      </c>
      <c r="F256" t="str">
        <v/>
      </c>
      <c r="G256" t="str">
        <v/>
      </c>
      <c r="H256" t="str">
        <v/>
      </c>
      <c r="I256" t="str">
        <v/>
      </c>
      <c r="J256" t="str">
        <v/>
      </c>
      <c r="K256" t="str">
        <v/>
      </c>
      <c r="L256" t="str">
        <v/>
      </c>
      <c r="M256" t="str">
        <v/>
      </c>
      <c r="N256" t="str">
        <v/>
      </c>
      <c r="O256" t="str">
        <v/>
      </c>
      <c r="P256">
        <f t="shared" si="20"/>
        <v>0</v>
      </c>
      <c r="Q256">
        <f t="shared" si="21"/>
        <v>0</v>
      </c>
      <c r="R256">
        <f t="shared" si="22"/>
        <v>0</v>
      </c>
      <c r="S256">
        <f t="shared" si="18"/>
        <v>0</v>
      </c>
      <c r="T256">
        <f t="shared" si="19"/>
        <v>0</v>
      </c>
    </row>
    <row r="257" x14ac:dyDescent="0.35">
      <c r="A257" t="str">
        <v/>
      </c>
      <c r="B257" t="str">
        <v/>
      </c>
      <c r="C257" t="str">
        <v/>
      </c>
      <c r="D257" t="str">
        <v/>
      </c>
      <c r="E257" t="str">
        <v/>
      </c>
      <c r="F257" t="str">
        <v/>
      </c>
      <c r="G257" t="str">
        <v/>
      </c>
      <c r="H257" t="str">
        <v/>
      </c>
      <c r="I257" t="str">
        <v/>
      </c>
      <c r="J257" t="str">
        <v/>
      </c>
      <c r="K257" t="str">
        <v/>
      </c>
      <c r="L257" t="str">
        <v/>
      </c>
      <c r="M257" t="str">
        <v/>
      </c>
      <c r="N257" t="str">
        <v/>
      </c>
      <c r="O257" t="str">
        <v/>
      </c>
      <c r="P257">
        <f t="shared" si="20"/>
        <v>0</v>
      </c>
      <c r="Q257">
        <f t="shared" si="21"/>
        <v>0</v>
      </c>
      <c r="R257">
        <f t="shared" si="22"/>
        <v>0</v>
      </c>
      <c r="S257">
        <f t="shared" si="18"/>
        <v>0</v>
      </c>
      <c r="T257">
        <f t="shared" si="19"/>
        <v>0</v>
      </c>
    </row>
    <row r="258" x14ac:dyDescent="0.35">
      <c r="A258" t="str">
        <v/>
      </c>
      <c r="B258" t="str">
        <v/>
      </c>
      <c r="C258" t="str">
        <v/>
      </c>
      <c r="D258" t="str">
        <v/>
      </c>
      <c r="E258" t="str">
        <v/>
      </c>
      <c r="F258" t="str">
        <v/>
      </c>
      <c r="G258" t="str">
        <v/>
      </c>
      <c r="H258" t="str">
        <v/>
      </c>
      <c r="I258" t="str">
        <v/>
      </c>
      <c r="J258" t="str">
        <v/>
      </c>
      <c r="K258" t="str">
        <v/>
      </c>
      <c r="L258" t="str">
        <v/>
      </c>
      <c r="M258" t="str">
        <v/>
      </c>
      <c r="N258" t="str">
        <v/>
      </c>
      <c r="O258" t="str">
        <v/>
      </c>
      <c r="P258">
        <f t="shared" si="20"/>
        <v>0</v>
      </c>
      <c r="Q258">
        <f t="shared" si="21"/>
        <v>0</v>
      </c>
      <c r="R258">
        <f t="shared" si="22"/>
        <v>0</v>
      </c>
      <c r="S258">
        <f t="shared" si="18"/>
        <v>0</v>
      </c>
      <c r="T258">
        <f t="shared" si="19"/>
        <v>0</v>
      </c>
    </row>
    <row r="259" x14ac:dyDescent="0.35">
      <c r="A259" t="str">
        <v/>
      </c>
      <c r="B259" t="str">
        <v/>
      </c>
      <c r="C259" t="str">
        <v/>
      </c>
      <c r="D259" t="str">
        <v/>
      </c>
      <c r="E259" t="str">
        <v/>
      </c>
      <c r="F259" t="str">
        <v/>
      </c>
      <c r="G259" t="str">
        <v/>
      </c>
      <c r="H259" t="str">
        <v/>
      </c>
      <c r="I259" t="str">
        <v/>
      </c>
      <c r="J259" t="str">
        <v/>
      </c>
      <c r="K259" t="str">
        <v/>
      </c>
      <c r="L259" t="str">
        <v/>
      </c>
      <c r="M259" t="str">
        <v/>
      </c>
      <c r="N259" t="str">
        <v/>
      </c>
      <c r="O259" t="str">
        <v/>
      </c>
      <c r="P259">
        <f t="shared" si="20"/>
        <v>0</v>
      </c>
      <c r="Q259">
        <f t="shared" si="21"/>
        <v>0</v>
      </c>
      <c r="R259">
        <f t="shared" si="22"/>
        <v>0</v>
      </c>
      <c r="S259">
        <f t="shared" ref="S259:S322" si="23">IF(J259="Realizada completa",1,0)</f>
        <v>0</v>
      </c>
      <c r="T259">
        <f t="shared" ref="T259:T322" si="24">IF(J259="Sin respuesta",1,0)</f>
        <v>0</v>
      </c>
    </row>
    <row r="260" x14ac:dyDescent="0.35">
      <c r="A260" t="str">
        <v/>
      </c>
      <c r="B260" t="str">
        <v/>
      </c>
      <c r="C260" t="str">
        <v/>
      </c>
      <c r="D260" t="str">
        <v/>
      </c>
      <c r="E260" t="str">
        <v/>
      </c>
      <c r="F260" t="str">
        <v/>
      </c>
      <c r="G260" t="str">
        <v/>
      </c>
      <c r="H260" t="str">
        <v/>
      </c>
      <c r="I260" t="str">
        <v/>
      </c>
      <c r="J260" t="str">
        <v/>
      </c>
      <c r="K260" t="str">
        <v/>
      </c>
      <c r="L260" t="str">
        <v/>
      </c>
      <c r="M260" t="str">
        <v/>
      </c>
      <c r="N260" t="str">
        <v/>
      </c>
      <c r="O260" t="str">
        <v/>
      </c>
      <c r="P260">
        <f t="shared" ref="P260:P323" si="25">IF(F260="Sí",1,0)</f>
        <v>0</v>
      </c>
      <c r="Q260">
        <f t="shared" ref="Q260:Q323" si="26">IF(J260="En coordinación",1,0)</f>
        <v>0</v>
      </c>
      <c r="R260">
        <f t="shared" ref="R260:R323" si="27">IF(J260="En coordinación",1,0)</f>
        <v>0</v>
      </c>
      <c r="S260">
        <f t="shared" si="23"/>
        <v>0</v>
      </c>
      <c r="T260">
        <f t="shared" si="24"/>
        <v>0</v>
      </c>
    </row>
    <row r="261" x14ac:dyDescent="0.35">
      <c r="A261" t="str">
        <v/>
      </c>
      <c r="B261" t="str">
        <v/>
      </c>
      <c r="C261" t="str">
        <v/>
      </c>
      <c r="D261" t="str">
        <v/>
      </c>
      <c r="E261" t="str">
        <v/>
      </c>
      <c r="F261" t="str">
        <v/>
      </c>
      <c r="G261" t="str">
        <v/>
      </c>
      <c r="H261" t="str">
        <v/>
      </c>
      <c r="I261" t="str">
        <v/>
      </c>
      <c r="J261" t="str">
        <v/>
      </c>
      <c r="K261" t="str">
        <v/>
      </c>
      <c r="L261" t="str">
        <v/>
      </c>
      <c r="M261" t="str">
        <v/>
      </c>
      <c r="N261" t="str">
        <v/>
      </c>
      <c r="O261" t="str">
        <v/>
      </c>
      <c r="P261">
        <f t="shared" si="25"/>
        <v>0</v>
      </c>
      <c r="Q261">
        <f t="shared" si="26"/>
        <v>0</v>
      </c>
      <c r="R261">
        <f t="shared" si="27"/>
        <v>0</v>
      </c>
      <c r="S261">
        <f t="shared" si="23"/>
        <v>0</v>
      </c>
      <c r="T261">
        <f t="shared" si="24"/>
        <v>0</v>
      </c>
    </row>
    <row r="262" x14ac:dyDescent="0.35">
      <c r="A262" t="str">
        <v/>
      </c>
      <c r="B262" t="str">
        <v/>
      </c>
      <c r="C262" t="str">
        <v/>
      </c>
      <c r="D262" t="str">
        <v/>
      </c>
      <c r="E262" t="str">
        <v/>
      </c>
      <c r="F262" t="str">
        <v/>
      </c>
      <c r="G262" t="str">
        <v/>
      </c>
      <c r="H262" t="str">
        <v/>
      </c>
      <c r="I262" t="str">
        <v/>
      </c>
      <c r="J262" t="str">
        <v/>
      </c>
      <c r="K262" t="str">
        <v/>
      </c>
      <c r="L262" t="str">
        <v/>
      </c>
      <c r="M262" t="str">
        <v/>
      </c>
      <c r="N262" t="str">
        <v/>
      </c>
      <c r="O262" t="str">
        <v/>
      </c>
      <c r="P262">
        <f t="shared" si="25"/>
        <v>0</v>
      </c>
      <c r="Q262">
        <f t="shared" si="26"/>
        <v>0</v>
      </c>
      <c r="R262">
        <f t="shared" si="27"/>
        <v>0</v>
      </c>
      <c r="S262">
        <f t="shared" si="23"/>
        <v>0</v>
      </c>
      <c r="T262">
        <f t="shared" si="24"/>
        <v>0</v>
      </c>
    </row>
    <row r="263" x14ac:dyDescent="0.35">
      <c r="A263" t="str">
        <v/>
      </c>
      <c r="B263" t="str">
        <v/>
      </c>
      <c r="C263" t="str">
        <v/>
      </c>
      <c r="D263" t="str">
        <v/>
      </c>
      <c r="E263" t="str">
        <v/>
      </c>
      <c r="F263" t="str">
        <v/>
      </c>
      <c r="G263" t="str">
        <v/>
      </c>
      <c r="H263" t="str">
        <v/>
      </c>
      <c r="I263" t="str">
        <v/>
      </c>
      <c r="J263" t="str">
        <v/>
      </c>
      <c r="K263" t="str">
        <v/>
      </c>
      <c r="L263" t="str">
        <v/>
      </c>
      <c r="M263" t="str">
        <v/>
      </c>
      <c r="N263" t="str">
        <v/>
      </c>
      <c r="O263" t="str">
        <v/>
      </c>
      <c r="P263">
        <f t="shared" si="25"/>
        <v>0</v>
      </c>
      <c r="Q263">
        <f t="shared" si="26"/>
        <v>0</v>
      </c>
      <c r="R263">
        <f t="shared" si="27"/>
        <v>0</v>
      </c>
      <c r="S263">
        <f t="shared" si="23"/>
        <v>0</v>
      </c>
      <c r="T263">
        <f t="shared" si="24"/>
        <v>0</v>
      </c>
    </row>
    <row r="264" x14ac:dyDescent="0.35">
      <c r="A264" t="str">
        <v/>
      </c>
      <c r="B264" t="str">
        <v/>
      </c>
      <c r="C264" t="str">
        <v/>
      </c>
      <c r="D264" t="str">
        <v/>
      </c>
      <c r="E264" t="str">
        <v/>
      </c>
      <c r="F264" t="str">
        <v/>
      </c>
      <c r="G264" t="str">
        <v/>
      </c>
      <c r="H264" t="str">
        <v/>
      </c>
      <c r="I264" t="str">
        <v/>
      </c>
      <c r="J264" t="str">
        <v/>
      </c>
      <c r="K264" t="str">
        <v/>
      </c>
      <c r="L264" t="str">
        <v/>
      </c>
      <c r="M264" t="str">
        <v/>
      </c>
      <c r="N264" t="str">
        <v/>
      </c>
      <c r="O264" t="str">
        <v/>
      </c>
      <c r="P264">
        <f t="shared" si="25"/>
        <v>0</v>
      </c>
      <c r="Q264">
        <f t="shared" si="26"/>
        <v>0</v>
      </c>
      <c r="R264">
        <f t="shared" si="27"/>
        <v>0</v>
      </c>
      <c r="S264">
        <f t="shared" si="23"/>
        <v>0</v>
      </c>
      <c r="T264">
        <f t="shared" si="24"/>
        <v>0</v>
      </c>
    </row>
    <row r="265" x14ac:dyDescent="0.35">
      <c r="A265" t="str">
        <v/>
      </c>
      <c r="B265" t="str">
        <v/>
      </c>
      <c r="C265" t="str">
        <v/>
      </c>
      <c r="D265" t="str">
        <v/>
      </c>
      <c r="E265" t="str">
        <v/>
      </c>
      <c r="F265" t="str">
        <v/>
      </c>
      <c r="G265" t="str">
        <v/>
      </c>
      <c r="H265" t="str">
        <v/>
      </c>
      <c r="I265" t="str">
        <v/>
      </c>
      <c r="J265" t="str">
        <v/>
      </c>
      <c r="K265" t="str">
        <v/>
      </c>
      <c r="L265" t="str">
        <v/>
      </c>
      <c r="M265" t="str">
        <v/>
      </c>
      <c r="N265" t="str">
        <v/>
      </c>
      <c r="O265" t="str">
        <v/>
      </c>
      <c r="P265">
        <f t="shared" si="25"/>
        <v>0</v>
      </c>
      <c r="Q265">
        <f t="shared" si="26"/>
        <v>0</v>
      </c>
      <c r="R265">
        <f t="shared" si="27"/>
        <v>0</v>
      </c>
      <c r="S265">
        <f t="shared" si="23"/>
        <v>0</v>
      </c>
      <c r="T265">
        <f t="shared" si="24"/>
        <v>0</v>
      </c>
    </row>
    <row r="266" x14ac:dyDescent="0.35">
      <c r="A266" t="str">
        <v/>
      </c>
      <c r="B266" t="str">
        <v/>
      </c>
      <c r="C266" t="str">
        <v/>
      </c>
      <c r="D266" t="str">
        <v/>
      </c>
      <c r="E266" t="str">
        <v/>
      </c>
      <c r="F266" t="str">
        <v/>
      </c>
      <c r="G266" t="str">
        <v/>
      </c>
      <c r="H266" t="str">
        <v/>
      </c>
      <c r="I266" t="str">
        <v/>
      </c>
      <c r="J266" t="str">
        <v/>
      </c>
      <c r="K266" t="str">
        <v/>
      </c>
      <c r="L266" t="str">
        <v/>
      </c>
      <c r="M266" t="str">
        <v/>
      </c>
      <c r="N266" t="str">
        <v/>
      </c>
      <c r="O266" t="str">
        <v/>
      </c>
      <c r="P266">
        <f t="shared" si="25"/>
        <v>0</v>
      </c>
      <c r="Q266">
        <f t="shared" si="26"/>
        <v>0</v>
      </c>
      <c r="R266">
        <f t="shared" si="27"/>
        <v>0</v>
      </c>
      <c r="S266">
        <f t="shared" si="23"/>
        <v>0</v>
      </c>
      <c r="T266">
        <f t="shared" si="24"/>
        <v>0</v>
      </c>
    </row>
    <row r="267" x14ac:dyDescent="0.35">
      <c r="A267" t="str">
        <v/>
      </c>
      <c r="B267" t="str">
        <v/>
      </c>
      <c r="C267" t="str">
        <v/>
      </c>
      <c r="D267" t="str">
        <v/>
      </c>
      <c r="E267" t="str">
        <v/>
      </c>
      <c r="F267" t="str">
        <v/>
      </c>
      <c r="G267" t="str">
        <v/>
      </c>
      <c r="H267" t="str">
        <v/>
      </c>
      <c r="I267" t="str">
        <v/>
      </c>
      <c r="J267" t="str">
        <v/>
      </c>
      <c r="K267" t="str">
        <v/>
      </c>
      <c r="L267" t="str">
        <v/>
      </c>
      <c r="M267" t="str">
        <v/>
      </c>
      <c r="N267" t="str">
        <v/>
      </c>
      <c r="O267" t="str">
        <v/>
      </c>
      <c r="P267">
        <f t="shared" si="25"/>
        <v>0</v>
      </c>
      <c r="Q267">
        <f t="shared" si="26"/>
        <v>0</v>
      </c>
      <c r="R267">
        <f t="shared" si="27"/>
        <v>0</v>
      </c>
      <c r="S267">
        <f t="shared" si="23"/>
        <v>0</v>
      </c>
      <c r="T267">
        <f t="shared" si="24"/>
        <v>0</v>
      </c>
    </row>
    <row r="268" x14ac:dyDescent="0.35">
      <c r="A268" t="str">
        <v/>
      </c>
      <c r="B268" t="str">
        <v/>
      </c>
      <c r="C268" t="str">
        <v/>
      </c>
      <c r="D268" t="str">
        <v/>
      </c>
      <c r="E268" t="str">
        <v/>
      </c>
      <c r="F268" t="str">
        <v/>
      </c>
      <c r="G268" t="str">
        <v/>
      </c>
      <c r="H268" t="str">
        <v/>
      </c>
      <c r="I268" t="str">
        <v/>
      </c>
      <c r="J268" t="str">
        <v/>
      </c>
      <c r="K268" t="str">
        <v/>
      </c>
      <c r="L268" t="str">
        <v/>
      </c>
      <c r="M268" t="str">
        <v/>
      </c>
      <c r="N268" t="str">
        <v/>
      </c>
      <c r="O268" t="str">
        <v/>
      </c>
      <c r="P268">
        <f t="shared" si="25"/>
        <v>0</v>
      </c>
      <c r="Q268">
        <f t="shared" si="26"/>
        <v>0</v>
      </c>
      <c r="R268">
        <f t="shared" si="27"/>
        <v>0</v>
      </c>
      <c r="S268">
        <f t="shared" si="23"/>
        <v>0</v>
      </c>
      <c r="T268">
        <f t="shared" si="24"/>
        <v>0</v>
      </c>
    </row>
    <row r="269" x14ac:dyDescent="0.35">
      <c r="A269" t="str">
        <v/>
      </c>
      <c r="B269" t="str">
        <v/>
      </c>
      <c r="C269" t="str">
        <v/>
      </c>
      <c r="D269" t="str">
        <v/>
      </c>
      <c r="E269" t="str">
        <v/>
      </c>
      <c r="F269" t="str">
        <v/>
      </c>
      <c r="G269" t="str">
        <v/>
      </c>
      <c r="H269" t="str">
        <v/>
      </c>
      <c r="I269" t="str">
        <v/>
      </c>
      <c r="J269" t="str">
        <v/>
      </c>
      <c r="K269" t="str">
        <v/>
      </c>
      <c r="L269" t="str">
        <v/>
      </c>
      <c r="M269" t="str">
        <v/>
      </c>
      <c r="N269" t="str">
        <v/>
      </c>
      <c r="O269" t="str">
        <v/>
      </c>
      <c r="P269">
        <f t="shared" si="25"/>
        <v>0</v>
      </c>
      <c r="Q269">
        <f t="shared" si="26"/>
        <v>0</v>
      </c>
      <c r="R269">
        <f t="shared" si="27"/>
        <v>0</v>
      </c>
      <c r="S269">
        <f t="shared" si="23"/>
        <v>0</v>
      </c>
      <c r="T269">
        <f t="shared" si="24"/>
        <v>0</v>
      </c>
    </row>
    <row r="270" x14ac:dyDescent="0.35">
      <c r="A270" t="str">
        <v/>
      </c>
      <c r="B270" t="str">
        <v/>
      </c>
      <c r="C270" t="str">
        <v/>
      </c>
      <c r="D270" t="str">
        <v/>
      </c>
      <c r="E270" t="str">
        <v/>
      </c>
      <c r="F270" t="str">
        <v/>
      </c>
      <c r="G270" t="str">
        <v/>
      </c>
      <c r="H270" t="str">
        <v/>
      </c>
      <c r="I270" t="str">
        <v/>
      </c>
      <c r="J270" t="str">
        <v/>
      </c>
      <c r="K270" t="str">
        <v/>
      </c>
      <c r="L270" t="str">
        <v/>
      </c>
      <c r="M270" t="str">
        <v/>
      </c>
      <c r="N270" t="str">
        <v/>
      </c>
      <c r="O270" t="str">
        <v/>
      </c>
      <c r="P270">
        <f t="shared" si="25"/>
        <v>0</v>
      </c>
      <c r="Q270">
        <f t="shared" si="26"/>
        <v>0</v>
      </c>
      <c r="R270">
        <f t="shared" si="27"/>
        <v>0</v>
      </c>
      <c r="S270">
        <f t="shared" si="23"/>
        <v>0</v>
      </c>
      <c r="T270">
        <f t="shared" si="24"/>
        <v>0</v>
      </c>
    </row>
    <row r="271" x14ac:dyDescent="0.35">
      <c r="A271" t="str">
        <v/>
      </c>
      <c r="B271" t="str">
        <v/>
      </c>
      <c r="C271" t="str">
        <v/>
      </c>
      <c r="D271" t="str">
        <v/>
      </c>
      <c r="E271" t="str">
        <v/>
      </c>
      <c r="F271" t="str">
        <v/>
      </c>
      <c r="G271" t="str">
        <v/>
      </c>
      <c r="H271" t="str">
        <v/>
      </c>
      <c r="I271" t="str">
        <v/>
      </c>
      <c r="J271" t="str">
        <v/>
      </c>
      <c r="K271" t="str">
        <v/>
      </c>
      <c r="L271" t="str">
        <v/>
      </c>
      <c r="M271" t="str">
        <v/>
      </c>
      <c r="N271" t="str">
        <v/>
      </c>
      <c r="O271" t="str">
        <v/>
      </c>
      <c r="P271">
        <f t="shared" si="25"/>
        <v>0</v>
      </c>
      <c r="Q271">
        <f t="shared" si="26"/>
        <v>0</v>
      </c>
      <c r="R271">
        <f t="shared" si="27"/>
        <v>0</v>
      </c>
      <c r="S271">
        <f t="shared" si="23"/>
        <v>0</v>
      </c>
      <c r="T271">
        <f t="shared" si="24"/>
        <v>0</v>
      </c>
    </row>
    <row r="272" x14ac:dyDescent="0.35">
      <c r="A272" t="str">
        <v/>
      </c>
      <c r="B272" t="str">
        <v/>
      </c>
      <c r="C272" t="str">
        <v/>
      </c>
      <c r="D272" t="str">
        <v/>
      </c>
      <c r="E272" t="str">
        <v/>
      </c>
      <c r="F272" t="str">
        <v/>
      </c>
      <c r="G272" t="str">
        <v/>
      </c>
      <c r="H272" t="str">
        <v/>
      </c>
      <c r="I272" t="str">
        <v/>
      </c>
      <c r="J272" t="str">
        <v/>
      </c>
      <c r="K272" t="str">
        <v/>
      </c>
      <c r="L272" t="str">
        <v/>
      </c>
      <c r="M272" t="str">
        <v/>
      </c>
      <c r="N272" t="str">
        <v/>
      </c>
      <c r="O272" t="str">
        <v/>
      </c>
      <c r="P272">
        <f t="shared" si="25"/>
        <v>0</v>
      </c>
      <c r="Q272">
        <f t="shared" si="26"/>
        <v>0</v>
      </c>
      <c r="R272">
        <f t="shared" si="27"/>
        <v>0</v>
      </c>
      <c r="S272">
        <f t="shared" si="23"/>
        <v>0</v>
      </c>
      <c r="T272">
        <f t="shared" si="24"/>
        <v>0</v>
      </c>
    </row>
    <row r="273" x14ac:dyDescent="0.35">
      <c r="A273" t="str">
        <v/>
      </c>
      <c r="B273" t="str">
        <v/>
      </c>
      <c r="C273" t="str">
        <v/>
      </c>
      <c r="D273" t="str">
        <v/>
      </c>
      <c r="E273" t="str">
        <v/>
      </c>
      <c r="F273" t="str">
        <v/>
      </c>
      <c r="G273" t="str">
        <v/>
      </c>
      <c r="H273" t="str">
        <v/>
      </c>
      <c r="I273" t="str">
        <v/>
      </c>
      <c r="J273" t="str">
        <v/>
      </c>
      <c r="K273" t="str">
        <v/>
      </c>
      <c r="L273" t="str">
        <v/>
      </c>
      <c r="M273" t="str">
        <v/>
      </c>
      <c r="N273" t="str">
        <v/>
      </c>
      <c r="O273" t="str">
        <v/>
      </c>
      <c r="P273">
        <f t="shared" si="25"/>
        <v>0</v>
      </c>
      <c r="Q273">
        <f t="shared" si="26"/>
        <v>0</v>
      </c>
      <c r="R273">
        <f t="shared" si="27"/>
        <v>0</v>
      </c>
      <c r="S273">
        <f t="shared" si="23"/>
        <v>0</v>
      </c>
      <c r="T273">
        <f t="shared" si="24"/>
        <v>0</v>
      </c>
    </row>
    <row r="274" x14ac:dyDescent="0.35">
      <c r="A274" t="str">
        <v/>
      </c>
      <c r="B274" t="str">
        <v/>
      </c>
      <c r="C274" t="str">
        <v/>
      </c>
      <c r="D274" t="str">
        <v/>
      </c>
      <c r="E274" t="str">
        <v/>
      </c>
      <c r="F274" t="str">
        <v/>
      </c>
      <c r="G274" t="str">
        <v/>
      </c>
      <c r="H274" t="str">
        <v/>
      </c>
      <c r="I274" t="str">
        <v/>
      </c>
      <c r="J274" t="str">
        <v/>
      </c>
      <c r="K274" t="str">
        <v/>
      </c>
      <c r="L274" t="str">
        <v/>
      </c>
      <c r="M274" t="str">
        <v/>
      </c>
      <c r="N274" t="str">
        <v/>
      </c>
      <c r="O274" t="str">
        <v/>
      </c>
      <c r="P274">
        <f t="shared" si="25"/>
        <v>0</v>
      </c>
      <c r="Q274">
        <f t="shared" si="26"/>
        <v>0</v>
      </c>
      <c r="R274">
        <f t="shared" si="27"/>
        <v>0</v>
      </c>
      <c r="S274">
        <f t="shared" si="23"/>
        <v>0</v>
      </c>
      <c r="T274">
        <f t="shared" si="24"/>
        <v>0</v>
      </c>
    </row>
    <row r="275" x14ac:dyDescent="0.35">
      <c r="A275" t="str">
        <v/>
      </c>
      <c r="B275" t="str">
        <v/>
      </c>
      <c r="C275" t="str">
        <v/>
      </c>
      <c r="D275" t="str">
        <v/>
      </c>
      <c r="E275" t="str">
        <v/>
      </c>
      <c r="F275" t="str">
        <v/>
      </c>
      <c r="G275" t="str">
        <v/>
      </c>
      <c r="H275" t="str">
        <v/>
      </c>
      <c r="I275" t="str">
        <v/>
      </c>
      <c r="J275" t="str">
        <v/>
      </c>
      <c r="K275" t="str">
        <v/>
      </c>
      <c r="L275" t="str">
        <v/>
      </c>
      <c r="M275" t="str">
        <v/>
      </c>
      <c r="N275" t="str">
        <v/>
      </c>
      <c r="O275" t="str">
        <v/>
      </c>
      <c r="P275">
        <f t="shared" si="25"/>
        <v>0</v>
      </c>
      <c r="Q275">
        <f t="shared" si="26"/>
        <v>0</v>
      </c>
      <c r="R275">
        <f t="shared" si="27"/>
        <v>0</v>
      </c>
      <c r="S275">
        <f t="shared" si="23"/>
        <v>0</v>
      </c>
      <c r="T275">
        <f t="shared" si="24"/>
        <v>0</v>
      </c>
    </row>
    <row r="276" x14ac:dyDescent="0.35">
      <c r="A276" t="str">
        <v/>
      </c>
      <c r="B276" t="str">
        <v/>
      </c>
      <c r="C276" t="str">
        <v/>
      </c>
      <c r="D276" t="str">
        <v/>
      </c>
      <c r="E276" t="str">
        <v/>
      </c>
      <c r="F276" t="str">
        <v/>
      </c>
      <c r="G276" t="str">
        <v/>
      </c>
      <c r="H276" t="str">
        <v/>
      </c>
      <c r="I276" t="str">
        <v/>
      </c>
      <c r="J276" t="str">
        <v/>
      </c>
      <c r="K276" t="str">
        <v/>
      </c>
      <c r="L276" t="str">
        <v/>
      </c>
      <c r="M276" t="str">
        <v/>
      </c>
      <c r="N276" t="str">
        <v/>
      </c>
      <c r="O276" t="str">
        <v/>
      </c>
      <c r="P276">
        <f t="shared" si="25"/>
        <v>0</v>
      </c>
      <c r="Q276">
        <f t="shared" si="26"/>
        <v>0</v>
      </c>
      <c r="R276">
        <f t="shared" si="27"/>
        <v>0</v>
      </c>
      <c r="S276">
        <f t="shared" si="23"/>
        <v>0</v>
      </c>
      <c r="T276">
        <f t="shared" si="24"/>
        <v>0</v>
      </c>
    </row>
    <row r="277" x14ac:dyDescent="0.35">
      <c r="A277" t="str">
        <v/>
      </c>
      <c r="B277" t="str">
        <v/>
      </c>
      <c r="C277" t="str">
        <v/>
      </c>
      <c r="D277" t="str">
        <v/>
      </c>
      <c r="E277" t="str">
        <v/>
      </c>
      <c r="F277" t="str">
        <v/>
      </c>
      <c r="G277" t="str">
        <v/>
      </c>
      <c r="H277" t="str">
        <v/>
      </c>
      <c r="I277" t="str">
        <v/>
      </c>
      <c r="J277" t="str">
        <v/>
      </c>
      <c r="K277" t="str">
        <v/>
      </c>
      <c r="L277" t="str">
        <v/>
      </c>
      <c r="M277" t="str">
        <v/>
      </c>
      <c r="N277" t="str">
        <v/>
      </c>
      <c r="O277" t="str">
        <v/>
      </c>
      <c r="P277">
        <f t="shared" si="25"/>
        <v>0</v>
      </c>
      <c r="Q277">
        <f t="shared" si="26"/>
        <v>0</v>
      </c>
      <c r="R277">
        <f t="shared" si="27"/>
        <v>0</v>
      </c>
      <c r="S277">
        <f t="shared" si="23"/>
        <v>0</v>
      </c>
      <c r="T277">
        <f t="shared" si="24"/>
        <v>0</v>
      </c>
    </row>
    <row r="278" x14ac:dyDescent="0.35">
      <c r="A278" t="str">
        <v/>
      </c>
      <c r="B278" t="str">
        <v/>
      </c>
      <c r="C278" t="str">
        <v/>
      </c>
      <c r="D278" t="str">
        <v/>
      </c>
      <c r="E278" t="str">
        <v/>
      </c>
      <c r="F278" t="str">
        <v/>
      </c>
      <c r="G278" t="str">
        <v/>
      </c>
      <c r="H278" t="str">
        <v/>
      </c>
      <c r="I278" t="str">
        <v/>
      </c>
      <c r="J278" t="str">
        <v/>
      </c>
      <c r="K278" t="str">
        <v/>
      </c>
      <c r="L278" t="str">
        <v/>
      </c>
      <c r="M278" t="str">
        <v/>
      </c>
      <c r="N278" t="str">
        <v/>
      </c>
      <c r="O278" t="str">
        <v/>
      </c>
      <c r="P278">
        <f t="shared" si="25"/>
        <v>0</v>
      </c>
      <c r="Q278">
        <f t="shared" si="26"/>
        <v>0</v>
      </c>
      <c r="R278">
        <f t="shared" si="27"/>
        <v>0</v>
      </c>
      <c r="S278">
        <f t="shared" si="23"/>
        <v>0</v>
      </c>
      <c r="T278">
        <f t="shared" si="24"/>
        <v>0</v>
      </c>
    </row>
    <row r="279" x14ac:dyDescent="0.35">
      <c r="A279" t="str">
        <v/>
      </c>
      <c r="B279" t="str">
        <v/>
      </c>
      <c r="C279" t="str">
        <v/>
      </c>
      <c r="D279" t="str">
        <v/>
      </c>
      <c r="E279" t="str">
        <v/>
      </c>
      <c r="F279" t="str">
        <v/>
      </c>
      <c r="G279" t="str">
        <v/>
      </c>
      <c r="H279" t="str">
        <v/>
      </c>
      <c r="I279" t="str">
        <v/>
      </c>
      <c r="J279" t="str">
        <v/>
      </c>
      <c r="K279" t="str">
        <v/>
      </c>
      <c r="L279" t="str">
        <v/>
      </c>
      <c r="M279" t="str">
        <v/>
      </c>
      <c r="N279" t="str">
        <v/>
      </c>
      <c r="O279" t="str">
        <v/>
      </c>
      <c r="P279">
        <f t="shared" si="25"/>
        <v>0</v>
      </c>
      <c r="Q279">
        <f t="shared" si="26"/>
        <v>0</v>
      </c>
      <c r="R279">
        <f t="shared" si="27"/>
        <v>0</v>
      </c>
      <c r="S279">
        <f t="shared" si="23"/>
        <v>0</v>
      </c>
      <c r="T279">
        <f t="shared" si="24"/>
        <v>0</v>
      </c>
    </row>
    <row r="280" x14ac:dyDescent="0.35">
      <c r="A280" t="str">
        <v/>
      </c>
      <c r="B280" t="str">
        <v/>
      </c>
      <c r="C280" t="str">
        <v/>
      </c>
      <c r="D280" t="str">
        <v/>
      </c>
      <c r="E280" t="str">
        <v/>
      </c>
      <c r="F280" t="str">
        <v/>
      </c>
      <c r="G280" t="str">
        <v/>
      </c>
      <c r="H280" t="str">
        <v/>
      </c>
      <c r="I280" t="str">
        <v/>
      </c>
      <c r="J280" t="str">
        <v/>
      </c>
      <c r="K280" t="str">
        <v/>
      </c>
      <c r="L280" t="str">
        <v/>
      </c>
      <c r="M280" t="str">
        <v/>
      </c>
      <c r="N280" t="str">
        <v/>
      </c>
      <c r="O280" t="str">
        <v/>
      </c>
      <c r="P280">
        <f t="shared" si="25"/>
        <v>0</v>
      </c>
      <c r="Q280">
        <f t="shared" si="26"/>
        <v>0</v>
      </c>
      <c r="R280">
        <f t="shared" si="27"/>
        <v>0</v>
      </c>
      <c r="S280">
        <f t="shared" si="23"/>
        <v>0</v>
      </c>
      <c r="T280">
        <f t="shared" si="24"/>
        <v>0</v>
      </c>
    </row>
    <row r="281" x14ac:dyDescent="0.35">
      <c r="A281" t="str">
        <v/>
      </c>
      <c r="B281" t="str">
        <v/>
      </c>
      <c r="C281" t="str">
        <v/>
      </c>
      <c r="D281" t="str">
        <v/>
      </c>
      <c r="E281" t="str">
        <v/>
      </c>
      <c r="F281" t="str">
        <v/>
      </c>
      <c r="G281" t="str">
        <v/>
      </c>
      <c r="H281" t="str">
        <v/>
      </c>
      <c r="I281" t="str">
        <v/>
      </c>
      <c r="J281" t="str">
        <v/>
      </c>
      <c r="K281" t="str">
        <v/>
      </c>
      <c r="L281" t="str">
        <v/>
      </c>
      <c r="M281" t="str">
        <v/>
      </c>
      <c r="N281" t="str">
        <v/>
      </c>
      <c r="O281" t="str">
        <v/>
      </c>
      <c r="P281">
        <f t="shared" si="25"/>
        <v>0</v>
      </c>
      <c r="Q281">
        <f t="shared" si="26"/>
        <v>0</v>
      </c>
      <c r="R281">
        <f t="shared" si="27"/>
        <v>0</v>
      </c>
      <c r="S281">
        <f t="shared" si="23"/>
        <v>0</v>
      </c>
      <c r="T281">
        <f t="shared" si="24"/>
        <v>0</v>
      </c>
    </row>
    <row r="282" x14ac:dyDescent="0.35">
      <c r="A282" t="str">
        <v/>
      </c>
      <c r="B282" t="str">
        <v/>
      </c>
      <c r="C282" t="str">
        <v/>
      </c>
      <c r="D282" t="str">
        <v/>
      </c>
      <c r="E282" t="str">
        <v/>
      </c>
      <c r="F282" t="str">
        <v/>
      </c>
      <c r="G282" t="str">
        <v/>
      </c>
      <c r="H282" t="str">
        <v/>
      </c>
      <c r="I282" t="str">
        <v/>
      </c>
      <c r="J282" t="str">
        <v/>
      </c>
      <c r="K282" t="str">
        <v/>
      </c>
      <c r="L282" t="str">
        <v/>
      </c>
      <c r="M282" t="str">
        <v/>
      </c>
      <c r="N282" t="str">
        <v/>
      </c>
      <c r="O282" t="str">
        <v/>
      </c>
      <c r="P282">
        <f t="shared" si="25"/>
        <v>0</v>
      </c>
      <c r="Q282">
        <f t="shared" si="26"/>
        <v>0</v>
      </c>
      <c r="R282">
        <f t="shared" si="27"/>
        <v>0</v>
      </c>
      <c r="S282">
        <f t="shared" si="23"/>
        <v>0</v>
      </c>
      <c r="T282">
        <f t="shared" si="24"/>
        <v>0</v>
      </c>
    </row>
    <row r="283" x14ac:dyDescent="0.35">
      <c r="A283" t="str">
        <v/>
      </c>
      <c r="B283" t="str">
        <v/>
      </c>
      <c r="C283" t="str">
        <v/>
      </c>
      <c r="D283" t="str">
        <v/>
      </c>
      <c r="E283" t="str">
        <v/>
      </c>
      <c r="F283" t="str">
        <v/>
      </c>
      <c r="G283" t="str">
        <v/>
      </c>
      <c r="H283" t="str">
        <v/>
      </c>
      <c r="I283" t="str">
        <v/>
      </c>
      <c r="J283" t="str">
        <v/>
      </c>
      <c r="K283" t="str">
        <v/>
      </c>
      <c r="L283" t="str">
        <v/>
      </c>
      <c r="M283" t="str">
        <v/>
      </c>
      <c r="N283" t="str">
        <v/>
      </c>
      <c r="O283" t="str">
        <v/>
      </c>
      <c r="P283">
        <f t="shared" si="25"/>
        <v>0</v>
      </c>
      <c r="Q283">
        <f t="shared" si="26"/>
        <v>0</v>
      </c>
      <c r="R283">
        <f t="shared" si="27"/>
        <v>0</v>
      </c>
      <c r="S283">
        <f t="shared" si="23"/>
        <v>0</v>
      </c>
      <c r="T283">
        <f t="shared" si="24"/>
        <v>0</v>
      </c>
    </row>
    <row r="284" x14ac:dyDescent="0.35">
      <c r="A284" t="str">
        <v/>
      </c>
      <c r="B284" t="str">
        <v/>
      </c>
      <c r="C284" t="str">
        <v/>
      </c>
      <c r="D284" t="str">
        <v/>
      </c>
      <c r="E284" t="str">
        <v/>
      </c>
      <c r="F284" t="str">
        <v/>
      </c>
      <c r="G284" t="str">
        <v/>
      </c>
      <c r="H284" t="str">
        <v/>
      </c>
      <c r="I284" t="str">
        <v/>
      </c>
      <c r="J284" t="str">
        <v/>
      </c>
      <c r="K284" t="str">
        <v/>
      </c>
      <c r="L284" t="str">
        <v/>
      </c>
      <c r="M284" t="str">
        <v/>
      </c>
      <c r="N284" t="str">
        <v/>
      </c>
      <c r="O284" t="str">
        <v/>
      </c>
      <c r="P284">
        <f t="shared" si="25"/>
        <v>0</v>
      </c>
      <c r="Q284">
        <f t="shared" si="26"/>
        <v>0</v>
      </c>
      <c r="R284">
        <f t="shared" si="27"/>
        <v>0</v>
      </c>
      <c r="S284">
        <f t="shared" si="23"/>
        <v>0</v>
      </c>
      <c r="T284">
        <f t="shared" si="24"/>
        <v>0</v>
      </c>
    </row>
    <row r="285" x14ac:dyDescent="0.35">
      <c r="A285" t="str">
        <v/>
      </c>
      <c r="B285" t="str">
        <v/>
      </c>
      <c r="C285" t="str">
        <v/>
      </c>
      <c r="D285" t="str">
        <v/>
      </c>
      <c r="E285" t="str">
        <v/>
      </c>
      <c r="F285" t="str">
        <v/>
      </c>
      <c r="G285" t="str">
        <v/>
      </c>
      <c r="H285" t="str">
        <v/>
      </c>
      <c r="I285" t="str">
        <v/>
      </c>
      <c r="J285" t="str">
        <v/>
      </c>
      <c r="K285" t="str">
        <v/>
      </c>
      <c r="L285" t="str">
        <v/>
      </c>
      <c r="M285" t="str">
        <v/>
      </c>
      <c r="N285" t="str">
        <v/>
      </c>
      <c r="O285" t="str">
        <v/>
      </c>
      <c r="P285">
        <f t="shared" si="25"/>
        <v>0</v>
      </c>
      <c r="Q285">
        <f t="shared" si="26"/>
        <v>0</v>
      </c>
      <c r="R285">
        <f t="shared" si="27"/>
        <v>0</v>
      </c>
      <c r="S285">
        <f t="shared" si="23"/>
        <v>0</v>
      </c>
      <c r="T285">
        <f t="shared" si="24"/>
        <v>0</v>
      </c>
    </row>
    <row r="286" x14ac:dyDescent="0.35">
      <c r="A286" t="str">
        <v/>
      </c>
      <c r="B286" t="str">
        <v/>
      </c>
      <c r="C286" t="str">
        <v/>
      </c>
      <c r="D286" t="str">
        <v/>
      </c>
      <c r="E286" t="str">
        <v/>
      </c>
      <c r="F286" t="str">
        <v/>
      </c>
      <c r="G286" t="str">
        <v/>
      </c>
      <c r="H286" t="str">
        <v/>
      </c>
      <c r="I286" t="str">
        <v/>
      </c>
      <c r="J286" t="str">
        <v/>
      </c>
      <c r="K286" t="str">
        <v/>
      </c>
      <c r="L286" t="str">
        <v/>
      </c>
      <c r="M286" t="str">
        <v/>
      </c>
      <c r="N286" t="str">
        <v/>
      </c>
      <c r="O286" t="str">
        <v/>
      </c>
      <c r="P286">
        <f t="shared" si="25"/>
        <v>0</v>
      </c>
      <c r="Q286">
        <f t="shared" si="26"/>
        <v>0</v>
      </c>
      <c r="R286">
        <f t="shared" si="27"/>
        <v>0</v>
      </c>
      <c r="S286">
        <f t="shared" si="23"/>
        <v>0</v>
      </c>
      <c r="T286">
        <f t="shared" si="24"/>
        <v>0</v>
      </c>
    </row>
    <row r="287" x14ac:dyDescent="0.35">
      <c r="A287" t="str">
        <v/>
      </c>
      <c r="B287" t="str">
        <v/>
      </c>
      <c r="C287" t="str">
        <v/>
      </c>
      <c r="D287" t="str">
        <v/>
      </c>
      <c r="E287" t="str">
        <v/>
      </c>
      <c r="F287" t="str">
        <v/>
      </c>
      <c r="G287" t="str">
        <v/>
      </c>
      <c r="H287" t="str">
        <v/>
      </c>
      <c r="I287" t="str">
        <v/>
      </c>
      <c r="J287" t="str">
        <v/>
      </c>
      <c r="K287" t="str">
        <v/>
      </c>
      <c r="L287" t="str">
        <v/>
      </c>
      <c r="M287" t="str">
        <v/>
      </c>
      <c r="N287" t="str">
        <v/>
      </c>
      <c r="O287" t="str">
        <v/>
      </c>
      <c r="P287">
        <f t="shared" si="25"/>
        <v>0</v>
      </c>
      <c r="Q287">
        <f t="shared" si="26"/>
        <v>0</v>
      </c>
      <c r="R287">
        <f t="shared" si="27"/>
        <v>0</v>
      </c>
      <c r="S287">
        <f t="shared" si="23"/>
        <v>0</v>
      </c>
      <c r="T287">
        <f t="shared" si="24"/>
        <v>0</v>
      </c>
    </row>
    <row r="288" x14ac:dyDescent="0.35">
      <c r="A288" t="str">
        <v/>
      </c>
      <c r="B288" t="str">
        <v/>
      </c>
      <c r="C288" t="str">
        <v/>
      </c>
      <c r="D288" t="str">
        <v/>
      </c>
      <c r="E288" t="str">
        <v/>
      </c>
      <c r="F288" t="str">
        <v/>
      </c>
      <c r="G288" t="str">
        <v/>
      </c>
      <c r="H288" t="str">
        <v/>
      </c>
      <c r="I288" t="str">
        <v/>
      </c>
      <c r="J288" t="str">
        <v/>
      </c>
      <c r="K288" t="str">
        <v/>
      </c>
      <c r="L288" t="str">
        <v/>
      </c>
      <c r="M288" t="str">
        <v/>
      </c>
      <c r="N288" t="str">
        <v/>
      </c>
      <c r="O288" t="str">
        <v/>
      </c>
      <c r="P288">
        <f t="shared" si="25"/>
        <v>0</v>
      </c>
      <c r="Q288">
        <f t="shared" si="26"/>
        <v>0</v>
      </c>
      <c r="R288">
        <f t="shared" si="27"/>
        <v>0</v>
      </c>
      <c r="S288">
        <f t="shared" si="23"/>
        <v>0</v>
      </c>
      <c r="T288">
        <f t="shared" si="24"/>
        <v>0</v>
      </c>
    </row>
    <row r="289" x14ac:dyDescent="0.35">
      <c r="A289" t="str">
        <v/>
      </c>
      <c r="B289" t="str">
        <v/>
      </c>
      <c r="C289" t="str">
        <v/>
      </c>
      <c r="D289" t="str">
        <v/>
      </c>
      <c r="E289" t="str">
        <v/>
      </c>
      <c r="F289" t="str">
        <v/>
      </c>
      <c r="G289" t="str">
        <v/>
      </c>
      <c r="H289" t="str">
        <v/>
      </c>
      <c r="I289" t="str">
        <v/>
      </c>
      <c r="J289" t="str">
        <v/>
      </c>
      <c r="K289" t="str">
        <v/>
      </c>
      <c r="L289" t="str">
        <v/>
      </c>
      <c r="M289" t="str">
        <v/>
      </c>
      <c r="N289" t="str">
        <v/>
      </c>
      <c r="O289" t="str">
        <v/>
      </c>
      <c r="P289">
        <f t="shared" si="25"/>
        <v>0</v>
      </c>
      <c r="Q289">
        <f t="shared" si="26"/>
        <v>0</v>
      </c>
      <c r="R289">
        <f t="shared" si="27"/>
        <v>0</v>
      </c>
      <c r="S289">
        <f t="shared" si="23"/>
        <v>0</v>
      </c>
      <c r="T289">
        <f t="shared" si="24"/>
        <v>0</v>
      </c>
    </row>
    <row r="290" x14ac:dyDescent="0.35">
      <c r="A290" t="str">
        <v/>
      </c>
      <c r="B290" t="str">
        <v/>
      </c>
      <c r="C290" t="str">
        <v/>
      </c>
      <c r="D290" t="str">
        <v/>
      </c>
      <c r="E290" t="str">
        <v/>
      </c>
      <c r="F290" t="str">
        <v/>
      </c>
      <c r="G290" t="str">
        <v/>
      </c>
      <c r="H290" t="str">
        <v/>
      </c>
      <c r="I290" t="str">
        <v/>
      </c>
      <c r="J290" t="str">
        <v/>
      </c>
      <c r="K290" t="str">
        <v/>
      </c>
      <c r="L290" t="str">
        <v/>
      </c>
      <c r="M290" t="str">
        <v/>
      </c>
      <c r="N290" t="str">
        <v/>
      </c>
      <c r="O290" t="str">
        <v/>
      </c>
      <c r="P290">
        <f t="shared" si="25"/>
        <v>0</v>
      </c>
      <c r="Q290">
        <f t="shared" si="26"/>
        <v>0</v>
      </c>
      <c r="R290">
        <f t="shared" si="27"/>
        <v>0</v>
      </c>
      <c r="S290">
        <f t="shared" si="23"/>
        <v>0</v>
      </c>
      <c r="T290">
        <f t="shared" si="24"/>
        <v>0</v>
      </c>
    </row>
    <row r="291" x14ac:dyDescent="0.35">
      <c r="A291" t="str">
        <v/>
      </c>
      <c r="B291" t="str">
        <v/>
      </c>
      <c r="C291" t="str">
        <v/>
      </c>
      <c r="D291" t="str">
        <v/>
      </c>
      <c r="E291" t="str">
        <v/>
      </c>
      <c r="F291" t="str">
        <v/>
      </c>
      <c r="G291" t="str">
        <v/>
      </c>
      <c r="H291" t="str">
        <v/>
      </c>
      <c r="I291" t="str">
        <v/>
      </c>
      <c r="J291" t="str">
        <v/>
      </c>
      <c r="K291" t="str">
        <v/>
      </c>
      <c r="L291" t="str">
        <v/>
      </c>
      <c r="M291" t="str">
        <v/>
      </c>
      <c r="N291" t="str">
        <v/>
      </c>
      <c r="O291" t="str">
        <v/>
      </c>
      <c r="P291">
        <f t="shared" si="25"/>
        <v>0</v>
      </c>
      <c r="Q291">
        <f t="shared" si="26"/>
        <v>0</v>
      </c>
      <c r="R291">
        <f t="shared" si="27"/>
        <v>0</v>
      </c>
      <c r="S291">
        <f t="shared" si="23"/>
        <v>0</v>
      </c>
      <c r="T291">
        <f t="shared" si="24"/>
        <v>0</v>
      </c>
    </row>
    <row r="292" x14ac:dyDescent="0.35">
      <c r="A292" t="str">
        <v/>
      </c>
      <c r="B292" t="str">
        <v/>
      </c>
      <c r="C292" t="str">
        <v/>
      </c>
      <c r="D292" t="str">
        <v/>
      </c>
      <c r="E292" t="str">
        <v/>
      </c>
      <c r="F292" t="str">
        <v/>
      </c>
      <c r="G292" t="str">
        <v/>
      </c>
      <c r="H292" t="str">
        <v/>
      </c>
      <c r="I292" t="str">
        <v/>
      </c>
      <c r="J292" t="str">
        <v/>
      </c>
      <c r="K292" t="str">
        <v/>
      </c>
      <c r="L292" t="str">
        <v/>
      </c>
      <c r="M292" t="str">
        <v/>
      </c>
      <c r="N292" t="str">
        <v/>
      </c>
      <c r="O292" t="str">
        <v/>
      </c>
      <c r="P292">
        <f t="shared" si="25"/>
        <v>0</v>
      </c>
      <c r="Q292">
        <f t="shared" si="26"/>
        <v>0</v>
      </c>
      <c r="R292">
        <f t="shared" si="27"/>
        <v>0</v>
      </c>
      <c r="S292">
        <f t="shared" si="23"/>
        <v>0</v>
      </c>
      <c r="T292">
        <f t="shared" si="24"/>
        <v>0</v>
      </c>
    </row>
    <row r="293" x14ac:dyDescent="0.35">
      <c r="A293" t="str">
        <v/>
      </c>
      <c r="B293" t="str">
        <v/>
      </c>
      <c r="C293" t="str">
        <v/>
      </c>
      <c r="D293" t="str">
        <v/>
      </c>
      <c r="E293" t="str">
        <v/>
      </c>
      <c r="F293" t="str">
        <v/>
      </c>
      <c r="G293" t="str">
        <v/>
      </c>
      <c r="H293" t="str">
        <v/>
      </c>
      <c r="I293" t="str">
        <v/>
      </c>
      <c r="J293" t="str">
        <v/>
      </c>
      <c r="K293" t="str">
        <v/>
      </c>
      <c r="L293" t="str">
        <v/>
      </c>
      <c r="M293" t="str">
        <v/>
      </c>
      <c r="N293" t="str">
        <v/>
      </c>
      <c r="O293" t="str">
        <v/>
      </c>
      <c r="P293">
        <f t="shared" si="25"/>
        <v>0</v>
      </c>
      <c r="Q293">
        <f t="shared" si="26"/>
        <v>0</v>
      </c>
      <c r="R293">
        <f t="shared" si="27"/>
        <v>0</v>
      </c>
      <c r="S293">
        <f t="shared" si="23"/>
        <v>0</v>
      </c>
      <c r="T293">
        <f t="shared" si="24"/>
        <v>0</v>
      </c>
    </row>
    <row r="294" x14ac:dyDescent="0.35">
      <c r="A294" t="str">
        <v/>
      </c>
      <c r="B294" t="str">
        <v/>
      </c>
      <c r="C294" t="str">
        <v/>
      </c>
      <c r="D294" t="str">
        <v/>
      </c>
      <c r="E294" t="str">
        <v/>
      </c>
      <c r="F294" t="str">
        <v/>
      </c>
      <c r="G294" t="str">
        <v/>
      </c>
      <c r="H294" t="str">
        <v/>
      </c>
      <c r="I294" t="str">
        <v/>
      </c>
      <c r="J294" t="str">
        <v/>
      </c>
      <c r="K294" t="str">
        <v/>
      </c>
      <c r="L294" t="str">
        <v/>
      </c>
      <c r="M294" t="str">
        <v/>
      </c>
      <c r="N294" t="str">
        <v/>
      </c>
      <c r="O294" t="str">
        <v/>
      </c>
      <c r="P294">
        <f t="shared" si="25"/>
        <v>0</v>
      </c>
      <c r="Q294">
        <f t="shared" si="26"/>
        <v>0</v>
      </c>
      <c r="R294">
        <f t="shared" si="27"/>
        <v>0</v>
      </c>
      <c r="S294">
        <f t="shared" si="23"/>
        <v>0</v>
      </c>
      <c r="T294">
        <f t="shared" si="24"/>
        <v>0</v>
      </c>
    </row>
    <row r="295" x14ac:dyDescent="0.35">
      <c r="A295" t="str">
        <v/>
      </c>
      <c r="B295" t="str">
        <v/>
      </c>
      <c r="C295" t="str">
        <v/>
      </c>
      <c r="D295" t="str">
        <v/>
      </c>
      <c r="E295" t="str">
        <v/>
      </c>
      <c r="F295" t="str">
        <v/>
      </c>
      <c r="G295" t="str">
        <v/>
      </c>
      <c r="H295" t="str">
        <v/>
      </c>
      <c r="I295" t="str">
        <v/>
      </c>
      <c r="J295" t="str">
        <v/>
      </c>
      <c r="K295" t="str">
        <v/>
      </c>
      <c r="L295" t="str">
        <v/>
      </c>
      <c r="M295" t="str">
        <v/>
      </c>
      <c r="N295" t="str">
        <v/>
      </c>
      <c r="O295" t="str">
        <v/>
      </c>
      <c r="P295">
        <f t="shared" si="25"/>
        <v>0</v>
      </c>
      <c r="Q295">
        <f t="shared" si="26"/>
        <v>0</v>
      </c>
      <c r="R295">
        <f t="shared" si="27"/>
        <v>0</v>
      </c>
      <c r="S295">
        <f t="shared" si="23"/>
        <v>0</v>
      </c>
      <c r="T295">
        <f t="shared" si="24"/>
        <v>0</v>
      </c>
    </row>
    <row r="296" x14ac:dyDescent="0.35">
      <c r="A296" t="str">
        <v/>
      </c>
      <c r="B296" t="str">
        <v/>
      </c>
      <c r="C296" t="str">
        <v/>
      </c>
      <c r="D296" t="str">
        <v/>
      </c>
      <c r="E296" t="str">
        <v/>
      </c>
      <c r="F296" t="str">
        <v/>
      </c>
      <c r="G296" t="str">
        <v/>
      </c>
      <c r="H296" t="str">
        <v/>
      </c>
      <c r="I296" t="str">
        <v/>
      </c>
      <c r="J296" t="str">
        <v/>
      </c>
      <c r="K296" t="str">
        <v/>
      </c>
      <c r="L296" t="str">
        <v/>
      </c>
      <c r="M296" t="str">
        <v/>
      </c>
      <c r="N296" t="str">
        <v/>
      </c>
      <c r="O296" t="str">
        <v/>
      </c>
      <c r="P296">
        <f t="shared" si="25"/>
        <v>0</v>
      </c>
      <c r="Q296">
        <f t="shared" si="26"/>
        <v>0</v>
      </c>
      <c r="R296">
        <f t="shared" si="27"/>
        <v>0</v>
      </c>
      <c r="S296">
        <f t="shared" si="23"/>
        <v>0</v>
      </c>
      <c r="T296">
        <f t="shared" si="24"/>
        <v>0</v>
      </c>
    </row>
    <row r="297" x14ac:dyDescent="0.35">
      <c r="A297" t="str">
        <v/>
      </c>
      <c r="B297" t="str">
        <v/>
      </c>
      <c r="C297" t="str">
        <v/>
      </c>
      <c r="D297" t="str">
        <v/>
      </c>
      <c r="E297" t="str">
        <v/>
      </c>
      <c r="F297" t="str">
        <v/>
      </c>
      <c r="G297" t="str">
        <v/>
      </c>
      <c r="H297" t="str">
        <v/>
      </c>
      <c r="I297" t="str">
        <v/>
      </c>
      <c r="J297" t="str">
        <v/>
      </c>
      <c r="K297" t="str">
        <v/>
      </c>
      <c r="L297" t="str">
        <v/>
      </c>
      <c r="M297" t="str">
        <v/>
      </c>
      <c r="N297" t="str">
        <v/>
      </c>
      <c r="O297" t="str">
        <v/>
      </c>
      <c r="P297">
        <f t="shared" si="25"/>
        <v>0</v>
      </c>
      <c r="Q297">
        <f t="shared" si="26"/>
        <v>0</v>
      </c>
      <c r="R297">
        <f t="shared" si="27"/>
        <v>0</v>
      </c>
      <c r="S297">
        <f t="shared" si="23"/>
        <v>0</v>
      </c>
      <c r="T297">
        <f t="shared" si="24"/>
        <v>0</v>
      </c>
    </row>
    <row r="298" x14ac:dyDescent="0.35">
      <c r="A298" t="str">
        <v/>
      </c>
      <c r="B298" t="str">
        <v/>
      </c>
      <c r="C298" t="str">
        <v/>
      </c>
      <c r="D298" t="str">
        <v/>
      </c>
      <c r="E298" t="str">
        <v/>
      </c>
      <c r="F298" t="str">
        <v/>
      </c>
      <c r="G298" t="str">
        <v/>
      </c>
      <c r="H298" t="str">
        <v/>
      </c>
      <c r="I298" t="str">
        <v/>
      </c>
      <c r="J298" t="str">
        <v/>
      </c>
      <c r="K298" t="str">
        <v/>
      </c>
      <c r="L298" t="str">
        <v/>
      </c>
      <c r="M298" t="str">
        <v/>
      </c>
      <c r="N298" t="str">
        <v/>
      </c>
      <c r="O298" t="str">
        <v/>
      </c>
      <c r="P298">
        <f t="shared" si="25"/>
        <v>0</v>
      </c>
      <c r="Q298">
        <f t="shared" si="26"/>
        <v>0</v>
      </c>
      <c r="R298">
        <f t="shared" si="27"/>
        <v>0</v>
      </c>
      <c r="S298">
        <f t="shared" si="23"/>
        <v>0</v>
      </c>
      <c r="T298">
        <f t="shared" si="24"/>
        <v>0</v>
      </c>
    </row>
    <row r="299" x14ac:dyDescent="0.35">
      <c r="A299" t="str">
        <v/>
      </c>
      <c r="B299" t="str">
        <v/>
      </c>
      <c r="C299" t="str">
        <v/>
      </c>
      <c r="D299" t="str">
        <v/>
      </c>
      <c r="E299" t="str">
        <v/>
      </c>
      <c r="F299" t="str">
        <v/>
      </c>
      <c r="G299" t="str">
        <v/>
      </c>
      <c r="H299" t="str">
        <v/>
      </c>
      <c r="I299" t="str">
        <v/>
      </c>
      <c r="J299" t="str">
        <v/>
      </c>
      <c r="K299" t="str">
        <v/>
      </c>
      <c r="L299" t="str">
        <v/>
      </c>
      <c r="M299" t="str">
        <v/>
      </c>
      <c r="N299" t="str">
        <v/>
      </c>
      <c r="O299" t="str">
        <v/>
      </c>
      <c r="P299">
        <f t="shared" si="25"/>
        <v>0</v>
      </c>
      <c r="Q299">
        <f t="shared" si="26"/>
        <v>0</v>
      </c>
      <c r="R299">
        <f t="shared" si="27"/>
        <v>0</v>
      </c>
      <c r="S299">
        <f t="shared" si="23"/>
        <v>0</v>
      </c>
      <c r="T299">
        <f t="shared" si="24"/>
        <v>0</v>
      </c>
    </row>
    <row r="300" x14ac:dyDescent="0.35">
      <c r="A300" t="str">
        <v/>
      </c>
      <c r="B300" t="str">
        <v/>
      </c>
      <c r="C300" t="str">
        <v/>
      </c>
      <c r="D300" t="str">
        <v/>
      </c>
      <c r="E300" t="str">
        <v/>
      </c>
      <c r="F300" t="str">
        <v/>
      </c>
      <c r="G300" t="str">
        <v/>
      </c>
      <c r="H300" t="str">
        <v/>
      </c>
      <c r="I300" t="str">
        <v/>
      </c>
      <c r="J300" t="str">
        <v/>
      </c>
      <c r="K300" t="str">
        <v/>
      </c>
      <c r="L300" t="str">
        <v/>
      </c>
      <c r="M300" t="str">
        <v/>
      </c>
      <c r="N300" t="str">
        <v/>
      </c>
      <c r="O300" t="str">
        <v/>
      </c>
      <c r="P300">
        <f t="shared" si="25"/>
        <v>0</v>
      </c>
      <c r="Q300">
        <f t="shared" si="26"/>
        <v>0</v>
      </c>
      <c r="R300">
        <f t="shared" si="27"/>
        <v>0</v>
      </c>
      <c r="S300">
        <f t="shared" si="23"/>
        <v>0</v>
      </c>
      <c r="T300">
        <f t="shared" si="24"/>
        <v>0</v>
      </c>
    </row>
    <row r="301" x14ac:dyDescent="0.35">
      <c r="A301" t="str">
        <v/>
      </c>
      <c r="B301" t="str">
        <v/>
      </c>
      <c r="C301" t="str">
        <v/>
      </c>
      <c r="D301" t="str">
        <v/>
      </c>
      <c r="E301" t="str">
        <v/>
      </c>
      <c r="F301" t="str">
        <v/>
      </c>
      <c r="G301" t="str">
        <v/>
      </c>
      <c r="H301" t="str">
        <v/>
      </c>
      <c r="I301" t="str">
        <v/>
      </c>
      <c r="J301" t="str">
        <v/>
      </c>
      <c r="K301" t="str">
        <v/>
      </c>
      <c r="L301" t="str">
        <v/>
      </c>
      <c r="M301" t="str">
        <v/>
      </c>
      <c r="N301" t="str">
        <v/>
      </c>
      <c r="O301" t="str">
        <v/>
      </c>
      <c r="P301">
        <f t="shared" si="25"/>
        <v>0</v>
      </c>
      <c r="Q301">
        <f t="shared" si="26"/>
        <v>0</v>
      </c>
      <c r="R301">
        <f t="shared" si="27"/>
        <v>0</v>
      </c>
      <c r="S301">
        <f t="shared" si="23"/>
        <v>0</v>
      </c>
      <c r="T301">
        <f t="shared" si="24"/>
        <v>0</v>
      </c>
    </row>
    <row r="302" x14ac:dyDescent="0.35">
      <c r="A302" t="str">
        <v/>
      </c>
      <c r="B302" t="str">
        <v/>
      </c>
      <c r="C302" t="str">
        <v/>
      </c>
      <c r="D302" t="str">
        <v/>
      </c>
      <c r="E302" t="str">
        <v/>
      </c>
      <c r="F302" t="str">
        <v/>
      </c>
      <c r="G302" t="str">
        <v/>
      </c>
      <c r="H302" t="str">
        <v/>
      </c>
      <c r="I302" t="str">
        <v/>
      </c>
      <c r="J302" t="str">
        <v/>
      </c>
      <c r="K302" t="str">
        <v/>
      </c>
      <c r="L302" t="str">
        <v/>
      </c>
      <c r="M302" t="str">
        <v/>
      </c>
      <c r="N302" t="str">
        <v/>
      </c>
      <c r="O302" t="str">
        <v/>
      </c>
      <c r="P302">
        <f t="shared" si="25"/>
        <v>0</v>
      </c>
      <c r="Q302">
        <f t="shared" si="26"/>
        <v>0</v>
      </c>
      <c r="R302">
        <f t="shared" si="27"/>
        <v>0</v>
      </c>
      <c r="S302">
        <f t="shared" si="23"/>
        <v>0</v>
      </c>
      <c r="T302">
        <f t="shared" si="24"/>
        <v>0</v>
      </c>
    </row>
    <row r="303" x14ac:dyDescent="0.35">
      <c r="A303" t="str">
        <v/>
      </c>
      <c r="B303" t="str">
        <v/>
      </c>
      <c r="C303" t="str">
        <v/>
      </c>
      <c r="D303" t="str">
        <v/>
      </c>
      <c r="E303" t="str">
        <v/>
      </c>
      <c r="F303" t="str">
        <v/>
      </c>
      <c r="G303" t="str">
        <v/>
      </c>
      <c r="H303" t="str">
        <v/>
      </c>
      <c r="I303" t="str">
        <v/>
      </c>
      <c r="J303" t="str">
        <v/>
      </c>
      <c r="K303" t="str">
        <v/>
      </c>
      <c r="L303" t="str">
        <v/>
      </c>
      <c r="M303" t="str">
        <v/>
      </c>
      <c r="N303" t="str">
        <v/>
      </c>
      <c r="O303" t="str">
        <v/>
      </c>
      <c r="P303">
        <f t="shared" si="25"/>
        <v>0</v>
      </c>
      <c r="Q303">
        <f t="shared" si="26"/>
        <v>0</v>
      </c>
      <c r="R303">
        <f t="shared" si="27"/>
        <v>0</v>
      </c>
      <c r="S303">
        <f t="shared" si="23"/>
        <v>0</v>
      </c>
      <c r="T303">
        <f t="shared" si="24"/>
        <v>0</v>
      </c>
    </row>
    <row r="304" x14ac:dyDescent="0.35">
      <c r="A304" t="str">
        <v/>
      </c>
      <c r="B304" t="str">
        <v/>
      </c>
      <c r="C304" t="str">
        <v/>
      </c>
      <c r="D304" t="str">
        <v/>
      </c>
      <c r="E304" t="str">
        <v/>
      </c>
      <c r="F304" t="str">
        <v/>
      </c>
      <c r="G304" t="str">
        <v/>
      </c>
      <c r="H304" t="str">
        <v/>
      </c>
      <c r="I304" t="str">
        <v/>
      </c>
      <c r="J304" t="str">
        <v/>
      </c>
      <c r="K304" t="str">
        <v/>
      </c>
      <c r="L304" t="str">
        <v/>
      </c>
      <c r="M304" t="str">
        <v/>
      </c>
      <c r="N304" t="str">
        <v/>
      </c>
      <c r="O304" t="str">
        <v/>
      </c>
      <c r="P304">
        <f t="shared" si="25"/>
        <v>0</v>
      </c>
      <c r="Q304">
        <f t="shared" si="26"/>
        <v>0</v>
      </c>
      <c r="R304">
        <f t="shared" si="27"/>
        <v>0</v>
      </c>
      <c r="S304">
        <f t="shared" si="23"/>
        <v>0</v>
      </c>
      <c r="T304">
        <f t="shared" si="24"/>
        <v>0</v>
      </c>
    </row>
    <row r="305" x14ac:dyDescent="0.35">
      <c r="A305" t="str">
        <v/>
      </c>
      <c r="B305" t="str">
        <v/>
      </c>
      <c r="C305" t="str">
        <v/>
      </c>
      <c r="D305" t="str">
        <v/>
      </c>
      <c r="E305" t="str">
        <v/>
      </c>
      <c r="F305" t="str">
        <v/>
      </c>
      <c r="G305" t="str">
        <v/>
      </c>
      <c r="H305" t="str">
        <v/>
      </c>
      <c r="I305" t="str">
        <v/>
      </c>
      <c r="J305" t="str">
        <v/>
      </c>
      <c r="K305" t="str">
        <v/>
      </c>
      <c r="L305" t="str">
        <v/>
      </c>
      <c r="M305" t="str">
        <v/>
      </c>
      <c r="N305" t="str">
        <v/>
      </c>
      <c r="O305" t="str">
        <v/>
      </c>
      <c r="P305">
        <f t="shared" si="25"/>
        <v>0</v>
      </c>
      <c r="Q305">
        <f t="shared" si="26"/>
        <v>0</v>
      </c>
      <c r="R305">
        <f t="shared" si="27"/>
        <v>0</v>
      </c>
      <c r="S305">
        <f t="shared" si="23"/>
        <v>0</v>
      </c>
      <c r="T305">
        <f t="shared" si="24"/>
        <v>0</v>
      </c>
    </row>
    <row r="306" x14ac:dyDescent="0.35">
      <c r="A306" t="str">
        <v/>
      </c>
      <c r="B306" t="str">
        <v/>
      </c>
      <c r="C306" t="str">
        <v/>
      </c>
      <c r="D306" t="str">
        <v/>
      </c>
      <c r="E306" t="str">
        <v/>
      </c>
      <c r="F306" t="str">
        <v/>
      </c>
      <c r="G306" t="str">
        <v/>
      </c>
      <c r="H306" t="str">
        <v/>
      </c>
      <c r="I306" t="str">
        <v/>
      </c>
      <c r="J306" t="str">
        <v/>
      </c>
      <c r="K306" t="str">
        <v/>
      </c>
      <c r="L306" t="str">
        <v/>
      </c>
      <c r="M306" t="str">
        <v/>
      </c>
      <c r="N306" t="str">
        <v/>
      </c>
      <c r="O306" t="str">
        <v/>
      </c>
      <c r="P306">
        <f t="shared" si="25"/>
        <v>0</v>
      </c>
      <c r="Q306">
        <f t="shared" si="26"/>
        <v>0</v>
      </c>
      <c r="R306">
        <f t="shared" si="27"/>
        <v>0</v>
      </c>
      <c r="S306">
        <f t="shared" si="23"/>
        <v>0</v>
      </c>
      <c r="T306">
        <f t="shared" si="24"/>
        <v>0</v>
      </c>
    </row>
    <row r="307" x14ac:dyDescent="0.35">
      <c r="A307" t="str">
        <v/>
      </c>
      <c r="B307" t="str">
        <v/>
      </c>
      <c r="C307" t="str">
        <v/>
      </c>
      <c r="D307" t="str">
        <v/>
      </c>
      <c r="E307" t="str">
        <v/>
      </c>
      <c r="F307" t="str">
        <v/>
      </c>
      <c r="G307" t="str">
        <v/>
      </c>
      <c r="H307" t="str">
        <v/>
      </c>
      <c r="I307" t="str">
        <v/>
      </c>
      <c r="J307" t="str">
        <v/>
      </c>
      <c r="K307" t="str">
        <v/>
      </c>
      <c r="L307" t="str">
        <v/>
      </c>
      <c r="M307" t="str">
        <v/>
      </c>
      <c r="N307" t="str">
        <v/>
      </c>
      <c r="O307" t="str">
        <v/>
      </c>
      <c r="P307">
        <f t="shared" si="25"/>
        <v>0</v>
      </c>
      <c r="Q307">
        <f t="shared" si="26"/>
        <v>0</v>
      </c>
      <c r="R307">
        <f t="shared" si="27"/>
        <v>0</v>
      </c>
      <c r="S307">
        <f t="shared" si="23"/>
        <v>0</v>
      </c>
      <c r="T307">
        <f t="shared" si="24"/>
        <v>0</v>
      </c>
    </row>
    <row r="308" x14ac:dyDescent="0.35">
      <c r="A308" t="str">
        <v/>
      </c>
      <c r="B308" t="str">
        <v/>
      </c>
      <c r="C308" t="str">
        <v/>
      </c>
      <c r="D308" t="str">
        <v/>
      </c>
      <c r="E308" t="str">
        <v/>
      </c>
      <c r="F308" t="str">
        <v/>
      </c>
      <c r="G308" t="str">
        <v/>
      </c>
      <c r="H308" t="str">
        <v/>
      </c>
      <c r="I308" t="str">
        <v/>
      </c>
      <c r="J308" t="str">
        <v/>
      </c>
      <c r="K308" t="str">
        <v/>
      </c>
      <c r="L308" t="str">
        <v/>
      </c>
      <c r="M308" t="str">
        <v/>
      </c>
      <c r="N308" t="str">
        <v/>
      </c>
      <c r="O308" t="str">
        <v/>
      </c>
      <c r="P308">
        <f t="shared" si="25"/>
        <v>0</v>
      </c>
      <c r="Q308">
        <f t="shared" si="26"/>
        <v>0</v>
      </c>
      <c r="R308">
        <f t="shared" si="27"/>
        <v>0</v>
      </c>
      <c r="S308">
        <f t="shared" si="23"/>
        <v>0</v>
      </c>
      <c r="T308">
        <f t="shared" si="24"/>
        <v>0</v>
      </c>
    </row>
    <row r="309" x14ac:dyDescent="0.35">
      <c r="A309" t="str">
        <v/>
      </c>
      <c r="B309" t="str">
        <v/>
      </c>
      <c r="C309" t="str">
        <v/>
      </c>
      <c r="D309" t="str">
        <v/>
      </c>
      <c r="E309" t="str">
        <v/>
      </c>
      <c r="F309" t="str">
        <v/>
      </c>
      <c r="G309" t="str">
        <v/>
      </c>
      <c r="H309" t="str">
        <v/>
      </c>
      <c r="I309" t="str">
        <v/>
      </c>
      <c r="J309" t="str">
        <v/>
      </c>
      <c r="K309" t="str">
        <v/>
      </c>
      <c r="L309" t="str">
        <v/>
      </c>
      <c r="M309" t="str">
        <v/>
      </c>
      <c r="N309" t="str">
        <v/>
      </c>
      <c r="O309" t="str">
        <v/>
      </c>
      <c r="P309">
        <f t="shared" si="25"/>
        <v>0</v>
      </c>
      <c r="Q309">
        <f t="shared" si="26"/>
        <v>0</v>
      </c>
      <c r="R309">
        <f t="shared" si="27"/>
        <v>0</v>
      </c>
      <c r="S309">
        <f t="shared" si="23"/>
        <v>0</v>
      </c>
      <c r="T309">
        <f t="shared" si="24"/>
        <v>0</v>
      </c>
    </row>
    <row r="310" x14ac:dyDescent="0.35">
      <c r="A310" t="str">
        <v/>
      </c>
      <c r="B310" t="str">
        <v/>
      </c>
      <c r="C310" t="str">
        <v/>
      </c>
      <c r="D310" t="str">
        <v/>
      </c>
      <c r="E310" t="str">
        <v/>
      </c>
      <c r="F310" t="str">
        <v/>
      </c>
      <c r="G310" t="str">
        <v/>
      </c>
      <c r="H310" t="str">
        <v/>
      </c>
      <c r="I310" t="str">
        <v/>
      </c>
      <c r="J310" t="str">
        <v/>
      </c>
      <c r="K310" t="str">
        <v/>
      </c>
      <c r="L310" t="str">
        <v/>
      </c>
      <c r="M310" t="str">
        <v/>
      </c>
      <c r="N310" t="str">
        <v/>
      </c>
      <c r="O310" t="str">
        <v/>
      </c>
      <c r="P310">
        <f t="shared" si="25"/>
        <v>0</v>
      </c>
      <c r="Q310">
        <f t="shared" si="26"/>
        <v>0</v>
      </c>
      <c r="R310">
        <f t="shared" si="27"/>
        <v>0</v>
      </c>
      <c r="S310">
        <f t="shared" si="23"/>
        <v>0</v>
      </c>
      <c r="T310">
        <f t="shared" si="24"/>
        <v>0</v>
      </c>
    </row>
    <row r="311" x14ac:dyDescent="0.35">
      <c r="A311" t="str">
        <v/>
      </c>
      <c r="B311" t="str">
        <v/>
      </c>
      <c r="C311" t="str">
        <v/>
      </c>
      <c r="D311" t="str">
        <v/>
      </c>
      <c r="E311" t="str">
        <v/>
      </c>
      <c r="F311" t="str">
        <v/>
      </c>
      <c r="G311" t="str">
        <v/>
      </c>
      <c r="H311" t="str">
        <v/>
      </c>
      <c r="I311" t="str">
        <v/>
      </c>
      <c r="J311" t="str">
        <v/>
      </c>
      <c r="K311" t="str">
        <v/>
      </c>
      <c r="L311" t="str">
        <v/>
      </c>
      <c r="M311" t="str">
        <v/>
      </c>
      <c r="N311" t="str">
        <v/>
      </c>
      <c r="O311" t="str">
        <v/>
      </c>
      <c r="P311">
        <f t="shared" si="25"/>
        <v>0</v>
      </c>
      <c r="Q311">
        <f t="shared" si="26"/>
        <v>0</v>
      </c>
      <c r="R311">
        <f t="shared" si="27"/>
        <v>0</v>
      </c>
      <c r="S311">
        <f t="shared" si="23"/>
        <v>0</v>
      </c>
      <c r="T311">
        <f t="shared" si="24"/>
        <v>0</v>
      </c>
    </row>
    <row r="312" x14ac:dyDescent="0.35">
      <c r="A312" t="str">
        <v/>
      </c>
      <c r="B312" t="str">
        <v/>
      </c>
      <c r="C312" t="str">
        <v/>
      </c>
      <c r="D312" t="str">
        <v/>
      </c>
      <c r="E312" t="str">
        <v/>
      </c>
      <c r="F312" t="str">
        <v/>
      </c>
      <c r="G312" t="str">
        <v/>
      </c>
      <c r="H312" t="str">
        <v/>
      </c>
      <c r="I312" t="str">
        <v/>
      </c>
      <c r="J312" t="str">
        <v/>
      </c>
      <c r="K312" t="str">
        <v/>
      </c>
      <c r="L312" t="str">
        <v/>
      </c>
      <c r="M312" t="str">
        <v/>
      </c>
      <c r="N312" t="str">
        <v/>
      </c>
      <c r="O312" t="str">
        <v/>
      </c>
      <c r="P312">
        <f t="shared" si="25"/>
        <v>0</v>
      </c>
      <c r="Q312">
        <f t="shared" si="26"/>
        <v>0</v>
      </c>
      <c r="R312">
        <f t="shared" si="27"/>
        <v>0</v>
      </c>
      <c r="S312">
        <f t="shared" si="23"/>
        <v>0</v>
      </c>
      <c r="T312">
        <f t="shared" si="24"/>
        <v>0</v>
      </c>
    </row>
    <row r="313" x14ac:dyDescent="0.35">
      <c r="A313" t="str">
        <v/>
      </c>
      <c r="B313" t="str">
        <v/>
      </c>
      <c r="C313" t="str">
        <v/>
      </c>
      <c r="D313" t="str">
        <v/>
      </c>
      <c r="E313" t="str">
        <v/>
      </c>
      <c r="F313" t="str">
        <v/>
      </c>
      <c r="G313" t="str">
        <v/>
      </c>
      <c r="H313" t="str">
        <v/>
      </c>
      <c r="I313" t="str">
        <v/>
      </c>
      <c r="J313" t="str">
        <v/>
      </c>
      <c r="K313" t="str">
        <v/>
      </c>
      <c r="L313" t="str">
        <v/>
      </c>
      <c r="M313" t="str">
        <v/>
      </c>
      <c r="N313" t="str">
        <v/>
      </c>
      <c r="O313" t="str">
        <v/>
      </c>
      <c r="P313">
        <f t="shared" si="25"/>
        <v>0</v>
      </c>
      <c r="Q313">
        <f t="shared" si="26"/>
        <v>0</v>
      </c>
      <c r="R313">
        <f t="shared" si="27"/>
        <v>0</v>
      </c>
      <c r="S313">
        <f t="shared" si="23"/>
        <v>0</v>
      </c>
      <c r="T313">
        <f t="shared" si="24"/>
        <v>0</v>
      </c>
    </row>
    <row r="314" x14ac:dyDescent="0.35">
      <c r="A314" t="str">
        <v/>
      </c>
      <c r="B314" t="str">
        <v/>
      </c>
      <c r="C314" t="str">
        <v/>
      </c>
      <c r="D314" t="str">
        <v/>
      </c>
      <c r="E314" t="str">
        <v/>
      </c>
      <c r="F314" t="str">
        <v/>
      </c>
      <c r="G314" t="str">
        <v/>
      </c>
      <c r="H314" t="str">
        <v/>
      </c>
      <c r="I314" t="str">
        <v/>
      </c>
      <c r="J314" t="str">
        <v/>
      </c>
      <c r="K314" t="str">
        <v/>
      </c>
      <c r="L314" t="str">
        <v/>
      </c>
      <c r="M314" t="str">
        <v/>
      </c>
      <c r="N314" t="str">
        <v/>
      </c>
      <c r="O314" t="str">
        <v/>
      </c>
      <c r="P314">
        <f t="shared" si="25"/>
        <v>0</v>
      </c>
      <c r="Q314">
        <f t="shared" si="26"/>
        <v>0</v>
      </c>
      <c r="R314">
        <f t="shared" si="27"/>
        <v>0</v>
      </c>
      <c r="S314">
        <f t="shared" si="23"/>
        <v>0</v>
      </c>
      <c r="T314">
        <f t="shared" si="24"/>
        <v>0</v>
      </c>
    </row>
    <row r="315" x14ac:dyDescent="0.35">
      <c r="A315" t="str">
        <v/>
      </c>
      <c r="B315" t="str">
        <v/>
      </c>
      <c r="C315" t="str">
        <v/>
      </c>
      <c r="D315" t="str">
        <v/>
      </c>
      <c r="E315" t="str">
        <v/>
      </c>
      <c r="F315" t="str">
        <v/>
      </c>
      <c r="G315" t="str">
        <v/>
      </c>
      <c r="H315" t="str">
        <v/>
      </c>
      <c r="I315" t="str">
        <v/>
      </c>
      <c r="J315" t="str">
        <v/>
      </c>
      <c r="K315" t="str">
        <v/>
      </c>
      <c r="L315" t="str">
        <v/>
      </c>
      <c r="M315" t="str">
        <v/>
      </c>
      <c r="N315" t="str">
        <v/>
      </c>
      <c r="O315" t="str">
        <v/>
      </c>
      <c r="P315">
        <f t="shared" si="25"/>
        <v>0</v>
      </c>
      <c r="Q315">
        <f t="shared" si="26"/>
        <v>0</v>
      </c>
      <c r="R315">
        <f t="shared" si="27"/>
        <v>0</v>
      </c>
      <c r="S315">
        <f t="shared" si="23"/>
        <v>0</v>
      </c>
      <c r="T315">
        <f t="shared" si="24"/>
        <v>0</v>
      </c>
    </row>
    <row r="316" x14ac:dyDescent="0.35">
      <c r="A316" t="str">
        <v/>
      </c>
      <c r="B316" t="str">
        <v/>
      </c>
      <c r="C316" t="str">
        <v/>
      </c>
      <c r="D316" t="str">
        <v/>
      </c>
      <c r="E316" t="str">
        <v/>
      </c>
      <c r="F316" t="str">
        <v/>
      </c>
      <c r="G316" t="str">
        <v/>
      </c>
      <c r="H316" t="str">
        <v/>
      </c>
      <c r="I316" t="str">
        <v/>
      </c>
      <c r="J316" t="str">
        <v/>
      </c>
      <c r="K316" t="str">
        <v/>
      </c>
      <c r="L316" t="str">
        <v/>
      </c>
      <c r="M316" t="str">
        <v/>
      </c>
      <c r="N316" t="str">
        <v/>
      </c>
      <c r="O316" t="str">
        <v/>
      </c>
      <c r="P316">
        <f t="shared" si="25"/>
        <v>0</v>
      </c>
      <c r="Q316">
        <f t="shared" si="26"/>
        <v>0</v>
      </c>
      <c r="R316">
        <f t="shared" si="27"/>
        <v>0</v>
      </c>
      <c r="S316">
        <f t="shared" si="23"/>
        <v>0</v>
      </c>
      <c r="T316">
        <f t="shared" si="24"/>
        <v>0</v>
      </c>
    </row>
    <row r="317" x14ac:dyDescent="0.35">
      <c r="A317" t="str">
        <v/>
      </c>
      <c r="B317" t="str">
        <v/>
      </c>
      <c r="C317" t="str">
        <v/>
      </c>
      <c r="D317" t="str">
        <v/>
      </c>
      <c r="E317" t="str">
        <v/>
      </c>
      <c r="F317" t="str">
        <v/>
      </c>
      <c r="G317" t="str">
        <v/>
      </c>
      <c r="H317" t="str">
        <v/>
      </c>
      <c r="I317" t="str">
        <v/>
      </c>
      <c r="J317" t="str">
        <v/>
      </c>
      <c r="K317" t="str">
        <v/>
      </c>
      <c r="L317" t="str">
        <v/>
      </c>
      <c r="M317" t="str">
        <v/>
      </c>
      <c r="N317" t="str">
        <v/>
      </c>
      <c r="O317" t="str">
        <v/>
      </c>
      <c r="P317">
        <f t="shared" si="25"/>
        <v>0</v>
      </c>
      <c r="Q317">
        <f t="shared" si="26"/>
        <v>0</v>
      </c>
      <c r="R317">
        <f t="shared" si="27"/>
        <v>0</v>
      </c>
      <c r="S317">
        <f t="shared" si="23"/>
        <v>0</v>
      </c>
      <c r="T317">
        <f t="shared" si="24"/>
        <v>0</v>
      </c>
    </row>
    <row r="318" x14ac:dyDescent="0.35">
      <c r="A318" t="str">
        <v/>
      </c>
      <c r="B318" t="str">
        <v/>
      </c>
      <c r="C318" t="str">
        <v/>
      </c>
      <c r="D318" t="str">
        <v/>
      </c>
      <c r="E318" t="str">
        <v/>
      </c>
      <c r="F318" t="str">
        <v/>
      </c>
      <c r="G318" t="str">
        <v/>
      </c>
      <c r="H318" t="str">
        <v/>
      </c>
      <c r="I318" t="str">
        <v/>
      </c>
      <c r="J318" t="str">
        <v/>
      </c>
      <c r="K318" t="str">
        <v/>
      </c>
      <c r="L318" t="str">
        <v/>
      </c>
      <c r="M318" t="str">
        <v/>
      </c>
      <c r="N318" t="str">
        <v/>
      </c>
      <c r="O318" t="str">
        <v/>
      </c>
      <c r="P318">
        <f t="shared" si="25"/>
        <v>0</v>
      </c>
      <c r="Q318">
        <f t="shared" si="26"/>
        <v>0</v>
      </c>
      <c r="R318">
        <f t="shared" si="27"/>
        <v>0</v>
      </c>
      <c r="S318">
        <f t="shared" si="23"/>
        <v>0</v>
      </c>
      <c r="T318">
        <f t="shared" si="24"/>
        <v>0</v>
      </c>
    </row>
    <row r="319" x14ac:dyDescent="0.35">
      <c r="A319" t="str">
        <v/>
      </c>
      <c r="B319" t="str">
        <v/>
      </c>
      <c r="C319" t="str">
        <v/>
      </c>
      <c r="D319" t="str">
        <v/>
      </c>
      <c r="E319" t="str">
        <v/>
      </c>
      <c r="F319" t="str">
        <v/>
      </c>
      <c r="G319" t="str">
        <v/>
      </c>
      <c r="H319" t="str">
        <v/>
      </c>
      <c r="I319" t="str">
        <v/>
      </c>
      <c r="J319" t="str">
        <v/>
      </c>
      <c r="K319" t="str">
        <v/>
      </c>
      <c r="L319" t="str">
        <v/>
      </c>
      <c r="M319" t="str">
        <v/>
      </c>
      <c r="N319" t="str">
        <v/>
      </c>
      <c r="O319" t="str">
        <v/>
      </c>
      <c r="P319">
        <f t="shared" si="25"/>
        <v>0</v>
      </c>
      <c r="Q319">
        <f t="shared" si="26"/>
        <v>0</v>
      </c>
      <c r="R319">
        <f t="shared" si="27"/>
        <v>0</v>
      </c>
      <c r="S319">
        <f t="shared" si="23"/>
        <v>0</v>
      </c>
      <c r="T319">
        <f t="shared" si="24"/>
        <v>0</v>
      </c>
    </row>
    <row r="320" x14ac:dyDescent="0.35">
      <c r="A320" t="str">
        <v/>
      </c>
      <c r="B320" t="str">
        <v/>
      </c>
      <c r="C320" t="str">
        <v/>
      </c>
      <c r="D320" t="str">
        <v/>
      </c>
      <c r="E320" t="str">
        <v/>
      </c>
      <c r="F320" t="str">
        <v/>
      </c>
      <c r="G320" t="str">
        <v/>
      </c>
      <c r="H320" t="str">
        <v/>
      </c>
      <c r="I320" t="str">
        <v/>
      </c>
      <c r="J320" t="str">
        <v/>
      </c>
      <c r="K320" t="str">
        <v/>
      </c>
      <c r="L320" t="str">
        <v/>
      </c>
      <c r="M320" t="str">
        <v/>
      </c>
      <c r="N320" t="str">
        <v/>
      </c>
      <c r="O320" t="str">
        <v/>
      </c>
      <c r="P320">
        <f t="shared" si="25"/>
        <v>0</v>
      </c>
      <c r="Q320">
        <f t="shared" si="26"/>
        <v>0</v>
      </c>
      <c r="R320">
        <f t="shared" si="27"/>
        <v>0</v>
      </c>
      <c r="S320">
        <f t="shared" si="23"/>
        <v>0</v>
      </c>
      <c r="T320">
        <f t="shared" si="24"/>
        <v>0</v>
      </c>
    </row>
    <row r="321" x14ac:dyDescent="0.35">
      <c r="A321" t="str">
        <v/>
      </c>
      <c r="B321" t="str">
        <v/>
      </c>
      <c r="C321" t="str">
        <v/>
      </c>
      <c r="D321" t="str">
        <v/>
      </c>
      <c r="E321" t="str">
        <v/>
      </c>
      <c r="F321" t="str">
        <v/>
      </c>
      <c r="G321" t="str">
        <v/>
      </c>
      <c r="H321" t="str">
        <v/>
      </c>
      <c r="I321" t="str">
        <v/>
      </c>
      <c r="J321" t="str">
        <v/>
      </c>
      <c r="K321" t="str">
        <v/>
      </c>
      <c r="L321" t="str">
        <v/>
      </c>
      <c r="M321" t="str">
        <v/>
      </c>
      <c r="N321" t="str">
        <v/>
      </c>
      <c r="O321" t="str">
        <v/>
      </c>
      <c r="P321">
        <f t="shared" si="25"/>
        <v>0</v>
      </c>
      <c r="Q321">
        <f t="shared" si="26"/>
        <v>0</v>
      </c>
      <c r="R321">
        <f t="shared" si="27"/>
        <v>0</v>
      </c>
      <c r="S321">
        <f t="shared" si="23"/>
        <v>0</v>
      </c>
      <c r="T321">
        <f t="shared" si="24"/>
        <v>0</v>
      </c>
    </row>
    <row r="322" x14ac:dyDescent="0.35">
      <c r="A322" t="str">
        <v/>
      </c>
      <c r="B322" t="str">
        <v/>
      </c>
      <c r="C322" t="str">
        <v/>
      </c>
      <c r="D322" t="str">
        <v/>
      </c>
      <c r="E322" t="str">
        <v/>
      </c>
      <c r="F322" t="str">
        <v/>
      </c>
      <c r="G322" t="str">
        <v/>
      </c>
      <c r="H322" t="str">
        <v/>
      </c>
      <c r="I322" t="str">
        <v/>
      </c>
      <c r="J322" t="str">
        <v/>
      </c>
      <c r="K322" t="str">
        <v/>
      </c>
      <c r="L322" t="str">
        <v/>
      </c>
      <c r="M322" t="str">
        <v/>
      </c>
      <c r="N322" t="str">
        <v/>
      </c>
      <c r="O322" t="str">
        <v/>
      </c>
      <c r="P322">
        <f t="shared" si="25"/>
        <v>0</v>
      </c>
      <c r="Q322">
        <f t="shared" si="26"/>
        <v>0</v>
      </c>
      <c r="R322">
        <f t="shared" si="27"/>
        <v>0</v>
      </c>
      <c r="S322">
        <f t="shared" si="23"/>
        <v>0</v>
      </c>
      <c r="T322">
        <f t="shared" si="24"/>
        <v>0</v>
      </c>
    </row>
    <row r="323" x14ac:dyDescent="0.35">
      <c r="A323" t="str">
        <v/>
      </c>
      <c r="B323" t="str">
        <v/>
      </c>
      <c r="C323" t="str">
        <v/>
      </c>
      <c r="D323" t="str">
        <v/>
      </c>
      <c r="E323" t="str">
        <v/>
      </c>
      <c r="F323" t="str">
        <v/>
      </c>
      <c r="G323" t="str">
        <v/>
      </c>
      <c r="H323" t="str">
        <v/>
      </c>
      <c r="I323" t="str">
        <v/>
      </c>
      <c r="J323" t="str">
        <v/>
      </c>
      <c r="K323" t="str">
        <v/>
      </c>
      <c r="L323" t="str">
        <v/>
      </c>
      <c r="M323" t="str">
        <v/>
      </c>
      <c r="N323" t="str">
        <v/>
      </c>
      <c r="O323" t="str">
        <v/>
      </c>
      <c r="P323">
        <f t="shared" si="25"/>
        <v>0</v>
      </c>
      <c r="Q323">
        <f t="shared" si="26"/>
        <v>0</v>
      </c>
      <c r="R323">
        <f t="shared" si="27"/>
        <v>0</v>
      </c>
      <c r="S323">
        <f t="shared" ref="S323:S386" si="28">IF(J323="Realizada completa",1,0)</f>
        <v>0</v>
      </c>
      <c r="T323">
        <f t="shared" ref="T323:T386" si="29">IF(J323="Sin respuesta",1,0)</f>
        <v>0</v>
      </c>
    </row>
    <row r="324" x14ac:dyDescent="0.35">
      <c r="A324" t="str">
        <v/>
      </c>
      <c r="B324" t="str">
        <v/>
      </c>
      <c r="C324" t="str">
        <v/>
      </c>
      <c r="D324" t="str">
        <v/>
      </c>
      <c r="E324" t="str">
        <v/>
      </c>
      <c r="F324" t="str">
        <v/>
      </c>
      <c r="G324" t="str">
        <v/>
      </c>
      <c r="H324" t="str">
        <v/>
      </c>
      <c r="I324" t="str">
        <v/>
      </c>
      <c r="J324" t="str">
        <v/>
      </c>
      <c r="K324" t="str">
        <v/>
      </c>
      <c r="L324" t="str">
        <v/>
      </c>
      <c r="M324" t="str">
        <v/>
      </c>
      <c r="N324" t="str">
        <v/>
      </c>
      <c r="O324" t="str">
        <v/>
      </c>
      <c r="P324">
        <f t="shared" ref="P324:P387" si="30">IF(F324="Sí",1,0)</f>
        <v>0</v>
      </c>
      <c r="Q324">
        <f t="shared" ref="Q324:Q387" si="31">IF(J324="En coordinación",1,0)</f>
        <v>0</v>
      </c>
      <c r="R324">
        <f t="shared" ref="R324:R387" si="32">IF(J324="En coordinación",1,0)</f>
        <v>0</v>
      </c>
      <c r="S324">
        <f t="shared" si="28"/>
        <v>0</v>
      </c>
      <c r="T324">
        <f t="shared" si="29"/>
        <v>0</v>
      </c>
    </row>
    <row r="325" x14ac:dyDescent="0.35">
      <c r="A325" t="str">
        <v/>
      </c>
      <c r="B325" t="str">
        <v/>
      </c>
      <c r="C325" t="str">
        <v/>
      </c>
      <c r="D325" t="str">
        <v/>
      </c>
      <c r="E325" t="str">
        <v/>
      </c>
      <c r="F325" t="str">
        <v/>
      </c>
      <c r="G325" t="str">
        <v/>
      </c>
      <c r="H325" t="str">
        <v/>
      </c>
      <c r="I325" t="str">
        <v/>
      </c>
      <c r="J325" t="str">
        <v/>
      </c>
      <c r="K325" t="str">
        <v/>
      </c>
      <c r="L325" t="str">
        <v/>
      </c>
      <c r="M325" t="str">
        <v/>
      </c>
      <c r="N325" t="str">
        <v/>
      </c>
      <c r="O325" t="str">
        <v/>
      </c>
      <c r="P325">
        <f t="shared" si="30"/>
        <v>0</v>
      </c>
      <c r="Q325">
        <f t="shared" si="31"/>
        <v>0</v>
      </c>
      <c r="R325">
        <f t="shared" si="32"/>
        <v>0</v>
      </c>
      <c r="S325">
        <f t="shared" si="28"/>
        <v>0</v>
      </c>
      <c r="T325">
        <f t="shared" si="29"/>
        <v>0</v>
      </c>
    </row>
    <row r="326" x14ac:dyDescent="0.35">
      <c r="A326" t="str">
        <v/>
      </c>
      <c r="B326" t="str">
        <v/>
      </c>
      <c r="C326" t="str">
        <v/>
      </c>
      <c r="D326" t="str">
        <v/>
      </c>
      <c r="E326" t="str">
        <v/>
      </c>
      <c r="F326" t="str">
        <v/>
      </c>
      <c r="G326" t="str">
        <v/>
      </c>
      <c r="H326" t="str">
        <v/>
      </c>
      <c r="I326" t="str">
        <v/>
      </c>
      <c r="J326" t="str">
        <v/>
      </c>
      <c r="K326" t="str">
        <v/>
      </c>
      <c r="L326" t="str">
        <v/>
      </c>
      <c r="M326" t="str">
        <v/>
      </c>
      <c r="N326" t="str">
        <v/>
      </c>
      <c r="O326" t="str">
        <v/>
      </c>
      <c r="P326">
        <f t="shared" si="30"/>
        <v>0</v>
      </c>
      <c r="Q326">
        <f t="shared" si="31"/>
        <v>0</v>
      </c>
      <c r="R326">
        <f t="shared" si="32"/>
        <v>0</v>
      </c>
      <c r="S326">
        <f t="shared" si="28"/>
        <v>0</v>
      </c>
      <c r="T326">
        <f t="shared" si="29"/>
        <v>0</v>
      </c>
    </row>
    <row r="327" x14ac:dyDescent="0.35">
      <c r="A327" t="str">
        <v/>
      </c>
      <c r="B327" t="str">
        <v/>
      </c>
      <c r="C327" t="str">
        <v/>
      </c>
      <c r="D327" t="str">
        <v/>
      </c>
      <c r="E327" t="str">
        <v/>
      </c>
      <c r="F327" t="str">
        <v/>
      </c>
      <c r="G327" t="str">
        <v/>
      </c>
      <c r="H327" t="str">
        <v/>
      </c>
      <c r="I327" t="str">
        <v/>
      </c>
      <c r="J327" t="str">
        <v/>
      </c>
      <c r="K327" t="str">
        <v/>
      </c>
      <c r="L327" t="str">
        <v/>
      </c>
      <c r="M327" t="str">
        <v/>
      </c>
      <c r="N327" t="str">
        <v/>
      </c>
      <c r="O327" t="str">
        <v/>
      </c>
      <c r="P327">
        <f t="shared" si="30"/>
        <v>0</v>
      </c>
      <c r="Q327">
        <f t="shared" si="31"/>
        <v>0</v>
      </c>
      <c r="R327">
        <f t="shared" si="32"/>
        <v>0</v>
      </c>
      <c r="S327">
        <f t="shared" si="28"/>
        <v>0</v>
      </c>
      <c r="T327">
        <f t="shared" si="29"/>
        <v>0</v>
      </c>
    </row>
    <row r="328" x14ac:dyDescent="0.35">
      <c r="A328" t="str">
        <v/>
      </c>
      <c r="B328" t="str">
        <v/>
      </c>
      <c r="C328" t="str">
        <v/>
      </c>
      <c r="D328" t="str">
        <v/>
      </c>
      <c r="E328" t="str">
        <v/>
      </c>
      <c r="F328" t="str">
        <v/>
      </c>
      <c r="G328" t="str">
        <v/>
      </c>
      <c r="H328" t="str">
        <v/>
      </c>
      <c r="I328" t="str">
        <v/>
      </c>
      <c r="J328" t="str">
        <v/>
      </c>
      <c r="K328" t="str">
        <v/>
      </c>
      <c r="L328" t="str">
        <v/>
      </c>
      <c r="M328" t="str">
        <v/>
      </c>
      <c r="N328" t="str">
        <v/>
      </c>
      <c r="O328" t="str">
        <v/>
      </c>
      <c r="P328">
        <f t="shared" si="30"/>
        <v>0</v>
      </c>
      <c r="Q328">
        <f t="shared" si="31"/>
        <v>0</v>
      </c>
      <c r="R328">
        <f t="shared" si="32"/>
        <v>0</v>
      </c>
      <c r="S328">
        <f t="shared" si="28"/>
        <v>0</v>
      </c>
      <c r="T328">
        <f t="shared" si="29"/>
        <v>0</v>
      </c>
    </row>
    <row r="329" x14ac:dyDescent="0.35">
      <c r="A329" t="str">
        <v/>
      </c>
      <c r="B329" t="str">
        <v/>
      </c>
      <c r="C329" t="str">
        <v/>
      </c>
      <c r="D329" t="str">
        <v/>
      </c>
      <c r="E329" t="str">
        <v/>
      </c>
      <c r="F329" t="str">
        <v/>
      </c>
      <c r="G329" t="str">
        <v/>
      </c>
      <c r="H329" t="str">
        <v/>
      </c>
      <c r="I329" t="str">
        <v/>
      </c>
      <c r="J329" t="str">
        <v/>
      </c>
      <c r="K329" t="str">
        <v/>
      </c>
      <c r="L329" t="str">
        <v/>
      </c>
      <c r="M329" t="str">
        <v/>
      </c>
      <c r="N329" t="str">
        <v/>
      </c>
      <c r="O329" t="str">
        <v/>
      </c>
      <c r="P329">
        <f t="shared" si="30"/>
        <v>0</v>
      </c>
      <c r="Q329">
        <f t="shared" si="31"/>
        <v>0</v>
      </c>
      <c r="R329">
        <f t="shared" si="32"/>
        <v>0</v>
      </c>
      <c r="S329">
        <f t="shared" si="28"/>
        <v>0</v>
      </c>
      <c r="T329">
        <f t="shared" si="29"/>
        <v>0</v>
      </c>
    </row>
    <row r="330" x14ac:dyDescent="0.35">
      <c r="A330" t="str">
        <v/>
      </c>
      <c r="B330" t="str">
        <v/>
      </c>
      <c r="C330" t="str">
        <v/>
      </c>
      <c r="D330" t="str">
        <v/>
      </c>
      <c r="E330" t="str">
        <v/>
      </c>
      <c r="F330" t="str">
        <v/>
      </c>
      <c r="G330" t="str">
        <v/>
      </c>
      <c r="H330" t="str">
        <v/>
      </c>
      <c r="I330" t="str">
        <v/>
      </c>
      <c r="J330" t="str">
        <v/>
      </c>
      <c r="K330" t="str">
        <v/>
      </c>
      <c r="L330" t="str">
        <v/>
      </c>
      <c r="M330" t="str">
        <v/>
      </c>
      <c r="N330" t="str">
        <v/>
      </c>
      <c r="O330" t="str">
        <v/>
      </c>
      <c r="P330">
        <f t="shared" si="30"/>
        <v>0</v>
      </c>
      <c r="Q330">
        <f t="shared" si="31"/>
        <v>0</v>
      </c>
      <c r="R330">
        <f t="shared" si="32"/>
        <v>0</v>
      </c>
      <c r="S330">
        <f t="shared" si="28"/>
        <v>0</v>
      </c>
      <c r="T330">
        <f t="shared" si="29"/>
        <v>0</v>
      </c>
    </row>
    <row r="331" x14ac:dyDescent="0.35">
      <c r="A331" t="str">
        <v/>
      </c>
      <c r="B331" t="str">
        <v/>
      </c>
      <c r="C331" t="str">
        <v/>
      </c>
      <c r="D331" t="str">
        <v/>
      </c>
      <c r="E331" t="str">
        <v/>
      </c>
      <c r="F331" t="str">
        <v/>
      </c>
      <c r="G331" t="str">
        <v/>
      </c>
      <c r="H331" t="str">
        <v/>
      </c>
      <c r="I331" t="str">
        <v/>
      </c>
      <c r="J331" t="str">
        <v/>
      </c>
      <c r="K331" t="str">
        <v/>
      </c>
      <c r="L331" t="str">
        <v/>
      </c>
      <c r="M331" t="str">
        <v/>
      </c>
      <c r="N331" t="str">
        <v/>
      </c>
      <c r="O331" t="str">
        <v/>
      </c>
      <c r="P331">
        <f t="shared" si="30"/>
        <v>0</v>
      </c>
      <c r="Q331">
        <f t="shared" si="31"/>
        <v>0</v>
      </c>
      <c r="R331">
        <f t="shared" si="32"/>
        <v>0</v>
      </c>
      <c r="S331">
        <f t="shared" si="28"/>
        <v>0</v>
      </c>
      <c r="T331">
        <f t="shared" si="29"/>
        <v>0</v>
      </c>
    </row>
    <row r="332" x14ac:dyDescent="0.35">
      <c r="A332" t="str">
        <v/>
      </c>
      <c r="B332" t="str">
        <v/>
      </c>
      <c r="C332" t="str">
        <v/>
      </c>
      <c r="D332" t="str">
        <v/>
      </c>
      <c r="E332" t="str">
        <v/>
      </c>
      <c r="F332" t="str">
        <v/>
      </c>
      <c r="G332" t="str">
        <v/>
      </c>
      <c r="H332" t="str">
        <v/>
      </c>
      <c r="I332" t="str">
        <v/>
      </c>
      <c r="J332" t="str">
        <v/>
      </c>
      <c r="K332" t="str">
        <v/>
      </c>
      <c r="L332" t="str">
        <v/>
      </c>
      <c r="M332" t="str">
        <v/>
      </c>
      <c r="N332" t="str">
        <v/>
      </c>
      <c r="O332" t="str">
        <v/>
      </c>
      <c r="P332">
        <f t="shared" si="30"/>
        <v>0</v>
      </c>
      <c r="Q332">
        <f t="shared" si="31"/>
        <v>0</v>
      </c>
      <c r="R332">
        <f t="shared" si="32"/>
        <v>0</v>
      </c>
      <c r="S332">
        <f t="shared" si="28"/>
        <v>0</v>
      </c>
      <c r="T332">
        <f t="shared" si="29"/>
        <v>0</v>
      </c>
    </row>
    <row r="333" x14ac:dyDescent="0.35">
      <c r="A333" t="str">
        <v/>
      </c>
      <c r="B333" t="str">
        <v/>
      </c>
      <c r="C333" t="str">
        <v/>
      </c>
      <c r="D333" t="str">
        <v/>
      </c>
      <c r="E333" t="str">
        <v/>
      </c>
      <c r="F333" t="str">
        <v/>
      </c>
      <c r="G333" t="str">
        <v/>
      </c>
      <c r="H333" t="str">
        <v/>
      </c>
      <c r="I333" t="str">
        <v/>
      </c>
      <c r="J333" t="str">
        <v/>
      </c>
      <c r="K333" t="str">
        <v/>
      </c>
      <c r="L333" t="str">
        <v/>
      </c>
      <c r="M333" t="str">
        <v/>
      </c>
      <c r="N333" t="str">
        <v/>
      </c>
      <c r="O333" t="str">
        <v/>
      </c>
      <c r="P333">
        <f t="shared" si="30"/>
        <v>0</v>
      </c>
      <c r="Q333">
        <f t="shared" si="31"/>
        <v>0</v>
      </c>
      <c r="R333">
        <f t="shared" si="32"/>
        <v>0</v>
      </c>
      <c r="S333">
        <f t="shared" si="28"/>
        <v>0</v>
      </c>
      <c r="T333">
        <f t="shared" si="29"/>
        <v>0</v>
      </c>
    </row>
    <row r="334" x14ac:dyDescent="0.35">
      <c r="A334" t="str">
        <v/>
      </c>
      <c r="B334" t="str">
        <v/>
      </c>
      <c r="C334" t="str">
        <v/>
      </c>
      <c r="D334" t="str">
        <v/>
      </c>
      <c r="E334" t="str">
        <v/>
      </c>
      <c r="F334" t="str">
        <v/>
      </c>
      <c r="G334" t="str">
        <v/>
      </c>
      <c r="H334" t="str">
        <v/>
      </c>
      <c r="I334" t="str">
        <v/>
      </c>
      <c r="J334" t="str">
        <v/>
      </c>
      <c r="K334" t="str">
        <v/>
      </c>
      <c r="L334" t="str">
        <v/>
      </c>
      <c r="M334" t="str">
        <v/>
      </c>
      <c r="N334" t="str">
        <v/>
      </c>
      <c r="O334" t="str">
        <v/>
      </c>
      <c r="P334">
        <f t="shared" si="30"/>
        <v>0</v>
      </c>
      <c r="Q334">
        <f t="shared" si="31"/>
        <v>0</v>
      </c>
      <c r="R334">
        <f t="shared" si="32"/>
        <v>0</v>
      </c>
      <c r="S334">
        <f t="shared" si="28"/>
        <v>0</v>
      </c>
      <c r="T334">
        <f t="shared" si="29"/>
        <v>0</v>
      </c>
    </row>
    <row r="335" x14ac:dyDescent="0.35">
      <c r="A335" t="str">
        <v/>
      </c>
      <c r="B335" t="str">
        <v/>
      </c>
      <c r="C335" t="str">
        <v/>
      </c>
      <c r="D335" t="str">
        <v/>
      </c>
      <c r="E335" t="str">
        <v/>
      </c>
      <c r="F335" t="str">
        <v/>
      </c>
      <c r="G335" t="str">
        <v/>
      </c>
      <c r="H335" t="str">
        <v/>
      </c>
      <c r="I335" t="str">
        <v/>
      </c>
      <c r="J335" t="str">
        <v/>
      </c>
      <c r="K335" t="str">
        <v/>
      </c>
      <c r="L335" t="str">
        <v/>
      </c>
      <c r="M335" t="str">
        <v/>
      </c>
      <c r="N335" t="str">
        <v/>
      </c>
      <c r="O335" t="str">
        <v/>
      </c>
      <c r="P335">
        <f t="shared" si="30"/>
        <v>0</v>
      </c>
      <c r="Q335">
        <f t="shared" si="31"/>
        <v>0</v>
      </c>
      <c r="R335">
        <f t="shared" si="32"/>
        <v>0</v>
      </c>
      <c r="S335">
        <f t="shared" si="28"/>
        <v>0</v>
      </c>
      <c r="T335">
        <f t="shared" si="29"/>
        <v>0</v>
      </c>
    </row>
    <row r="336" x14ac:dyDescent="0.35">
      <c r="A336" t="str">
        <v/>
      </c>
      <c r="B336" t="str">
        <v/>
      </c>
      <c r="C336" t="str">
        <v/>
      </c>
      <c r="D336" t="str">
        <v/>
      </c>
      <c r="E336" t="str">
        <v/>
      </c>
      <c r="F336" t="str">
        <v/>
      </c>
      <c r="G336" t="str">
        <v/>
      </c>
      <c r="H336" t="str">
        <v/>
      </c>
      <c r="I336" t="str">
        <v/>
      </c>
      <c r="J336" t="str">
        <v/>
      </c>
      <c r="K336" t="str">
        <v/>
      </c>
      <c r="L336" t="str">
        <v/>
      </c>
      <c r="M336" t="str">
        <v/>
      </c>
      <c r="N336" t="str">
        <v/>
      </c>
      <c r="O336" t="str">
        <v/>
      </c>
      <c r="P336">
        <f t="shared" si="30"/>
        <v>0</v>
      </c>
      <c r="Q336">
        <f t="shared" si="31"/>
        <v>0</v>
      </c>
      <c r="R336">
        <f t="shared" si="32"/>
        <v>0</v>
      </c>
      <c r="S336">
        <f t="shared" si="28"/>
        <v>0</v>
      </c>
      <c r="T336">
        <f t="shared" si="29"/>
        <v>0</v>
      </c>
    </row>
    <row r="337" x14ac:dyDescent="0.35">
      <c r="A337" t="str">
        <v/>
      </c>
      <c r="B337" t="str">
        <v/>
      </c>
      <c r="C337" t="str">
        <v/>
      </c>
      <c r="D337" t="str">
        <v/>
      </c>
      <c r="E337" t="str">
        <v/>
      </c>
      <c r="F337" t="str">
        <v/>
      </c>
      <c r="G337" t="str">
        <v/>
      </c>
      <c r="H337" t="str">
        <v/>
      </c>
      <c r="I337" t="str">
        <v/>
      </c>
      <c r="J337" t="str">
        <v/>
      </c>
      <c r="K337" t="str">
        <v/>
      </c>
      <c r="L337" t="str">
        <v/>
      </c>
      <c r="M337" t="str">
        <v/>
      </c>
      <c r="N337" t="str">
        <v/>
      </c>
      <c r="O337" t="str">
        <v/>
      </c>
      <c r="P337">
        <f t="shared" si="30"/>
        <v>0</v>
      </c>
      <c r="Q337">
        <f t="shared" si="31"/>
        <v>0</v>
      </c>
      <c r="R337">
        <f t="shared" si="32"/>
        <v>0</v>
      </c>
      <c r="S337">
        <f t="shared" si="28"/>
        <v>0</v>
      </c>
      <c r="T337">
        <f t="shared" si="29"/>
        <v>0</v>
      </c>
    </row>
    <row r="338" x14ac:dyDescent="0.35">
      <c r="A338" t="str">
        <v/>
      </c>
      <c r="B338" t="str">
        <v/>
      </c>
      <c r="C338" t="str">
        <v/>
      </c>
      <c r="D338" t="str">
        <v/>
      </c>
      <c r="E338" t="str">
        <v/>
      </c>
      <c r="F338" t="str">
        <v/>
      </c>
      <c r="G338" t="str">
        <v/>
      </c>
      <c r="H338" t="str">
        <v/>
      </c>
      <c r="I338" t="str">
        <v/>
      </c>
      <c r="J338" t="str">
        <v/>
      </c>
      <c r="K338" t="str">
        <v/>
      </c>
      <c r="L338" t="str">
        <v/>
      </c>
      <c r="M338" t="str">
        <v/>
      </c>
      <c r="N338" t="str">
        <v/>
      </c>
      <c r="O338" t="str">
        <v/>
      </c>
      <c r="P338">
        <f t="shared" si="30"/>
        <v>0</v>
      </c>
      <c r="Q338">
        <f t="shared" si="31"/>
        <v>0</v>
      </c>
      <c r="R338">
        <f t="shared" si="32"/>
        <v>0</v>
      </c>
      <c r="S338">
        <f t="shared" si="28"/>
        <v>0</v>
      </c>
      <c r="T338">
        <f t="shared" si="29"/>
        <v>0</v>
      </c>
    </row>
    <row r="339" x14ac:dyDescent="0.35">
      <c r="A339" t="str">
        <v/>
      </c>
      <c r="B339" t="str">
        <v/>
      </c>
      <c r="C339" t="str">
        <v/>
      </c>
      <c r="D339" t="str">
        <v/>
      </c>
      <c r="E339" t="str">
        <v/>
      </c>
      <c r="F339" t="str">
        <v/>
      </c>
      <c r="G339" t="str">
        <v/>
      </c>
      <c r="H339" t="str">
        <v/>
      </c>
      <c r="I339" t="str">
        <v/>
      </c>
      <c r="J339" t="str">
        <v/>
      </c>
      <c r="K339" t="str">
        <v/>
      </c>
      <c r="L339" t="str">
        <v/>
      </c>
      <c r="M339" t="str">
        <v/>
      </c>
      <c r="N339" t="str">
        <v/>
      </c>
      <c r="O339" t="str">
        <v/>
      </c>
      <c r="P339">
        <f t="shared" si="30"/>
        <v>0</v>
      </c>
      <c r="Q339">
        <f t="shared" si="31"/>
        <v>0</v>
      </c>
      <c r="R339">
        <f t="shared" si="32"/>
        <v>0</v>
      </c>
      <c r="S339">
        <f t="shared" si="28"/>
        <v>0</v>
      </c>
      <c r="T339">
        <f t="shared" si="29"/>
        <v>0</v>
      </c>
    </row>
    <row r="340" x14ac:dyDescent="0.35">
      <c r="A340" t="str">
        <v/>
      </c>
      <c r="B340" t="str">
        <v/>
      </c>
      <c r="C340" t="str">
        <v/>
      </c>
      <c r="D340" t="str">
        <v/>
      </c>
      <c r="E340" t="str">
        <v/>
      </c>
      <c r="F340" t="str">
        <v/>
      </c>
      <c r="G340" t="str">
        <v/>
      </c>
      <c r="H340" t="str">
        <v/>
      </c>
      <c r="I340" t="str">
        <v/>
      </c>
      <c r="J340" t="str">
        <v/>
      </c>
      <c r="K340" t="str">
        <v/>
      </c>
      <c r="L340" t="str">
        <v/>
      </c>
      <c r="M340" t="str">
        <v/>
      </c>
      <c r="N340" t="str">
        <v/>
      </c>
      <c r="O340" t="str">
        <v/>
      </c>
      <c r="P340">
        <f t="shared" si="30"/>
        <v>0</v>
      </c>
      <c r="Q340">
        <f t="shared" si="31"/>
        <v>0</v>
      </c>
      <c r="R340">
        <f t="shared" si="32"/>
        <v>0</v>
      </c>
      <c r="S340">
        <f t="shared" si="28"/>
        <v>0</v>
      </c>
      <c r="T340">
        <f t="shared" si="29"/>
        <v>0</v>
      </c>
    </row>
    <row r="341" x14ac:dyDescent="0.35">
      <c r="A341" t="str">
        <v/>
      </c>
      <c r="B341" t="str">
        <v/>
      </c>
      <c r="C341" t="str">
        <v/>
      </c>
      <c r="D341" t="str">
        <v/>
      </c>
      <c r="E341" t="str">
        <v/>
      </c>
      <c r="F341" t="str">
        <v/>
      </c>
      <c r="G341" t="str">
        <v/>
      </c>
      <c r="H341" t="str">
        <v/>
      </c>
      <c r="I341" t="str">
        <v/>
      </c>
      <c r="J341" t="str">
        <v/>
      </c>
      <c r="K341" t="str">
        <v/>
      </c>
      <c r="L341" t="str">
        <v/>
      </c>
      <c r="M341" t="str">
        <v/>
      </c>
      <c r="N341" t="str">
        <v/>
      </c>
      <c r="O341" t="str">
        <v/>
      </c>
      <c r="P341">
        <f t="shared" si="30"/>
        <v>0</v>
      </c>
      <c r="Q341">
        <f t="shared" si="31"/>
        <v>0</v>
      </c>
      <c r="R341">
        <f t="shared" si="32"/>
        <v>0</v>
      </c>
      <c r="S341">
        <f t="shared" si="28"/>
        <v>0</v>
      </c>
      <c r="T341">
        <f t="shared" si="29"/>
        <v>0</v>
      </c>
    </row>
    <row r="342" x14ac:dyDescent="0.35">
      <c r="A342" t="str">
        <v/>
      </c>
      <c r="B342" t="str">
        <v/>
      </c>
      <c r="C342" t="str">
        <v/>
      </c>
      <c r="D342" t="str">
        <v/>
      </c>
      <c r="E342" t="str">
        <v/>
      </c>
      <c r="F342" t="str">
        <v/>
      </c>
      <c r="G342" t="str">
        <v/>
      </c>
      <c r="H342" t="str">
        <v/>
      </c>
      <c r="I342" t="str">
        <v/>
      </c>
      <c r="J342" t="str">
        <v/>
      </c>
      <c r="K342" t="str">
        <v/>
      </c>
      <c r="L342" t="str">
        <v/>
      </c>
      <c r="M342" t="str">
        <v/>
      </c>
      <c r="N342" t="str">
        <v/>
      </c>
      <c r="O342" t="str">
        <v/>
      </c>
      <c r="P342">
        <f t="shared" si="30"/>
        <v>0</v>
      </c>
      <c r="Q342">
        <f t="shared" si="31"/>
        <v>0</v>
      </c>
      <c r="R342">
        <f t="shared" si="32"/>
        <v>0</v>
      </c>
      <c r="S342">
        <f t="shared" si="28"/>
        <v>0</v>
      </c>
      <c r="T342">
        <f t="shared" si="29"/>
        <v>0</v>
      </c>
    </row>
    <row r="343" x14ac:dyDescent="0.35">
      <c r="A343" t="str">
        <v/>
      </c>
      <c r="B343" t="str">
        <v/>
      </c>
      <c r="C343" t="str">
        <v/>
      </c>
      <c r="D343" t="str">
        <v/>
      </c>
      <c r="E343" t="str">
        <v/>
      </c>
      <c r="F343" t="str">
        <v/>
      </c>
      <c r="G343" t="str">
        <v/>
      </c>
      <c r="H343" t="str">
        <v/>
      </c>
      <c r="I343" t="str">
        <v/>
      </c>
      <c r="J343" t="str">
        <v/>
      </c>
      <c r="K343" t="str">
        <v/>
      </c>
      <c r="L343" t="str">
        <v/>
      </c>
      <c r="M343" t="str">
        <v/>
      </c>
      <c r="N343" t="str">
        <v/>
      </c>
      <c r="O343" t="str">
        <v/>
      </c>
      <c r="P343">
        <f t="shared" si="30"/>
        <v>0</v>
      </c>
      <c r="Q343">
        <f t="shared" si="31"/>
        <v>0</v>
      </c>
      <c r="R343">
        <f t="shared" si="32"/>
        <v>0</v>
      </c>
      <c r="S343">
        <f t="shared" si="28"/>
        <v>0</v>
      </c>
      <c r="T343">
        <f t="shared" si="29"/>
        <v>0</v>
      </c>
    </row>
    <row r="344" x14ac:dyDescent="0.35">
      <c r="A344" t="str">
        <v/>
      </c>
      <c r="B344" t="str">
        <v/>
      </c>
      <c r="C344" t="str">
        <v/>
      </c>
      <c r="D344" t="str">
        <v/>
      </c>
      <c r="E344" t="str">
        <v/>
      </c>
      <c r="F344" t="str">
        <v/>
      </c>
      <c r="G344" t="str">
        <v/>
      </c>
      <c r="H344" t="str">
        <v/>
      </c>
      <c r="I344" t="str">
        <v/>
      </c>
      <c r="J344" t="str">
        <v/>
      </c>
      <c r="K344" t="str">
        <v/>
      </c>
      <c r="L344" t="str">
        <v/>
      </c>
      <c r="M344" t="str">
        <v/>
      </c>
      <c r="N344" t="str">
        <v/>
      </c>
      <c r="O344" t="str">
        <v/>
      </c>
      <c r="P344">
        <f t="shared" si="30"/>
        <v>0</v>
      </c>
      <c r="Q344">
        <f t="shared" si="31"/>
        <v>0</v>
      </c>
      <c r="R344">
        <f t="shared" si="32"/>
        <v>0</v>
      </c>
      <c r="S344">
        <f t="shared" si="28"/>
        <v>0</v>
      </c>
      <c r="T344">
        <f t="shared" si="29"/>
        <v>0</v>
      </c>
    </row>
    <row r="345" x14ac:dyDescent="0.35">
      <c r="A345" t="str">
        <v/>
      </c>
      <c r="B345" t="str">
        <v/>
      </c>
      <c r="C345" t="str">
        <v/>
      </c>
      <c r="D345" t="str">
        <v/>
      </c>
      <c r="E345" t="str">
        <v/>
      </c>
      <c r="F345" t="str">
        <v/>
      </c>
      <c r="G345" t="str">
        <v/>
      </c>
      <c r="H345" t="str">
        <v/>
      </c>
      <c r="I345" t="str">
        <v/>
      </c>
      <c r="J345" t="str">
        <v/>
      </c>
      <c r="K345" t="str">
        <v/>
      </c>
      <c r="L345" t="str">
        <v/>
      </c>
      <c r="M345" t="str">
        <v/>
      </c>
      <c r="N345" t="str">
        <v/>
      </c>
      <c r="O345" t="str">
        <v/>
      </c>
      <c r="P345">
        <f t="shared" si="30"/>
        <v>0</v>
      </c>
      <c r="Q345">
        <f t="shared" si="31"/>
        <v>0</v>
      </c>
      <c r="R345">
        <f t="shared" si="32"/>
        <v>0</v>
      </c>
      <c r="S345">
        <f t="shared" si="28"/>
        <v>0</v>
      </c>
      <c r="T345">
        <f t="shared" si="29"/>
        <v>0</v>
      </c>
    </row>
    <row r="346" x14ac:dyDescent="0.35">
      <c r="A346" t="str">
        <v/>
      </c>
      <c r="B346" t="str">
        <v/>
      </c>
      <c r="C346" t="str">
        <v/>
      </c>
      <c r="D346" t="str">
        <v/>
      </c>
      <c r="E346" t="str">
        <v/>
      </c>
      <c r="F346" t="str">
        <v/>
      </c>
      <c r="G346" t="str">
        <v/>
      </c>
      <c r="H346" t="str">
        <v/>
      </c>
      <c r="I346" t="str">
        <v/>
      </c>
      <c r="J346" t="str">
        <v/>
      </c>
      <c r="K346" t="str">
        <v/>
      </c>
      <c r="L346" t="str">
        <v/>
      </c>
      <c r="M346" t="str">
        <v/>
      </c>
      <c r="N346" t="str">
        <v/>
      </c>
      <c r="O346" t="str">
        <v/>
      </c>
      <c r="P346">
        <f t="shared" si="30"/>
        <v>0</v>
      </c>
      <c r="Q346">
        <f t="shared" si="31"/>
        <v>0</v>
      </c>
      <c r="R346">
        <f t="shared" si="32"/>
        <v>0</v>
      </c>
      <c r="S346">
        <f t="shared" si="28"/>
        <v>0</v>
      </c>
      <c r="T346">
        <f t="shared" si="29"/>
        <v>0</v>
      </c>
    </row>
    <row r="347" x14ac:dyDescent="0.35">
      <c r="A347" t="str">
        <v/>
      </c>
      <c r="B347" t="str">
        <v/>
      </c>
      <c r="C347" t="str">
        <v/>
      </c>
      <c r="D347" t="str">
        <v/>
      </c>
      <c r="E347" t="str">
        <v/>
      </c>
      <c r="F347" t="str">
        <v/>
      </c>
      <c r="G347" t="str">
        <v/>
      </c>
      <c r="H347" t="str">
        <v/>
      </c>
      <c r="I347" t="str">
        <v/>
      </c>
      <c r="J347" t="str">
        <v/>
      </c>
      <c r="K347" t="str">
        <v/>
      </c>
      <c r="L347" t="str">
        <v/>
      </c>
      <c r="M347" t="str">
        <v/>
      </c>
      <c r="N347" t="str">
        <v/>
      </c>
      <c r="O347" t="str">
        <v/>
      </c>
      <c r="P347">
        <f t="shared" si="30"/>
        <v>0</v>
      </c>
      <c r="Q347">
        <f t="shared" si="31"/>
        <v>0</v>
      </c>
      <c r="R347">
        <f t="shared" si="32"/>
        <v>0</v>
      </c>
      <c r="S347">
        <f t="shared" si="28"/>
        <v>0</v>
      </c>
      <c r="T347">
        <f t="shared" si="29"/>
        <v>0</v>
      </c>
    </row>
    <row r="348" x14ac:dyDescent="0.35">
      <c r="A348" t="str">
        <v/>
      </c>
      <c r="B348" t="str">
        <v/>
      </c>
      <c r="C348" t="str">
        <v/>
      </c>
      <c r="D348" t="str">
        <v/>
      </c>
      <c r="E348" t="str">
        <v/>
      </c>
      <c r="F348" t="str">
        <v/>
      </c>
      <c r="G348" t="str">
        <v/>
      </c>
      <c r="H348" t="str">
        <v/>
      </c>
      <c r="I348" t="str">
        <v/>
      </c>
      <c r="J348" t="str">
        <v/>
      </c>
      <c r="K348" t="str">
        <v/>
      </c>
      <c r="L348" t="str">
        <v/>
      </c>
      <c r="M348" t="str">
        <v/>
      </c>
      <c r="N348" t="str">
        <v/>
      </c>
      <c r="O348" t="str">
        <v/>
      </c>
      <c r="P348">
        <f t="shared" si="30"/>
        <v>0</v>
      </c>
      <c r="Q348">
        <f t="shared" si="31"/>
        <v>0</v>
      </c>
      <c r="R348">
        <f t="shared" si="32"/>
        <v>0</v>
      </c>
      <c r="S348">
        <f t="shared" si="28"/>
        <v>0</v>
      </c>
      <c r="T348">
        <f t="shared" si="29"/>
        <v>0</v>
      </c>
    </row>
    <row r="349" x14ac:dyDescent="0.35">
      <c r="A349" t="str">
        <v/>
      </c>
      <c r="B349" t="str">
        <v/>
      </c>
      <c r="C349" t="str">
        <v/>
      </c>
      <c r="D349" t="str">
        <v/>
      </c>
      <c r="E349" t="str">
        <v/>
      </c>
      <c r="F349" t="str">
        <v/>
      </c>
      <c r="G349" t="str">
        <v/>
      </c>
      <c r="H349" t="str">
        <v/>
      </c>
      <c r="I349" t="str">
        <v/>
      </c>
      <c r="J349" t="str">
        <v/>
      </c>
      <c r="K349" t="str">
        <v/>
      </c>
      <c r="L349" t="str">
        <v/>
      </c>
      <c r="M349" t="str">
        <v/>
      </c>
      <c r="N349" t="str">
        <v/>
      </c>
      <c r="O349" t="str">
        <v/>
      </c>
      <c r="P349">
        <f t="shared" si="30"/>
        <v>0</v>
      </c>
      <c r="Q349">
        <f t="shared" si="31"/>
        <v>0</v>
      </c>
      <c r="R349">
        <f t="shared" si="32"/>
        <v>0</v>
      </c>
      <c r="S349">
        <f t="shared" si="28"/>
        <v>0</v>
      </c>
      <c r="T349">
        <f t="shared" si="29"/>
        <v>0</v>
      </c>
    </row>
    <row r="350" x14ac:dyDescent="0.35">
      <c r="A350" t="str">
        <v/>
      </c>
      <c r="B350" t="str">
        <v/>
      </c>
      <c r="C350" t="str">
        <v/>
      </c>
      <c r="D350" t="str">
        <v/>
      </c>
      <c r="E350" t="str">
        <v/>
      </c>
      <c r="F350" t="str">
        <v/>
      </c>
      <c r="G350" t="str">
        <v/>
      </c>
      <c r="H350" t="str">
        <v/>
      </c>
      <c r="I350" t="str">
        <v/>
      </c>
      <c r="J350" t="str">
        <v/>
      </c>
      <c r="K350" t="str">
        <v/>
      </c>
      <c r="L350" t="str">
        <v/>
      </c>
      <c r="M350" t="str">
        <v/>
      </c>
      <c r="N350" t="str">
        <v/>
      </c>
      <c r="O350" t="str">
        <v/>
      </c>
      <c r="P350">
        <f t="shared" si="30"/>
        <v>0</v>
      </c>
      <c r="Q350">
        <f t="shared" si="31"/>
        <v>0</v>
      </c>
      <c r="R350">
        <f t="shared" si="32"/>
        <v>0</v>
      </c>
      <c r="S350">
        <f t="shared" si="28"/>
        <v>0</v>
      </c>
      <c r="T350">
        <f t="shared" si="29"/>
        <v>0</v>
      </c>
    </row>
    <row r="351" x14ac:dyDescent="0.35">
      <c r="A351" t="str">
        <v/>
      </c>
      <c r="B351" t="str">
        <v/>
      </c>
      <c r="C351" t="str">
        <v/>
      </c>
      <c r="D351" t="str">
        <v/>
      </c>
      <c r="E351" t="str">
        <v/>
      </c>
      <c r="F351" t="str">
        <v/>
      </c>
      <c r="G351" t="str">
        <v/>
      </c>
      <c r="H351" t="str">
        <v/>
      </c>
      <c r="I351" t="str">
        <v/>
      </c>
      <c r="J351" t="str">
        <v/>
      </c>
      <c r="K351" t="str">
        <v/>
      </c>
      <c r="L351" t="str">
        <v/>
      </c>
      <c r="M351" t="str">
        <v/>
      </c>
      <c r="N351" t="str">
        <v/>
      </c>
      <c r="O351" t="str">
        <v/>
      </c>
      <c r="P351">
        <f t="shared" si="30"/>
        <v>0</v>
      </c>
      <c r="Q351">
        <f t="shared" si="31"/>
        <v>0</v>
      </c>
      <c r="R351">
        <f t="shared" si="32"/>
        <v>0</v>
      </c>
      <c r="S351">
        <f t="shared" si="28"/>
        <v>0</v>
      </c>
      <c r="T351">
        <f t="shared" si="29"/>
        <v>0</v>
      </c>
    </row>
    <row r="352" x14ac:dyDescent="0.35">
      <c r="A352" t="str">
        <v/>
      </c>
      <c r="B352" t="str">
        <v/>
      </c>
      <c r="C352" t="str">
        <v/>
      </c>
      <c r="D352" t="str">
        <v/>
      </c>
      <c r="E352" t="str">
        <v/>
      </c>
      <c r="F352" t="str">
        <v/>
      </c>
      <c r="G352" t="str">
        <v/>
      </c>
      <c r="H352" t="str">
        <v/>
      </c>
      <c r="I352" t="str">
        <v/>
      </c>
      <c r="J352" t="str">
        <v/>
      </c>
      <c r="K352" t="str">
        <v/>
      </c>
      <c r="L352" t="str">
        <v/>
      </c>
      <c r="M352" t="str">
        <v/>
      </c>
      <c r="N352" t="str">
        <v/>
      </c>
      <c r="O352" t="str">
        <v/>
      </c>
      <c r="P352">
        <f t="shared" si="30"/>
        <v>0</v>
      </c>
      <c r="Q352">
        <f t="shared" si="31"/>
        <v>0</v>
      </c>
      <c r="R352">
        <f t="shared" si="32"/>
        <v>0</v>
      </c>
      <c r="S352">
        <f t="shared" si="28"/>
        <v>0</v>
      </c>
      <c r="T352">
        <f t="shared" si="29"/>
        <v>0</v>
      </c>
    </row>
    <row r="353" x14ac:dyDescent="0.35">
      <c r="A353" t="str">
        <v/>
      </c>
      <c r="B353" t="str">
        <v/>
      </c>
      <c r="C353" t="str">
        <v/>
      </c>
      <c r="D353" t="str">
        <v/>
      </c>
      <c r="E353" t="str">
        <v/>
      </c>
      <c r="F353" t="str">
        <v/>
      </c>
      <c r="G353" t="str">
        <v/>
      </c>
      <c r="H353" t="str">
        <v/>
      </c>
      <c r="I353" t="str">
        <v/>
      </c>
      <c r="J353" t="str">
        <v/>
      </c>
      <c r="K353" t="str">
        <v/>
      </c>
      <c r="L353" t="str">
        <v/>
      </c>
      <c r="M353" t="str">
        <v/>
      </c>
      <c r="N353" t="str">
        <v/>
      </c>
      <c r="O353" t="str">
        <v/>
      </c>
      <c r="P353">
        <f t="shared" si="30"/>
        <v>0</v>
      </c>
      <c r="Q353">
        <f t="shared" si="31"/>
        <v>0</v>
      </c>
      <c r="R353">
        <f t="shared" si="32"/>
        <v>0</v>
      </c>
      <c r="S353">
        <f t="shared" si="28"/>
        <v>0</v>
      </c>
      <c r="T353">
        <f t="shared" si="29"/>
        <v>0</v>
      </c>
    </row>
    <row r="354" x14ac:dyDescent="0.35">
      <c r="A354" t="str">
        <v/>
      </c>
      <c r="B354" t="str">
        <v/>
      </c>
      <c r="C354" t="str">
        <v/>
      </c>
      <c r="D354" t="str">
        <v/>
      </c>
      <c r="E354" t="str">
        <v/>
      </c>
      <c r="F354" t="str">
        <v/>
      </c>
      <c r="G354" t="str">
        <v/>
      </c>
      <c r="H354" t="str">
        <v/>
      </c>
      <c r="I354" t="str">
        <v/>
      </c>
      <c r="J354" t="str">
        <v/>
      </c>
      <c r="K354" t="str">
        <v/>
      </c>
      <c r="L354" t="str">
        <v/>
      </c>
      <c r="M354" t="str">
        <v/>
      </c>
      <c r="N354" t="str">
        <v/>
      </c>
      <c r="O354" t="str">
        <v/>
      </c>
      <c r="P354">
        <f t="shared" si="30"/>
        <v>0</v>
      </c>
      <c r="Q354">
        <f t="shared" si="31"/>
        <v>0</v>
      </c>
      <c r="R354">
        <f t="shared" si="32"/>
        <v>0</v>
      </c>
      <c r="S354">
        <f t="shared" si="28"/>
        <v>0</v>
      </c>
      <c r="T354">
        <f t="shared" si="29"/>
        <v>0</v>
      </c>
    </row>
    <row r="355" x14ac:dyDescent="0.35">
      <c r="A355" t="str">
        <v/>
      </c>
      <c r="B355" t="str">
        <v/>
      </c>
      <c r="C355" t="str">
        <v/>
      </c>
      <c r="D355" t="str">
        <v/>
      </c>
      <c r="E355" t="str">
        <v/>
      </c>
      <c r="F355" t="str">
        <v/>
      </c>
      <c r="G355" t="str">
        <v/>
      </c>
      <c r="H355" t="str">
        <v/>
      </c>
      <c r="I355" t="str">
        <v/>
      </c>
      <c r="J355" t="str">
        <v/>
      </c>
      <c r="K355" t="str">
        <v/>
      </c>
      <c r="L355" t="str">
        <v/>
      </c>
      <c r="M355" t="str">
        <v/>
      </c>
      <c r="N355" t="str">
        <v/>
      </c>
      <c r="O355" t="str">
        <v/>
      </c>
      <c r="P355">
        <f t="shared" si="30"/>
        <v>0</v>
      </c>
      <c r="Q355">
        <f t="shared" si="31"/>
        <v>0</v>
      </c>
      <c r="R355">
        <f t="shared" si="32"/>
        <v>0</v>
      </c>
      <c r="S355">
        <f t="shared" si="28"/>
        <v>0</v>
      </c>
      <c r="T355">
        <f t="shared" si="29"/>
        <v>0</v>
      </c>
    </row>
    <row r="356" x14ac:dyDescent="0.35">
      <c r="A356" t="str">
        <v/>
      </c>
      <c r="B356" t="str">
        <v/>
      </c>
      <c r="C356" t="str">
        <v/>
      </c>
      <c r="D356" t="str">
        <v/>
      </c>
      <c r="E356" t="str">
        <v/>
      </c>
      <c r="F356" t="str">
        <v/>
      </c>
      <c r="G356" t="str">
        <v/>
      </c>
      <c r="H356" t="str">
        <v/>
      </c>
      <c r="I356" t="str">
        <v/>
      </c>
      <c r="J356" t="str">
        <v/>
      </c>
      <c r="K356" t="str">
        <v/>
      </c>
      <c r="L356" t="str">
        <v/>
      </c>
      <c r="M356" t="str">
        <v/>
      </c>
      <c r="N356" t="str">
        <v/>
      </c>
      <c r="O356" t="str">
        <v/>
      </c>
      <c r="P356">
        <f t="shared" si="30"/>
        <v>0</v>
      </c>
      <c r="Q356">
        <f t="shared" si="31"/>
        <v>0</v>
      </c>
      <c r="R356">
        <f t="shared" si="32"/>
        <v>0</v>
      </c>
      <c r="S356">
        <f t="shared" si="28"/>
        <v>0</v>
      </c>
      <c r="T356">
        <f t="shared" si="29"/>
        <v>0</v>
      </c>
    </row>
    <row r="357" x14ac:dyDescent="0.35">
      <c r="A357" t="str">
        <v/>
      </c>
      <c r="B357" t="str">
        <v/>
      </c>
      <c r="C357" t="str">
        <v/>
      </c>
      <c r="D357" t="str">
        <v/>
      </c>
      <c r="E357" t="str">
        <v/>
      </c>
      <c r="F357" t="str">
        <v/>
      </c>
      <c r="G357" t="str">
        <v/>
      </c>
      <c r="H357" t="str">
        <v/>
      </c>
      <c r="I357" t="str">
        <v/>
      </c>
      <c r="J357" t="str">
        <v/>
      </c>
      <c r="K357" t="str">
        <v/>
      </c>
      <c r="L357" t="str">
        <v/>
      </c>
      <c r="M357" t="str">
        <v/>
      </c>
      <c r="N357" t="str">
        <v/>
      </c>
      <c r="O357" t="str">
        <v/>
      </c>
      <c r="P357">
        <f t="shared" si="30"/>
        <v>0</v>
      </c>
      <c r="Q357">
        <f t="shared" si="31"/>
        <v>0</v>
      </c>
      <c r="R357">
        <f t="shared" si="32"/>
        <v>0</v>
      </c>
      <c r="S357">
        <f t="shared" si="28"/>
        <v>0</v>
      </c>
      <c r="T357">
        <f t="shared" si="29"/>
        <v>0</v>
      </c>
    </row>
    <row r="358" x14ac:dyDescent="0.35">
      <c r="A358" t="str">
        <v/>
      </c>
      <c r="B358" t="str">
        <v/>
      </c>
      <c r="C358" t="str">
        <v/>
      </c>
      <c r="D358" t="str">
        <v/>
      </c>
      <c r="E358" t="str">
        <v/>
      </c>
      <c r="F358" t="str">
        <v/>
      </c>
      <c r="G358" t="str">
        <v/>
      </c>
      <c r="H358" t="str">
        <v/>
      </c>
      <c r="I358" t="str">
        <v/>
      </c>
      <c r="J358" t="str">
        <v/>
      </c>
      <c r="K358" t="str">
        <v/>
      </c>
      <c r="L358" t="str">
        <v/>
      </c>
      <c r="M358" t="str">
        <v/>
      </c>
      <c r="N358" t="str">
        <v/>
      </c>
      <c r="O358" t="str">
        <v/>
      </c>
      <c r="P358">
        <f t="shared" si="30"/>
        <v>0</v>
      </c>
      <c r="Q358">
        <f t="shared" si="31"/>
        <v>0</v>
      </c>
      <c r="R358">
        <f t="shared" si="32"/>
        <v>0</v>
      </c>
      <c r="S358">
        <f t="shared" si="28"/>
        <v>0</v>
      </c>
      <c r="T358">
        <f t="shared" si="29"/>
        <v>0</v>
      </c>
    </row>
    <row r="359" x14ac:dyDescent="0.35">
      <c r="A359" t="str">
        <v/>
      </c>
      <c r="B359" t="str">
        <v/>
      </c>
      <c r="C359" t="str">
        <v/>
      </c>
      <c r="D359" t="str">
        <v/>
      </c>
      <c r="E359" t="str">
        <v/>
      </c>
      <c r="F359" t="str">
        <v/>
      </c>
      <c r="G359" t="str">
        <v/>
      </c>
      <c r="H359" t="str">
        <v/>
      </c>
      <c r="I359" t="str">
        <v/>
      </c>
      <c r="J359" t="str">
        <v/>
      </c>
      <c r="K359" t="str">
        <v/>
      </c>
      <c r="L359" t="str">
        <v/>
      </c>
      <c r="M359" t="str">
        <v/>
      </c>
      <c r="N359" t="str">
        <v/>
      </c>
      <c r="O359" t="str">
        <v/>
      </c>
      <c r="P359">
        <f t="shared" si="30"/>
        <v>0</v>
      </c>
      <c r="Q359">
        <f t="shared" si="31"/>
        <v>0</v>
      </c>
      <c r="R359">
        <f t="shared" si="32"/>
        <v>0</v>
      </c>
      <c r="S359">
        <f t="shared" si="28"/>
        <v>0</v>
      </c>
      <c r="T359">
        <f t="shared" si="29"/>
        <v>0</v>
      </c>
    </row>
    <row r="360" x14ac:dyDescent="0.35">
      <c r="A360" t="str">
        <v/>
      </c>
      <c r="B360" t="str">
        <v/>
      </c>
      <c r="C360" t="str">
        <v/>
      </c>
      <c r="D360" t="str">
        <v/>
      </c>
      <c r="E360" t="str">
        <v/>
      </c>
      <c r="F360" t="str">
        <v/>
      </c>
      <c r="G360" t="str">
        <v/>
      </c>
      <c r="H360" t="str">
        <v/>
      </c>
      <c r="I360" t="str">
        <v/>
      </c>
      <c r="J360" t="str">
        <v/>
      </c>
      <c r="K360" t="str">
        <v/>
      </c>
      <c r="L360" t="str">
        <v/>
      </c>
      <c r="M360" t="str">
        <v/>
      </c>
      <c r="N360" t="str">
        <v/>
      </c>
      <c r="O360" t="str">
        <v/>
      </c>
      <c r="P360">
        <f t="shared" si="30"/>
        <v>0</v>
      </c>
      <c r="Q360">
        <f t="shared" si="31"/>
        <v>0</v>
      </c>
      <c r="R360">
        <f t="shared" si="32"/>
        <v>0</v>
      </c>
      <c r="S360">
        <f t="shared" si="28"/>
        <v>0</v>
      </c>
      <c r="T360">
        <f t="shared" si="29"/>
        <v>0</v>
      </c>
    </row>
    <row r="361" x14ac:dyDescent="0.35">
      <c r="A361" t="str">
        <v/>
      </c>
      <c r="B361" t="str">
        <v/>
      </c>
      <c r="C361" t="str">
        <v/>
      </c>
      <c r="D361" t="str">
        <v/>
      </c>
      <c r="E361" t="str">
        <v/>
      </c>
      <c r="F361" t="str">
        <v/>
      </c>
      <c r="G361" t="str">
        <v/>
      </c>
      <c r="H361" t="str">
        <v/>
      </c>
      <c r="I361" t="str">
        <v/>
      </c>
      <c r="J361" t="str">
        <v/>
      </c>
      <c r="K361" t="str">
        <v/>
      </c>
      <c r="L361" t="str">
        <v/>
      </c>
      <c r="M361" t="str">
        <v/>
      </c>
      <c r="N361" t="str">
        <v/>
      </c>
      <c r="O361" t="str">
        <v/>
      </c>
      <c r="P361">
        <f t="shared" si="30"/>
        <v>0</v>
      </c>
      <c r="Q361">
        <f t="shared" si="31"/>
        <v>0</v>
      </c>
      <c r="R361">
        <f t="shared" si="32"/>
        <v>0</v>
      </c>
      <c r="S361">
        <f t="shared" si="28"/>
        <v>0</v>
      </c>
      <c r="T361">
        <f t="shared" si="29"/>
        <v>0</v>
      </c>
    </row>
    <row r="362" x14ac:dyDescent="0.35">
      <c r="A362" t="str">
        <v/>
      </c>
      <c r="B362" t="str">
        <v/>
      </c>
      <c r="C362" t="str">
        <v/>
      </c>
      <c r="D362" t="str">
        <v/>
      </c>
      <c r="E362" t="str">
        <v/>
      </c>
      <c r="F362" t="str">
        <v/>
      </c>
      <c r="G362" t="str">
        <v/>
      </c>
      <c r="H362" t="str">
        <v/>
      </c>
      <c r="I362" t="str">
        <v/>
      </c>
      <c r="J362" t="str">
        <v/>
      </c>
      <c r="K362" t="str">
        <v/>
      </c>
      <c r="L362" t="str">
        <v/>
      </c>
      <c r="M362" t="str">
        <v/>
      </c>
      <c r="N362" t="str">
        <v/>
      </c>
      <c r="O362" t="str">
        <v/>
      </c>
      <c r="P362">
        <f t="shared" si="30"/>
        <v>0</v>
      </c>
      <c r="Q362">
        <f t="shared" si="31"/>
        <v>0</v>
      </c>
      <c r="R362">
        <f t="shared" si="32"/>
        <v>0</v>
      </c>
      <c r="S362">
        <f t="shared" si="28"/>
        <v>0</v>
      </c>
      <c r="T362">
        <f t="shared" si="29"/>
        <v>0</v>
      </c>
    </row>
    <row r="363" x14ac:dyDescent="0.35">
      <c r="A363" t="str">
        <v/>
      </c>
      <c r="B363" t="str">
        <v/>
      </c>
      <c r="C363" t="str">
        <v/>
      </c>
      <c r="D363" t="str">
        <v/>
      </c>
      <c r="E363" t="str">
        <v/>
      </c>
      <c r="F363" t="str">
        <v/>
      </c>
      <c r="G363" t="str">
        <v/>
      </c>
      <c r="H363" t="str">
        <v/>
      </c>
      <c r="I363" t="str">
        <v/>
      </c>
      <c r="J363" t="str">
        <v/>
      </c>
      <c r="K363" t="str">
        <v/>
      </c>
      <c r="L363" t="str">
        <v/>
      </c>
      <c r="M363" t="str">
        <v/>
      </c>
      <c r="N363" t="str">
        <v/>
      </c>
      <c r="O363" t="str">
        <v/>
      </c>
      <c r="P363">
        <f t="shared" si="30"/>
        <v>0</v>
      </c>
      <c r="Q363">
        <f t="shared" si="31"/>
        <v>0</v>
      </c>
      <c r="R363">
        <f t="shared" si="32"/>
        <v>0</v>
      </c>
      <c r="S363">
        <f t="shared" si="28"/>
        <v>0</v>
      </c>
      <c r="T363">
        <f t="shared" si="29"/>
        <v>0</v>
      </c>
    </row>
    <row r="364" x14ac:dyDescent="0.35">
      <c r="A364" t="str">
        <v/>
      </c>
      <c r="B364" t="str">
        <v/>
      </c>
      <c r="C364" t="str">
        <v/>
      </c>
      <c r="D364" t="str">
        <v/>
      </c>
      <c r="E364" t="str">
        <v/>
      </c>
      <c r="F364" t="str">
        <v/>
      </c>
      <c r="G364" t="str">
        <v/>
      </c>
      <c r="H364" t="str">
        <v/>
      </c>
      <c r="I364" t="str">
        <v/>
      </c>
      <c r="J364" t="str">
        <v/>
      </c>
      <c r="K364" t="str">
        <v/>
      </c>
      <c r="L364" t="str">
        <v/>
      </c>
      <c r="M364" t="str">
        <v/>
      </c>
      <c r="N364" t="str">
        <v/>
      </c>
      <c r="O364" t="str">
        <v/>
      </c>
      <c r="P364">
        <f t="shared" si="30"/>
        <v>0</v>
      </c>
      <c r="Q364">
        <f t="shared" si="31"/>
        <v>0</v>
      </c>
      <c r="R364">
        <f t="shared" si="32"/>
        <v>0</v>
      </c>
      <c r="S364">
        <f t="shared" si="28"/>
        <v>0</v>
      </c>
      <c r="T364">
        <f t="shared" si="29"/>
        <v>0</v>
      </c>
    </row>
    <row r="365" x14ac:dyDescent="0.35">
      <c r="A365" t="str">
        <v/>
      </c>
      <c r="B365" t="str">
        <v/>
      </c>
      <c r="C365" t="str">
        <v/>
      </c>
      <c r="D365" t="str">
        <v/>
      </c>
      <c r="E365" t="str">
        <v/>
      </c>
      <c r="F365" t="str">
        <v/>
      </c>
      <c r="G365" t="str">
        <v/>
      </c>
      <c r="H365" t="str">
        <v/>
      </c>
      <c r="I365" t="str">
        <v/>
      </c>
      <c r="J365" t="str">
        <v/>
      </c>
      <c r="K365" t="str">
        <v/>
      </c>
      <c r="L365" t="str">
        <v/>
      </c>
      <c r="M365" t="str">
        <v/>
      </c>
      <c r="N365" t="str">
        <v/>
      </c>
      <c r="O365" t="str">
        <v/>
      </c>
      <c r="P365">
        <f t="shared" si="30"/>
        <v>0</v>
      </c>
      <c r="Q365">
        <f t="shared" si="31"/>
        <v>0</v>
      </c>
      <c r="R365">
        <f t="shared" si="32"/>
        <v>0</v>
      </c>
      <c r="S365">
        <f t="shared" si="28"/>
        <v>0</v>
      </c>
      <c r="T365">
        <f t="shared" si="29"/>
        <v>0</v>
      </c>
    </row>
    <row r="366" x14ac:dyDescent="0.35">
      <c r="A366" t="str">
        <v/>
      </c>
      <c r="B366" t="str">
        <v/>
      </c>
      <c r="C366" t="str">
        <v/>
      </c>
      <c r="D366" t="str">
        <v/>
      </c>
      <c r="E366" t="str">
        <v/>
      </c>
      <c r="F366" t="str">
        <v/>
      </c>
      <c r="G366" t="str">
        <v/>
      </c>
      <c r="H366" t="str">
        <v/>
      </c>
      <c r="I366" t="str">
        <v/>
      </c>
      <c r="J366" t="str">
        <v/>
      </c>
      <c r="K366" t="str">
        <v/>
      </c>
      <c r="L366" t="str">
        <v/>
      </c>
      <c r="M366" t="str">
        <v/>
      </c>
      <c r="N366" t="str">
        <v/>
      </c>
      <c r="O366" t="str">
        <v/>
      </c>
      <c r="P366">
        <f t="shared" si="30"/>
        <v>0</v>
      </c>
      <c r="Q366">
        <f t="shared" si="31"/>
        <v>0</v>
      </c>
      <c r="R366">
        <f t="shared" si="32"/>
        <v>0</v>
      </c>
      <c r="S366">
        <f t="shared" si="28"/>
        <v>0</v>
      </c>
      <c r="T366">
        <f t="shared" si="29"/>
        <v>0</v>
      </c>
    </row>
    <row r="367" x14ac:dyDescent="0.35">
      <c r="A367" t="str">
        <v/>
      </c>
      <c r="B367" t="str">
        <v/>
      </c>
      <c r="C367" t="str">
        <v/>
      </c>
      <c r="D367" t="str">
        <v/>
      </c>
      <c r="E367" t="str">
        <v/>
      </c>
      <c r="F367" t="str">
        <v/>
      </c>
      <c r="G367" t="str">
        <v/>
      </c>
      <c r="H367" t="str">
        <v/>
      </c>
      <c r="I367" t="str">
        <v/>
      </c>
      <c r="J367" t="str">
        <v/>
      </c>
      <c r="K367" t="str">
        <v/>
      </c>
      <c r="L367" t="str">
        <v/>
      </c>
      <c r="M367" t="str">
        <v/>
      </c>
      <c r="N367" t="str">
        <v/>
      </c>
      <c r="O367" t="str">
        <v/>
      </c>
      <c r="P367">
        <f t="shared" si="30"/>
        <v>0</v>
      </c>
      <c r="Q367">
        <f t="shared" si="31"/>
        <v>0</v>
      </c>
      <c r="R367">
        <f t="shared" si="32"/>
        <v>0</v>
      </c>
      <c r="S367">
        <f t="shared" si="28"/>
        <v>0</v>
      </c>
      <c r="T367">
        <f t="shared" si="29"/>
        <v>0</v>
      </c>
    </row>
    <row r="368" x14ac:dyDescent="0.35">
      <c r="A368" t="str">
        <v/>
      </c>
      <c r="B368" t="str">
        <v/>
      </c>
      <c r="C368" t="str">
        <v/>
      </c>
      <c r="D368" t="str">
        <v/>
      </c>
      <c r="E368" t="str">
        <v/>
      </c>
      <c r="F368" t="str">
        <v/>
      </c>
      <c r="G368" t="str">
        <v/>
      </c>
      <c r="H368" t="str">
        <v/>
      </c>
      <c r="I368" t="str">
        <v/>
      </c>
      <c r="J368" t="str">
        <v/>
      </c>
      <c r="K368" t="str">
        <v/>
      </c>
      <c r="L368" t="str">
        <v/>
      </c>
      <c r="M368" t="str">
        <v/>
      </c>
      <c r="N368" t="str">
        <v/>
      </c>
      <c r="O368" t="str">
        <v/>
      </c>
      <c r="P368">
        <f t="shared" si="30"/>
        <v>0</v>
      </c>
      <c r="Q368">
        <f t="shared" si="31"/>
        <v>0</v>
      </c>
      <c r="R368">
        <f t="shared" si="32"/>
        <v>0</v>
      </c>
      <c r="S368">
        <f t="shared" si="28"/>
        <v>0</v>
      </c>
      <c r="T368">
        <f t="shared" si="29"/>
        <v>0</v>
      </c>
    </row>
    <row r="369" x14ac:dyDescent="0.35">
      <c r="A369" t="str">
        <v/>
      </c>
      <c r="B369" t="str">
        <v/>
      </c>
      <c r="C369" t="str">
        <v/>
      </c>
      <c r="D369" t="str">
        <v/>
      </c>
      <c r="E369" t="str">
        <v/>
      </c>
      <c r="F369" t="str">
        <v/>
      </c>
      <c r="G369" t="str">
        <v/>
      </c>
      <c r="H369" t="str">
        <v/>
      </c>
      <c r="I369" t="str">
        <v/>
      </c>
      <c r="J369" t="str">
        <v/>
      </c>
      <c r="K369" t="str">
        <v/>
      </c>
      <c r="L369" t="str">
        <v/>
      </c>
      <c r="M369" t="str">
        <v/>
      </c>
      <c r="N369" t="str">
        <v/>
      </c>
      <c r="O369" t="str">
        <v/>
      </c>
      <c r="P369">
        <f t="shared" si="30"/>
        <v>0</v>
      </c>
      <c r="Q369">
        <f t="shared" si="31"/>
        <v>0</v>
      </c>
      <c r="R369">
        <f t="shared" si="32"/>
        <v>0</v>
      </c>
      <c r="S369">
        <f t="shared" si="28"/>
        <v>0</v>
      </c>
      <c r="T369">
        <f t="shared" si="29"/>
        <v>0</v>
      </c>
    </row>
    <row r="370" x14ac:dyDescent="0.35">
      <c r="A370" t="str">
        <v/>
      </c>
      <c r="B370" t="str">
        <v/>
      </c>
      <c r="C370" t="str">
        <v/>
      </c>
      <c r="D370" t="str">
        <v/>
      </c>
      <c r="E370" t="str">
        <v/>
      </c>
      <c r="F370" t="str">
        <v/>
      </c>
      <c r="G370" t="str">
        <v/>
      </c>
      <c r="H370" t="str">
        <v/>
      </c>
      <c r="I370" t="str">
        <v/>
      </c>
      <c r="J370" t="str">
        <v/>
      </c>
      <c r="K370" t="str">
        <v/>
      </c>
      <c r="L370" t="str">
        <v/>
      </c>
      <c r="M370" t="str">
        <v/>
      </c>
      <c r="N370" t="str">
        <v/>
      </c>
      <c r="O370" t="str">
        <v/>
      </c>
      <c r="P370">
        <f t="shared" si="30"/>
        <v>0</v>
      </c>
      <c r="Q370">
        <f t="shared" si="31"/>
        <v>0</v>
      </c>
      <c r="R370">
        <f t="shared" si="32"/>
        <v>0</v>
      </c>
      <c r="S370">
        <f t="shared" si="28"/>
        <v>0</v>
      </c>
      <c r="T370">
        <f t="shared" si="29"/>
        <v>0</v>
      </c>
    </row>
    <row r="371" x14ac:dyDescent="0.35">
      <c r="A371" t="str">
        <v/>
      </c>
      <c r="B371" t="str">
        <v/>
      </c>
      <c r="C371" t="str">
        <v/>
      </c>
      <c r="D371" t="str">
        <v/>
      </c>
      <c r="E371" t="str">
        <v/>
      </c>
      <c r="F371" t="str">
        <v/>
      </c>
      <c r="G371" t="str">
        <v/>
      </c>
      <c r="H371" t="str">
        <v/>
      </c>
      <c r="I371" t="str">
        <v/>
      </c>
      <c r="J371" t="str">
        <v/>
      </c>
      <c r="K371" t="str">
        <v/>
      </c>
      <c r="L371" t="str">
        <v/>
      </c>
      <c r="M371" t="str">
        <v/>
      </c>
      <c r="N371" t="str">
        <v/>
      </c>
      <c r="O371" t="str">
        <v/>
      </c>
      <c r="P371">
        <f t="shared" si="30"/>
        <v>0</v>
      </c>
      <c r="Q371">
        <f t="shared" si="31"/>
        <v>0</v>
      </c>
      <c r="R371">
        <f t="shared" si="32"/>
        <v>0</v>
      </c>
      <c r="S371">
        <f t="shared" si="28"/>
        <v>0</v>
      </c>
      <c r="T371">
        <f t="shared" si="29"/>
        <v>0</v>
      </c>
    </row>
    <row r="372" x14ac:dyDescent="0.35">
      <c r="A372" t="str">
        <v/>
      </c>
      <c r="B372" t="str">
        <v/>
      </c>
      <c r="C372" t="str">
        <v/>
      </c>
      <c r="D372" t="str">
        <v/>
      </c>
      <c r="E372" t="str">
        <v/>
      </c>
      <c r="F372" t="str">
        <v/>
      </c>
      <c r="G372" t="str">
        <v/>
      </c>
      <c r="H372" t="str">
        <v/>
      </c>
      <c r="I372" t="str">
        <v/>
      </c>
      <c r="J372" t="str">
        <v/>
      </c>
      <c r="K372" t="str">
        <v/>
      </c>
      <c r="L372" t="str">
        <v/>
      </c>
      <c r="M372" t="str">
        <v/>
      </c>
      <c r="N372" t="str">
        <v/>
      </c>
      <c r="O372" t="str">
        <v/>
      </c>
      <c r="P372">
        <f t="shared" si="30"/>
        <v>0</v>
      </c>
      <c r="Q372">
        <f t="shared" si="31"/>
        <v>0</v>
      </c>
      <c r="R372">
        <f t="shared" si="32"/>
        <v>0</v>
      </c>
      <c r="S372">
        <f t="shared" si="28"/>
        <v>0</v>
      </c>
      <c r="T372">
        <f t="shared" si="29"/>
        <v>0</v>
      </c>
    </row>
    <row r="373" x14ac:dyDescent="0.35">
      <c r="A373" t="str">
        <v/>
      </c>
      <c r="B373" t="str">
        <v/>
      </c>
      <c r="C373" t="str">
        <v/>
      </c>
      <c r="D373" t="str">
        <v/>
      </c>
      <c r="E373" t="str">
        <v/>
      </c>
      <c r="F373" t="str">
        <v/>
      </c>
      <c r="G373" t="str">
        <v/>
      </c>
      <c r="H373" t="str">
        <v/>
      </c>
      <c r="I373" t="str">
        <v/>
      </c>
      <c r="J373" t="str">
        <v/>
      </c>
      <c r="K373" t="str">
        <v/>
      </c>
      <c r="L373" t="str">
        <v/>
      </c>
      <c r="M373" t="str">
        <v/>
      </c>
      <c r="N373" t="str">
        <v/>
      </c>
      <c r="O373" t="str">
        <v/>
      </c>
      <c r="P373">
        <f t="shared" si="30"/>
        <v>0</v>
      </c>
      <c r="Q373">
        <f t="shared" si="31"/>
        <v>0</v>
      </c>
      <c r="R373">
        <f t="shared" si="32"/>
        <v>0</v>
      </c>
      <c r="S373">
        <f t="shared" si="28"/>
        <v>0</v>
      </c>
      <c r="T373">
        <f t="shared" si="29"/>
        <v>0</v>
      </c>
    </row>
    <row r="374" x14ac:dyDescent="0.35">
      <c r="A374" t="str">
        <v/>
      </c>
      <c r="B374" t="str">
        <v/>
      </c>
      <c r="C374" t="str">
        <v/>
      </c>
      <c r="D374" t="str">
        <v/>
      </c>
      <c r="E374" t="str">
        <v/>
      </c>
      <c r="F374" t="str">
        <v/>
      </c>
      <c r="G374" t="str">
        <v/>
      </c>
      <c r="H374" t="str">
        <v/>
      </c>
      <c r="I374" t="str">
        <v/>
      </c>
      <c r="J374" t="str">
        <v/>
      </c>
      <c r="K374" t="str">
        <v/>
      </c>
      <c r="L374" t="str">
        <v/>
      </c>
      <c r="M374" t="str">
        <v/>
      </c>
      <c r="N374" t="str">
        <v/>
      </c>
      <c r="O374" t="str">
        <v/>
      </c>
      <c r="P374">
        <f t="shared" si="30"/>
        <v>0</v>
      </c>
      <c r="Q374">
        <f t="shared" si="31"/>
        <v>0</v>
      </c>
      <c r="R374">
        <f t="shared" si="32"/>
        <v>0</v>
      </c>
      <c r="S374">
        <f t="shared" si="28"/>
        <v>0</v>
      </c>
      <c r="T374">
        <f t="shared" si="29"/>
        <v>0</v>
      </c>
    </row>
    <row r="375" x14ac:dyDescent="0.35">
      <c r="A375" t="str">
        <v/>
      </c>
      <c r="B375" t="str">
        <v/>
      </c>
      <c r="C375" t="str">
        <v/>
      </c>
      <c r="D375" t="str">
        <v/>
      </c>
      <c r="E375" t="str">
        <v/>
      </c>
      <c r="F375" t="str">
        <v/>
      </c>
      <c r="G375" t="str">
        <v/>
      </c>
      <c r="H375" t="str">
        <v/>
      </c>
      <c r="I375" t="str">
        <v/>
      </c>
      <c r="J375" t="str">
        <v/>
      </c>
      <c r="K375" t="str">
        <v/>
      </c>
      <c r="L375" t="str">
        <v/>
      </c>
      <c r="M375" t="str">
        <v/>
      </c>
      <c r="N375" t="str">
        <v/>
      </c>
      <c r="O375" t="str">
        <v/>
      </c>
      <c r="P375">
        <f t="shared" si="30"/>
        <v>0</v>
      </c>
      <c r="Q375">
        <f t="shared" si="31"/>
        <v>0</v>
      </c>
      <c r="R375">
        <f t="shared" si="32"/>
        <v>0</v>
      </c>
      <c r="S375">
        <f t="shared" si="28"/>
        <v>0</v>
      </c>
      <c r="T375">
        <f t="shared" si="29"/>
        <v>0</v>
      </c>
    </row>
    <row r="376" x14ac:dyDescent="0.35">
      <c r="A376" t="str">
        <v/>
      </c>
      <c r="B376" t="str">
        <v/>
      </c>
      <c r="C376" t="str">
        <v/>
      </c>
      <c r="D376" t="str">
        <v/>
      </c>
      <c r="E376" t="str">
        <v/>
      </c>
      <c r="F376" t="str">
        <v/>
      </c>
      <c r="G376" t="str">
        <v/>
      </c>
      <c r="H376" t="str">
        <v/>
      </c>
      <c r="I376" t="str">
        <v/>
      </c>
      <c r="J376" t="str">
        <v/>
      </c>
      <c r="K376" t="str">
        <v/>
      </c>
      <c r="L376" t="str">
        <v/>
      </c>
      <c r="M376" t="str">
        <v/>
      </c>
      <c r="N376" t="str">
        <v/>
      </c>
      <c r="O376" t="str">
        <v/>
      </c>
      <c r="P376">
        <f t="shared" si="30"/>
        <v>0</v>
      </c>
      <c r="Q376">
        <f t="shared" si="31"/>
        <v>0</v>
      </c>
      <c r="R376">
        <f t="shared" si="32"/>
        <v>0</v>
      </c>
      <c r="S376">
        <f t="shared" si="28"/>
        <v>0</v>
      </c>
      <c r="T376">
        <f t="shared" si="29"/>
        <v>0</v>
      </c>
    </row>
    <row r="377" x14ac:dyDescent="0.35">
      <c r="A377" t="str">
        <v/>
      </c>
      <c r="B377" t="str">
        <v/>
      </c>
      <c r="C377" t="str">
        <v/>
      </c>
      <c r="D377" t="str">
        <v/>
      </c>
      <c r="E377" t="str">
        <v/>
      </c>
      <c r="F377" t="str">
        <v/>
      </c>
      <c r="G377" t="str">
        <v/>
      </c>
      <c r="H377" t="str">
        <v/>
      </c>
      <c r="I377" t="str">
        <v/>
      </c>
      <c r="J377" t="str">
        <v/>
      </c>
      <c r="K377" t="str">
        <v/>
      </c>
      <c r="L377" t="str">
        <v/>
      </c>
      <c r="M377" t="str">
        <v/>
      </c>
      <c r="N377" t="str">
        <v/>
      </c>
      <c r="O377" t="str">
        <v/>
      </c>
      <c r="P377">
        <f t="shared" si="30"/>
        <v>0</v>
      </c>
      <c r="Q377">
        <f t="shared" si="31"/>
        <v>0</v>
      </c>
      <c r="R377">
        <f t="shared" si="32"/>
        <v>0</v>
      </c>
      <c r="S377">
        <f t="shared" si="28"/>
        <v>0</v>
      </c>
      <c r="T377">
        <f t="shared" si="29"/>
        <v>0</v>
      </c>
    </row>
    <row r="378" x14ac:dyDescent="0.35">
      <c r="A378" t="str">
        <v/>
      </c>
      <c r="B378" t="str">
        <v/>
      </c>
      <c r="C378" t="str">
        <v/>
      </c>
      <c r="D378" t="str">
        <v/>
      </c>
      <c r="E378" t="str">
        <v/>
      </c>
      <c r="F378" t="str">
        <v/>
      </c>
      <c r="G378" t="str">
        <v/>
      </c>
      <c r="H378" t="str">
        <v/>
      </c>
      <c r="I378" t="str">
        <v/>
      </c>
      <c r="J378" t="str">
        <v/>
      </c>
      <c r="K378" t="str">
        <v/>
      </c>
      <c r="L378" t="str">
        <v/>
      </c>
      <c r="M378" t="str">
        <v/>
      </c>
      <c r="N378" t="str">
        <v/>
      </c>
      <c r="O378" t="str">
        <v/>
      </c>
      <c r="P378">
        <f t="shared" si="30"/>
        <v>0</v>
      </c>
      <c r="Q378">
        <f t="shared" si="31"/>
        <v>0</v>
      </c>
      <c r="R378">
        <f t="shared" si="32"/>
        <v>0</v>
      </c>
      <c r="S378">
        <f t="shared" si="28"/>
        <v>0</v>
      </c>
      <c r="T378">
        <f t="shared" si="29"/>
        <v>0</v>
      </c>
    </row>
    <row r="379" x14ac:dyDescent="0.35">
      <c r="A379" t="str">
        <v/>
      </c>
      <c r="B379" t="str">
        <v/>
      </c>
      <c r="C379" t="str">
        <v/>
      </c>
      <c r="D379" t="str">
        <v/>
      </c>
      <c r="E379" t="str">
        <v/>
      </c>
      <c r="F379" t="str">
        <v/>
      </c>
      <c r="G379" t="str">
        <v/>
      </c>
      <c r="H379" t="str">
        <v/>
      </c>
      <c r="I379" t="str">
        <v/>
      </c>
      <c r="J379" t="str">
        <v/>
      </c>
      <c r="K379" t="str">
        <v/>
      </c>
      <c r="L379" t="str">
        <v/>
      </c>
      <c r="M379" t="str">
        <v/>
      </c>
      <c r="N379" t="str">
        <v/>
      </c>
      <c r="O379" t="str">
        <v/>
      </c>
      <c r="P379">
        <f t="shared" si="30"/>
        <v>0</v>
      </c>
      <c r="Q379">
        <f t="shared" si="31"/>
        <v>0</v>
      </c>
      <c r="R379">
        <f t="shared" si="32"/>
        <v>0</v>
      </c>
      <c r="S379">
        <f t="shared" si="28"/>
        <v>0</v>
      </c>
      <c r="T379">
        <f t="shared" si="29"/>
        <v>0</v>
      </c>
    </row>
    <row r="380" x14ac:dyDescent="0.35">
      <c r="A380" t="str">
        <v/>
      </c>
      <c r="B380" t="str">
        <v/>
      </c>
      <c r="C380" t="str">
        <v/>
      </c>
      <c r="D380" t="str">
        <v/>
      </c>
      <c r="E380" t="str">
        <v/>
      </c>
      <c r="F380" t="str">
        <v/>
      </c>
      <c r="G380" t="str">
        <v/>
      </c>
      <c r="H380" t="str">
        <v/>
      </c>
      <c r="I380" t="str">
        <v/>
      </c>
      <c r="J380" t="str">
        <v/>
      </c>
      <c r="K380" t="str">
        <v/>
      </c>
      <c r="L380" t="str">
        <v/>
      </c>
      <c r="M380" t="str">
        <v/>
      </c>
      <c r="N380" t="str">
        <v/>
      </c>
      <c r="O380" t="str">
        <v/>
      </c>
      <c r="P380">
        <f t="shared" si="30"/>
        <v>0</v>
      </c>
      <c r="Q380">
        <f t="shared" si="31"/>
        <v>0</v>
      </c>
      <c r="R380">
        <f t="shared" si="32"/>
        <v>0</v>
      </c>
      <c r="S380">
        <f t="shared" si="28"/>
        <v>0</v>
      </c>
      <c r="T380">
        <f t="shared" si="29"/>
        <v>0</v>
      </c>
    </row>
    <row r="381" x14ac:dyDescent="0.35">
      <c r="A381" t="str">
        <v/>
      </c>
      <c r="B381" t="str">
        <v/>
      </c>
      <c r="C381" t="str">
        <v/>
      </c>
      <c r="D381" t="str">
        <v/>
      </c>
      <c r="E381" t="str">
        <v/>
      </c>
      <c r="F381" t="str">
        <v/>
      </c>
      <c r="G381" t="str">
        <v/>
      </c>
      <c r="H381" t="str">
        <v/>
      </c>
      <c r="I381" t="str">
        <v/>
      </c>
      <c r="J381" t="str">
        <v/>
      </c>
      <c r="K381" t="str">
        <v/>
      </c>
      <c r="L381" t="str">
        <v/>
      </c>
      <c r="M381" t="str">
        <v/>
      </c>
      <c r="N381" t="str">
        <v/>
      </c>
      <c r="O381" t="str">
        <v/>
      </c>
      <c r="P381">
        <f t="shared" si="30"/>
        <v>0</v>
      </c>
      <c r="Q381">
        <f t="shared" si="31"/>
        <v>0</v>
      </c>
      <c r="R381">
        <f t="shared" si="32"/>
        <v>0</v>
      </c>
      <c r="S381">
        <f t="shared" si="28"/>
        <v>0</v>
      </c>
      <c r="T381">
        <f t="shared" si="29"/>
        <v>0</v>
      </c>
    </row>
    <row r="382" x14ac:dyDescent="0.35">
      <c r="A382" t="str">
        <v/>
      </c>
      <c r="B382" t="str">
        <v/>
      </c>
      <c r="C382" t="str">
        <v/>
      </c>
      <c r="D382" t="str">
        <v/>
      </c>
      <c r="E382" t="str">
        <v/>
      </c>
      <c r="F382" t="str">
        <v/>
      </c>
      <c r="G382" t="str">
        <v/>
      </c>
      <c r="H382" t="str">
        <v/>
      </c>
      <c r="I382" t="str">
        <v/>
      </c>
      <c r="J382" t="str">
        <v/>
      </c>
      <c r="K382" t="str">
        <v/>
      </c>
      <c r="L382" t="str">
        <v/>
      </c>
      <c r="M382" t="str">
        <v/>
      </c>
      <c r="N382" t="str">
        <v/>
      </c>
      <c r="O382" t="str">
        <v/>
      </c>
      <c r="P382">
        <f t="shared" si="30"/>
        <v>0</v>
      </c>
      <c r="Q382">
        <f t="shared" si="31"/>
        <v>0</v>
      </c>
      <c r="R382">
        <f t="shared" si="32"/>
        <v>0</v>
      </c>
      <c r="S382">
        <f t="shared" si="28"/>
        <v>0</v>
      </c>
      <c r="T382">
        <f t="shared" si="29"/>
        <v>0</v>
      </c>
    </row>
    <row r="383" x14ac:dyDescent="0.35">
      <c r="A383" t="str">
        <v/>
      </c>
      <c r="B383" t="str">
        <v/>
      </c>
      <c r="C383" t="str">
        <v/>
      </c>
      <c r="D383" t="str">
        <v/>
      </c>
      <c r="E383" t="str">
        <v/>
      </c>
      <c r="F383" t="str">
        <v/>
      </c>
      <c r="G383" t="str">
        <v/>
      </c>
      <c r="H383" t="str">
        <v/>
      </c>
      <c r="I383" t="str">
        <v/>
      </c>
      <c r="J383" t="str">
        <v/>
      </c>
      <c r="K383" t="str">
        <v/>
      </c>
      <c r="L383" t="str">
        <v/>
      </c>
      <c r="M383" t="str">
        <v/>
      </c>
      <c r="N383" t="str">
        <v/>
      </c>
      <c r="O383" t="str">
        <v/>
      </c>
      <c r="P383">
        <f t="shared" si="30"/>
        <v>0</v>
      </c>
      <c r="Q383">
        <f t="shared" si="31"/>
        <v>0</v>
      </c>
      <c r="R383">
        <f t="shared" si="32"/>
        <v>0</v>
      </c>
      <c r="S383">
        <f t="shared" si="28"/>
        <v>0</v>
      </c>
      <c r="T383">
        <f t="shared" si="29"/>
        <v>0</v>
      </c>
    </row>
    <row r="384" x14ac:dyDescent="0.35">
      <c r="A384" t="str">
        <v/>
      </c>
      <c r="B384" t="str">
        <v/>
      </c>
      <c r="C384" t="str">
        <v/>
      </c>
      <c r="D384" t="str">
        <v/>
      </c>
      <c r="E384" t="str">
        <v/>
      </c>
      <c r="F384" t="str">
        <v/>
      </c>
      <c r="G384" t="str">
        <v/>
      </c>
      <c r="H384" t="str">
        <v/>
      </c>
      <c r="I384" t="str">
        <v/>
      </c>
      <c r="J384" t="str">
        <v/>
      </c>
      <c r="K384" t="str">
        <v/>
      </c>
      <c r="L384" t="str">
        <v/>
      </c>
      <c r="M384" t="str">
        <v/>
      </c>
      <c r="N384" t="str">
        <v/>
      </c>
      <c r="O384" t="str">
        <v/>
      </c>
      <c r="P384">
        <f t="shared" si="30"/>
        <v>0</v>
      </c>
      <c r="Q384">
        <f t="shared" si="31"/>
        <v>0</v>
      </c>
      <c r="R384">
        <f t="shared" si="32"/>
        <v>0</v>
      </c>
      <c r="S384">
        <f t="shared" si="28"/>
        <v>0</v>
      </c>
      <c r="T384">
        <f t="shared" si="29"/>
        <v>0</v>
      </c>
    </row>
    <row r="385" x14ac:dyDescent="0.35">
      <c r="A385" t="str">
        <v/>
      </c>
      <c r="B385" t="str">
        <v/>
      </c>
      <c r="C385" t="str">
        <v/>
      </c>
      <c r="D385" t="str">
        <v/>
      </c>
      <c r="E385" t="str">
        <v/>
      </c>
      <c r="F385" t="str">
        <v/>
      </c>
      <c r="G385" t="str">
        <v/>
      </c>
      <c r="H385" t="str">
        <v/>
      </c>
      <c r="I385" t="str">
        <v/>
      </c>
      <c r="J385" t="str">
        <v/>
      </c>
      <c r="K385" t="str">
        <v/>
      </c>
      <c r="L385" t="str">
        <v/>
      </c>
      <c r="M385" t="str">
        <v/>
      </c>
      <c r="N385" t="str">
        <v/>
      </c>
      <c r="O385" t="str">
        <v/>
      </c>
      <c r="P385">
        <f t="shared" si="30"/>
        <v>0</v>
      </c>
      <c r="Q385">
        <f t="shared" si="31"/>
        <v>0</v>
      </c>
      <c r="R385">
        <f t="shared" si="32"/>
        <v>0</v>
      </c>
      <c r="S385">
        <f t="shared" si="28"/>
        <v>0</v>
      </c>
      <c r="T385">
        <f t="shared" si="29"/>
        <v>0</v>
      </c>
    </row>
    <row r="386" x14ac:dyDescent="0.35">
      <c r="A386" t="str">
        <v/>
      </c>
      <c r="B386" t="str">
        <v/>
      </c>
      <c r="C386" t="str">
        <v/>
      </c>
      <c r="D386" t="str">
        <v/>
      </c>
      <c r="E386" t="str">
        <v/>
      </c>
      <c r="F386" t="str">
        <v/>
      </c>
      <c r="G386" t="str">
        <v/>
      </c>
      <c r="H386" t="str">
        <v/>
      </c>
      <c r="I386" t="str">
        <v/>
      </c>
      <c r="J386" t="str">
        <v/>
      </c>
      <c r="K386" t="str">
        <v/>
      </c>
      <c r="L386" t="str">
        <v/>
      </c>
      <c r="M386" t="str">
        <v/>
      </c>
      <c r="N386" t="str">
        <v/>
      </c>
      <c r="O386" t="str">
        <v/>
      </c>
      <c r="P386">
        <f t="shared" si="30"/>
        <v>0</v>
      </c>
      <c r="Q386">
        <f t="shared" si="31"/>
        <v>0</v>
      </c>
      <c r="R386">
        <f t="shared" si="32"/>
        <v>0</v>
      </c>
      <c r="S386">
        <f t="shared" si="28"/>
        <v>0</v>
      </c>
      <c r="T386">
        <f t="shared" si="29"/>
        <v>0</v>
      </c>
    </row>
    <row r="387" x14ac:dyDescent="0.35">
      <c r="A387" t="str">
        <v/>
      </c>
      <c r="B387" t="str">
        <v/>
      </c>
      <c r="C387" t="str">
        <v/>
      </c>
      <c r="D387" t="str">
        <v/>
      </c>
      <c r="E387" t="str">
        <v/>
      </c>
      <c r="F387" t="str">
        <v/>
      </c>
      <c r="G387" t="str">
        <v/>
      </c>
      <c r="H387" t="str">
        <v/>
      </c>
      <c r="I387" t="str">
        <v/>
      </c>
      <c r="J387" t="str">
        <v/>
      </c>
      <c r="K387" t="str">
        <v/>
      </c>
      <c r="L387" t="str">
        <v/>
      </c>
      <c r="M387" t="str">
        <v/>
      </c>
      <c r="N387" t="str">
        <v/>
      </c>
      <c r="O387" t="str">
        <v/>
      </c>
      <c r="P387">
        <f t="shared" si="30"/>
        <v>0</v>
      </c>
      <c r="Q387">
        <f t="shared" si="31"/>
        <v>0</v>
      </c>
      <c r="R387">
        <f t="shared" si="32"/>
        <v>0</v>
      </c>
      <c r="S387">
        <f t="shared" ref="S387:S450" si="33">IF(J387="Realizada completa",1,0)</f>
        <v>0</v>
      </c>
      <c r="T387">
        <f t="shared" ref="T387:T450" si="34">IF(J387="Sin respuesta",1,0)</f>
        <v>0</v>
      </c>
    </row>
    <row r="388" x14ac:dyDescent="0.35">
      <c r="A388" t="str">
        <v/>
      </c>
      <c r="B388" t="str">
        <v/>
      </c>
      <c r="C388" t="str">
        <v/>
      </c>
      <c r="D388" t="str">
        <v/>
      </c>
      <c r="E388" t="str">
        <v/>
      </c>
      <c r="F388" t="str">
        <v/>
      </c>
      <c r="G388" t="str">
        <v/>
      </c>
      <c r="H388" t="str">
        <v/>
      </c>
      <c r="I388" t="str">
        <v/>
      </c>
      <c r="J388" t="str">
        <v/>
      </c>
      <c r="K388" t="str">
        <v/>
      </c>
      <c r="L388" t="str">
        <v/>
      </c>
      <c r="M388" t="str">
        <v/>
      </c>
      <c r="N388" t="str">
        <v/>
      </c>
      <c r="O388" t="str">
        <v/>
      </c>
      <c r="P388">
        <f t="shared" ref="P388:P451" si="35">IF(F388="Sí",1,0)</f>
        <v>0</v>
      </c>
      <c r="Q388">
        <f t="shared" ref="Q388:Q451" si="36">IF(J388="En coordinación",1,0)</f>
        <v>0</v>
      </c>
      <c r="R388">
        <f t="shared" ref="R388:R451" si="37">IF(J388="En coordinación",1,0)</f>
        <v>0</v>
      </c>
      <c r="S388">
        <f t="shared" si="33"/>
        <v>0</v>
      </c>
      <c r="T388">
        <f t="shared" si="34"/>
        <v>0</v>
      </c>
    </row>
    <row r="389" x14ac:dyDescent="0.35">
      <c r="A389" t="str">
        <v/>
      </c>
      <c r="B389" t="str">
        <v/>
      </c>
      <c r="C389" t="str">
        <v/>
      </c>
      <c r="D389" t="str">
        <v/>
      </c>
      <c r="E389" t="str">
        <v/>
      </c>
      <c r="F389" t="str">
        <v/>
      </c>
      <c r="G389" t="str">
        <v/>
      </c>
      <c r="H389" t="str">
        <v/>
      </c>
      <c r="I389" t="str">
        <v/>
      </c>
      <c r="J389" t="str">
        <v/>
      </c>
      <c r="K389" t="str">
        <v/>
      </c>
      <c r="L389" t="str">
        <v/>
      </c>
      <c r="M389" t="str">
        <v/>
      </c>
      <c r="N389" t="str">
        <v/>
      </c>
      <c r="O389" t="str">
        <v/>
      </c>
      <c r="P389">
        <f t="shared" si="35"/>
        <v>0</v>
      </c>
      <c r="Q389">
        <f t="shared" si="36"/>
        <v>0</v>
      </c>
      <c r="R389">
        <f t="shared" si="37"/>
        <v>0</v>
      </c>
      <c r="S389">
        <f t="shared" si="33"/>
        <v>0</v>
      </c>
      <c r="T389">
        <f t="shared" si="34"/>
        <v>0</v>
      </c>
    </row>
    <row r="390" x14ac:dyDescent="0.35">
      <c r="A390" t="str">
        <v/>
      </c>
      <c r="B390" t="str">
        <v/>
      </c>
      <c r="C390" t="str">
        <v/>
      </c>
      <c r="D390" t="str">
        <v/>
      </c>
      <c r="E390" t="str">
        <v/>
      </c>
      <c r="F390" t="str">
        <v/>
      </c>
      <c r="G390" t="str">
        <v/>
      </c>
      <c r="H390" t="str">
        <v/>
      </c>
      <c r="I390" t="str">
        <v/>
      </c>
      <c r="J390" t="str">
        <v/>
      </c>
      <c r="K390" t="str">
        <v/>
      </c>
      <c r="L390" t="str">
        <v/>
      </c>
      <c r="M390" t="str">
        <v/>
      </c>
      <c r="N390" t="str">
        <v/>
      </c>
      <c r="O390" t="str">
        <v/>
      </c>
      <c r="P390">
        <f t="shared" si="35"/>
        <v>0</v>
      </c>
      <c r="Q390">
        <f t="shared" si="36"/>
        <v>0</v>
      </c>
      <c r="R390">
        <f t="shared" si="37"/>
        <v>0</v>
      </c>
      <c r="S390">
        <f t="shared" si="33"/>
        <v>0</v>
      </c>
      <c r="T390">
        <f t="shared" si="34"/>
        <v>0</v>
      </c>
    </row>
    <row r="391" x14ac:dyDescent="0.35">
      <c r="A391" t="str">
        <v/>
      </c>
      <c r="B391" t="str">
        <v/>
      </c>
      <c r="C391" t="str">
        <v/>
      </c>
      <c r="D391" t="str">
        <v/>
      </c>
      <c r="E391" t="str">
        <v/>
      </c>
      <c r="F391" t="str">
        <v/>
      </c>
      <c r="G391" t="str">
        <v/>
      </c>
      <c r="H391" t="str">
        <v/>
      </c>
      <c r="I391" t="str">
        <v/>
      </c>
      <c r="J391" t="str">
        <v/>
      </c>
      <c r="K391" t="str">
        <v/>
      </c>
      <c r="L391" t="str">
        <v/>
      </c>
      <c r="M391" t="str">
        <v/>
      </c>
      <c r="N391" t="str">
        <v/>
      </c>
      <c r="O391" t="str">
        <v/>
      </c>
      <c r="P391">
        <f t="shared" si="35"/>
        <v>0</v>
      </c>
      <c r="Q391">
        <f t="shared" si="36"/>
        <v>0</v>
      </c>
      <c r="R391">
        <f t="shared" si="37"/>
        <v>0</v>
      </c>
      <c r="S391">
        <f t="shared" si="33"/>
        <v>0</v>
      </c>
      <c r="T391">
        <f t="shared" si="34"/>
        <v>0</v>
      </c>
    </row>
    <row r="392" x14ac:dyDescent="0.35">
      <c r="A392" t="str">
        <v/>
      </c>
      <c r="B392" t="str">
        <v/>
      </c>
      <c r="C392" t="str">
        <v/>
      </c>
      <c r="D392" t="str">
        <v/>
      </c>
      <c r="E392" t="str">
        <v/>
      </c>
      <c r="F392" t="str">
        <v/>
      </c>
      <c r="G392" t="str">
        <v/>
      </c>
      <c r="H392" t="str">
        <v/>
      </c>
      <c r="I392" t="str">
        <v/>
      </c>
      <c r="J392" t="str">
        <v/>
      </c>
      <c r="K392" t="str">
        <v/>
      </c>
      <c r="L392" t="str">
        <v/>
      </c>
      <c r="M392" t="str">
        <v/>
      </c>
      <c r="N392" t="str">
        <v/>
      </c>
      <c r="O392" t="str">
        <v/>
      </c>
      <c r="P392">
        <f t="shared" si="35"/>
        <v>0</v>
      </c>
      <c r="Q392">
        <f t="shared" si="36"/>
        <v>0</v>
      </c>
      <c r="R392">
        <f t="shared" si="37"/>
        <v>0</v>
      </c>
      <c r="S392">
        <f t="shared" si="33"/>
        <v>0</v>
      </c>
      <c r="T392">
        <f t="shared" si="34"/>
        <v>0</v>
      </c>
    </row>
    <row r="393" x14ac:dyDescent="0.35">
      <c r="A393" t="str">
        <v/>
      </c>
      <c r="B393" t="str">
        <v/>
      </c>
      <c r="C393" t="str">
        <v/>
      </c>
      <c r="D393" t="str">
        <v/>
      </c>
      <c r="E393" t="str">
        <v/>
      </c>
      <c r="F393" t="str">
        <v/>
      </c>
      <c r="G393" t="str">
        <v/>
      </c>
      <c r="H393" t="str">
        <v/>
      </c>
      <c r="I393" t="str">
        <v/>
      </c>
      <c r="J393" t="str">
        <v/>
      </c>
      <c r="K393" t="str">
        <v/>
      </c>
      <c r="L393" t="str">
        <v/>
      </c>
      <c r="M393" t="str">
        <v/>
      </c>
      <c r="N393" t="str">
        <v/>
      </c>
      <c r="O393" t="str">
        <v/>
      </c>
      <c r="P393">
        <f t="shared" si="35"/>
        <v>0</v>
      </c>
      <c r="Q393">
        <f t="shared" si="36"/>
        <v>0</v>
      </c>
      <c r="R393">
        <f t="shared" si="37"/>
        <v>0</v>
      </c>
      <c r="S393">
        <f t="shared" si="33"/>
        <v>0</v>
      </c>
      <c r="T393">
        <f t="shared" si="34"/>
        <v>0</v>
      </c>
    </row>
    <row r="394" x14ac:dyDescent="0.35">
      <c r="A394" t="str">
        <v/>
      </c>
      <c r="B394" t="str">
        <v/>
      </c>
      <c r="C394" t="str">
        <v/>
      </c>
      <c r="D394" t="str">
        <v/>
      </c>
      <c r="E394" t="str">
        <v/>
      </c>
      <c r="F394" t="str">
        <v/>
      </c>
      <c r="G394" t="str">
        <v/>
      </c>
      <c r="H394" t="str">
        <v/>
      </c>
      <c r="I394" t="str">
        <v/>
      </c>
      <c r="J394" t="str">
        <v/>
      </c>
      <c r="K394" t="str">
        <v/>
      </c>
      <c r="L394" t="str">
        <v/>
      </c>
      <c r="M394" t="str">
        <v/>
      </c>
      <c r="N394" t="str">
        <v/>
      </c>
      <c r="O394" t="str">
        <v/>
      </c>
      <c r="P394">
        <f t="shared" si="35"/>
        <v>0</v>
      </c>
      <c r="Q394">
        <f t="shared" si="36"/>
        <v>0</v>
      </c>
      <c r="R394">
        <f t="shared" si="37"/>
        <v>0</v>
      </c>
      <c r="S394">
        <f t="shared" si="33"/>
        <v>0</v>
      </c>
      <c r="T394">
        <f t="shared" si="34"/>
        <v>0</v>
      </c>
    </row>
    <row r="395" x14ac:dyDescent="0.35">
      <c r="A395" t="str">
        <v/>
      </c>
      <c r="B395" t="str">
        <v/>
      </c>
      <c r="C395" t="str">
        <v/>
      </c>
      <c r="D395" t="str">
        <v/>
      </c>
      <c r="E395" t="str">
        <v/>
      </c>
      <c r="F395" t="str">
        <v/>
      </c>
      <c r="G395" t="str">
        <v/>
      </c>
      <c r="H395" t="str">
        <v/>
      </c>
      <c r="I395" t="str">
        <v/>
      </c>
      <c r="J395" t="str">
        <v/>
      </c>
      <c r="K395" t="str">
        <v/>
      </c>
      <c r="L395" t="str">
        <v/>
      </c>
      <c r="M395" t="str">
        <v/>
      </c>
      <c r="N395" t="str">
        <v/>
      </c>
      <c r="O395" t="str">
        <v/>
      </c>
      <c r="P395">
        <f t="shared" si="35"/>
        <v>0</v>
      </c>
      <c r="Q395">
        <f t="shared" si="36"/>
        <v>0</v>
      </c>
      <c r="R395">
        <f t="shared" si="37"/>
        <v>0</v>
      </c>
      <c r="S395">
        <f t="shared" si="33"/>
        <v>0</v>
      </c>
      <c r="T395">
        <f t="shared" si="34"/>
        <v>0</v>
      </c>
    </row>
    <row r="396" x14ac:dyDescent="0.35">
      <c r="A396" t="str">
        <v/>
      </c>
      <c r="B396" t="str">
        <v/>
      </c>
      <c r="C396" t="str">
        <v/>
      </c>
      <c r="D396" t="str">
        <v/>
      </c>
      <c r="E396" t="str">
        <v/>
      </c>
      <c r="F396" t="str">
        <v/>
      </c>
      <c r="G396" t="str">
        <v/>
      </c>
      <c r="H396" t="str">
        <v/>
      </c>
      <c r="I396" t="str">
        <v/>
      </c>
      <c r="J396" t="str">
        <v/>
      </c>
      <c r="K396" t="str">
        <v/>
      </c>
      <c r="L396" t="str">
        <v/>
      </c>
      <c r="M396" t="str">
        <v/>
      </c>
      <c r="N396" t="str">
        <v/>
      </c>
      <c r="O396" t="str">
        <v/>
      </c>
      <c r="P396">
        <f t="shared" si="35"/>
        <v>0</v>
      </c>
      <c r="Q396">
        <f t="shared" si="36"/>
        <v>0</v>
      </c>
      <c r="R396">
        <f t="shared" si="37"/>
        <v>0</v>
      </c>
      <c r="S396">
        <f t="shared" si="33"/>
        <v>0</v>
      </c>
      <c r="T396">
        <f t="shared" si="34"/>
        <v>0</v>
      </c>
    </row>
    <row r="397" x14ac:dyDescent="0.35">
      <c r="A397" t="str">
        <v/>
      </c>
      <c r="B397" t="str">
        <v/>
      </c>
      <c r="C397" t="str">
        <v/>
      </c>
      <c r="D397" t="str">
        <v/>
      </c>
      <c r="E397" t="str">
        <v/>
      </c>
      <c r="F397" t="str">
        <v/>
      </c>
      <c r="G397" t="str">
        <v/>
      </c>
      <c r="H397" t="str">
        <v/>
      </c>
      <c r="I397" t="str">
        <v/>
      </c>
      <c r="J397" t="str">
        <v/>
      </c>
      <c r="K397" t="str">
        <v/>
      </c>
      <c r="L397" t="str">
        <v/>
      </c>
      <c r="M397" t="str">
        <v/>
      </c>
      <c r="N397" t="str">
        <v/>
      </c>
      <c r="O397" t="str">
        <v/>
      </c>
      <c r="P397">
        <f t="shared" si="35"/>
        <v>0</v>
      </c>
      <c r="Q397">
        <f t="shared" si="36"/>
        <v>0</v>
      </c>
      <c r="R397">
        <f t="shared" si="37"/>
        <v>0</v>
      </c>
      <c r="S397">
        <f t="shared" si="33"/>
        <v>0</v>
      </c>
      <c r="T397">
        <f t="shared" si="34"/>
        <v>0</v>
      </c>
    </row>
    <row r="398" x14ac:dyDescent="0.35">
      <c r="A398" t="str">
        <v/>
      </c>
      <c r="B398" t="str">
        <v/>
      </c>
      <c r="C398" t="str">
        <v/>
      </c>
      <c r="D398" t="str">
        <v/>
      </c>
      <c r="E398" t="str">
        <v/>
      </c>
      <c r="F398" t="str">
        <v/>
      </c>
      <c r="G398" t="str">
        <v/>
      </c>
      <c r="H398" t="str">
        <v/>
      </c>
      <c r="I398" t="str">
        <v/>
      </c>
      <c r="J398" t="str">
        <v/>
      </c>
      <c r="K398" t="str">
        <v/>
      </c>
      <c r="L398" t="str">
        <v/>
      </c>
      <c r="M398" t="str">
        <v/>
      </c>
      <c r="N398" t="str">
        <v/>
      </c>
      <c r="O398" t="str">
        <v/>
      </c>
      <c r="P398">
        <f t="shared" si="35"/>
        <v>0</v>
      </c>
      <c r="Q398">
        <f t="shared" si="36"/>
        <v>0</v>
      </c>
      <c r="R398">
        <f t="shared" si="37"/>
        <v>0</v>
      </c>
      <c r="S398">
        <f t="shared" si="33"/>
        <v>0</v>
      </c>
      <c r="T398">
        <f t="shared" si="34"/>
        <v>0</v>
      </c>
    </row>
    <row r="399" x14ac:dyDescent="0.35">
      <c r="A399" t="str">
        <v/>
      </c>
      <c r="B399" t="str">
        <v/>
      </c>
      <c r="C399" t="str">
        <v/>
      </c>
      <c r="D399" t="str">
        <v/>
      </c>
      <c r="E399" t="str">
        <v/>
      </c>
      <c r="F399" t="str">
        <v/>
      </c>
      <c r="G399" t="str">
        <v/>
      </c>
      <c r="H399" t="str">
        <v/>
      </c>
      <c r="I399" t="str">
        <v/>
      </c>
      <c r="J399" t="str">
        <v/>
      </c>
      <c r="K399" t="str">
        <v/>
      </c>
      <c r="L399" t="str">
        <v/>
      </c>
      <c r="M399" t="str">
        <v/>
      </c>
      <c r="N399" t="str">
        <v/>
      </c>
      <c r="O399" t="str">
        <v/>
      </c>
      <c r="P399">
        <f t="shared" si="35"/>
        <v>0</v>
      </c>
      <c r="Q399">
        <f t="shared" si="36"/>
        <v>0</v>
      </c>
      <c r="R399">
        <f t="shared" si="37"/>
        <v>0</v>
      </c>
      <c r="S399">
        <f t="shared" si="33"/>
        <v>0</v>
      </c>
      <c r="T399">
        <f t="shared" si="34"/>
        <v>0</v>
      </c>
    </row>
    <row r="400" x14ac:dyDescent="0.35">
      <c r="A400" t="str">
        <v/>
      </c>
      <c r="B400" t="str">
        <v/>
      </c>
      <c r="C400" t="str">
        <v/>
      </c>
      <c r="D400" t="str">
        <v/>
      </c>
      <c r="E400" t="str">
        <v/>
      </c>
      <c r="F400" t="str">
        <v/>
      </c>
      <c r="G400" t="str">
        <v/>
      </c>
      <c r="H400" t="str">
        <v/>
      </c>
      <c r="I400" t="str">
        <v/>
      </c>
      <c r="J400" t="str">
        <v/>
      </c>
      <c r="K400" t="str">
        <v/>
      </c>
      <c r="L400" t="str">
        <v/>
      </c>
      <c r="M400" t="str">
        <v/>
      </c>
      <c r="N400" t="str">
        <v/>
      </c>
      <c r="O400" t="str">
        <v/>
      </c>
      <c r="P400">
        <f t="shared" si="35"/>
        <v>0</v>
      </c>
      <c r="Q400">
        <f t="shared" si="36"/>
        <v>0</v>
      </c>
      <c r="R400">
        <f t="shared" si="37"/>
        <v>0</v>
      </c>
      <c r="S400">
        <f t="shared" si="33"/>
        <v>0</v>
      </c>
      <c r="T400">
        <f t="shared" si="34"/>
        <v>0</v>
      </c>
    </row>
    <row r="401" x14ac:dyDescent="0.35">
      <c r="A401" t="str">
        <v/>
      </c>
      <c r="B401" t="str">
        <v/>
      </c>
      <c r="C401" t="str">
        <v/>
      </c>
      <c r="D401" t="str">
        <v/>
      </c>
      <c r="E401" t="str">
        <v/>
      </c>
      <c r="F401" t="str">
        <v/>
      </c>
      <c r="G401" t="str">
        <v/>
      </c>
      <c r="H401" t="str">
        <v/>
      </c>
      <c r="I401" t="str">
        <v/>
      </c>
      <c r="J401" t="str">
        <v/>
      </c>
      <c r="K401" t="str">
        <v/>
      </c>
      <c r="L401" t="str">
        <v/>
      </c>
      <c r="M401" t="str">
        <v/>
      </c>
      <c r="N401" t="str">
        <v/>
      </c>
      <c r="O401" t="str">
        <v/>
      </c>
      <c r="P401">
        <f t="shared" si="35"/>
        <v>0</v>
      </c>
      <c r="Q401">
        <f t="shared" si="36"/>
        <v>0</v>
      </c>
      <c r="R401">
        <f t="shared" si="37"/>
        <v>0</v>
      </c>
      <c r="S401">
        <f t="shared" si="33"/>
        <v>0</v>
      </c>
      <c r="T401">
        <f t="shared" si="34"/>
        <v>0</v>
      </c>
    </row>
    <row r="402" x14ac:dyDescent="0.35">
      <c r="A402" t="str">
        <v/>
      </c>
      <c r="B402" t="str">
        <v/>
      </c>
      <c r="C402" t="str">
        <v/>
      </c>
      <c r="D402" t="str">
        <v/>
      </c>
      <c r="E402" t="str">
        <v/>
      </c>
      <c r="F402" t="str">
        <v/>
      </c>
      <c r="G402" t="str">
        <v/>
      </c>
      <c r="H402" t="str">
        <v/>
      </c>
      <c r="I402" t="str">
        <v/>
      </c>
      <c r="J402" t="str">
        <v/>
      </c>
      <c r="K402" t="str">
        <v/>
      </c>
      <c r="L402" t="str">
        <v/>
      </c>
      <c r="M402" t="str">
        <v/>
      </c>
      <c r="N402" t="str">
        <v/>
      </c>
      <c r="O402" t="str">
        <v/>
      </c>
      <c r="P402">
        <f t="shared" si="35"/>
        <v>0</v>
      </c>
      <c r="Q402">
        <f t="shared" si="36"/>
        <v>0</v>
      </c>
      <c r="R402">
        <f t="shared" si="37"/>
        <v>0</v>
      </c>
      <c r="S402">
        <f t="shared" si="33"/>
        <v>0</v>
      </c>
      <c r="T402">
        <f t="shared" si="34"/>
        <v>0</v>
      </c>
    </row>
    <row r="403" x14ac:dyDescent="0.35">
      <c r="A403" t="str">
        <v/>
      </c>
      <c r="B403" t="str">
        <v/>
      </c>
      <c r="C403" t="str">
        <v/>
      </c>
      <c r="D403" t="str">
        <v/>
      </c>
      <c r="E403" t="str">
        <v/>
      </c>
      <c r="F403" t="str">
        <v/>
      </c>
      <c r="G403" t="str">
        <v/>
      </c>
      <c r="H403" t="str">
        <v/>
      </c>
      <c r="I403" t="str">
        <v/>
      </c>
      <c r="J403" t="str">
        <v/>
      </c>
      <c r="K403" t="str">
        <v/>
      </c>
      <c r="L403" t="str">
        <v/>
      </c>
      <c r="M403" t="str">
        <v/>
      </c>
      <c r="N403" t="str">
        <v/>
      </c>
      <c r="O403" t="str">
        <v/>
      </c>
      <c r="P403">
        <f t="shared" si="35"/>
        <v>0</v>
      </c>
      <c r="Q403">
        <f t="shared" si="36"/>
        <v>0</v>
      </c>
      <c r="R403">
        <f t="shared" si="37"/>
        <v>0</v>
      </c>
      <c r="S403">
        <f t="shared" si="33"/>
        <v>0</v>
      </c>
      <c r="T403">
        <f t="shared" si="34"/>
        <v>0</v>
      </c>
    </row>
    <row r="404" x14ac:dyDescent="0.35">
      <c r="A404" t="str">
        <v/>
      </c>
      <c r="B404" t="str">
        <v/>
      </c>
      <c r="C404" t="str">
        <v/>
      </c>
      <c r="D404" t="str">
        <v/>
      </c>
      <c r="E404" t="str">
        <v/>
      </c>
      <c r="F404" t="str">
        <v/>
      </c>
      <c r="G404" t="str">
        <v/>
      </c>
      <c r="H404" t="str">
        <v/>
      </c>
      <c r="I404" t="str">
        <v/>
      </c>
      <c r="J404" t="str">
        <v/>
      </c>
      <c r="K404" t="str">
        <v/>
      </c>
      <c r="L404" t="str">
        <v/>
      </c>
      <c r="M404" t="str">
        <v/>
      </c>
      <c r="N404" t="str">
        <v/>
      </c>
      <c r="O404" t="str">
        <v/>
      </c>
      <c r="P404">
        <f t="shared" si="35"/>
        <v>0</v>
      </c>
      <c r="Q404">
        <f t="shared" si="36"/>
        <v>0</v>
      </c>
      <c r="R404">
        <f t="shared" si="37"/>
        <v>0</v>
      </c>
      <c r="S404">
        <f t="shared" si="33"/>
        <v>0</v>
      </c>
      <c r="T404">
        <f t="shared" si="34"/>
        <v>0</v>
      </c>
    </row>
    <row r="405" x14ac:dyDescent="0.35">
      <c r="A405" t="str">
        <v/>
      </c>
      <c r="B405" t="str">
        <v/>
      </c>
      <c r="C405" t="str">
        <v/>
      </c>
      <c r="D405" t="str">
        <v/>
      </c>
      <c r="E405" t="str">
        <v/>
      </c>
      <c r="F405" t="str">
        <v/>
      </c>
      <c r="G405" t="str">
        <v/>
      </c>
      <c r="H405" t="str">
        <v/>
      </c>
      <c r="I405" t="str">
        <v/>
      </c>
      <c r="J405" t="str">
        <v/>
      </c>
      <c r="K405" t="str">
        <v/>
      </c>
      <c r="L405" t="str">
        <v/>
      </c>
      <c r="M405" t="str">
        <v/>
      </c>
      <c r="N405" t="str">
        <v/>
      </c>
      <c r="O405" t="str">
        <v/>
      </c>
      <c r="P405">
        <f t="shared" si="35"/>
        <v>0</v>
      </c>
      <c r="Q405">
        <f t="shared" si="36"/>
        <v>0</v>
      </c>
      <c r="R405">
        <f t="shared" si="37"/>
        <v>0</v>
      </c>
      <c r="S405">
        <f t="shared" si="33"/>
        <v>0</v>
      </c>
      <c r="T405">
        <f t="shared" si="34"/>
        <v>0</v>
      </c>
    </row>
    <row r="406" x14ac:dyDescent="0.35">
      <c r="A406" t="str">
        <v/>
      </c>
      <c r="B406" t="str">
        <v/>
      </c>
      <c r="C406" t="str">
        <v/>
      </c>
      <c r="D406" t="str">
        <v/>
      </c>
      <c r="E406" t="str">
        <v/>
      </c>
      <c r="F406" t="str">
        <v/>
      </c>
      <c r="G406" t="str">
        <v/>
      </c>
      <c r="H406" t="str">
        <v/>
      </c>
      <c r="I406" t="str">
        <v/>
      </c>
      <c r="J406" t="str">
        <v/>
      </c>
      <c r="K406" t="str">
        <v/>
      </c>
      <c r="L406" t="str">
        <v/>
      </c>
      <c r="M406" t="str">
        <v/>
      </c>
      <c r="N406" t="str">
        <v/>
      </c>
      <c r="O406" t="str">
        <v/>
      </c>
      <c r="P406">
        <f t="shared" si="35"/>
        <v>0</v>
      </c>
      <c r="Q406">
        <f t="shared" si="36"/>
        <v>0</v>
      </c>
      <c r="R406">
        <f t="shared" si="37"/>
        <v>0</v>
      </c>
      <c r="S406">
        <f t="shared" si="33"/>
        <v>0</v>
      </c>
      <c r="T406">
        <f t="shared" si="34"/>
        <v>0</v>
      </c>
    </row>
    <row r="407" x14ac:dyDescent="0.35">
      <c r="A407" t="str">
        <v/>
      </c>
      <c r="B407" t="str">
        <v/>
      </c>
      <c r="C407" t="str">
        <v/>
      </c>
      <c r="D407" t="str">
        <v/>
      </c>
      <c r="E407" t="str">
        <v/>
      </c>
      <c r="F407" t="str">
        <v/>
      </c>
      <c r="G407" t="str">
        <v/>
      </c>
      <c r="H407" t="str">
        <v/>
      </c>
      <c r="I407" t="str">
        <v/>
      </c>
      <c r="J407" t="str">
        <v/>
      </c>
      <c r="K407" t="str">
        <v/>
      </c>
      <c r="L407" t="str">
        <v/>
      </c>
      <c r="M407" t="str">
        <v/>
      </c>
      <c r="N407" t="str">
        <v/>
      </c>
      <c r="O407" t="str">
        <v/>
      </c>
      <c r="P407">
        <f t="shared" si="35"/>
        <v>0</v>
      </c>
      <c r="Q407">
        <f t="shared" si="36"/>
        <v>0</v>
      </c>
      <c r="R407">
        <f t="shared" si="37"/>
        <v>0</v>
      </c>
      <c r="S407">
        <f t="shared" si="33"/>
        <v>0</v>
      </c>
      <c r="T407">
        <f t="shared" si="34"/>
        <v>0</v>
      </c>
    </row>
    <row r="408" x14ac:dyDescent="0.35">
      <c r="A408" t="str">
        <v/>
      </c>
      <c r="B408" t="str">
        <v/>
      </c>
      <c r="C408" t="str">
        <v/>
      </c>
      <c r="D408" t="str">
        <v/>
      </c>
      <c r="E408" t="str">
        <v/>
      </c>
      <c r="F408" t="str">
        <v/>
      </c>
      <c r="G408" t="str">
        <v/>
      </c>
      <c r="H408" t="str">
        <v/>
      </c>
      <c r="I408" t="str">
        <v/>
      </c>
      <c r="J408" t="str">
        <v/>
      </c>
      <c r="K408" t="str">
        <v/>
      </c>
      <c r="L408" t="str">
        <v/>
      </c>
      <c r="M408" t="str">
        <v/>
      </c>
      <c r="N408" t="str">
        <v/>
      </c>
      <c r="O408" t="str">
        <v/>
      </c>
      <c r="P408">
        <f t="shared" si="35"/>
        <v>0</v>
      </c>
      <c r="Q408">
        <f t="shared" si="36"/>
        <v>0</v>
      </c>
      <c r="R408">
        <f t="shared" si="37"/>
        <v>0</v>
      </c>
      <c r="S408">
        <f t="shared" si="33"/>
        <v>0</v>
      </c>
      <c r="T408">
        <f t="shared" si="34"/>
        <v>0</v>
      </c>
    </row>
    <row r="409" x14ac:dyDescent="0.35">
      <c r="A409" t="str">
        <v/>
      </c>
      <c r="B409" t="str">
        <v/>
      </c>
      <c r="C409" t="str">
        <v/>
      </c>
      <c r="D409" t="str">
        <v/>
      </c>
      <c r="E409" t="str">
        <v/>
      </c>
      <c r="F409" t="str">
        <v/>
      </c>
      <c r="G409" t="str">
        <v/>
      </c>
      <c r="H409" t="str">
        <v/>
      </c>
      <c r="I409" t="str">
        <v/>
      </c>
      <c r="J409" t="str">
        <v/>
      </c>
      <c r="K409" t="str">
        <v/>
      </c>
      <c r="L409" t="str">
        <v/>
      </c>
      <c r="M409" t="str">
        <v/>
      </c>
      <c r="N409" t="str">
        <v/>
      </c>
      <c r="O409" t="str">
        <v/>
      </c>
      <c r="P409">
        <f t="shared" si="35"/>
        <v>0</v>
      </c>
      <c r="Q409">
        <f t="shared" si="36"/>
        <v>0</v>
      </c>
      <c r="R409">
        <f t="shared" si="37"/>
        <v>0</v>
      </c>
      <c r="S409">
        <f t="shared" si="33"/>
        <v>0</v>
      </c>
      <c r="T409">
        <f t="shared" si="34"/>
        <v>0</v>
      </c>
    </row>
    <row r="410" x14ac:dyDescent="0.35">
      <c r="A410" t="str">
        <v/>
      </c>
      <c r="B410" t="str">
        <v/>
      </c>
      <c r="C410" t="str">
        <v/>
      </c>
      <c r="D410" t="str">
        <v/>
      </c>
      <c r="E410" t="str">
        <v/>
      </c>
      <c r="F410" t="str">
        <v/>
      </c>
      <c r="G410" t="str">
        <v/>
      </c>
      <c r="H410" t="str">
        <v/>
      </c>
      <c r="I410" t="str">
        <v/>
      </c>
      <c r="J410" t="str">
        <v/>
      </c>
      <c r="K410" t="str">
        <v/>
      </c>
      <c r="L410" t="str">
        <v/>
      </c>
      <c r="M410" t="str">
        <v/>
      </c>
      <c r="N410" t="str">
        <v/>
      </c>
      <c r="O410" t="str">
        <v/>
      </c>
      <c r="P410">
        <f t="shared" si="35"/>
        <v>0</v>
      </c>
      <c r="Q410">
        <f t="shared" si="36"/>
        <v>0</v>
      </c>
      <c r="R410">
        <f t="shared" si="37"/>
        <v>0</v>
      </c>
      <c r="S410">
        <f t="shared" si="33"/>
        <v>0</v>
      </c>
      <c r="T410">
        <f t="shared" si="34"/>
        <v>0</v>
      </c>
    </row>
    <row r="411" x14ac:dyDescent="0.35">
      <c r="A411" t="str">
        <v/>
      </c>
      <c r="B411" t="str">
        <v/>
      </c>
      <c r="C411" t="str">
        <v/>
      </c>
      <c r="D411" t="str">
        <v/>
      </c>
      <c r="E411" t="str">
        <v/>
      </c>
      <c r="F411" t="str">
        <v/>
      </c>
      <c r="G411" t="str">
        <v/>
      </c>
      <c r="H411" t="str">
        <v/>
      </c>
      <c r="I411" t="str">
        <v/>
      </c>
      <c r="J411" t="str">
        <v/>
      </c>
      <c r="K411" t="str">
        <v/>
      </c>
      <c r="L411" t="str">
        <v/>
      </c>
      <c r="M411" t="str">
        <v/>
      </c>
      <c r="N411" t="str">
        <v/>
      </c>
      <c r="O411" t="str">
        <v/>
      </c>
      <c r="P411">
        <f t="shared" si="35"/>
        <v>0</v>
      </c>
      <c r="Q411">
        <f t="shared" si="36"/>
        <v>0</v>
      </c>
      <c r="R411">
        <f t="shared" si="37"/>
        <v>0</v>
      </c>
      <c r="S411">
        <f t="shared" si="33"/>
        <v>0</v>
      </c>
      <c r="T411">
        <f t="shared" si="34"/>
        <v>0</v>
      </c>
    </row>
    <row r="412" x14ac:dyDescent="0.35">
      <c r="A412" t="str">
        <v/>
      </c>
      <c r="B412" t="str">
        <v/>
      </c>
      <c r="C412" t="str">
        <v/>
      </c>
      <c r="D412" t="str">
        <v/>
      </c>
      <c r="E412" t="str">
        <v/>
      </c>
      <c r="F412" t="str">
        <v/>
      </c>
      <c r="G412" t="str">
        <v/>
      </c>
      <c r="H412" t="str">
        <v/>
      </c>
      <c r="I412" t="str">
        <v/>
      </c>
      <c r="J412" t="str">
        <v/>
      </c>
      <c r="K412" t="str">
        <v/>
      </c>
      <c r="L412" t="str">
        <v/>
      </c>
      <c r="M412" t="str">
        <v/>
      </c>
      <c r="N412" t="str">
        <v/>
      </c>
      <c r="O412" t="str">
        <v/>
      </c>
      <c r="P412">
        <f t="shared" si="35"/>
        <v>0</v>
      </c>
      <c r="Q412">
        <f t="shared" si="36"/>
        <v>0</v>
      </c>
      <c r="R412">
        <f t="shared" si="37"/>
        <v>0</v>
      </c>
      <c r="S412">
        <f t="shared" si="33"/>
        <v>0</v>
      </c>
      <c r="T412">
        <f t="shared" si="34"/>
        <v>0</v>
      </c>
    </row>
    <row r="413" x14ac:dyDescent="0.35">
      <c r="A413" t="str">
        <v/>
      </c>
      <c r="B413" t="str">
        <v/>
      </c>
      <c r="C413" t="str">
        <v/>
      </c>
      <c r="D413" t="str">
        <v/>
      </c>
      <c r="E413" t="str">
        <v/>
      </c>
      <c r="F413" t="str">
        <v/>
      </c>
      <c r="G413" t="str">
        <v/>
      </c>
      <c r="H413" t="str">
        <v/>
      </c>
      <c r="I413" t="str">
        <v/>
      </c>
      <c r="J413" t="str">
        <v/>
      </c>
      <c r="K413" t="str">
        <v/>
      </c>
      <c r="L413" t="str">
        <v/>
      </c>
      <c r="M413" t="str">
        <v/>
      </c>
      <c r="N413" t="str">
        <v/>
      </c>
      <c r="O413" t="str">
        <v/>
      </c>
      <c r="P413">
        <f t="shared" si="35"/>
        <v>0</v>
      </c>
      <c r="Q413">
        <f t="shared" si="36"/>
        <v>0</v>
      </c>
      <c r="R413">
        <f t="shared" si="37"/>
        <v>0</v>
      </c>
      <c r="S413">
        <f t="shared" si="33"/>
        <v>0</v>
      </c>
      <c r="T413">
        <f t="shared" si="34"/>
        <v>0</v>
      </c>
    </row>
    <row r="414" x14ac:dyDescent="0.35">
      <c r="A414" t="str">
        <v/>
      </c>
      <c r="B414" t="str">
        <v/>
      </c>
      <c r="C414" t="str">
        <v/>
      </c>
      <c r="D414" t="str">
        <v/>
      </c>
      <c r="E414" t="str">
        <v/>
      </c>
      <c r="F414" t="str">
        <v/>
      </c>
      <c r="G414" t="str">
        <v/>
      </c>
      <c r="H414" t="str">
        <v/>
      </c>
      <c r="I414" t="str">
        <v/>
      </c>
      <c r="J414" t="str">
        <v/>
      </c>
      <c r="K414" t="str">
        <v/>
      </c>
      <c r="L414" t="str">
        <v/>
      </c>
      <c r="M414" t="str">
        <v/>
      </c>
      <c r="N414" t="str">
        <v/>
      </c>
      <c r="O414" t="str">
        <v/>
      </c>
      <c r="P414">
        <f t="shared" si="35"/>
        <v>0</v>
      </c>
      <c r="Q414">
        <f t="shared" si="36"/>
        <v>0</v>
      </c>
      <c r="R414">
        <f t="shared" si="37"/>
        <v>0</v>
      </c>
      <c r="S414">
        <f t="shared" si="33"/>
        <v>0</v>
      </c>
      <c r="T414">
        <f t="shared" si="34"/>
        <v>0</v>
      </c>
    </row>
    <row r="415" x14ac:dyDescent="0.35">
      <c r="A415" t="str">
        <v/>
      </c>
      <c r="B415" t="str">
        <v/>
      </c>
      <c r="C415" t="str">
        <v/>
      </c>
      <c r="D415" t="str">
        <v/>
      </c>
      <c r="E415" t="str">
        <v/>
      </c>
      <c r="F415" t="str">
        <v/>
      </c>
      <c r="G415" t="str">
        <v/>
      </c>
      <c r="H415" t="str">
        <v/>
      </c>
      <c r="I415" t="str">
        <v/>
      </c>
      <c r="J415" t="str">
        <v/>
      </c>
      <c r="K415" t="str">
        <v/>
      </c>
      <c r="L415" t="str">
        <v/>
      </c>
      <c r="M415" t="str">
        <v/>
      </c>
      <c r="N415" t="str">
        <v/>
      </c>
      <c r="O415" t="str">
        <v/>
      </c>
      <c r="P415">
        <f t="shared" si="35"/>
        <v>0</v>
      </c>
      <c r="Q415">
        <f t="shared" si="36"/>
        <v>0</v>
      </c>
      <c r="R415">
        <f t="shared" si="37"/>
        <v>0</v>
      </c>
      <c r="S415">
        <f t="shared" si="33"/>
        <v>0</v>
      </c>
      <c r="T415">
        <f t="shared" si="34"/>
        <v>0</v>
      </c>
    </row>
    <row r="416" x14ac:dyDescent="0.35">
      <c r="A416" t="str">
        <v/>
      </c>
      <c r="B416" t="str">
        <v/>
      </c>
      <c r="C416" t="str">
        <v/>
      </c>
      <c r="D416" t="str">
        <v/>
      </c>
      <c r="E416" t="str">
        <v/>
      </c>
      <c r="F416" t="str">
        <v/>
      </c>
      <c r="G416" t="str">
        <v/>
      </c>
      <c r="H416" t="str">
        <v/>
      </c>
      <c r="I416" t="str">
        <v/>
      </c>
      <c r="J416" t="str">
        <v/>
      </c>
      <c r="K416" t="str">
        <v/>
      </c>
      <c r="L416" t="str">
        <v/>
      </c>
      <c r="M416" t="str">
        <v/>
      </c>
      <c r="N416" t="str">
        <v/>
      </c>
      <c r="O416" t="str">
        <v/>
      </c>
      <c r="P416">
        <f t="shared" si="35"/>
        <v>0</v>
      </c>
      <c r="Q416">
        <f t="shared" si="36"/>
        <v>0</v>
      </c>
      <c r="R416">
        <f t="shared" si="37"/>
        <v>0</v>
      </c>
      <c r="S416">
        <f t="shared" si="33"/>
        <v>0</v>
      </c>
      <c r="T416">
        <f t="shared" si="34"/>
        <v>0</v>
      </c>
    </row>
    <row r="417" x14ac:dyDescent="0.35">
      <c r="A417" t="str">
        <v/>
      </c>
      <c r="B417" t="str">
        <v/>
      </c>
      <c r="C417" t="str">
        <v/>
      </c>
      <c r="D417" t="str">
        <v/>
      </c>
      <c r="E417" t="str">
        <v/>
      </c>
      <c r="F417" t="str">
        <v/>
      </c>
      <c r="G417" t="str">
        <v/>
      </c>
      <c r="H417" t="str">
        <v/>
      </c>
      <c r="I417" t="str">
        <v/>
      </c>
      <c r="J417" t="str">
        <v/>
      </c>
      <c r="K417" t="str">
        <v/>
      </c>
      <c r="L417" t="str">
        <v/>
      </c>
      <c r="M417" t="str">
        <v/>
      </c>
      <c r="N417" t="str">
        <v/>
      </c>
      <c r="O417" t="str">
        <v/>
      </c>
      <c r="P417">
        <f t="shared" si="35"/>
        <v>0</v>
      </c>
      <c r="Q417">
        <f t="shared" si="36"/>
        <v>0</v>
      </c>
      <c r="R417">
        <f t="shared" si="37"/>
        <v>0</v>
      </c>
      <c r="S417">
        <f t="shared" si="33"/>
        <v>0</v>
      </c>
      <c r="T417">
        <f t="shared" si="34"/>
        <v>0</v>
      </c>
    </row>
    <row r="418" x14ac:dyDescent="0.35">
      <c r="A418" t="str">
        <v/>
      </c>
      <c r="B418" t="str">
        <v/>
      </c>
      <c r="C418" t="str">
        <v/>
      </c>
      <c r="D418" t="str">
        <v/>
      </c>
      <c r="E418" t="str">
        <v/>
      </c>
      <c r="F418" t="str">
        <v/>
      </c>
      <c r="G418" t="str">
        <v/>
      </c>
      <c r="H418" t="str">
        <v/>
      </c>
      <c r="I418" t="str">
        <v/>
      </c>
      <c r="J418" t="str">
        <v/>
      </c>
      <c r="K418" t="str">
        <v/>
      </c>
      <c r="L418" t="str">
        <v/>
      </c>
      <c r="M418" t="str">
        <v/>
      </c>
      <c r="N418" t="str">
        <v/>
      </c>
      <c r="O418" t="str">
        <v/>
      </c>
      <c r="P418">
        <f t="shared" si="35"/>
        <v>0</v>
      </c>
      <c r="Q418">
        <f t="shared" si="36"/>
        <v>0</v>
      </c>
      <c r="R418">
        <f t="shared" si="37"/>
        <v>0</v>
      </c>
      <c r="S418">
        <f t="shared" si="33"/>
        <v>0</v>
      </c>
      <c r="T418">
        <f t="shared" si="34"/>
        <v>0</v>
      </c>
    </row>
    <row r="419" x14ac:dyDescent="0.35">
      <c r="A419" t="str">
        <v/>
      </c>
      <c r="B419" t="str">
        <v/>
      </c>
      <c r="C419" t="str">
        <v/>
      </c>
      <c r="D419" t="str">
        <v/>
      </c>
      <c r="E419" t="str">
        <v/>
      </c>
      <c r="F419" t="str">
        <v/>
      </c>
      <c r="G419" t="str">
        <v/>
      </c>
      <c r="H419" t="str">
        <v/>
      </c>
      <c r="I419" t="str">
        <v/>
      </c>
      <c r="J419" t="str">
        <v/>
      </c>
      <c r="K419" t="str">
        <v/>
      </c>
      <c r="L419" t="str">
        <v/>
      </c>
      <c r="M419" t="str">
        <v/>
      </c>
      <c r="N419" t="str">
        <v/>
      </c>
      <c r="O419" t="str">
        <v/>
      </c>
      <c r="P419">
        <f t="shared" si="35"/>
        <v>0</v>
      </c>
      <c r="Q419">
        <f t="shared" si="36"/>
        <v>0</v>
      </c>
      <c r="R419">
        <f t="shared" si="37"/>
        <v>0</v>
      </c>
      <c r="S419">
        <f t="shared" si="33"/>
        <v>0</v>
      </c>
      <c r="T419">
        <f t="shared" si="34"/>
        <v>0</v>
      </c>
    </row>
    <row r="420" x14ac:dyDescent="0.35">
      <c r="A420" t="str">
        <v/>
      </c>
      <c r="B420" t="str">
        <v/>
      </c>
      <c r="C420" t="str">
        <v/>
      </c>
      <c r="D420" t="str">
        <v/>
      </c>
      <c r="E420" t="str">
        <v/>
      </c>
      <c r="F420" t="str">
        <v/>
      </c>
      <c r="G420" t="str">
        <v/>
      </c>
      <c r="H420" t="str">
        <v/>
      </c>
      <c r="I420" t="str">
        <v/>
      </c>
      <c r="J420" t="str">
        <v/>
      </c>
      <c r="K420" t="str">
        <v/>
      </c>
      <c r="L420" t="str">
        <v/>
      </c>
      <c r="M420" t="str">
        <v/>
      </c>
      <c r="N420" t="str">
        <v/>
      </c>
      <c r="O420" t="str">
        <v/>
      </c>
      <c r="P420">
        <f t="shared" si="35"/>
        <v>0</v>
      </c>
      <c r="Q420">
        <f t="shared" si="36"/>
        <v>0</v>
      </c>
      <c r="R420">
        <f t="shared" si="37"/>
        <v>0</v>
      </c>
      <c r="S420">
        <f t="shared" si="33"/>
        <v>0</v>
      </c>
      <c r="T420">
        <f t="shared" si="34"/>
        <v>0</v>
      </c>
    </row>
    <row r="421" x14ac:dyDescent="0.35">
      <c r="A421" t="str">
        <v/>
      </c>
      <c r="B421" t="str">
        <v/>
      </c>
      <c r="C421" t="str">
        <v/>
      </c>
      <c r="D421" t="str">
        <v/>
      </c>
      <c r="E421" t="str">
        <v/>
      </c>
      <c r="F421" t="str">
        <v/>
      </c>
      <c r="G421" t="str">
        <v/>
      </c>
      <c r="H421" t="str">
        <v/>
      </c>
      <c r="I421" t="str">
        <v/>
      </c>
      <c r="J421" t="str">
        <v/>
      </c>
      <c r="K421" t="str">
        <v/>
      </c>
      <c r="L421" t="str">
        <v/>
      </c>
      <c r="M421" t="str">
        <v/>
      </c>
      <c r="N421" t="str">
        <v/>
      </c>
      <c r="O421" t="str">
        <v/>
      </c>
      <c r="P421">
        <f t="shared" si="35"/>
        <v>0</v>
      </c>
      <c r="Q421">
        <f t="shared" si="36"/>
        <v>0</v>
      </c>
      <c r="R421">
        <f t="shared" si="37"/>
        <v>0</v>
      </c>
      <c r="S421">
        <f t="shared" si="33"/>
        <v>0</v>
      </c>
      <c r="T421">
        <f t="shared" si="34"/>
        <v>0</v>
      </c>
    </row>
    <row r="422" x14ac:dyDescent="0.35">
      <c r="A422" t="str">
        <v/>
      </c>
      <c r="B422" t="str">
        <v/>
      </c>
      <c r="C422" t="str">
        <v/>
      </c>
      <c r="D422" t="str">
        <v/>
      </c>
      <c r="E422" t="str">
        <v/>
      </c>
      <c r="F422" t="str">
        <v/>
      </c>
      <c r="G422" t="str">
        <v/>
      </c>
      <c r="H422" t="str">
        <v/>
      </c>
      <c r="I422" t="str">
        <v/>
      </c>
      <c r="J422" t="str">
        <v/>
      </c>
      <c r="K422" t="str">
        <v/>
      </c>
      <c r="L422" t="str">
        <v/>
      </c>
      <c r="M422" t="str">
        <v/>
      </c>
      <c r="N422" t="str">
        <v/>
      </c>
      <c r="O422" t="str">
        <v/>
      </c>
      <c r="P422">
        <f t="shared" si="35"/>
        <v>0</v>
      </c>
      <c r="Q422">
        <f t="shared" si="36"/>
        <v>0</v>
      </c>
      <c r="R422">
        <f t="shared" si="37"/>
        <v>0</v>
      </c>
      <c r="S422">
        <f t="shared" si="33"/>
        <v>0</v>
      </c>
      <c r="T422">
        <f t="shared" si="34"/>
        <v>0</v>
      </c>
    </row>
    <row r="423" x14ac:dyDescent="0.35">
      <c r="A423" t="str">
        <v/>
      </c>
      <c r="B423" t="str">
        <v/>
      </c>
      <c r="C423" t="str">
        <v/>
      </c>
      <c r="D423" t="str">
        <v/>
      </c>
      <c r="E423" t="str">
        <v/>
      </c>
      <c r="F423" t="str">
        <v/>
      </c>
      <c r="G423" t="str">
        <v/>
      </c>
      <c r="H423" t="str">
        <v/>
      </c>
      <c r="I423" t="str">
        <v/>
      </c>
      <c r="J423" t="str">
        <v/>
      </c>
      <c r="K423" t="str">
        <v/>
      </c>
      <c r="L423" t="str">
        <v/>
      </c>
      <c r="M423" t="str">
        <v/>
      </c>
      <c r="N423" t="str">
        <v/>
      </c>
      <c r="O423" t="str">
        <v/>
      </c>
      <c r="P423">
        <f t="shared" si="35"/>
        <v>0</v>
      </c>
      <c r="Q423">
        <f t="shared" si="36"/>
        <v>0</v>
      </c>
      <c r="R423">
        <f t="shared" si="37"/>
        <v>0</v>
      </c>
      <c r="S423">
        <f t="shared" si="33"/>
        <v>0</v>
      </c>
      <c r="T423">
        <f t="shared" si="34"/>
        <v>0</v>
      </c>
    </row>
    <row r="424" x14ac:dyDescent="0.35">
      <c r="A424" t="str">
        <v/>
      </c>
      <c r="B424" t="str">
        <v/>
      </c>
      <c r="C424" t="str">
        <v/>
      </c>
      <c r="D424" t="str">
        <v/>
      </c>
      <c r="E424" t="str">
        <v/>
      </c>
      <c r="F424" t="str">
        <v/>
      </c>
      <c r="G424" t="str">
        <v/>
      </c>
      <c r="H424" t="str">
        <v/>
      </c>
      <c r="I424" t="str">
        <v/>
      </c>
      <c r="J424" t="str">
        <v/>
      </c>
      <c r="K424" t="str">
        <v/>
      </c>
      <c r="L424" t="str">
        <v/>
      </c>
      <c r="M424" t="str">
        <v/>
      </c>
      <c r="N424" t="str">
        <v/>
      </c>
      <c r="O424" t="str">
        <v/>
      </c>
      <c r="P424">
        <f t="shared" si="35"/>
        <v>0</v>
      </c>
      <c r="Q424">
        <f t="shared" si="36"/>
        <v>0</v>
      </c>
      <c r="R424">
        <f t="shared" si="37"/>
        <v>0</v>
      </c>
      <c r="S424">
        <f t="shared" si="33"/>
        <v>0</v>
      </c>
      <c r="T424">
        <f t="shared" si="34"/>
        <v>0</v>
      </c>
    </row>
    <row r="425" x14ac:dyDescent="0.35">
      <c r="A425" t="str">
        <v/>
      </c>
      <c r="B425" t="str">
        <v/>
      </c>
      <c r="C425" t="str">
        <v/>
      </c>
      <c r="D425" t="str">
        <v/>
      </c>
      <c r="E425" t="str">
        <v/>
      </c>
      <c r="F425" t="str">
        <v/>
      </c>
      <c r="G425" t="str">
        <v/>
      </c>
      <c r="H425" t="str">
        <v/>
      </c>
      <c r="I425" t="str">
        <v/>
      </c>
      <c r="J425" t="str">
        <v/>
      </c>
      <c r="K425" t="str">
        <v/>
      </c>
      <c r="L425" t="str">
        <v/>
      </c>
      <c r="M425" t="str">
        <v/>
      </c>
      <c r="N425" t="str">
        <v/>
      </c>
      <c r="O425" t="str">
        <v/>
      </c>
      <c r="P425">
        <f t="shared" si="35"/>
        <v>0</v>
      </c>
      <c r="Q425">
        <f t="shared" si="36"/>
        <v>0</v>
      </c>
      <c r="R425">
        <f t="shared" si="37"/>
        <v>0</v>
      </c>
      <c r="S425">
        <f t="shared" si="33"/>
        <v>0</v>
      </c>
      <c r="T425">
        <f t="shared" si="34"/>
        <v>0</v>
      </c>
    </row>
    <row r="426" x14ac:dyDescent="0.35">
      <c r="A426" t="str">
        <v/>
      </c>
      <c r="B426" t="str">
        <v/>
      </c>
      <c r="C426" t="str">
        <v/>
      </c>
      <c r="D426" t="str">
        <v/>
      </c>
      <c r="E426" t="str">
        <v/>
      </c>
      <c r="F426" t="str">
        <v/>
      </c>
      <c r="G426" t="str">
        <v/>
      </c>
      <c r="H426" t="str">
        <v/>
      </c>
      <c r="I426" t="str">
        <v/>
      </c>
      <c r="J426" t="str">
        <v/>
      </c>
      <c r="K426" t="str">
        <v/>
      </c>
      <c r="L426" t="str">
        <v/>
      </c>
      <c r="M426" t="str">
        <v/>
      </c>
      <c r="N426" t="str">
        <v/>
      </c>
      <c r="O426" t="str">
        <v/>
      </c>
      <c r="P426">
        <f t="shared" si="35"/>
        <v>0</v>
      </c>
      <c r="Q426">
        <f t="shared" si="36"/>
        <v>0</v>
      </c>
      <c r="R426">
        <f t="shared" si="37"/>
        <v>0</v>
      </c>
      <c r="S426">
        <f t="shared" si="33"/>
        <v>0</v>
      </c>
      <c r="T426">
        <f t="shared" si="34"/>
        <v>0</v>
      </c>
    </row>
    <row r="427" x14ac:dyDescent="0.35">
      <c r="A427" t="str">
        <v/>
      </c>
      <c r="B427" t="str">
        <v/>
      </c>
      <c r="C427" t="str">
        <v/>
      </c>
      <c r="D427" t="str">
        <v/>
      </c>
      <c r="E427" t="str">
        <v/>
      </c>
      <c r="F427" t="str">
        <v/>
      </c>
      <c r="G427" t="str">
        <v/>
      </c>
      <c r="H427" t="str">
        <v/>
      </c>
      <c r="I427" t="str">
        <v/>
      </c>
      <c r="J427" t="str">
        <v/>
      </c>
      <c r="K427" t="str">
        <v/>
      </c>
      <c r="L427" t="str">
        <v/>
      </c>
      <c r="M427" t="str">
        <v/>
      </c>
      <c r="N427" t="str">
        <v/>
      </c>
      <c r="O427" t="str">
        <v/>
      </c>
      <c r="P427">
        <f t="shared" si="35"/>
        <v>0</v>
      </c>
      <c r="Q427">
        <f t="shared" si="36"/>
        <v>0</v>
      </c>
      <c r="R427">
        <f t="shared" si="37"/>
        <v>0</v>
      </c>
      <c r="S427">
        <f t="shared" si="33"/>
        <v>0</v>
      </c>
      <c r="T427">
        <f t="shared" si="34"/>
        <v>0</v>
      </c>
    </row>
    <row r="428" x14ac:dyDescent="0.35">
      <c r="A428" t="str">
        <v/>
      </c>
      <c r="B428" t="str">
        <v/>
      </c>
      <c r="C428" t="str">
        <v/>
      </c>
      <c r="D428" t="str">
        <v/>
      </c>
      <c r="E428" t="str">
        <v/>
      </c>
      <c r="F428" t="str">
        <v/>
      </c>
      <c r="G428" t="str">
        <v/>
      </c>
      <c r="H428" t="str">
        <v/>
      </c>
      <c r="I428" t="str">
        <v/>
      </c>
      <c r="J428" t="str">
        <v/>
      </c>
      <c r="K428" t="str">
        <v/>
      </c>
      <c r="L428" t="str">
        <v/>
      </c>
      <c r="M428" t="str">
        <v/>
      </c>
      <c r="N428" t="str">
        <v/>
      </c>
      <c r="O428" t="str">
        <v/>
      </c>
      <c r="P428">
        <f t="shared" si="35"/>
        <v>0</v>
      </c>
      <c r="Q428">
        <f t="shared" si="36"/>
        <v>0</v>
      </c>
      <c r="R428">
        <f t="shared" si="37"/>
        <v>0</v>
      </c>
      <c r="S428">
        <f t="shared" si="33"/>
        <v>0</v>
      </c>
      <c r="T428">
        <f t="shared" si="34"/>
        <v>0</v>
      </c>
    </row>
    <row r="429" x14ac:dyDescent="0.35">
      <c r="A429" t="str">
        <v/>
      </c>
      <c r="B429" t="str">
        <v/>
      </c>
      <c r="C429" t="str">
        <v/>
      </c>
      <c r="D429" t="str">
        <v/>
      </c>
      <c r="E429" t="str">
        <v/>
      </c>
      <c r="F429" t="str">
        <v/>
      </c>
      <c r="G429" t="str">
        <v/>
      </c>
      <c r="H429" t="str">
        <v/>
      </c>
      <c r="I429" t="str">
        <v/>
      </c>
      <c r="J429" t="str">
        <v/>
      </c>
      <c r="K429" t="str">
        <v/>
      </c>
      <c r="L429" t="str">
        <v/>
      </c>
      <c r="M429" t="str">
        <v/>
      </c>
      <c r="N429" t="str">
        <v/>
      </c>
      <c r="O429" t="str">
        <v/>
      </c>
      <c r="P429">
        <f t="shared" si="35"/>
        <v>0</v>
      </c>
      <c r="Q429">
        <f t="shared" si="36"/>
        <v>0</v>
      </c>
      <c r="R429">
        <f t="shared" si="37"/>
        <v>0</v>
      </c>
      <c r="S429">
        <f t="shared" si="33"/>
        <v>0</v>
      </c>
      <c r="T429">
        <f t="shared" si="34"/>
        <v>0</v>
      </c>
    </row>
    <row r="430" x14ac:dyDescent="0.35">
      <c r="A430" t="str">
        <v/>
      </c>
      <c r="B430" t="str">
        <v/>
      </c>
      <c r="C430" t="str">
        <v/>
      </c>
      <c r="D430" t="str">
        <v/>
      </c>
      <c r="E430" t="str">
        <v/>
      </c>
      <c r="F430" t="str">
        <v/>
      </c>
      <c r="G430" t="str">
        <v/>
      </c>
      <c r="H430" t="str">
        <v/>
      </c>
      <c r="I430" t="str">
        <v/>
      </c>
      <c r="J430" t="str">
        <v/>
      </c>
      <c r="K430" t="str">
        <v/>
      </c>
      <c r="L430" t="str">
        <v/>
      </c>
      <c r="M430" t="str">
        <v/>
      </c>
      <c r="N430" t="str">
        <v/>
      </c>
      <c r="O430" t="str">
        <v/>
      </c>
      <c r="P430">
        <f t="shared" si="35"/>
        <v>0</v>
      </c>
      <c r="Q430">
        <f t="shared" si="36"/>
        <v>0</v>
      </c>
      <c r="R430">
        <f t="shared" si="37"/>
        <v>0</v>
      </c>
      <c r="S430">
        <f t="shared" si="33"/>
        <v>0</v>
      </c>
      <c r="T430">
        <f t="shared" si="34"/>
        <v>0</v>
      </c>
    </row>
    <row r="431" x14ac:dyDescent="0.35">
      <c r="A431" t="str">
        <v/>
      </c>
      <c r="B431" t="str">
        <v/>
      </c>
      <c r="C431" t="str">
        <v/>
      </c>
      <c r="D431" t="str">
        <v/>
      </c>
      <c r="E431" t="str">
        <v/>
      </c>
      <c r="F431" t="str">
        <v/>
      </c>
      <c r="G431" t="str">
        <v/>
      </c>
      <c r="H431" t="str">
        <v/>
      </c>
      <c r="I431" t="str">
        <v/>
      </c>
      <c r="J431" t="str">
        <v/>
      </c>
      <c r="K431" t="str">
        <v/>
      </c>
      <c r="L431" t="str">
        <v/>
      </c>
      <c r="M431" t="str">
        <v/>
      </c>
      <c r="N431" t="str">
        <v/>
      </c>
      <c r="O431" t="str">
        <v/>
      </c>
      <c r="P431">
        <f t="shared" si="35"/>
        <v>0</v>
      </c>
      <c r="Q431">
        <f t="shared" si="36"/>
        <v>0</v>
      </c>
      <c r="R431">
        <f t="shared" si="37"/>
        <v>0</v>
      </c>
      <c r="S431">
        <f t="shared" si="33"/>
        <v>0</v>
      </c>
      <c r="T431">
        <f t="shared" si="34"/>
        <v>0</v>
      </c>
    </row>
    <row r="432" x14ac:dyDescent="0.35">
      <c r="A432" t="str">
        <v/>
      </c>
      <c r="B432" t="str">
        <v/>
      </c>
      <c r="C432" t="str">
        <v/>
      </c>
      <c r="D432" t="str">
        <v/>
      </c>
      <c r="E432" t="str">
        <v/>
      </c>
      <c r="F432" t="str">
        <v/>
      </c>
      <c r="G432" t="str">
        <v/>
      </c>
      <c r="H432" t="str">
        <v/>
      </c>
      <c r="I432" t="str">
        <v/>
      </c>
      <c r="J432" t="str">
        <v/>
      </c>
      <c r="K432" t="str">
        <v/>
      </c>
      <c r="L432" t="str">
        <v/>
      </c>
      <c r="M432" t="str">
        <v/>
      </c>
      <c r="N432" t="str">
        <v/>
      </c>
      <c r="O432" t="str">
        <v/>
      </c>
      <c r="P432">
        <f t="shared" si="35"/>
        <v>0</v>
      </c>
      <c r="Q432">
        <f t="shared" si="36"/>
        <v>0</v>
      </c>
      <c r="R432">
        <f t="shared" si="37"/>
        <v>0</v>
      </c>
      <c r="S432">
        <f t="shared" si="33"/>
        <v>0</v>
      </c>
      <c r="T432">
        <f t="shared" si="34"/>
        <v>0</v>
      </c>
    </row>
    <row r="433" x14ac:dyDescent="0.35">
      <c r="A433" t="str">
        <v/>
      </c>
      <c r="B433" t="str">
        <v/>
      </c>
      <c r="C433" t="str">
        <v/>
      </c>
      <c r="D433" t="str">
        <v/>
      </c>
      <c r="E433" t="str">
        <v/>
      </c>
      <c r="F433" t="str">
        <v/>
      </c>
      <c r="G433" t="str">
        <v/>
      </c>
      <c r="H433" t="str">
        <v/>
      </c>
      <c r="I433" t="str">
        <v/>
      </c>
      <c r="J433" t="str">
        <v/>
      </c>
      <c r="K433" t="str">
        <v/>
      </c>
      <c r="L433" t="str">
        <v/>
      </c>
      <c r="M433" t="str">
        <v/>
      </c>
      <c r="N433" t="str">
        <v/>
      </c>
      <c r="O433" t="str">
        <v/>
      </c>
      <c r="P433">
        <f t="shared" si="35"/>
        <v>0</v>
      </c>
      <c r="Q433">
        <f t="shared" si="36"/>
        <v>0</v>
      </c>
      <c r="R433">
        <f t="shared" si="37"/>
        <v>0</v>
      </c>
      <c r="S433">
        <f t="shared" si="33"/>
        <v>0</v>
      </c>
      <c r="T433">
        <f t="shared" si="34"/>
        <v>0</v>
      </c>
    </row>
    <row r="434" x14ac:dyDescent="0.35">
      <c r="A434" t="str">
        <v/>
      </c>
      <c r="B434" t="str">
        <v/>
      </c>
      <c r="C434" t="str">
        <v/>
      </c>
      <c r="D434" t="str">
        <v/>
      </c>
      <c r="E434" t="str">
        <v/>
      </c>
      <c r="F434" t="str">
        <v/>
      </c>
      <c r="G434" t="str">
        <v/>
      </c>
      <c r="H434" t="str">
        <v/>
      </c>
      <c r="I434" t="str">
        <v/>
      </c>
      <c r="J434" t="str">
        <v/>
      </c>
      <c r="K434" t="str">
        <v/>
      </c>
      <c r="L434" t="str">
        <v/>
      </c>
      <c r="M434" t="str">
        <v/>
      </c>
      <c r="N434" t="str">
        <v/>
      </c>
      <c r="O434" t="str">
        <v/>
      </c>
      <c r="P434">
        <f t="shared" si="35"/>
        <v>0</v>
      </c>
      <c r="Q434">
        <f t="shared" si="36"/>
        <v>0</v>
      </c>
      <c r="R434">
        <f t="shared" si="37"/>
        <v>0</v>
      </c>
      <c r="S434">
        <f t="shared" si="33"/>
        <v>0</v>
      </c>
      <c r="T434">
        <f t="shared" si="34"/>
        <v>0</v>
      </c>
    </row>
    <row r="435" x14ac:dyDescent="0.35">
      <c r="A435" t="str">
        <v/>
      </c>
      <c r="B435" t="str">
        <v/>
      </c>
      <c r="C435" t="str">
        <v/>
      </c>
      <c r="D435" t="str">
        <v/>
      </c>
      <c r="E435" t="str">
        <v/>
      </c>
      <c r="F435" t="str">
        <v/>
      </c>
      <c r="G435" t="str">
        <v/>
      </c>
      <c r="H435" t="str">
        <v/>
      </c>
      <c r="I435" t="str">
        <v/>
      </c>
      <c r="J435" t="str">
        <v/>
      </c>
      <c r="K435" t="str">
        <v/>
      </c>
      <c r="L435" t="str">
        <v/>
      </c>
      <c r="M435" t="str">
        <v/>
      </c>
      <c r="N435" t="str">
        <v/>
      </c>
      <c r="O435" t="str">
        <v/>
      </c>
      <c r="P435">
        <f t="shared" si="35"/>
        <v>0</v>
      </c>
      <c r="Q435">
        <f t="shared" si="36"/>
        <v>0</v>
      </c>
      <c r="R435">
        <f t="shared" si="37"/>
        <v>0</v>
      </c>
      <c r="S435">
        <f t="shared" si="33"/>
        <v>0</v>
      </c>
      <c r="T435">
        <f t="shared" si="34"/>
        <v>0</v>
      </c>
    </row>
    <row r="436" x14ac:dyDescent="0.35">
      <c r="A436" t="str">
        <v/>
      </c>
      <c r="B436" t="str">
        <v/>
      </c>
      <c r="C436" t="str">
        <v/>
      </c>
      <c r="D436" t="str">
        <v/>
      </c>
      <c r="E436" t="str">
        <v/>
      </c>
      <c r="F436" t="str">
        <v/>
      </c>
      <c r="G436" t="str">
        <v/>
      </c>
      <c r="H436" t="str">
        <v/>
      </c>
      <c r="I436" t="str">
        <v/>
      </c>
      <c r="J436" t="str">
        <v/>
      </c>
      <c r="K436" t="str">
        <v/>
      </c>
      <c r="L436" t="str">
        <v/>
      </c>
      <c r="M436" t="str">
        <v/>
      </c>
      <c r="N436" t="str">
        <v/>
      </c>
      <c r="O436" t="str">
        <v/>
      </c>
      <c r="P436">
        <f t="shared" si="35"/>
        <v>0</v>
      </c>
      <c r="Q436">
        <f t="shared" si="36"/>
        <v>0</v>
      </c>
      <c r="R436">
        <f t="shared" si="37"/>
        <v>0</v>
      </c>
      <c r="S436">
        <f t="shared" si="33"/>
        <v>0</v>
      </c>
      <c r="T436">
        <f t="shared" si="34"/>
        <v>0</v>
      </c>
    </row>
    <row r="437" x14ac:dyDescent="0.35">
      <c r="A437" t="str">
        <v/>
      </c>
      <c r="B437" t="str">
        <v/>
      </c>
      <c r="C437" t="str">
        <v/>
      </c>
      <c r="D437" t="str">
        <v/>
      </c>
      <c r="E437" t="str">
        <v/>
      </c>
      <c r="F437" t="str">
        <v/>
      </c>
      <c r="G437" t="str">
        <v/>
      </c>
      <c r="H437" t="str">
        <v/>
      </c>
      <c r="I437" t="str">
        <v/>
      </c>
      <c r="J437" t="str">
        <v/>
      </c>
      <c r="K437" t="str">
        <v/>
      </c>
      <c r="L437" t="str">
        <v/>
      </c>
      <c r="M437" t="str">
        <v/>
      </c>
      <c r="N437" t="str">
        <v/>
      </c>
      <c r="O437" t="str">
        <v/>
      </c>
      <c r="P437">
        <f t="shared" si="35"/>
        <v>0</v>
      </c>
      <c r="Q437">
        <f t="shared" si="36"/>
        <v>0</v>
      </c>
      <c r="R437">
        <f t="shared" si="37"/>
        <v>0</v>
      </c>
      <c r="S437">
        <f t="shared" si="33"/>
        <v>0</v>
      </c>
      <c r="T437">
        <f t="shared" si="34"/>
        <v>0</v>
      </c>
    </row>
    <row r="438" x14ac:dyDescent="0.35">
      <c r="A438" t="str">
        <v/>
      </c>
      <c r="B438" t="str">
        <v/>
      </c>
      <c r="C438" t="str">
        <v/>
      </c>
      <c r="D438" t="str">
        <v/>
      </c>
      <c r="E438" t="str">
        <v/>
      </c>
      <c r="F438" t="str">
        <v/>
      </c>
      <c r="G438" t="str">
        <v/>
      </c>
      <c r="H438" t="str">
        <v/>
      </c>
      <c r="I438" t="str">
        <v/>
      </c>
      <c r="J438" t="str">
        <v/>
      </c>
      <c r="K438" t="str">
        <v/>
      </c>
      <c r="L438" t="str">
        <v/>
      </c>
      <c r="M438" t="str">
        <v/>
      </c>
      <c r="N438" t="str">
        <v/>
      </c>
      <c r="O438" t="str">
        <v/>
      </c>
      <c r="P438">
        <f t="shared" si="35"/>
        <v>0</v>
      </c>
      <c r="Q438">
        <f t="shared" si="36"/>
        <v>0</v>
      </c>
      <c r="R438">
        <f t="shared" si="37"/>
        <v>0</v>
      </c>
      <c r="S438">
        <f t="shared" si="33"/>
        <v>0</v>
      </c>
      <c r="T438">
        <f t="shared" si="34"/>
        <v>0</v>
      </c>
    </row>
    <row r="439" x14ac:dyDescent="0.35">
      <c r="A439" t="str">
        <v/>
      </c>
      <c r="B439" t="str">
        <v/>
      </c>
      <c r="C439" t="str">
        <v/>
      </c>
      <c r="D439" t="str">
        <v/>
      </c>
      <c r="E439" t="str">
        <v/>
      </c>
      <c r="F439" t="str">
        <v/>
      </c>
      <c r="G439" t="str">
        <v/>
      </c>
      <c r="H439" t="str">
        <v/>
      </c>
      <c r="I439" t="str">
        <v/>
      </c>
      <c r="J439" t="str">
        <v/>
      </c>
      <c r="K439" t="str">
        <v/>
      </c>
      <c r="L439" t="str">
        <v/>
      </c>
      <c r="M439" t="str">
        <v/>
      </c>
      <c r="N439" t="str">
        <v/>
      </c>
      <c r="O439" t="str">
        <v/>
      </c>
      <c r="P439">
        <f t="shared" si="35"/>
        <v>0</v>
      </c>
      <c r="Q439">
        <f t="shared" si="36"/>
        <v>0</v>
      </c>
      <c r="R439">
        <f t="shared" si="37"/>
        <v>0</v>
      </c>
      <c r="S439">
        <f t="shared" si="33"/>
        <v>0</v>
      </c>
      <c r="T439">
        <f t="shared" si="34"/>
        <v>0</v>
      </c>
    </row>
    <row r="440" x14ac:dyDescent="0.35">
      <c r="A440" t="str">
        <v/>
      </c>
      <c r="B440" t="str">
        <v/>
      </c>
      <c r="C440" t="str">
        <v/>
      </c>
      <c r="D440" t="str">
        <v/>
      </c>
      <c r="E440" t="str">
        <v/>
      </c>
      <c r="F440" t="str">
        <v/>
      </c>
      <c r="G440" t="str">
        <v/>
      </c>
      <c r="H440" t="str">
        <v/>
      </c>
      <c r="I440" t="str">
        <v/>
      </c>
      <c r="J440" t="str">
        <v/>
      </c>
      <c r="K440" t="str">
        <v/>
      </c>
      <c r="L440" t="str">
        <v/>
      </c>
      <c r="M440" t="str">
        <v/>
      </c>
      <c r="N440" t="str">
        <v/>
      </c>
      <c r="O440" t="str">
        <v/>
      </c>
      <c r="P440">
        <f t="shared" si="35"/>
        <v>0</v>
      </c>
      <c r="Q440">
        <f t="shared" si="36"/>
        <v>0</v>
      </c>
      <c r="R440">
        <f t="shared" si="37"/>
        <v>0</v>
      </c>
      <c r="S440">
        <f t="shared" si="33"/>
        <v>0</v>
      </c>
      <c r="T440">
        <f t="shared" si="34"/>
        <v>0</v>
      </c>
    </row>
    <row r="441" x14ac:dyDescent="0.35">
      <c r="A441" t="str">
        <v/>
      </c>
      <c r="B441" t="str">
        <v/>
      </c>
      <c r="C441" t="str">
        <v/>
      </c>
      <c r="D441" t="str">
        <v/>
      </c>
      <c r="E441" t="str">
        <v/>
      </c>
      <c r="F441" t="str">
        <v/>
      </c>
      <c r="G441" t="str">
        <v/>
      </c>
      <c r="H441" t="str">
        <v/>
      </c>
      <c r="I441" t="str">
        <v/>
      </c>
      <c r="J441" t="str">
        <v/>
      </c>
      <c r="K441" t="str">
        <v/>
      </c>
      <c r="L441" t="str">
        <v/>
      </c>
      <c r="M441" t="str">
        <v/>
      </c>
      <c r="N441" t="str">
        <v/>
      </c>
      <c r="O441" t="str">
        <v/>
      </c>
      <c r="P441">
        <f t="shared" si="35"/>
        <v>0</v>
      </c>
      <c r="Q441">
        <f t="shared" si="36"/>
        <v>0</v>
      </c>
      <c r="R441">
        <f t="shared" si="37"/>
        <v>0</v>
      </c>
      <c r="S441">
        <f t="shared" si="33"/>
        <v>0</v>
      </c>
      <c r="T441">
        <f t="shared" si="34"/>
        <v>0</v>
      </c>
    </row>
    <row r="442" x14ac:dyDescent="0.35">
      <c r="A442" t="str">
        <v/>
      </c>
      <c r="B442" t="str">
        <v/>
      </c>
      <c r="C442" t="str">
        <v/>
      </c>
      <c r="D442" t="str">
        <v/>
      </c>
      <c r="E442" t="str">
        <v/>
      </c>
      <c r="F442" t="str">
        <v/>
      </c>
      <c r="G442" t="str">
        <v/>
      </c>
      <c r="H442" t="str">
        <v/>
      </c>
      <c r="I442" t="str">
        <v/>
      </c>
      <c r="J442" t="str">
        <v/>
      </c>
      <c r="K442" t="str">
        <v/>
      </c>
      <c r="L442" t="str">
        <v/>
      </c>
      <c r="M442" t="str">
        <v/>
      </c>
      <c r="N442" t="str">
        <v/>
      </c>
      <c r="O442" t="str">
        <v/>
      </c>
      <c r="P442">
        <f t="shared" si="35"/>
        <v>0</v>
      </c>
      <c r="Q442">
        <f t="shared" si="36"/>
        <v>0</v>
      </c>
      <c r="R442">
        <f t="shared" si="37"/>
        <v>0</v>
      </c>
      <c r="S442">
        <f t="shared" si="33"/>
        <v>0</v>
      </c>
      <c r="T442">
        <f t="shared" si="34"/>
        <v>0</v>
      </c>
    </row>
    <row r="443" x14ac:dyDescent="0.35">
      <c r="A443" t="str">
        <v/>
      </c>
      <c r="B443" t="str">
        <v/>
      </c>
      <c r="C443" t="str">
        <v/>
      </c>
      <c r="D443" t="str">
        <v/>
      </c>
      <c r="E443" t="str">
        <v/>
      </c>
      <c r="F443" t="str">
        <v/>
      </c>
      <c r="G443" t="str">
        <v/>
      </c>
      <c r="H443" t="str">
        <v/>
      </c>
      <c r="I443" t="str">
        <v/>
      </c>
      <c r="J443" t="str">
        <v/>
      </c>
      <c r="K443" t="str">
        <v/>
      </c>
      <c r="L443" t="str">
        <v/>
      </c>
      <c r="M443" t="str">
        <v/>
      </c>
      <c r="N443" t="str">
        <v/>
      </c>
      <c r="O443" t="str">
        <v/>
      </c>
      <c r="P443">
        <f t="shared" si="35"/>
        <v>0</v>
      </c>
      <c r="Q443">
        <f t="shared" si="36"/>
        <v>0</v>
      </c>
      <c r="R443">
        <f t="shared" si="37"/>
        <v>0</v>
      </c>
      <c r="S443">
        <f t="shared" si="33"/>
        <v>0</v>
      </c>
      <c r="T443">
        <f t="shared" si="34"/>
        <v>0</v>
      </c>
    </row>
    <row r="444" x14ac:dyDescent="0.35">
      <c r="A444" t="str">
        <v/>
      </c>
      <c r="B444" t="str">
        <v/>
      </c>
      <c r="C444" t="str">
        <v/>
      </c>
      <c r="D444" t="str">
        <v/>
      </c>
      <c r="E444" t="str">
        <v/>
      </c>
      <c r="F444" t="str">
        <v/>
      </c>
      <c r="G444" t="str">
        <v/>
      </c>
      <c r="H444" t="str">
        <v/>
      </c>
      <c r="I444" t="str">
        <v/>
      </c>
      <c r="J444" t="str">
        <v/>
      </c>
      <c r="K444" t="str">
        <v/>
      </c>
      <c r="L444" t="str">
        <v/>
      </c>
      <c r="M444" t="str">
        <v/>
      </c>
      <c r="N444" t="str">
        <v/>
      </c>
      <c r="O444" t="str">
        <v/>
      </c>
      <c r="P444">
        <f t="shared" si="35"/>
        <v>0</v>
      </c>
      <c r="Q444">
        <f t="shared" si="36"/>
        <v>0</v>
      </c>
      <c r="R444">
        <f t="shared" si="37"/>
        <v>0</v>
      </c>
      <c r="S444">
        <f t="shared" si="33"/>
        <v>0</v>
      </c>
      <c r="T444">
        <f t="shared" si="34"/>
        <v>0</v>
      </c>
    </row>
    <row r="445" x14ac:dyDescent="0.35">
      <c r="A445" t="str">
        <v/>
      </c>
      <c r="B445" t="str">
        <v/>
      </c>
      <c r="C445" t="str">
        <v/>
      </c>
      <c r="D445" t="str">
        <v/>
      </c>
      <c r="E445" t="str">
        <v/>
      </c>
      <c r="F445" t="str">
        <v/>
      </c>
      <c r="G445" t="str">
        <v/>
      </c>
      <c r="H445" t="str">
        <v/>
      </c>
      <c r="I445" t="str">
        <v/>
      </c>
      <c r="J445" t="str">
        <v/>
      </c>
      <c r="K445" t="str">
        <v/>
      </c>
      <c r="L445" t="str">
        <v/>
      </c>
      <c r="M445" t="str">
        <v/>
      </c>
      <c r="N445" t="str">
        <v/>
      </c>
      <c r="O445" t="str">
        <v/>
      </c>
      <c r="P445">
        <f t="shared" si="35"/>
        <v>0</v>
      </c>
      <c r="Q445">
        <f t="shared" si="36"/>
        <v>0</v>
      </c>
      <c r="R445">
        <f t="shared" si="37"/>
        <v>0</v>
      </c>
      <c r="S445">
        <f t="shared" si="33"/>
        <v>0</v>
      </c>
      <c r="T445">
        <f t="shared" si="34"/>
        <v>0</v>
      </c>
    </row>
    <row r="446" x14ac:dyDescent="0.35">
      <c r="A446" t="str">
        <v/>
      </c>
      <c r="B446" t="str">
        <v/>
      </c>
      <c r="C446" t="str">
        <v/>
      </c>
      <c r="D446" t="str">
        <v/>
      </c>
      <c r="E446" t="str">
        <v/>
      </c>
      <c r="F446" t="str">
        <v/>
      </c>
      <c r="G446" t="str">
        <v/>
      </c>
      <c r="H446" t="str">
        <v/>
      </c>
      <c r="I446" t="str">
        <v/>
      </c>
      <c r="J446" t="str">
        <v/>
      </c>
      <c r="K446" t="str">
        <v/>
      </c>
      <c r="L446" t="str">
        <v/>
      </c>
      <c r="M446" t="str">
        <v/>
      </c>
      <c r="N446" t="str">
        <v/>
      </c>
      <c r="O446" t="str">
        <v/>
      </c>
      <c r="P446">
        <f t="shared" si="35"/>
        <v>0</v>
      </c>
      <c r="Q446">
        <f t="shared" si="36"/>
        <v>0</v>
      </c>
      <c r="R446">
        <f t="shared" si="37"/>
        <v>0</v>
      </c>
      <c r="S446">
        <f t="shared" si="33"/>
        <v>0</v>
      </c>
      <c r="T446">
        <f t="shared" si="34"/>
        <v>0</v>
      </c>
    </row>
    <row r="447" x14ac:dyDescent="0.35">
      <c r="A447" t="str">
        <v/>
      </c>
      <c r="B447" t="str">
        <v/>
      </c>
      <c r="C447" t="str">
        <v/>
      </c>
      <c r="D447" t="str">
        <v/>
      </c>
      <c r="E447" t="str">
        <v/>
      </c>
      <c r="F447" t="str">
        <v/>
      </c>
      <c r="G447" t="str">
        <v/>
      </c>
      <c r="H447" t="str">
        <v/>
      </c>
      <c r="I447" t="str">
        <v/>
      </c>
      <c r="J447" t="str">
        <v/>
      </c>
      <c r="K447" t="str">
        <v/>
      </c>
      <c r="L447" t="str">
        <v/>
      </c>
      <c r="M447" t="str">
        <v/>
      </c>
      <c r="N447" t="str">
        <v/>
      </c>
      <c r="O447" t="str">
        <v/>
      </c>
      <c r="P447">
        <f t="shared" si="35"/>
        <v>0</v>
      </c>
      <c r="Q447">
        <f t="shared" si="36"/>
        <v>0</v>
      </c>
      <c r="R447">
        <f t="shared" si="37"/>
        <v>0</v>
      </c>
      <c r="S447">
        <f t="shared" si="33"/>
        <v>0</v>
      </c>
      <c r="T447">
        <f t="shared" si="34"/>
        <v>0</v>
      </c>
    </row>
    <row r="448" x14ac:dyDescent="0.35">
      <c r="A448" t="str">
        <v/>
      </c>
      <c r="B448" t="str">
        <v/>
      </c>
      <c r="C448" t="str">
        <v/>
      </c>
      <c r="D448" t="str">
        <v/>
      </c>
      <c r="E448" t="str">
        <v/>
      </c>
      <c r="F448" t="str">
        <v/>
      </c>
      <c r="G448" t="str">
        <v/>
      </c>
      <c r="H448" t="str">
        <v/>
      </c>
      <c r="I448" t="str">
        <v/>
      </c>
      <c r="J448" t="str">
        <v/>
      </c>
      <c r="K448" t="str">
        <v/>
      </c>
      <c r="L448" t="str">
        <v/>
      </c>
      <c r="M448" t="str">
        <v/>
      </c>
      <c r="N448" t="str">
        <v/>
      </c>
      <c r="O448" t="str">
        <v/>
      </c>
      <c r="P448">
        <f t="shared" si="35"/>
        <v>0</v>
      </c>
      <c r="Q448">
        <f t="shared" si="36"/>
        <v>0</v>
      </c>
      <c r="R448">
        <f t="shared" si="37"/>
        <v>0</v>
      </c>
      <c r="S448">
        <f t="shared" si="33"/>
        <v>0</v>
      </c>
      <c r="T448">
        <f t="shared" si="34"/>
        <v>0</v>
      </c>
    </row>
    <row r="449" x14ac:dyDescent="0.35">
      <c r="A449" t="str">
        <v/>
      </c>
      <c r="B449" t="str">
        <v/>
      </c>
      <c r="C449" t="str">
        <v/>
      </c>
      <c r="D449" t="str">
        <v/>
      </c>
      <c r="E449" t="str">
        <v/>
      </c>
      <c r="F449" t="str">
        <v/>
      </c>
      <c r="G449" t="str">
        <v/>
      </c>
      <c r="H449" t="str">
        <v/>
      </c>
      <c r="I449" t="str">
        <v/>
      </c>
      <c r="J449" t="str">
        <v/>
      </c>
      <c r="K449" t="str">
        <v/>
      </c>
      <c r="L449" t="str">
        <v/>
      </c>
      <c r="M449" t="str">
        <v/>
      </c>
      <c r="N449" t="str">
        <v/>
      </c>
      <c r="O449" t="str">
        <v/>
      </c>
      <c r="P449">
        <f t="shared" si="35"/>
        <v>0</v>
      </c>
      <c r="Q449">
        <f t="shared" si="36"/>
        <v>0</v>
      </c>
      <c r="R449">
        <f t="shared" si="37"/>
        <v>0</v>
      </c>
      <c r="S449">
        <f t="shared" si="33"/>
        <v>0</v>
      </c>
      <c r="T449">
        <f t="shared" si="34"/>
        <v>0</v>
      </c>
    </row>
    <row r="450" x14ac:dyDescent="0.35">
      <c r="A450" t="str">
        <v/>
      </c>
      <c r="B450" t="str">
        <v/>
      </c>
      <c r="C450" t="str">
        <v/>
      </c>
      <c r="D450" t="str">
        <v/>
      </c>
      <c r="E450" t="str">
        <v/>
      </c>
      <c r="F450" t="str">
        <v/>
      </c>
      <c r="G450" t="str">
        <v/>
      </c>
      <c r="H450" t="str">
        <v/>
      </c>
      <c r="I450" t="str">
        <v/>
      </c>
      <c r="J450" t="str">
        <v/>
      </c>
      <c r="K450" t="str">
        <v/>
      </c>
      <c r="L450" t="str">
        <v/>
      </c>
      <c r="M450" t="str">
        <v/>
      </c>
      <c r="N450" t="str">
        <v/>
      </c>
      <c r="O450" t="str">
        <v/>
      </c>
      <c r="P450">
        <f t="shared" si="35"/>
        <v>0</v>
      </c>
      <c r="Q450">
        <f t="shared" si="36"/>
        <v>0</v>
      </c>
      <c r="R450">
        <f t="shared" si="37"/>
        <v>0</v>
      </c>
      <c r="S450">
        <f t="shared" si="33"/>
        <v>0</v>
      </c>
      <c r="T450">
        <f t="shared" si="34"/>
        <v>0</v>
      </c>
    </row>
    <row r="451" x14ac:dyDescent="0.35">
      <c r="A451" t="str">
        <v/>
      </c>
      <c r="B451" t="str">
        <v/>
      </c>
      <c r="C451" t="str">
        <v/>
      </c>
      <c r="D451" t="str">
        <v/>
      </c>
      <c r="E451" t="str">
        <v/>
      </c>
      <c r="F451" t="str">
        <v/>
      </c>
      <c r="G451" t="str">
        <v/>
      </c>
      <c r="H451" t="str">
        <v/>
      </c>
      <c r="I451" t="str">
        <v/>
      </c>
      <c r="J451" t="str">
        <v/>
      </c>
      <c r="K451" t="str">
        <v/>
      </c>
      <c r="L451" t="str">
        <v/>
      </c>
      <c r="M451" t="str">
        <v/>
      </c>
      <c r="N451" t="str">
        <v/>
      </c>
      <c r="O451" t="str">
        <v/>
      </c>
      <c r="P451">
        <f t="shared" si="35"/>
        <v>0</v>
      </c>
      <c r="Q451">
        <f t="shared" si="36"/>
        <v>0</v>
      </c>
      <c r="R451">
        <f t="shared" si="37"/>
        <v>0</v>
      </c>
      <c r="S451">
        <f t="shared" ref="S451:S514" si="38">IF(J451="Realizada completa",1,0)</f>
        <v>0</v>
      </c>
      <c r="T451">
        <f t="shared" ref="T451:T514" si="39">IF(J451="Sin respuesta",1,0)</f>
        <v>0</v>
      </c>
    </row>
    <row r="452" x14ac:dyDescent="0.35">
      <c r="A452" t="str">
        <v/>
      </c>
      <c r="B452" t="str">
        <v/>
      </c>
      <c r="C452" t="str">
        <v/>
      </c>
      <c r="D452" t="str">
        <v/>
      </c>
      <c r="E452" t="str">
        <v/>
      </c>
      <c r="F452" t="str">
        <v/>
      </c>
      <c r="G452" t="str">
        <v/>
      </c>
      <c r="H452" t="str">
        <v/>
      </c>
      <c r="I452" t="str">
        <v/>
      </c>
      <c r="J452" t="str">
        <v/>
      </c>
      <c r="K452" t="str">
        <v/>
      </c>
      <c r="L452" t="str">
        <v/>
      </c>
      <c r="M452" t="str">
        <v/>
      </c>
      <c r="N452" t="str">
        <v/>
      </c>
      <c r="O452" t="str">
        <v/>
      </c>
      <c r="P452">
        <f t="shared" ref="P452:P515" si="40">IF(F452="Sí",1,0)</f>
        <v>0</v>
      </c>
      <c r="Q452">
        <f t="shared" ref="Q452:Q515" si="41">IF(J452="En coordinación",1,0)</f>
        <v>0</v>
      </c>
      <c r="R452">
        <f t="shared" ref="R452:R515" si="42">IF(J452="En coordinación",1,0)</f>
        <v>0</v>
      </c>
      <c r="S452">
        <f t="shared" si="38"/>
        <v>0</v>
      </c>
      <c r="T452">
        <f t="shared" si="39"/>
        <v>0</v>
      </c>
    </row>
    <row r="453" x14ac:dyDescent="0.35">
      <c r="A453" t="str">
        <v/>
      </c>
      <c r="B453" t="str">
        <v/>
      </c>
      <c r="C453" t="str">
        <v/>
      </c>
      <c r="D453" t="str">
        <v/>
      </c>
      <c r="E453" t="str">
        <v/>
      </c>
      <c r="F453" t="str">
        <v/>
      </c>
      <c r="G453" t="str">
        <v/>
      </c>
      <c r="H453" t="str">
        <v/>
      </c>
      <c r="I453" t="str">
        <v/>
      </c>
      <c r="J453" t="str">
        <v/>
      </c>
      <c r="K453" t="str">
        <v/>
      </c>
      <c r="L453" t="str">
        <v/>
      </c>
      <c r="M453" t="str">
        <v/>
      </c>
      <c r="N453" t="str">
        <v/>
      </c>
      <c r="O453" t="str">
        <v/>
      </c>
      <c r="P453">
        <f t="shared" si="40"/>
        <v>0</v>
      </c>
      <c r="Q453">
        <f t="shared" si="41"/>
        <v>0</v>
      </c>
      <c r="R453">
        <f t="shared" si="42"/>
        <v>0</v>
      </c>
      <c r="S453">
        <f t="shared" si="38"/>
        <v>0</v>
      </c>
      <c r="T453">
        <f t="shared" si="39"/>
        <v>0</v>
      </c>
    </row>
    <row r="454" x14ac:dyDescent="0.35">
      <c r="A454" t="str">
        <v/>
      </c>
      <c r="B454" t="str">
        <v/>
      </c>
      <c r="C454" t="str">
        <v/>
      </c>
      <c r="D454" t="str">
        <v/>
      </c>
      <c r="E454" t="str">
        <v/>
      </c>
      <c r="F454" t="str">
        <v/>
      </c>
      <c r="G454" t="str">
        <v/>
      </c>
      <c r="H454" t="str">
        <v/>
      </c>
      <c r="I454" t="str">
        <v/>
      </c>
      <c r="J454" t="str">
        <v/>
      </c>
      <c r="K454" t="str">
        <v/>
      </c>
      <c r="L454" t="str">
        <v/>
      </c>
      <c r="M454" t="str">
        <v/>
      </c>
      <c r="N454" t="str">
        <v/>
      </c>
      <c r="O454" t="str">
        <v/>
      </c>
      <c r="P454">
        <f t="shared" si="40"/>
        <v>0</v>
      </c>
      <c r="Q454">
        <f t="shared" si="41"/>
        <v>0</v>
      </c>
      <c r="R454">
        <f t="shared" si="42"/>
        <v>0</v>
      </c>
      <c r="S454">
        <f t="shared" si="38"/>
        <v>0</v>
      </c>
      <c r="T454">
        <f t="shared" si="39"/>
        <v>0</v>
      </c>
    </row>
    <row r="455" x14ac:dyDescent="0.35">
      <c r="A455" t="str">
        <v/>
      </c>
      <c r="B455" t="str">
        <v/>
      </c>
      <c r="C455" t="str">
        <v/>
      </c>
      <c r="D455" t="str">
        <v/>
      </c>
      <c r="E455" t="str">
        <v/>
      </c>
      <c r="F455" t="str">
        <v/>
      </c>
      <c r="G455" t="str">
        <v/>
      </c>
      <c r="H455" t="str">
        <v/>
      </c>
      <c r="I455" t="str">
        <v/>
      </c>
      <c r="J455" t="str">
        <v/>
      </c>
      <c r="K455" t="str">
        <v/>
      </c>
      <c r="L455" t="str">
        <v/>
      </c>
      <c r="M455" t="str">
        <v/>
      </c>
      <c r="N455" t="str">
        <v/>
      </c>
      <c r="O455" t="str">
        <v/>
      </c>
      <c r="P455">
        <f t="shared" si="40"/>
        <v>0</v>
      </c>
      <c r="Q455">
        <f t="shared" si="41"/>
        <v>0</v>
      </c>
      <c r="R455">
        <f t="shared" si="42"/>
        <v>0</v>
      </c>
      <c r="S455">
        <f t="shared" si="38"/>
        <v>0</v>
      </c>
      <c r="T455">
        <f t="shared" si="39"/>
        <v>0</v>
      </c>
    </row>
    <row r="456" x14ac:dyDescent="0.35">
      <c r="A456" t="str">
        <v/>
      </c>
      <c r="B456" t="str">
        <v/>
      </c>
      <c r="C456" t="str">
        <v/>
      </c>
      <c r="D456" t="str">
        <v/>
      </c>
      <c r="E456" t="str">
        <v/>
      </c>
      <c r="F456" t="str">
        <v/>
      </c>
      <c r="G456" t="str">
        <v/>
      </c>
      <c r="H456" t="str">
        <v/>
      </c>
      <c r="I456" t="str">
        <v/>
      </c>
      <c r="J456" t="str">
        <v/>
      </c>
      <c r="K456" t="str">
        <v/>
      </c>
      <c r="L456" t="str">
        <v/>
      </c>
      <c r="M456" t="str">
        <v/>
      </c>
      <c r="N456" t="str">
        <v/>
      </c>
      <c r="O456" t="str">
        <v/>
      </c>
      <c r="P456">
        <f t="shared" si="40"/>
        <v>0</v>
      </c>
      <c r="Q456">
        <f t="shared" si="41"/>
        <v>0</v>
      </c>
      <c r="R456">
        <f t="shared" si="42"/>
        <v>0</v>
      </c>
      <c r="S456">
        <f t="shared" si="38"/>
        <v>0</v>
      </c>
      <c r="T456">
        <f t="shared" si="39"/>
        <v>0</v>
      </c>
    </row>
    <row r="457" x14ac:dyDescent="0.35">
      <c r="A457" t="str">
        <v/>
      </c>
      <c r="B457" t="str">
        <v/>
      </c>
      <c r="C457" t="str">
        <v/>
      </c>
      <c r="D457" t="str">
        <v/>
      </c>
      <c r="E457" t="str">
        <v/>
      </c>
      <c r="F457" t="str">
        <v/>
      </c>
      <c r="G457" t="str">
        <v/>
      </c>
      <c r="H457" t="str">
        <v/>
      </c>
      <c r="I457" t="str">
        <v/>
      </c>
      <c r="J457" t="str">
        <v/>
      </c>
      <c r="K457" t="str">
        <v/>
      </c>
      <c r="L457" t="str">
        <v/>
      </c>
      <c r="M457" t="str">
        <v/>
      </c>
      <c r="N457" t="str">
        <v/>
      </c>
      <c r="O457" t="str">
        <v/>
      </c>
      <c r="P457">
        <f t="shared" si="40"/>
        <v>0</v>
      </c>
      <c r="Q457">
        <f t="shared" si="41"/>
        <v>0</v>
      </c>
      <c r="R457">
        <f t="shared" si="42"/>
        <v>0</v>
      </c>
      <c r="S457">
        <f t="shared" si="38"/>
        <v>0</v>
      </c>
      <c r="T457">
        <f t="shared" si="39"/>
        <v>0</v>
      </c>
    </row>
    <row r="458" x14ac:dyDescent="0.35">
      <c r="A458" t="str">
        <v/>
      </c>
      <c r="B458" t="str">
        <v/>
      </c>
      <c r="C458" t="str">
        <v/>
      </c>
      <c r="D458" t="str">
        <v/>
      </c>
      <c r="E458" t="str">
        <v/>
      </c>
      <c r="F458" t="str">
        <v/>
      </c>
      <c r="G458" t="str">
        <v/>
      </c>
      <c r="H458" t="str">
        <v/>
      </c>
      <c r="I458" t="str">
        <v/>
      </c>
      <c r="J458" t="str">
        <v/>
      </c>
      <c r="K458" t="str">
        <v/>
      </c>
      <c r="L458" t="str">
        <v/>
      </c>
      <c r="M458" t="str">
        <v/>
      </c>
      <c r="N458" t="str">
        <v/>
      </c>
      <c r="O458" t="str">
        <v/>
      </c>
      <c r="P458">
        <f t="shared" si="40"/>
        <v>0</v>
      </c>
      <c r="Q458">
        <f t="shared" si="41"/>
        <v>0</v>
      </c>
      <c r="R458">
        <f t="shared" si="42"/>
        <v>0</v>
      </c>
      <c r="S458">
        <f t="shared" si="38"/>
        <v>0</v>
      </c>
      <c r="T458">
        <f t="shared" si="39"/>
        <v>0</v>
      </c>
    </row>
    <row r="459" x14ac:dyDescent="0.35">
      <c r="A459" t="str">
        <v/>
      </c>
      <c r="B459" t="str">
        <v/>
      </c>
      <c r="C459" t="str">
        <v/>
      </c>
      <c r="D459" t="str">
        <v/>
      </c>
      <c r="E459" t="str">
        <v/>
      </c>
      <c r="F459" t="str">
        <v/>
      </c>
      <c r="G459" t="str">
        <v/>
      </c>
      <c r="H459" t="str">
        <v/>
      </c>
      <c r="I459" t="str">
        <v/>
      </c>
      <c r="J459" t="str">
        <v/>
      </c>
      <c r="K459" t="str">
        <v/>
      </c>
      <c r="L459" t="str">
        <v/>
      </c>
      <c r="M459" t="str">
        <v/>
      </c>
      <c r="N459" t="str">
        <v/>
      </c>
      <c r="O459" t="str">
        <v/>
      </c>
      <c r="P459">
        <f t="shared" si="40"/>
        <v>0</v>
      </c>
      <c r="Q459">
        <f t="shared" si="41"/>
        <v>0</v>
      </c>
      <c r="R459">
        <f t="shared" si="42"/>
        <v>0</v>
      </c>
      <c r="S459">
        <f t="shared" si="38"/>
        <v>0</v>
      </c>
      <c r="T459">
        <f t="shared" si="39"/>
        <v>0</v>
      </c>
    </row>
    <row r="460" x14ac:dyDescent="0.35">
      <c r="A460" t="str">
        <v/>
      </c>
      <c r="B460" t="str">
        <v/>
      </c>
      <c r="C460" t="str">
        <v/>
      </c>
      <c r="D460" t="str">
        <v/>
      </c>
      <c r="E460" t="str">
        <v/>
      </c>
      <c r="F460" t="str">
        <v/>
      </c>
      <c r="G460" t="str">
        <v/>
      </c>
      <c r="H460" t="str">
        <v/>
      </c>
      <c r="I460" t="str">
        <v/>
      </c>
      <c r="J460" t="str">
        <v/>
      </c>
      <c r="K460" t="str">
        <v/>
      </c>
      <c r="L460" t="str">
        <v/>
      </c>
      <c r="M460" t="str">
        <v/>
      </c>
      <c r="N460" t="str">
        <v/>
      </c>
      <c r="O460" t="str">
        <v/>
      </c>
      <c r="P460">
        <f t="shared" si="40"/>
        <v>0</v>
      </c>
      <c r="Q460">
        <f t="shared" si="41"/>
        <v>0</v>
      </c>
      <c r="R460">
        <f t="shared" si="42"/>
        <v>0</v>
      </c>
      <c r="S460">
        <f t="shared" si="38"/>
        <v>0</v>
      </c>
      <c r="T460">
        <f t="shared" si="39"/>
        <v>0</v>
      </c>
    </row>
    <row r="461" x14ac:dyDescent="0.35">
      <c r="A461" t="str">
        <v/>
      </c>
      <c r="B461" t="str">
        <v/>
      </c>
      <c r="C461" t="str">
        <v/>
      </c>
      <c r="D461" t="str">
        <v/>
      </c>
      <c r="E461" t="str">
        <v/>
      </c>
      <c r="F461" t="str">
        <v/>
      </c>
      <c r="G461" t="str">
        <v/>
      </c>
      <c r="H461" t="str">
        <v/>
      </c>
      <c r="I461" t="str">
        <v/>
      </c>
      <c r="J461" t="str">
        <v/>
      </c>
      <c r="K461" t="str">
        <v/>
      </c>
      <c r="L461" t="str">
        <v/>
      </c>
      <c r="M461" t="str">
        <v/>
      </c>
      <c r="N461" t="str">
        <v/>
      </c>
      <c r="O461" t="str">
        <v/>
      </c>
      <c r="P461">
        <f t="shared" si="40"/>
        <v>0</v>
      </c>
      <c r="Q461">
        <f t="shared" si="41"/>
        <v>0</v>
      </c>
      <c r="R461">
        <f t="shared" si="42"/>
        <v>0</v>
      </c>
      <c r="S461">
        <f t="shared" si="38"/>
        <v>0</v>
      </c>
      <c r="T461">
        <f t="shared" si="39"/>
        <v>0</v>
      </c>
    </row>
    <row r="462" x14ac:dyDescent="0.35">
      <c r="A462" t="str">
        <v/>
      </c>
      <c r="B462" t="str">
        <v/>
      </c>
      <c r="C462" t="str">
        <v/>
      </c>
      <c r="D462" t="str">
        <v/>
      </c>
      <c r="E462" t="str">
        <v/>
      </c>
      <c r="F462" t="str">
        <v/>
      </c>
      <c r="G462" t="str">
        <v/>
      </c>
      <c r="H462" t="str">
        <v/>
      </c>
      <c r="I462" t="str">
        <v/>
      </c>
      <c r="J462" t="str">
        <v/>
      </c>
      <c r="K462" t="str">
        <v/>
      </c>
      <c r="L462" t="str">
        <v/>
      </c>
      <c r="M462" t="str">
        <v/>
      </c>
      <c r="N462" t="str">
        <v/>
      </c>
      <c r="O462" t="str">
        <v/>
      </c>
      <c r="P462">
        <f t="shared" si="40"/>
        <v>0</v>
      </c>
      <c r="Q462">
        <f t="shared" si="41"/>
        <v>0</v>
      </c>
      <c r="R462">
        <f t="shared" si="42"/>
        <v>0</v>
      </c>
      <c r="S462">
        <f t="shared" si="38"/>
        <v>0</v>
      </c>
      <c r="T462">
        <f t="shared" si="39"/>
        <v>0</v>
      </c>
    </row>
    <row r="463" x14ac:dyDescent="0.35">
      <c r="A463" t="str">
        <v/>
      </c>
      <c r="B463" t="str">
        <v/>
      </c>
      <c r="C463" t="str">
        <v/>
      </c>
      <c r="D463" t="str">
        <v/>
      </c>
      <c r="E463" t="str">
        <v/>
      </c>
      <c r="F463" t="str">
        <v/>
      </c>
      <c r="G463" t="str">
        <v/>
      </c>
      <c r="H463" t="str">
        <v/>
      </c>
      <c r="I463" t="str">
        <v/>
      </c>
      <c r="J463" t="str">
        <v/>
      </c>
      <c r="K463" t="str">
        <v/>
      </c>
      <c r="L463" t="str">
        <v/>
      </c>
      <c r="M463" t="str">
        <v/>
      </c>
      <c r="N463" t="str">
        <v/>
      </c>
      <c r="O463" t="str">
        <v/>
      </c>
      <c r="P463">
        <f t="shared" si="40"/>
        <v>0</v>
      </c>
      <c r="Q463">
        <f t="shared" si="41"/>
        <v>0</v>
      </c>
      <c r="R463">
        <f t="shared" si="42"/>
        <v>0</v>
      </c>
      <c r="S463">
        <f t="shared" si="38"/>
        <v>0</v>
      </c>
      <c r="T463">
        <f t="shared" si="39"/>
        <v>0</v>
      </c>
    </row>
    <row r="464" x14ac:dyDescent="0.35">
      <c r="A464" t="str">
        <v/>
      </c>
      <c r="B464" t="str">
        <v/>
      </c>
      <c r="C464" t="str">
        <v/>
      </c>
      <c r="D464" t="str">
        <v/>
      </c>
      <c r="E464" t="str">
        <v/>
      </c>
      <c r="F464" t="str">
        <v/>
      </c>
      <c r="G464" t="str">
        <v/>
      </c>
      <c r="H464" t="str">
        <v/>
      </c>
      <c r="I464" t="str">
        <v/>
      </c>
      <c r="J464" t="str">
        <v/>
      </c>
      <c r="K464" t="str">
        <v/>
      </c>
      <c r="L464" t="str">
        <v/>
      </c>
      <c r="M464" t="str">
        <v/>
      </c>
      <c r="N464" t="str">
        <v/>
      </c>
      <c r="O464" t="str">
        <v/>
      </c>
      <c r="P464">
        <f t="shared" si="40"/>
        <v>0</v>
      </c>
      <c r="Q464">
        <f t="shared" si="41"/>
        <v>0</v>
      </c>
      <c r="R464">
        <f t="shared" si="42"/>
        <v>0</v>
      </c>
      <c r="S464">
        <f t="shared" si="38"/>
        <v>0</v>
      </c>
      <c r="T464">
        <f t="shared" si="39"/>
        <v>0</v>
      </c>
    </row>
    <row r="465" x14ac:dyDescent="0.35">
      <c r="A465" t="str">
        <v/>
      </c>
      <c r="B465" t="str">
        <v/>
      </c>
      <c r="C465" t="str">
        <v/>
      </c>
      <c r="D465" t="str">
        <v/>
      </c>
      <c r="E465" t="str">
        <v/>
      </c>
      <c r="F465" t="str">
        <v/>
      </c>
      <c r="G465" t="str">
        <v/>
      </c>
      <c r="H465" t="str">
        <v/>
      </c>
      <c r="I465" t="str">
        <v/>
      </c>
      <c r="J465" t="str">
        <v/>
      </c>
      <c r="K465" t="str">
        <v/>
      </c>
      <c r="L465" t="str">
        <v/>
      </c>
      <c r="M465" t="str">
        <v/>
      </c>
      <c r="N465" t="str">
        <v/>
      </c>
      <c r="O465" t="str">
        <v/>
      </c>
      <c r="P465">
        <f t="shared" si="40"/>
        <v>0</v>
      </c>
      <c r="Q465">
        <f t="shared" si="41"/>
        <v>0</v>
      </c>
      <c r="R465">
        <f t="shared" si="42"/>
        <v>0</v>
      </c>
      <c r="S465">
        <f t="shared" si="38"/>
        <v>0</v>
      </c>
      <c r="T465">
        <f t="shared" si="39"/>
        <v>0</v>
      </c>
    </row>
    <row r="466" x14ac:dyDescent="0.35">
      <c r="A466" t="str">
        <v/>
      </c>
      <c r="B466" t="str">
        <v/>
      </c>
      <c r="C466" t="str">
        <v/>
      </c>
      <c r="D466" t="str">
        <v/>
      </c>
      <c r="E466" t="str">
        <v/>
      </c>
      <c r="F466" t="str">
        <v/>
      </c>
      <c r="G466" t="str">
        <v/>
      </c>
      <c r="H466" t="str">
        <v/>
      </c>
      <c r="I466" t="str">
        <v/>
      </c>
      <c r="J466" t="str">
        <v/>
      </c>
      <c r="K466" t="str">
        <v/>
      </c>
      <c r="L466" t="str">
        <v/>
      </c>
      <c r="M466" t="str">
        <v/>
      </c>
      <c r="N466" t="str">
        <v/>
      </c>
      <c r="O466" t="str">
        <v/>
      </c>
      <c r="P466">
        <f t="shared" si="40"/>
        <v>0</v>
      </c>
      <c r="Q466">
        <f t="shared" si="41"/>
        <v>0</v>
      </c>
      <c r="R466">
        <f t="shared" si="42"/>
        <v>0</v>
      </c>
      <c r="S466">
        <f t="shared" si="38"/>
        <v>0</v>
      </c>
      <c r="T466">
        <f t="shared" si="39"/>
        <v>0</v>
      </c>
    </row>
    <row r="467" x14ac:dyDescent="0.35">
      <c r="A467" t="str">
        <v/>
      </c>
      <c r="B467" t="str">
        <v/>
      </c>
      <c r="C467" t="str">
        <v/>
      </c>
      <c r="D467" t="str">
        <v/>
      </c>
      <c r="E467" t="str">
        <v/>
      </c>
      <c r="F467" t="str">
        <v/>
      </c>
      <c r="G467" t="str">
        <v/>
      </c>
      <c r="H467" t="str">
        <v/>
      </c>
      <c r="I467" t="str">
        <v/>
      </c>
      <c r="J467" t="str">
        <v/>
      </c>
      <c r="K467" t="str">
        <v/>
      </c>
      <c r="L467" t="str">
        <v/>
      </c>
      <c r="M467" t="str">
        <v/>
      </c>
      <c r="N467" t="str">
        <v/>
      </c>
      <c r="O467" t="str">
        <v/>
      </c>
      <c r="P467">
        <f t="shared" si="40"/>
        <v>0</v>
      </c>
      <c r="Q467">
        <f t="shared" si="41"/>
        <v>0</v>
      </c>
      <c r="R467">
        <f t="shared" si="42"/>
        <v>0</v>
      </c>
      <c r="S467">
        <f t="shared" si="38"/>
        <v>0</v>
      </c>
      <c r="T467">
        <f t="shared" si="39"/>
        <v>0</v>
      </c>
    </row>
    <row r="468" x14ac:dyDescent="0.35">
      <c r="A468" t="str">
        <v/>
      </c>
      <c r="B468" t="str">
        <v/>
      </c>
      <c r="C468" t="str">
        <v/>
      </c>
      <c r="D468" t="str">
        <v/>
      </c>
      <c r="E468" t="str">
        <v/>
      </c>
      <c r="F468" t="str">
        <v/>
      </c>
      <c r="G468" t="str">
        <v/>
      </c>
      <c r="H468" t="str">
        <v/>
      </c>
      <c r="I468" t="str">
        <v/>
      </c>
      <c r="J468" t="str">
        <v/>
      </c>
      <c r="K468" t="str">
        <v/>
      </c>
      <c r="L468" t="str">
        <v/>
      </c>
      <c r="M468" t="str">
        <v/>
      </c>
      <c r="N468" t="str">
        <v/>
      </c>
      <c r="O468" t="str">
        <v/>
      </c>
      <c r="P468">
        <f t="shared" si="40"/>
        <v>0</v>
      </c>
      <c r="Q468">
        <f t="shared" si="41"/>
        <v>0</v>
      </c>
      <c r="R468">
        <f t="shared" si="42"/>
        <v>0</v>
      </c>
      <c r="S468">
        <f t="shared" si="38"/>
        <v>0</v>
      </c>
      <c r="T468">
        <f t="shared" si="39"/>
        <v>0</v>
      </c>
    </row>
    <row r="469" x14ac:dyDescent="0.35">
      <c r="A469" t="str">
        <v/>
      </c>
      <c r="B469" t="str">
        <v/>
      </c>
      <c r="C469" t="str">
        <v/>
      </c>
      <c r="D469" t="str">
        <v/>
      </c>
      <c r="E469" t="str">
        <v/>
      </c>
      <c r="F469" t="str">
        <v/>
      </c>
      <c r="G469" t="str">
        <v/>
      </c>
      <c r="H469" t="str">
        <v/>
      </c>
      <c r="I469" t="str">
        <v/>
      </c>
      <c r="J469" t="str">
        <v/>
      </c>
      <c r="K469" t="str">
        <v/>
      </c>
      <c r="L469" t="str">
        <v/>
      </c>
      <c r="M469" t="str">
        <v/>
      </c>
      <c r="N469" t="str">
        <v/>
      </c>
      <c r="O469" t="str">
        <v/>
      </c>
      <c r="P469">
        <f t="shared" si="40"/>
        <v>0</v>
      </c>
      <c r="Q469">
        <f t="shared" si="41"/>
        <v>0</v>
      </c>
      <c r="R469">
        <f t="shared" si="42"/>
        <v>0</v>
      </c>
      <c r="S469">
        <f t="shared" si="38"/>
        <v>0</v>
      </c>
      <c r="T469">
        <f t="shared" si="39"/>
        <v>0</v>
      </c>
    </row>
    <row r="470" x14ac:dyDescent="0.35">
      <c r="A470" t="str">
        <v/>
      </c>
      <c r="B470" t="str">
        <v/>
      </c>
      <c r="C470" t="str">
        <v/>
      </c>
      <c r="D470" t="str">
        <v/>
      </c>
      <c r="E470" t="str">
        <v/>
      </c>
      <c r="F470" t="str">
        <v/>
      </c>
      <c r="G470" t="str">
        <v/>
      </c>
      <c r="H470" t="str">
        <v/>
      </c>
      <c r="I470" t="str">
        <v/>
      </c>
      <c r="J470" t="str">
        <v/>
      </c>
      <c r="K470" t="str">
        <v/>
      </c>
      <c r="L470" t="str">
        <v/>
      </c>
      <c r="M470" t="str">
        <v/>
      </c>
      <c r="N470" t="str">
        <v/>
      </c>
      <c r="O470" t="str">
        <v/>
      </c>
      <c r="P470">
        <f t="shared" si="40"/>
        <v>0</v>
      </c>
      <c r="Q470">
        <f t="shared" si="41"/>
        <v>0</v>
      </c>
      <c r="R470">
        <f t="shared" si="42"/>
        <v>0</v>
      </c>
      <c r="S470">
        <f t="shared" si="38"/>
        <v>0</v>
      </c>
      <c r="T470">
        <f t="shared" si="39"/>
        <v>0</v>
      </c>
    </row>
    <row r="471" x14ac:dyDescent="0.35">
      <c r="A471" t="str">
        <v/>
      </c>
      <c r="B471" t="str">
        <v/>
      </c>
      <c r="C471" t="str">
        <v/>
      </c>
      <c r="D471" t="str">
        <v/>
      </c>
      <c r="E471" t="str">
        <v/>
      </c>
      <c r="F471" t="str">
        <v/>
      </c>
      <c r="G471" t="str">
        <v/>
      </c>
      <c r="H471" t="str">
        <v/>
      </c>
      <c r="I471" t="str">
        <v/>
      </c>
      <c r="J471" t="str">
        <v/>
      </c>
      <c r="K471" t="str">
        <v/>
      </c>
      <c r="L471" t="str">
        <v/>
      </c>
      <c r="M471" t="str">
        <v/>
      </c>
      <c r="N471" t="str">
        <v/>
      </c>
      <c r="O471" t="str">
        <v/>
      </c>
      <c r="P471">
        <f t="shared" si="40"/>
        <v>0</v>
      </c>
      <c r="Q471">
        <f t="shared" si="41"/>
        <v>0</v>
      </c>
      <c r="R471">
        <f t="shared" si="42"/>
        <v>0</v>
      </c>
      <c r="S471">
        <f t="shared" si="38"/>
        <v>0</v>
      </c>
      <c r="T471">
        <f t="shared" si="39"/>
        <v>0</v>
      </c>
    </row>
    <row r="472" x14ac:dyDescent="0.35">
      <c r="A472" t="str">
        <v/>
      </c>
      <c r="B472" t="str">
        <v/>
      </c>
      <c r="C472" t="str">
        <v/>
      </c>
      <c r="D472" t="str">
        <v/>
      </c>
      <c r="E472" t="str">
        <v/>
      </c>
      <c r="F472" t="str">
        <v/>
      </c>
      <c r="G472" t="str">
        <v/>
      </c>
      <c r="H472" t="str">
        <v/>
      </c>
      <c r="I472" t="str">
        <v/>
      </c>
      <c r="J472" t="str">
        <v/>
      </c>
      <c r="K472" t="str">
        <v/>
      </c>
      <c r="L472" t="str">
        <v/>
      </c>
      <c r="M472" t="str">
        <v/>
      </c>
      <c r="N472" t="str">
        <v/>
      </c>
      <c r="O472" t="str">
        <v/>
      </c>
      <c r="P472">
        <f t="shared" si="40"/>
        <v>0</v>
      </c>
      <c r="Q472">
        <f t="shared" si="41"/>
        <v>0</v>
      </c>
      <c r="R472">
        <f t="shared" si="42"/>
        <v>0</v>
      </c>
      <c r="S472">
        <f t="shared" si="38"/>
        <v>0</v>
      </c>
      <c r="T472">
        <f t="shared" si="39"/>
        <v>0</v>
      </c>
    </row>
    <row r="473" x14ac:dyDescent="0.35">
      <c r="A473" t="str">
        <v/>
      </c>
      <c r="B473" t="str">
        <v/>
      </c>
      <c r="C473" t="str">
        <v/>
      </c>
      <c r="D473" t="str">
        <v/>
      </c>
      <c r="E473" t="str">
        <v/>
      </c>
      <c r="F473" t="str">
        <v/>
      </c>
      <c r="G473" t="str">
        <v/>
      </c>
      <c r="H473" t="str">
        <v/>
      </c>
      <c r="I473" t="str">
        <v/>
      </c>
      <c r="J473" t="str">
        <v/>
      </c>
      <c r="K473" t="str">
        <v/>
      </c>
      <c r="L473" t="str">
        <v/>
      </c>
      <c r="M473" t="str">
        <v/>
      </c>
      <c r="N473" t="str">
        <v/>
      </c>
      <c r="O473" t="str">
        <v/>
      </c>
      <c r="P473">
        <f t="shared" si="40"/>
        <v>0</v>
      </c>
      <c r="Q473">
        <f t="shared" si="41"/>
        <v>0</v>
      </c>
      <c r="R473">
        <f t="shared" si="42"/>
        <v>0</v>
      </c>
      <c r="S473">
        <f t="shared" si="38"/>
        <v>0</v>
      </c>
      <c r="T473">
        <f t="shared" si="39"/>
        <v>0</v>
      </c>
    </row>
    <row r="474" x14ac:dyDescent="0.35">
      <c r="A474" t="str">
        <v/>
      </c>
      <c r="B474" t="str">
        <v/>
      </c>
      <c r="C474" t="str">
        <v/>
      </c>
      <c r="D474" t="str">
        <v/>
      </c>
      <c r="E474" t="str">
        <v/>
      </c>
      <c r="F474" t="str">
        <v/>
      </c>
      <c r="G474" t="str">
        <v/>
      </c>
      <c r="H474" t="str">
        <v/>
      </c>
      <c r="I474" t="str">
        <v/>
      </c>
      <c r="J474" t="str">
        <v/>
      </c>
      <c r="K474" t="str">
        <v/>
      </c>
      <c r="L474" t="str">
        <v/>
      </c>
      <c r="M474" t="str">
        <v/>
      </c>
      <c r="N474" t="str">
        <v/>
      </c>
      <c r="O474" t="str">
        <v/>
      </c>
      <c r="P474">
        <f t="shared" si="40"/>
        <v>0</v>
      </c>
      <c r="Q474">
        <f t="shared" si="41"/>
        <v>0</v>
      </c>
      <c r="R474">
        <f t="shared" si="42"/>
        <v>0</v>
      </c>
      <c r="S474">
        <f t="shared" si="38"/>
        <v>0</v>
      </c>
      <c r="T474">
        <f t="shared" si="39"/>
        <v>0</v>
      </c>
    </row>
    <row r="475" x14ac:dyDescent="0.35">
      <c r="A475" t="str">
        <v/>
      </c>
      <c r="B475" t="str">
        <v/>
      </c>
      <c r="C475" t="str">
        <v/>
      </c>
      <c r="D475" t="str">
        <v/>
      </c>
      <c r="E475" t="str">
        <v/>
      </c>
      <c r="F475" t="str">
        <v/>
      </c>
      <c r="G475" t="str">
        <v/>
      </c>
      <c r="H475" t="str">
        <v/>
      </c>
      <c r="I475" t="str">
        <v/>
      </c>
      <c r="J475" t="str">
        <v/>
      </c>
      <c r="K475" t="str">
        <v/>
      </c>
      <c r="L475" t="str">
        <v/>
      </c>
      <c r="M475" t="str">
        <v/>
      </c>
      <c r="N475" t="str">
        <v/>
      </c>
      <c r="O475" t="str">
        <v/>
      </c>
      <c r="P475">
        <f t="shared" si="40"/>
        <v>0</v>
      </c>
      <c r="Q475">
        <f t="shared" si="41"/>
        <v>0</v>
      </c>
      <c r="R475">
        <f t="shared" si="42"/>
        <v>0</v>
      </c>
      <c r="S475">
        <f t="shared" si="38"/>
        <v>0</v>
      </c>
      <c r="T475">
        <f t="shared" si="39"/>
        <v>0</v>
      </c>
    </row>
    <row r="476" x14ac:dyDescent="0.35">
      <c r="A476" t="str">
        <v/>
      </c>
      <c r="B476" t="str">
        <v/>
      </c>
      <c r="C476" t="str">
        <v/>
      </c>
      <c r="D476" t="str">
        <v/>
      </c>
      <c r="E476" t="str">
        <v/>
      </c>
      <c r="F476" t="str">
        <v/>
      </c>
      <c r="G476" t="str">
        <v/>
      </c>
      <c r="H476" t="str">
        <v/>
      </c>
      <c r="I476" t="str">
        <v/>
      </c>
      <c r="J476" t="str">
        <v/>
      </c>
      <c r="K476" t="str">
        <v/>
      </c>
      <c r="L476" t="str">
        <v/>
      </c>
      <c r="M476" t="str">
        <v/>
      </c>
      <c r="N476" t="str">
        <v/>
      </c>
      <c r="O476" t="str">
        <v/>
      </c>
      <c r="P476">
        <f t="shared" si="40"/>
        <v>0</v>
      </c>
      <c r="Q476">
        <f t="shared" si="41"/>
        <v>0</v>
      </c>
      <c r="R476">
        <f t="shared" si="42"/>
        <v>0</v>
      </c>
      <c r="S476">
        <f t="shared" si="38"/>
        <v>0</v>
      </c>
      <c r="T476">
        <f t="shared" si="39"/>
        <v>0</v>
      </c>
    </row>
    <row r="477" x14ac:dyDescent="0.35">
      <c r="A477" t="str">
        <v/>
      </c>
      <c r="B477" t="str">
        <v/>
      </c>
      <c r="C477" t="str">
        <v/>
      </c>
      <c r="D477" t="str">
        <v/>
      </c>
      <c r="E477" t="str">
        <v/>
      </c>
      <c r="F477" t="str">
        <v/>
      </c>
      <c r="G477" t="str">
        <v/>
      </c>
      <c r="H477" t="str">
        <v/>
      </c>
      <c r="I477" t="str">
        <v/>
      </c>
      <c r="J477" t="str">
        <v/>
      </c>
      <c r="K477" t="str">
        <v/>
      </c>
      <c r="L477" t="str">
        <v/>
      </c>
      <c r="M477" t="str">
        <v/>
      </c>
      <c r="N477" t="str">
        <v/>
      </c>
      <c r="O477" t="str">
        <v/>
      </c>
      <c r="P477">
        <f t="shared" si="40"/>
        <v>0</v>
      </c>
      <c r="Q477">
        <f t="shared" si="41"/>
        <v>0</v>
      </c>
      <c r="R477">
        <f t="shared" si="42"/>
        <v>0</v>
      </c>
      <c r="S477">
        <f t="shared" si="38"/>
        <v>0</v>
      </c>
      <c r="T477">
        <f t="shared" si="39"/>
        <v>0</v>
      </c>
    </row>
    <row r="478" x14ac:dyDescent="0.35">
      <c r="A478" t="str">
        <v/>
      </c>
      <c r="B478" t="str">
        <v/>
      </c>
      <c r="C478" t="str">
        <v/>
      </c>
      <c r="D478" t="str">
        <v/>
      </c>
      <c r="E478" t="str">
        <v/>
      </c>
      <c r="F478" t="str">
        <v/>
      </c>
      <c r="G478" t="str">
        <v/>
      </c>
      <c r="H478" t="str">
        <v/>
      </c>
      <c r="I478" t="str">
        <v/>
      </c>
      <c r="J478" t="str">
        <v/>
      </c>
      <c r="K478" t="str">
        <v/>
      </c>
      <c r="L478" t="str">
        <v/>
      </c>
      <c r="M478" t="str">
        <v/>
      </c>
      <c r="N478" t="str">
        <v/>
      </c>
      <c r="O478" t="str">
        <v/>
      </c>
      <c r="P478">
        <f t="shared" si="40"/>
        <v>0</v>
      </c>
      <c r="Q478">
        <f t="shared" si="41"/>
        <v>0</v>
      </c>
      <c r="R478">
        <f t="shared" si="42"/>
        <v>0</v>
      </c>
      <c r="S478">
        <f t="shared" si="38"/>
        <v>0</v>
      </c>
      <c r="T478">
        <f t="shared" si="39"/>
        <v>0</v>
      </c>
    </row>
    <row r="479" x14ac:dyDescent="0.35">
      <c r="A479" t="str">
        <v/>
      </c>
      <c r="B479" t="str">
        <v/>
      </c>
      <c r="C479" t="str">
        <v/>
      </c>
      <c r="D479" t="str">
        <v/>
      </c>
      <c r="E479" t="str">
        <v/>
      </c>
      <c r="F479" t="str">
        <v/>
      </c>
      <c r="G479" t="str">
        <v/>
      </c>
      <c r="H479" t="str">
        <v/>
      </c>
      <c r="I479" t="str">
        <v/>
      </c>
      <c r="J479" t="str">
        <v/>
      </c>
      <c r="K479" t="str">
        <v/>
      </c>
      <c r="L479" t="str">
        <v/>
      </c>
      <c r="M479" t="str">
        <v/>
      </c>
      <c r="N479" t="str">
        <v/>
      </c>
      <c r="O479" t="str">
        <v/>
      </c>
      <c r="P479">
        <f t="shared" si="40"/>
        <v>0</v>
      </c>
      <c r="Q479">
        <f t="shared" si="41"/>
        <v>0</v>
      </c>
      <c r="R479">
        <f t="shared" si="42"/>
        <v>0</v>
      </c>
      <c r="S479">
        <f t="shared" si="38"/>
        <v>0</v>
      </c>
      <c r="T479">
        <f t="shared" si="39"/>
        <v>0</v>
      </c>
    </row>
    <row r="480" x14ac:dyDescent="0.35">
      <c r="A480" t="str">
        <v/>
      </c>
      <c r="B480" t="str">
        <v/>
      </c>
      <c r="C480" t="str">
        <v/>
      </c>
      <c r="D480" t="str">
        <v/>
      </c>
      <c r="E480" t="str">
        <v/>
      </c>
      <c r="F480" t="str">
        <v/>
      </c>
      <c r="G480" t="str">
        <v/>
      </c>
      <c r="H480" t="str">
        <v/>
      </c>
      <c r="I480" t="str">
        <v/>
      </c>
      <c r="J480" t="str">
        <v/>
      </c>
      <c r="K480" t="str">
        <v/>
      </c>
      <c r="L480" t="str">
        <v/>
      </c>
      <c r="M480" t="str">
        <v/>
      </c>
      <c r="N480" t="str">
        <v/>
      </c>
      <c r="O480" t="str">
        <v/>
      </c>
      <c r="P480">
        <f t="shared" si="40"/>
        <v>0</v>
      </c>
      <c r="Q480">
        <f t="shared" si="41"/>
        <v>0</v>
      </c>
      <c r="R480">
        <f t="shared" si="42"/>
        <v>0</v>
      </c>
      <c r="S480">
        <f t="shared" si="38"/>
        <v>0</v>
      </c>
      <c r="T480">
        <f t="shared" si="39"/>
        <v>0</v>
      </c>
    </row>
    <row r="481" x14ac:dyDescent="0.35">
      <c r="A481" t="str">
        <v/>
      </c>
      <c r="B481" t="str">
        <v/>
      </c>
      <c r="C481" t="str">
        <v/>
      </c>
      <c r="D481" t="str">
        <v/>
      </c>
      <c r="E481" t="str">
        <v/>
      </c>
      <c r="F481" t="str">
        <v/>
      </c>
      <c r="G481" t="str">
        <v/>
      </c>
      <c r="H481" t="str">
        <v/>
      </c>
      <c r="I481" t="str">
        <v/>
      </c>
      <c r="J481" t="str">
        <v/>
      </c>
      <c r="K481" t="str">
        <v/>
      </c>
      <c r="L481" t="str">
        <v/>
      </c>
      <c r="M481" t="str">
        <v/>
      </c>
      <c r="N481" t="str">
        <v/>
      </c>
      <c r="O481" t="str">
        <v/>
      </c>
      <c r="P481">
        <f t="shared" si="40"/>
        <v>0</v>
      </c>
      <c r="Q481">
        <f t="shared" si="41"/>
        <v>0</v>
      </c>
      <c r="R481">
        <f t="shared" si="42"/>
        <v>0</v>
      </c>
      <c r="S481">
        <f t="shared" si="38"/>
        <v>0</v>
      </c>
      <c r="T481">
        <f t="shared" si="39"/>
        <v>0</v>
      </c>
    </row>
    <row r="482" x14ac:dyDescent="0.35">
      <c r="A482" t="str">
        <v/>
      </c>
      <c r="B482" t="str">
        <v/>
      </c>
      <c r="C482" t="str">
        <v/>
      </c>
      <c r="D482" t="str">
        <v/>
      </c>
      <c r="E482" t="str">
        <v/>
      </c>
      <c r="F482" t="str">
        <v/>
      </c>
      <c r="G482" t="str">
        <v/>
      </c>
      <c r="H482" t="str">
        <v/>
      </c>
      <c r="I482" t="str">
        <v/>
      </c>
      <c r="J482" t="str">
        <v/>
      </c>
      <c r="K482" t="str">
        <v/>
      </c>
      <c r="L482" t="str">
        <v/>
      </c>
      <c r="M482" t="str">
        <v/>
      </c>
      <c r="N482" t="str">
        <v/>
      </c>
      <c r="O482" t="str">
        <v/>
      </c>
      <c r="P482">
        <f t="shared" si="40"/>
        <v>0</v>
      </c>
      <c r="Q482">
        <f t="shared" si="41"/>
        <v>0</v>
      </c>
      <c r="R482">
        <f t="shared" si="42"/>
        <v>0</v>
      </c>
      <c r="S482">
        <f t="shared" si="38"/>
        <v>0</v>
      </c>
      <c r="T482">
        <f t="shared" si="39"/>
        <v>0</v>
      </c>
    </row>
    <row r="483" x14ac:dyDescent="0.35">
      <c r="A483" t="str">
        <v/>
      </c>
      <c r="B483" t="str">
        <v/>
      </c>
      <c r="C483" t="str">
        <v/>
      </c>
      <c r="D483" t="str">
        <v/>
      </c>
      <c r="E483" t="str">
        <v/>
      </c>
      <c r="F483" t="str">
        <v/>
      </c>
      <c r="G483" t="str">
        <v/>
      </c>
      <c r="H483" t="str">
        <v/>
      </c>
      <c r="I483" t="str">
        <v/>
      </c>
      <c r="J483" t="str">
        <v/>
      </c>
      <c r="K483" t="str">
        <v/>
      </c>
      <c r="L483" t="str">
        <v/>
      </c>
      <c r="M483" t="str">
        <v/>
      </c>
      <c r="N483" t="str">
        <v/>
      </c>
      <c r="O483" t="str">
        <v/>
      </c>
      <c r="P483">
        <f t="shared" si="40"/>
        <v>0</v>
      </c>
      <c r="Q483">
        <f t="shared" si="41"/>
        <v>0</v>
      </c>
      <c r="R483">
        <f t="shared" si="42"/>
        <v>0</v>
      </c>
      <c r="S483">
        <f t="shared" si="38"/>
        <v>0</v>
      </c>
      <c r="T483">
        <f t="shared" si="39"/>
        <v>0</v>
      </c>
    </row>
    <row r="484" x14ac:dyDescent="0.35">
      <c r="A484" t="str">
        <v/>
      </c>
      <c r="B484" t="str">
        <v/>
      </c>
      <c r="C484" t="str">
        <v/>
      </c>
      <c r="D484" t="str">
        <v/>
      </c>
      <c r="E484" t="str">
        <v/>
      </c>
      <c r="F484" t="str">
        <v/>
      </c>
      <c r="G484" t="str">
        <v/>
      </c>
      <c r="H484" t="str">
        <v/>
      </c>
      <c r="I484" t="str">
        <v/>
      </c>
      <c r="J484" t="str">
        <v/>
      </c>
      <c r="K484" t="str">
        <v/>
      </c>
      <c r="L484" t="str">
        <v/>
      </c>
      <c r="M484" t="str">
        <v/>
      </c>
      <c r="N484" t="str">
        <v/>
      </c>
      <c r="O484" t="str">
        <v/>
      </c>
      <c r="P484">
        <f t="shared" si="40"/>
        <v>0</v>
      </c>
      <c r="Q484">
        <f t="shared" si="41"/>
        <v>0</v>
      </c>
      <c r="R484">
        <f t="shared" si="42"/>
        <v>0</v>
      </c>
      <c r="S484">
        <f t="shared" si="38"/>
        <v>0</v>
      </c>
      <c r="T484">
        <f t="shared" si="39"/>
        <v>0</v>
      </c>
    </row>
    <row r="485" x14ac:dyDescent="0.35">
      <c r="A485" t="str">
        <v/>
      </c>
      <c r="B485" t="str">
        <v/>
      </c>
      <c r="C485" t="str">
        <v/>
      </c>
      <c r="D485" t="str">
        <v/>
      </c>
      <c r="E485" t="str">
        <v/>
      </c>
      <c r="F485" t="str">
        <v/>
      </c>
      <c r="G485" t="str">
        <v/>
      </c>
      <c r="H485" t="str">
        <v/>
      </c>
      <c r="I485" t="str">
        <v/>
      </c>
      <c r="J485" t="str">
        <v/>
      </c>
      <c r="K485" t="str">
        <v/>
      </c>
      <c r="L485" t="str">
        <v/>
      </c>
      <c r="M485" t="str">
        <v/>
      </c>
      <c r="N485" t="str">
        <v/>
      </c>
      <c r="O485" t="str">
        <v/>
      </c>
      <c r="P485">
        <f t="shared" si="40"/>
        <v>0</v>
      </c>
      <c r="Q485">
        <f t="shared" si="41"/>
        <v>0</v>
      </c>
      <c r="R485">
        <f t="shared" si="42"/>
        <v>0</v>
      </c>
      <c r="S485">
        <f t="shared" si="38"/>
        <v>0</v>
      </c>
      <c r="T485">
        <f t="shared" si="39"/>
        <v>0</v>
      </c>
    </row>
    <row r="486" x14ac:dyDescent="0.35">
      <c r="A486" t="str">
        <v/>
      </c>
      <c r="B486" t="str">
        <v/>
      </c>
      <c r="C486" t="str">
        <v/>
      </c>
      <c r="D486" t="str">
        <v/>
      </c>
      <c r="E486" t="str">
        <v/>
      </c>
      <c r="F486" t="str">
        <v/>
      </c>
      <c r="G486" t="str">
        <v/>
      </c>
      <c r="H486" t="str">
        <v/>
      </c>
      <c r="I486" t="str">
        <v/>
      </c>
      <c r="J486" t="str">
        <v/>
      </c>
      <c r="K486" t="str">
        <v/>
      </c>
      <c r="L486" t="str">
        <v/>
      </c>
      <c r="M486" t="str">
        <v/>
      </c>
      <c r="N486" t="str">
        <v/>
      </c>
      <c r="O486" t="str">
        <v/>
      </c>
      <c r="P486">
        <f t="shared" si="40"/>
        <v>0</v>
      </c>
      <c r="Q486">
        <f t="shared" si="41"/>
        <v>0</v>
      </c>
      <c r="R486">
        <f t="shared" si="42"/>
        <v>0</v>
      </c>
      <c r="S486">
        <f t="shared" si="38"/>
        <v>0</v>
      </c>
      <c r="T486">
        <f t="shared" si="39"/>
        <v>0</v>
      </c>
    </row>
    <row r="487" x14ac:dyDescent="0.35">
      <c r="A487" t="str">
        <v/>
      </c>
      <c r="B487" t="str">
        <v/>
      </c>
      <c r="C487" t="str">
        <v/>
      </c>
      <c r="D487" t="str">
        <v/>
      </c>
      <c r="E487" t="str">
        <v/>
      </c>
      <c r="F487" t="str">
        <v/>
      </c>
      <c r="G487" t="str">
        <v/>
      </c>
      <c r="H487" t="str">
        <v/>
      </c>
      <c r="I487" t="str">
        <v/>
      </c>
      <c r="J487" t="str">
        <v/>
      </c>
      <c r="K487" t="str">
        <v/>
      </c>
      <c r="L487" t="str">
        <v/>
      </c>
      <c r="M487" t="str">
        <v/>
      </c>
      <c r="N487" t="str">
        <v/>
      </c>
      <c r="O487" t="str">
        <v/>
      </c>
      <c r="P487">
        <f t="shared" si="40"/>
        <v>0</v>
      </c>
      <c r="Q487">
        <f t="shared" si="41"/>
        <v>0</v>
      </c>
      <c r="R487">
        <f t="shared" si="42"/>
        <v>0</v>
      </c>
      <c r="S487">
        <f t="shared" si="38"/>
        <v>0</v>
      </c>
      <c r="T487">
        <f t="shared" si="39"/>
        <v>0</v>
      </c>
    </row>
    <row r="488" x14ac:dyDescent="0.35">
      <c r="A488" t="str">
        <v/>
      </c>
      <c r="B488" t="str">
        <v/>
      </c>
      <c r="C488" t="str">
        <v/>
      </c>
      <c r="D488" t="str">
        <v/>
      </c>
      <c r="E488" t="str">
        <v/>
      </c>
      <c r="F488" t="str">
        <v/>
      </c>
      <c r="G488" t="str">
        <v/>
      </c>
      <c r="H488" t="str">
        <v/>
      </c>
      <c r="I488" t="str">
        <v/>
      </c>
      <c r="J488" t="str">
        <v/>
      </c>
      <c r="K488" t="str">
        <v/>
      </c>
      <c r="L488" t="str">
        <v/>
      </c>
      <c r="M488" t="str">
        <v/>
      </c>
      <c r="N488" t="str">
        <v/>
      </c>
      <c r="O488" t="str">
        <v/>
      </c>
      <c r="P488">
        <f t="shared" si="40"/>
        <v>0</v>
      </c>
      <c r="Q488">
        <f t="shared" si="41"/>
        <v>0</v>
      </c>
      <c r="R488">
        <f t="shared" si="42"/>
        <v>0</v>
      </c>
      <c r="S488">
        <f t="shared" si="38"/>
        <v>0</v>
      </c>
      <c r="T488">
        <f t="shared" si="39"/>
        <v>0</v>
      </c>
    </row>
    <row r="489" x14ac:dyDescent="0.35">
      <c r="A489" t="str">
        <v/>
      </c>
      <c r="B489" t="str">
        <v/>
      </c>
      <c r="C489" t="str">
        <v/>
      </c>
      <c r="D489" t="str">
        <v/>
      </c>
      <c r="E489" t="str">
        <v/>
      </c>
      <c r="F489" t="str">
        <v/>
      </c>
      <c r="G489" t="str">
        <v/>
      </c>
      <c r="H489" t="str">
        <v/>
      </c>
      <c r="I489" t="str">
        <v/>
      </c>
      <c r="J489" t="str">
        <v/>
      </c>
      <c r="K489" t="str">
        <v/>
      </c>
      <c r="L489" t="str">
        <v/>
      </c>
      <c r="M489" t="str">
        <v/>
      </c>
      <c r="N489" t="str">
        <v/>
      </c>
      <c r="O489" t="str">
        <v/>
      </c>
      <c r="P489">
        <f t="shared" si="40"/>
        <v>0</v>
      </c>
      <c r="Q489">
        <f t="shared" si="41"/>
        <v>0</v>
      </c>
      <c r="R489">
        <f t="shared" si="42"/>
        <v>0</v>
      </c>
      <c r="S489">
        <f t="shared" si="38"/>
        <v>0</v>
      </c>
      <c r="T489">
        <f t="shared" si="39"/>
        <v>0</v>
      </c>
    </row>
    <row r="490" x14ac:dyDescent="0.35">
      <c r="A490" t="str">
        <v/>
      </c>
      <c r="B490" t="str">
        <v/>
      </c>
      <c r="C490" t="str">
        <v/>
      </c>
      <c r="D490" t="str">
        <v/>
      </c>
      <c r="E490" t="str">
        <v/>
      </c>
      <c r="F490" t="str">
        <v/>
      </c>
      <c r="G490" t="str">
        <v/>
      </c>
      <c r="H490" t="str">
        <v/>
      </c>
      <c r="I490" t="str">
        <v/>
      </c>
      <c r="J490" t="str">
        <v/>
      </c>
      <c r="K490" t="str">
        <v/>
      </c>
      <c r="L490" t="str">
        <v/>
      </c>
      <c r="M490" t="str">
        <v/>
      </c>
      <c r="N490" t="str">
        <v/>
      </c>
      <c r="O490" t="str">
        <v/>
      </c>
      <c r="P490">
        <f t="shared" si="40"/>
        <v>0</v>
      </c>
      <c r="Q490">
        <f t="shared" si="41"/>
        <v>0</v>
      </c>
      <c r="R490">
        <f t="shared" si="42"/>
        <v>0</v>
      </c>
      <c r="S490">
        <f t="shared" si="38"/>
        <v>0</v>
      </c>
      <c r="T490">
        <f t="shared" si="39"/>
        <v>0</v>
      </c>
    </row>
    <row r="491" x14ac:dyDescent="0.35">
      <c r="A491" t="str">
        <v/>
      </c>
      <c r="B491" t="str">
        <v/>
      </c>
      <c r="C491" t="str">
        <v/>
      </c>
      <c r="D491" t="str">
        <v/>
      </c>
      <c r="E491" t="str">
        <v/>
      </c>
      <c r="F491" t="str">
        <v/>
      </c>
      <c r="G491" t="str">
        <v/>
      </c>
      <c r="H491" t="str">
        <v/>
      </c>
      <c r="I491" t="str">
        <v/>
      </c>
      <c r="J491" t="str">
        <v/>
      </c>
      <c r="K491" t="str">
        <v/>
      </c>
      <c r="L491" t="str">
        <v/>
      </c>
      <c r="M491" t="str">
        <v/>
      </c>
      <c r="N491" t="str">
        <v/>
      </c>
      <c r="O491" t="str">
        <v/>
      </c>
      <c r="P491">
        <f t="shared" si="40"/>
        <v>0</v>
      </c>
      <c r="Q491">
        <f t="shared" si="41"/>
        <v>0</v>
      </c>
      <c r="R491">
        <f t="shared" si="42"/>
        <v>0</v>
      </c>
      <c r="S491">
        <f t="shared" si="38"/>
        <v>0</v>
      </c>
      <c r="T491">
        <f t="shared" si="39"/>
        <v>0</v>
      </c>
    </row>
    <row r="492" x14ac:dyDescent="0.35">
      <c r="A492" t="str">
        <v/>
      </c>
      <c r="B492" t="str">
        <v/>
      </c>
      <c r="C492" t="str">
        <v/>
      </c>
      <c r="D492" t="str">
        <v/>
      </c>
      <c r="E492" t="str">
        <v/>
      </c>
      <c r="F492" t="str">
        <v/>
      </c>
      <c r="G492" t="str">
        <v/>
      </c>
      <c r="H492" t="str">
        <v/>
      </c>
      <c r="I492" t="str">
        <v/>
      </c>
      <c r="J492" t="str">
        <v/>
      </c>
      <c r="K492" t="str">
        <v/>
      </c>
      <c r="L492" t="str">
        <v/>
      </c>
      <c r="M492" t="str">
        <v/>
      </c>
      <c r="N492" t="str">
        <v/>
      </c>
      <c r="O492" t="str">
        <v/>
      </c>
      <c r="P492">
        <f t="shared" si="40"/>
        <v>0</v>
      </c>
      <c r="Q492">
        <f t="shared" si="41"/>
        <v>0</v>
      </c>
      <c r="R492">
        <f t="shared" si="42"/>
        <v>0</v>
      </c>
      <c r="S492">
        <f t="shared" si="38"/>
        <v>0</v>
      </c>
      <c r="T492">
        <f t="shared" si="39"/>
        <v>0</v>
      </c>
    </row>
    <row r="493" x14ac:dyDescent="0.35">
      <c r="A493" t="str">
        <v/>
      </c>
      <c r="B493" t="str">
        <v/>
      </c>
      <c r="C493" t="str">
        <v/>
      </c>
      <c r="D493" t="str">
        <v/>
      </c>
      <c r="E493" t="str">
        <v/>
      </c>
      <c r="F493" t="str">
        <v/>
      </c>
      <c r="G493" t="str">
        <v/>
      </c>
      <c r="H493" t="str">
        <v/>
      </c>
      <c r="I493" t="str">
        <v/>
      </c>
      <c r="J493" t="str">
        <v/>
      </c>
      <c r="K493" t="str">
        <v/>
      </c>
      <c r="L493" t="str">
        <v/>
      </c>
      <c r="M493" t="str">
        <v/>
      </c>
      <c r="N493" t="str">
        <v/>
      </c>
      <c r="O493" t="str">
        <v/>
      </c>
      <c r="P493">
        <f t="shared" si="40"/>
        <v>0</v>
      </c>
      <c r="Q493">
        <f t="shared" si="41"/>
        <v>0</v>
      </c>
      <c r="R493">
        <f t="shared" si="42"/>
        <v>0</v>
      </c>
      <c r="S493">
        <f t="shared" si="38"/>
        <v>0</v>
      </c>
      <c r="T493">
        <f t="shared" si="39"/>
        <v>0</v>
      </c>
    </row>
    <row r="494" x14ac:dyDescent="0.35">
      <c r="A494" t="str">
        <v/>
      </c>
      <c r="B494" t="str">
        <v/>
      </c>
      <c r="C494" t="str">
        <v/>
      </c>
      <c r="D494" t="str">
        <v/>
      </c>
      <c r="E494" t="str">
        <v/>
      </c>
      <c r="F494" t="str">
        <v/>
      </c>
      <c r="G494" t="str">
        <v/>
      </c>
      <c r="H494" t="str">
        <v/>
      </c>
      <c r="I494" t="str">
        <v/>
      </c>
      <c r="J494" t="str">
        <v/>
      </c>
      <c r="K494" t="str">
        <v/>
      </c>
      <c r="L494" t="str">
        <v/>
      </c>
      <c r="M494" t="str">
        <v/>
      </c>
      <c r="N494" t="str">
        <v/>
      </c>
      <c r="O494" t="str">
        <v/>
      </c>
      <c r="P494">
        <f t="shared" si="40"/>
        <v>0</v>
      </c>
      <c r="Q494">
        <f t="shared" si="41"/>
        <v>0</v>
      </c>
      <c r="R494">
        <f t="shared" si="42"/>
        <v>0</v>
      </c>
      <c r="S494">
        <f t="shared" si="38"/>
        <v>0</v>
      </c>
      <c r="T494">
        <f t="shared" si="39"/>
        <v>0</v>
      </c>
    </row>
    <row r="495" x14ac:dyDescent="0.35">
      <c r="A495" t="str">
        <v/>
      </c>
      <c r="B495" t="str">
        <v/>
      </c>
      <c r="C495" t="str">
        <v/>
      </c>
      <c r="D495" t="str">
        <v/>
      </c>
      <c r="E495" t="str">
        <v/>
      </c>
      <c r="F495" t="str">
        <v/>
      </c>
      <c r="G495" t="str">
        <v/>
      </c>
      <c r="H495" t="str">
        <v/>
      </c>
      <c r="I495" t="str">
        <v/>
      </c>
      <c r="J495" t="str">
        <v/>
      </c>
      <c r="K495" t="str">
        <v/>
      </c>
      <c r="L495" t="str">
        <v/>
      </c>
      <c r="M495" t="str">
        <v/>
      </c>
      <c r="N495" t="str">
        <v/>
      </c>
      <c r="O495" t="str">
        <v/>
      </c>
      <c r="P495">
        <f t="shared" si="40"/>
        <v>0</v>
      </c>
      <c r="Q495">
        <f t="shared" si="41"/>
        <v>0</v>
      </c>
      <c r="R495">
        <f t="shared" si="42"/>
        <v>0</v>
      </c>
      <c r="S495">
        <f t="shared" si="38"/>
        <v>0</v>
      </c>
      <c r="T495">
        <f t="shared" si="39"/>
        <v>0</v>
      </c>
    </row>
    <row r="496" x14ac:dyDescent="0.35">
      <c r="A496" t="str">
        <v/>
      </c>
      <c r="B496" t="str">
        <v/>
      </c>
      <c r="C496" t="str">
        <v/>
      </c>
      <c r="D496" t="str">
        <v/>
      </c>
      <c r="E496" t="str">
        <v/>
      </c>
      <c r="F496" t="str">
        <v/>
      </c>
      <c r="G496" t="str">
        <v/>
      </c>
      <c r="H496" t="str">
        <v/>
      </c>
      <c r="I496" t="str">
        <v/>
      </c>
      <c r="J496" t="str">
        <v/>
      </c>
      <c r="K496" t="str">
        <v/>
      </c>
      <c r="L496" t="str">
        <v/>
      </c>
      <c r="M496" t="str">
        <v/>
      </c>
      <c r="N496" t="str">
        <v/>
      </c>
      <c r="O496" t="str">
        <v/>
      </c>
      <c r="P496">
        <f t="shared" si="40"/>
        <v>0</v>
      </c>
      <c r="Q496">
        <f t="shared" si="41"/>
        <v>0</v>
      </c>
      <c r="R496">
        <f t="shared" si="42"/>
        <v>0</v>
      </c>
      <c r="S496">
        <f t="shared" si="38"/>
        <v>0</v>
      </c>
      <c r="T496">
        <f t="shared" si="39"/>
        <v>0</v>
      </c>
    </row>
    <row r="497" x14ac:dyDescent="0.35">
      <c r="A497" t="str">
        <v/>
      </c>
      <c r="B497" t="str">
        <v/>
      </c>
      <c r="C497" t="str">
        <v/>
      </c>
      <c r="D497" t="str">
        <v/>
      </c>
      <c r="E497" t="str">
        <v/>
      </c>
      <c r="F497" t="str">
        <v/>
      </c>
      <c r="G497" t="str">
        <v/>
      </c>
      <c r="H497" t="str">
        <v/>
      </c>
      <c r="I497" t="str">
        <v/>
      </c>
      <c r="J497" t="str">
        <v/>
      </c>
      <c r="K497" t="str">
        <v/>
      </c>
      <c r="L497" t="str">
        <v/>
      </c>
      <c r="M497" t="str">
        <v/>
      </c>
      <c r="N497" t="str">
        <v/>
      </c>
      <c r="O497" t="str">
        <v/>
      </c>
      <c r="P497">
        <f t="shared" si="40"/>
        <v>0</v>
      </c>
      <c r="Q497">
        <f t="shared" si="41"/>
        <v>0</v>
      </c>
      <c r="R497">
        <f t="shared" si="42"/>
        <v>0</v>
      </c>
      <c r="S497">
        <f t="shared" si="38"/>
        <v>0</v>
      </c>
      <c r="T497">
        <f t="shared" si="39"/>
        <v>0</v>
      </c>
    </row>
    <row r="498" x14ac:dyDescent="0.35">
      <c r="A498" t="str">
        <v/>
      </c>
      <c r="B498" t="str">
        <v/>
      </c>
      <c r="C498" t="str">
        <v/>
      </c>
      <c r="D498" t="str">
        <v/>
      </c>
      <c r="E498" t="str">
        <v/>
      </c>
      <c r="F498" t="str">
        <v/>
      </c>
      <c r="G498" t="str">
        <v/>
      </c>
      <c r="H498" t="str">
        <v/>
      </c>
      <c r="I498" t="str">
        <v/>
      </c>
      <c r="J498" t="str">
        <v/>
      </c>
      <c r="K498" t="str">
        <v/>
      </c>
      <c r="L498" t="str">
        <v/>
      </c>
      <c r="M498" t="str">
        <v/>
      </c>
      <c r="N498" t="str">
        <v/>
      </c>
      <c r="O498" t="str">
        <v/>
      </c>
      <c r="P498">
        <f t="shared" si="40"/>
        <v>0</v>
      </c>
      <c r="Q498">
        <f t="shared" si="41"/>
        <v>0</v>
      </c>
      <c r="R498">
        <f t="shared" si="42"/>
        <v>0</v>
      </c>
      <c r="S498">
        <f t="shared" si="38"/>
        <v>0</v>
      </c>
      <c r="T498">
        <f t="shared" si="39"/>
        <v>0</v>
      </c>
    </row>
    <row r="499" x14ac:dyDescent="0.35">
      <c r="A499" t="str">
        <v/>
      </c>
      <c r="B499" t="str">
        <v/>
      </c>
      <c r="C499" t="str">
        <v/>
      </c>
      <c r="D499" t="str">
        <v/>
      </c>
      <c r="E499" t="str">
        <v/>
      </c>
      <c r="F499" t="str">
        <v/>
      </c>
      <c r="G499" t="str">
        <v/>
      </c>
      <c r="H499" t="str">
        <v/>
      </c>
      <c r="I499" t="str">
        <v/>
      </c>
      <c r="J499" t="str">
        <v/>
      </c>
      <c r="K499" t="str">
        <v/>
      </c>
      <c r="L499" t="str">
        <v/>
      </c>
      <c r="M499" t="str">
        <v/>
      </c>
      <c r="N499" t="str">
        <v/>
      </c>
      <c r="O499" t="str">
        <v/>
      </c>
      <c r="P499">
        <f t="shared" si="40"/>
        <v>0</v>
      </c>
      <c r="Q499">
        <f t="shared" si="41"/>
        <v>0</v>
      </c>
      <c r="R499">
        <f t="shared" si="42"/>
        <v>0</v>
      </c>
      <c r="S499">
        <f t="shared" si="38"/>
        <v>0</v>
      </c>
      <c r="T499">
        <f t="shared" si="39"/>
        <v>0</v>
      </c>
    </row>
    <row r="500" x14ac:dyDescent="0.35">
      <c r="A500" t="str">
        <v/>
      </c>
      <c r="B500" t="str">
        <v/>
      </c>
      <c r="C500" t="str">
        <v/>
      </c>
      <c r="D500" t="str">
        <v/>
      </c>
      <c r="E500" t="str">
        <v/>
      </c>
      <c r="F500" t="str">
        <v/>
      </c>
      <c r="G500" t="str">
        <v/>
      </c>
      <c r="H500" t="str">
        <v/>
      </c>
      <c r="I500" t="str">
        <v/>
      </c>
      <c r="J500" t="str">
        <v/>
      </c>
      <c r="K500" t="str">
        <v/>
      </c>
      <c r="L500" t="str">
        <v/>
      </c>
      <c r="M500" t="str">
        <v/>
      </c>
      <c r="N500" t="str">
        <v/>
      </c>
      <c r="O500" t="str">
        <v/>
      </c>
      <c r="P500">
        <f t="shared" si="40"/>
        <v>0</v>
      </c>
      <c r="Q500">
        <f t="shared" si="41"/>
        <v>0</v>
      </c>
      <c r="R500">
        <f t="shared" si="42"/>
        <v>0</v>
      </c>
      <c r="S500">
        <f t="shared" si="38"/>
        <v>0</v>
      </c>
      <c r="T500">
        <f t="shared" si="39"/>
        <v>0</v>
      </c>
    </row>
    <row r="501" x14ac:dyDescent="0.35">
      <c r="A501" t="str">
        <v/>
      </c>
      <c r="B501" t="str">
        <v/>
      </c>
      <c r="C501" t="str">
        <v/>
      </c>
      <c r="D501" t="str">
        <v/>
      </c>
      <c r="E501" t="str">
        <v/>
      </c>
      <c r="F501" t="str">
        <v/>
      </c>
      <c r="G501" t="str">
        <v/>
      </c>
      <c r="H501" t="str">
        <v/>
      </c>
      <c r="I501" t="str">
        <v/>
      </c>
      <c r="J501" t="str">
        <v/>
      </c>
      <c r="K501" t="str">
        <v/>
      </c>
      <c r="L501" t="str">
        <v/>
      </c>
      <c r="M501" t="str">
        <v/>
      </c>
      <c r="N501" t="str">
        <v/>
      </c>
      <c r="O501" t="str">
        <v/>
      </c>
      <c r="P501">
        <f t="shared" si="40"/>
        <v>0</v>
      </c>
      <c r="Q501">
        <f t="shared" si="41"/>
        <v>0</v>
      </c>
      <c r="R501">
        <f t="shared" si="42"/>
        <v>0</v>
      </c>
      <c r="S501">
        <f t="shared" si="38"/>
        <v>0</v>
      </c>
      <c r="T501">
        <f t="shared" si="39"/>
        <v>0</v>
      </c>
    </row>
    <row r="502" x14ac:dyDescent="0.35">
      <c r="A502" t="str">
        <v/>
      </c>
      <c r="B502" t="str">
        <v/>
      </c>
      <c r="C502" t="str">
        <v/>
      </c>
      <c r="D502" t="str">
        <v/>
      </c>
      <c r="E502" t="str">
        <v/>
      </c>
      <c r="F502" t="str">
        <v/>
      </c>
      <c r="G502" t="str">
        <v/>
      </c>
      <c r="H502" t="str">
        <v/>
      </c>
      <c r="I502" t="str">
        <v/>
      </c>
      <c r="J502" t="str">
        <v/>
      </c>
      <c r="K502" t="str">
        <v/>
      </c>
      <c r="L502" t="str">
        <v/>
      </c>
      <c r="M502" t="str">
        <v/>
      </c>
      <c r="N502" t="str">
        <v/>
      </c>
      <c r="O502" t="str">
        <v/>
      </c>
      <c r="P502">
        <f t="shared" si="40"/>
        <v>0</v>
      </c>
      <c r="Q502">
        <f t="shared" si="41"/>
        <v>0</v>
      </c>
      <c r="R502">
        <f t="shared" si="42"/>
        <v>0</v>
      </c>
      <c r="S502">
        <f t="shared" si="38"/>
        <v>0</v>
      </c>
      <c r="T502">
        <f t="shared" si="39"/>
        <v>0</v>
      </c>
    </row>
    <row r="503" x14ac:dyDescent="0.35">
      <c r="A503" t="str">
        <v/>
      </c>
      <c r="B503" t="str">
        <v/>
      </c>
      <c r="C503" t="str">
        <v/>
      </c>
      <c r="D503" t="str">
        <v/>
      </c>
      <c r="E503" t="str">
        <v/>
      </c>
      <c r="F503" t="str">
        <v/>
      </c>
      <c r="G503" t="str">
        <v/>
      </c>
      <c r="H503" t="str">
        <v/>
      </c>
      <c r="I503" t="str">
        <v/>
      </c>
      <c r="J503" t="str">
        <v/>
      </c>
      <c r="K503" t="str">
        <v/>
      </c>
      <c r="L503" t="str">
        <v/>
      </c>
      <c r="M503" t="str">
        <v/>
      </c>
      <c r="N503" t="str">
        <v/>
      </c>
      <c r="O503" t="str">
        <v/>
      </c>
      <c r="P503">
        <f t="shared" si="40"/>
        <v>0</v>
      </c>
      <c r="Q503">
        <f t="shared" si="41"/>
        <v>0</v>
      </c>
      <c r="R503">
        <f t="shared" si="42"/>
        <v>0</v>
      </c>
      <c r="S503">
        <f t="shared" si="38"/>
        <v>0</v>
      </c>
      <c r="T503">
        <f t="shared" si="39"/>
        <v>0</v>
      </c>
    </row>
    <row r="504" x14ac:dyDescent="0.35">
      <c r="A504" t="str">
        <v/>
      </c>
      <c r="B504" t="str">
        <v/>
      </c>
      <c r="C504" t="str">
        <v/>
      </c>
      <c r="D504" t="str">
        <v/>
      </c>
      <c r="E504" t="str">
        <v/>
      </c>
      <c r="F504" t="str">
        <v/>
      </c>
      <c r="G504" t="str">
        <v/>
      </c>
      <c r="H504" t="str">
        <v/>
      </c>
      <c r="I504" t="str">
        <v/>
      </c>
      <c r="J504" t="str">
        <v/>
      </c>
      <c r="K504" t="str">
        <v/>
      </c>
      <c r="L504" t="str">
        <v/>
      </c>
      <c r="M504" t="str">
        <v/>
      </c>
      <c r="N504" t="str">
        <v/>
      </c>
      <c r="O504" t="str">
        <v/>
      </c>
      <c r="P504">
        <f t="shared" si="40"/>
        <v>0</v>
      </c>
      <c r="Q504">
        <f t="shared" si="41"/>
        <v>0</v>
      </c>
      <c r="R504">
        <f t="shared" si="42"/>
        <v>0</v>
      </c>
      <c r="S504">
        <f t="shared" si="38"/>
        <v>0</v>
      </c>
      <c r="T504">
        <f t="shared" si="39"/>
        <v>0</v>
      </c>
    </row>
    <row r="505" x14ac:dyDescent="0.35">
      <c r="A505" t="str">
        <v/>
      </c>
      <c r="B505" t="str">
        <v/>
      </c>
      <c r="C505" t="str">
        <v/>
      </c>
      <c r="D505" t="str">
        <v/>
      </c>
      <c r="E505" t="str">
        <v/>
      </c>
      <c r="F505" t="str">
        <v/>
      </c>
      <c r="G505" t="str">
        <v/>
      </c>
      <c r="H505" t="str">
        <v/>
      </c>
      <c r="I505" t="str">
        <v/>
      </c>
      <c r="J505" t="str">
        <v/>
      </c>
      <c r="K505" t="str">
        <v/>
      </c>
      <c r="L505" t="str">
        <v/>
      </c>
      <c r="M505" t="str">
        <v/>
      </c>
      <c r="N505" t="str">
        <v/>
      </c>
      <c r="O505" t="str">
        <v/>
      </c>
      <c r="P505">
        <f t="shared" si="40"/>
        <v>0</v>
      </c>
      <c r="Q505">
        <f t="shared" si="41"/>
        <v>0</v>
      </c>
      <c r="R505">
        <f t="shared" si="42"/>
        <v>0</v>
      </c>
      <c r="S505">
        <f t="shared" si="38"/>
        <v>0</v>
      </c>
      <c r="T505">
        <f t="shared" si="39"/>
        <v>0</v>
      </c>
    </row>
    <row r="506" x14ac:dyDescent="0.35">
      <c r="A506" t="str">
        <v/>
      </c>
      <c r="B506" t="str">
        <v/>
      </c>
      <c r="C506" t="str">
        <v/>
      </c>
      <c r="D506" t="str">
        <v/>
      </c>
      <c r="E506" t="str">
        <v/>
      </c>
      <c r="F506" t="str">
        <v/>
      </c>
      <c r="G506" t="str">
        <v/>
      </c>
      <c r="H506" t="str">
        <v/>
      </c>
      <c r="I506" t="str">
        <v/>
      </c>
      <c r="J506" t="str">
        <v/>
      </c>
      <c r="K506" t="str">
        <v/>
      </c>
      <c r="L506" t="str">
        <v/>
      </c>
      <c r="M506" t="str">
        <v/>
      </c>
      <c r="N506" t="str">
        <v/>
      </c>
      <c r="O506" t="str">
        <v/>
      </c>
      <c r="P506">
        <f t="shared" si="40"/>
        <v>0</v>
      </c>
      <c r="Q506">
        <f t="shared" si="41"/>
        <v>0</v>
      </c>
      <c r="R506">
        <f t="shared" si="42"/>
        <v>0</v>
      </c>
      <c r="S506">
        <f t="shared" si="38"/>
        <v>0</v>
      </c>
      <c r="T506">
        <f t="shared" si="39"/>
        <v>0</v>
      </c>
    </row>
    <row r="507" x14ac:dyDescent="0.35">
      <c r="A507" t="str">
        <v/>
      </c>
      <c r="B507" t="str">
        <v/>
      </c>
      <c r="C507" t="str">
        <v/>
      </c>
      <c r="D507" t="str">
        <v/>
      </c>
      <c r="E507" t="str">
        <v/>
      </c>
      <c r="F507" t="str">
        <v/>
      </c>
      <c r="G507" t="str">
        <v/>
      </c>
      <c r="H507" t="str">
        <v/>
      </c>
      <c r="I507" t="str">
        <v/>
      </c>
      <c r="J507" t="str">
        <v/>
      </c>
      <c r="K507" t="str">
        <v/>
      </c>
      <c r="L507" t="str">
        <v/>
      </c>
      <c r="M507" t="str">
        <v/>
      </c>
      <c r="N507" t="str">
        <v/>
      </c>
      <c r="O507" t="str">
        <v/>
      </c>
      <c r="P507">
        <f t="shared" si="40"/>
        <v>0</v>
      </c>
      <c r="Q507">
        <f t="shared" si="41"/>
        <v>0</v>
      </c>
      <c r="R507">
        <f t="shared" si="42"/>
        <v>0</v>
      </c>
      <c r="S507">
        <f t="shared" si="38"/>
        <v>0</v>
      </c>
      <c r="T507">
        <f t="shared" si="39"/>
        <v>0</v>
      </c>
    </row>
    <row r="508" x14ac:dyDescent="0.35">
      <c r="A508" t="str">
        <v/>
      </c>
      <c r="B508" t="str">
        <v/>
      </c>
      <c r="C508" t="str">
        <v/>
      </c>
      <c r="D508" t="str">
        <v/>
      </c>
      <c r="E508" t="str">
        <v/>
      </c>
      <c r="F508" t="str">
        <v/>
      </c>
      <c r="G508" t="str">
        <v/>
      </c>
      <c r="H508" t="str">
        <v/>
      </c>
      <c r="I508" t="str">
        <v/>
      </c>
      <c r="J508" t="str">
        <v/>
      </c>
      <c r="K508" t="str">
        <v/>
      </c>
      <c r="L508" t="str">
        <v/>
      </c>
      <c r="M508" t="str">
        <v/>
      </c>
      <c r="N508" t="str">
        <v/>
      </c>
      <c r="O508" t="str">
        <v/>
      </c>
      <c r="P508">
        <f t="shared" si="40"/>
        <v>0</v>
      </c>
      <c r="Q508">
        <f t="shared" si="41"/>
        <v>0</v>
      </c>
      <c r="R508">
        <f t="shared" si="42"/>
        <v>0</v>
      </c>
      <c r="S508">
        <f t="shared" si="38"/>
        <v>0</v>
      </c>
      <c r="T508">
        <f t="shared" si="39"/>
        <v>0</v>
      </c>
    </row>
    <row r="509" x14ac:dyDescent="0.35">
      <c r="A509" t="str">
        <v/>
      </c>
      <c r="B509" t="str">
        <v/>
      </c>
      <c r="C509" t="str">
        <v/>
      </c>
      <c r="D509" t="str">
        <v/>
      </c>
      <c r="E509" t="str">
        <v/>
      </c>
      <c r="F509" t="str">
        <v/>
      </c>
      <c r="G509" t="str">
        <v/>
      </c>
      <c r="H509" t="str">
        <v/>
      </c>
      <c r="I509" t="str">
        <v/>
      </c>
      <c r="J509" t="str">
        <v/>
      </c>
      <c r="K509" t="str">
        <v/>
      </c>
      <c r="L509" t="str">
        <v/>
      </c>
      <c r="M509" t="str">
        <v/>
      </c>
      <c r="N509" t="str">
        <v/>
      </c>
      <c r="O509" t="str">
        <v/>
      </c>
      <c r="P509">
        <f t="shared" si="40"/>
        <v>0</v>
      </c>
      <c r="Q509">
        <f t="shared" si="41"/>
        <v>0</v>
      </c>
      <c r="R509">
        <f t="shared" si="42"/>
        <v>0</v>
      </c>
      <c r="S509">
        <f t="shared" si="38"/>
        <v>0</v>
      </c>
      <c r="T509">
        <f t="shared" si="39"/>
        <v>0</v>
      </c>
    </row>
    <row r="510" x14ac:dyDescent="0.35">
      <c r="A510" t="str">
        <v/>
      </c>
      <c r="B510" t="str">
        <v/>
      </c>
      <c r="C510" t="str">
        <v/>
      </c>
      <c r="D510" t="str">
        <v/>
      </c>
      <c r="E510" t="str">
        <v/>
      </c>
      <c r="F510" t="str">
        <v/>
      </c>
      <c r="G510" t="str">
        <v/>
      </c>
      <c r="H510" t="str">
        <v/>
      </c>
      <c r="I510" t="str">
        <v/>
      </c>
      <c r="J510" t="str">
        <v/>
      </c>
      <c r="K510" t="str">
        <v/>
      </c>
      <c r="L510" t="str">
        <v/>
      </c>
      <c r="M510" t="str">
        <v/>
      </c>
      <c r="N510" t="str">
        <v/>
      </c>
      <c r="O510" t="str">
        <v/>
      </c>
      <c r="P510">
        <f t="shared" si="40"/>
        <v>0</v>
      </c>
      <c r="Q510">
        <f t="shared" si="41"/>
        <v>0</v>
      </c>
      <c r="R510">
        <f t="shared" si="42"/>
        <v>0</v>
      </c>
      <c r="S510">
        <f t="shared" si="38"/>
        <v>0</v>
      </c>
      <c r="T510">
        <f t="shared" si="39"/>
        <v>0</v>
      </c>
    </row>
    <row r="511" x14ac:dyDescent="0.35">
      <c r="A511" t="str">
        <v/>
      </c>
      <c r="B511" t="str">
        <v/>
      </c>
      <c r="C511" t="str">
        <v/>
      </c>
      <c r="D511" t="str">
        <v/>
      </c>
      <c r="E511" t="str">
        <v/>
      </c>
      <c r="F511" t="str">
        <v/>
      </c>
      <c r="G511" t="str">
        <v/>
      </c>
      <c r="H511" t="str">
        <v/>
      </c>
      <c r="I511" t="str">
        <v/>
      </c>
      <c r="J511" t="str">
        <v/>
      </c>
      <c r="K511" t="str">
        <v/>
      </c>
      <c r="L511" t="str">
        <v/>
      </c>
      <c r="M511" t="str">
        <v/>
      </c>
      <c r="N511" t="str">
        <v/>
      </c>
      <c r="O511" t="str">
        <v/>
      </c>
      <c r="P511">
        <f t="shared" si="40"/>
        <v>0</v>
      </c>
      <c r="Q511">
        <f t="shared" si="41"/>
        <v>0</v>
      </c>
      <c r="R511">
        <f t="shared" si="42"/>
        <v>0</v>
      </c>
      <c r="S511">
        <f t="shared" si="38"/>
        <v>0</v>
      </c>
      <c r="T511">
        <f t="shared" si="39"/>
        <v>0</v>
      </c>
    </row>
    <row r="512" x14ac:dyDescent="0.35">
      <c r="A512" t="str">
        <v/>
      </c>
      <c r="B512" t="str">
        <v/>
      </c>
      <c r="C512" t="str">
        <v/>
      </c>
      <c r="D512" t="str">
        <v/>
      </c>
      <c r="E512" t="str">
        <v/>
      </c>
      <c r="F512" t="str">
        <v/>
      </c>
      <c r="G512" t="str">
        <v/>
      </c>
      <c r="H512" t="str">
        <v/>
      </c>
      <c r="I512" t="str">
        <v/>
      </c>
      <c r="J512" t="str">
        <v/>
      </c>
      <c r="K512" t="str">
        <v/>
      </c>
      <c r="L512" t="str">
        <v/>
      </c>
      <c r="M512" t="str">
        <v/>
      </c>
      <c r="N512" t="str">
        <v/>
      </c>
      <c r="O512" t="str">
        <v/>
      </c>
      <c r="P512">
        <f t="shared" si="40"/>
        <v>0</v>
      </c>
      <c r="Q512">
        <f t="shared" si="41"/>
        <v>0</v>
      </c>
      <c r="R512">
        <f t="shared" si="42"/>
        <v>0</v>
      </c>
      <c r="S512">
        <f t="shared" si="38"/>
        <v>0</v>
      </c>
      <c r="T512">
        <f t="shared" si="39"/>
        <v>0</v>
      </c>
    </row>
    <row r="513" x14ac:dyDescent="0.35">
      <c r="A513" t="str">
        <v/>
      </c>
      <c r="B513" t="str">
        <v/>
      </c>
      <c r="C513" t="str">
        <v/>
      </c>
      <c r="D513" t="str">
        <v/>
      </c>
      <c r="E513" t="str">
        <v/>
      </c>
      <c r="F513" t="str">
        <v/>
      </c>
      <c r="G513" t="str">
        <v/>
      </c>
      <c r="H513" t="str">
        <v/>
      </c>
      <c r="I513" t="str">
        <v/>
      </c>
      <c r="J513" t="str">
        <v/>
      </c>
      <c r="K513" t="str">
        <v/>
      </c>
      <c r="L513" t="str">
        <v/>
      </c>
      <c r="M513" t="str">
        <v/>
      </c>
      <c r="N513" t="str">
        <v/>
      </c>
      <c r="O513" t="str">
        <v/>
      </c>
      <c r="P513">
        <f t="shared" si="40"/>
        <v>0</v>
      </c>
      <c r="Q513">
        <f t="shared" si="41"/>
        <v>0</v>
      </c>
      <c r="R513">
        <f t="shared" si="42"/>
        <v>0</v>
      </c>
      <c r="S513">
        <f t="shared" si="38"/>
        <v>0</v>
      </c>
      <c r="T513">
        <f t="shared" si="39"/>
        <v>0</v>
      </c>
    </row>
    <row r="514" x14ac:dyDescent="0.35">
      <c r="A514" t="str">
        <v/>
      </c>
      <c r="B514" t="str">
        <v/>
      </c>
      <c r="C514" t="str">
        <v/>
      </c>
      <c r="D514" t="str">
        <v/>
      </c>
      <c r="E514" t="str">
        <v/>
      </c>
      <c r="F514" t="str">
        <v/>
      </c>
      <c r="G514" t="str">
        <v/>
      </c>
      <c r="H514" t="str">
        <v/>
      </c>
      <c r="I514" t="str">
        <v/>
      </c>
      <c r="J514" t="str">
        <v/>
      </c>
      <c r="K514" t="str">
        <v/>
      </c>
      <c r="L514" t="str">
        <v/>
      </c>
      <c r="M514" t="str">
        <v/>
      </c>
      <c r="N514" t="str">
        <v/>
      </c>
      <c r="O514" t="str">
        <v/>
      </c>
      <c r="P514">
        <f t="shared" si="40"/>
        <v>0</v>
      </c>
      <c r="Q514">
        <f t="shared" si="41"/>
        <v>0</v>
      </c>
      <c r="R514">
        <f t="shared" si="42"/>
        <v>0</v>
      </c>
      <c r="S514">
        <f t="shared" si="38"/>
        <v>0</v>
      </c>
      <c r="T514">
        <f t="shared" si="39"/>
        <v>0</v>
      </c>
    </row>
    <row r="515" x14ac:dyDescent="0.35">
      <c r="A515" t="str">
        <v/>
      </c>
      <c r="B515" t="str">
        <v/>
      </c>
      <c r="C515" t="str">
        <v/>
      </c>
      <c r="D515" t="str">
        <v/>
      </c>
      <c r="E515" t="str">
        <v/>
      </c>
      <c r="F515" t="str">
        <v/>
      </c>
      <c r="G515" t="str">
        <v/>
      </c>
      <c r="H515" t="str">
        <v/>
      </c>
      <c r="I515" t="str">
        <v/>
      </c>
      <c r="J515" t="str">
        <v/>
      </c>
      <c r="K515" t="str">
        <v/>
      </c>
      <c r="L515" t="str">
        <v/>
      </c>
      <c r="M515" t="str">
        <v/>
      </c>
      <c r="N515" t="str">
        <v/>
      </c>
      <c r="O515" t="str">
        <v/>
      </c>
      <c r="P515">
        <f t="shared" si="40"/>
        <v>0</v>
      </c>
      <c r="Q515">
        <f t="shared" si="41"/>
        <v>0</v>
      </c>
      <c r="R515">
        <f t="shared" si="42"/>
        <v>0</v>
      </c>
      <c r="S515">
        <f t="shared" ref="S515:S578" si="43">IF(J515="Realizada completa",1,0)</f>
        <v>0</v>
      </c>
      <c r="T515">
        <f t="shared" ref="T515:T578" si="44">IF(J515="Sin respuesta",1,0)</f>
        <v>0</v>
      </c>
    </row>
    <row r="516" x14ac:dyDescent="0.35">
      <c r="A516" t="str">
        <v/>
      </c>
      <c r="B516" t="str">
        <v/>
      </c>
      <c r="C516" t="str">
        <v/>
      </c>
      <c r="D516" t="str">
        <v/>
      </c>
      <c r="E516" t="str">
        <v/>
      </c>
      <c r="F516" t="str">
        <v/>
      </c>
      <c r="G516" t="str">
        <v/>
      </c>
      <c r="H516" t="str">
        <v/>
      </c>
      <c r="I516" t="str">
        <v/>
      </c>
      <c r="J516" t="str">
        <v/>
      </c>
      <c r="K516" t="str">
        <v/>
      </c>
      <c r="L516" t="str">
        <v/>
      </c>
      <c r="M516" t="str">
        <v/>
      </c>
      <c r="N516" t="str">
        <v/>
      </c>
      <c r="O516" t="str">
        <v/>
      </c>
      <c r="P516">
        <f t="shared" ref="P516:P579" si="45">IF(F516="Sí",1,0)</f>
        <v>0</v>
      </c>
      <c r="Q516">
        <f t="shared" ref="Q516:Q579" si="46">IF(J516="En coordinación",1,0)</f>
        <v>0</v>
      </c>
      <c r="R516">
        <f t="shared" ref="R516:R579" si="47">IF(J516="En coordinación",1,0)</f>
        <v>0</v>
      </c>
      <c r="S516">
        <f t="shared" si="43"/>
        <v>0</v>
      </c>
      <c r="T516">
        <f t="shared" si="44"/>
        <v>0</v>
      </c>
    </row>
    <row r="517" x14ac:dyDescent="0.35">
      <c r="A517" t="str">
        <v/>
      </c>
      <c r="B517" t="str">
        <v/>
      </c>
      <c r="C517" t="str">
        <v/>
      </c>
      <c r="D517" t="str">
        <v/>
      </c>
      <c r="E517" t="str">
        <v/>
      </c>
      <c r="F517" t="str">
        <v/>
      </c>
      <c r="G517" t="str">
        <v/>
      </c>
      <c r="H517" t="str">
        <v/>
      </c>
      <c r="I517" t="str">
        <v/>
      </c>
      <c r="J517" t="str">
        <v/>
      </c>
      <c r="K517" t="str">
        <v/>
      </c>
      <c r="L517" t="str">
        <v/>
      </c>
      <c r="M517" t="str">
        <v/>
      </c>
      <c r="N517" t="str">
        <v/>
      </c>
      <c r="O517" t="str">
        <v/>
      </c>
      <c r="P517">
        <f t="shared" si="45"/>
        <v>0</v>
      </c>
      <c r="Q517">
        <f t="shared" si="46"/>
        <v>0</v>
      </c>
      <c r="R517">
        <f t="shared" si="47"/>
        <v>0</v>
      </c>
      <c r="S517">
        <f t="shared" si="43"/>
        <v>0</v>
      </c>
      <c r="T517">
        <f t="shared" si="44"/>
        <v>0</v>
      </c>
    </row>
    <row r="518" x14ac:dyDescent="0.35">
      <c r="A518" t="str">
        <v/>
      </c>
      <c r="B518" t="str">
        <v/>
      </c>
      <c r="C518" t="str">
        <v/>
      </c>
      <c r="D518" t="str">
        <v/>
      </c>
      <c r="E518" t="str">
        <v/>
      </c>
      <c r="F518" t="str">
        <v/>
      </c>
      <c r="G518" t="str">
        <v/>
      </c>
      <c r="H518" t="str">
        <v/>
      </c>
      <c r="I518" t="str">
        <v/>
      </c>
      <c r="J518" t="str">
        <v/>
      </c>
      <c r="K518" t="str">
        <v/>
      </c>
      <c r="L518" t="str">
        <v/>
      </c>
      <c r="M518" t="str">
        <v/>
      </c>
      <c r="N518" t="str">
        <v/>
      </c>
      <c r="O518" t="str">
        <v/>
      </c>
      <c r="P518">
        <f t="shared" si="45"/>
        <v>0</v>
      </c>
      <c r="Q518">
        <f t="shared" si="46"/>
        <v>0</v>
      </c>
      <c r="R518">
        <f t="shared" si="47"/>
        <v>0</v>
      </c>
      <c r="S518">
        <f t="shared" si="43"/>
        <v>0</v>
      </c>
      <c r="T518">
        <f t="shared" si="44"/>
        <v>0</v>
      </c>
    </row>
    <row r="519" x14ac:dyDescent="0.35">
      <c r="A519" t="str">
        <v/>
      </c>
      <c r="B519" t="str">
        <v/>
      </c>
      <c r="C519" t="str">
        <v/>
      </c>
      <c r="D519" t="str">
        <v/>
      </c>
      <c r="E519" t="str">
        <v/>
      </c>
      <c r="F519" t="str">
        <v/>
      </c>
      <c r="G519" t="str">
        <v/>
      </c>
      <c r="H519" t="str">
        <v/>
      </c>
      <c r="I519" t="str">
        <v/>
      </c>
      <c r="J519" t="str">
        <v/>
      </c>
      <c r="K519" t="str">
        <v/>
      </c>
      <c r="L519" t="str">
        <v/>
      </c>
      <c r="M519" t="str">
        <v/>
      </c>
      <c r="N519" t="str">
        <v/>
      </c>
      <c r="O519" t="str">
        <v/>
      </c>
      <c r="P519">
        <f t="shared" si="45"/>
        <v>0</v>
      </c>
      <c r="Q519">
        <f t="shared" si="46"/>
        <v>0</v>
      </c>
      <c r="R519">
        <f t="shared" si="47"/>
        <v>0</v>
      </c>
      <c r="S519">
        <f t="shared" si="43"/>
        <v>0</v>
      </c>
      <c r="T519">
        <f t="shared" si="44"/>
        <v>0</v>
      </c>
    </row>
    <row r="520" x14ac:dyDescent="0.35">
      <c r="A520" t="str">
        <v/>
      </c>
      <c r="B520" t="str">
        <v/>
      </c>
      <c r="C520" t="str">
        <v/>
      </c>
      <c r="D520" t="str">
        <v/>
      </c>
      <c r="E520" t="str">
        <v/>
      </c>
      <c r="F520" t="str">
        <v/>
      </c>
      <c r="G520" t="str">
        <v/>
      </c>
      <c r="H520" t="str">
        <v/>
      </c>
      <c r="I520" t="str">
        <v/>
      </c>
      <c r="J520" t="str">
        <v/>
      </c>
      <c r="K520" t="str">
        <v/>
      </c>
      <c r="L520" t="str">
        <v/>
      </c>
      <c r="M520" t="str">
        <v/>
      </c>
      <c r="N520" t="str">
        <v/>
      </c>
      <c r="O520" t="str">
        <v/>
      </c>
      <c r="P520">
        <f t="shared" si="45"/>
        <v>0</v>
      </c>
      <c r="Q520">
        <f t="shared" si="46"/>
        <v>0</v>
      </c>
      <c r="R520">
        <f t="shared" si="47"/>
        <v>0</v>
      </c>
      <c r="S520">
        <f t="shared" si="43"/>
        <v>0</v>
      </c>
      <c r="T520">
        <f t="shared" si="44"/>
        <v>0</v>
      </c>
    </row>
    <row r="521" x14ac:dyDescent="0.35">
      <c r="A521" t="str">
        <v/>
      </c>
      <c r="B521" t="str">
        <v/>
      </c>
      <c r="C521" t="str">
        <v/>
      </c>
      <c r="D521" t="str">
        <v/>
      </c>
      <c r="E521" t="str">
        <v/>
      </c>
      <c r="F521" t="str">
        <v/>
      </c>
      <c r="G521" t="str">
        <v/>
      </c>
      <c r="H521" t="str">
        <v/>
      </c>
      <c r="I521" t="str">
        <v/>
      </c>
      <c r="J521" t="str">
        <v/>
      </c>
      <c r="K521" t="str">
        <v/>
      </c>
      <c r="L521" t="str">
        <v/>
      </c>
      <c r="M521" t="str">
        <v/>
      </c>
      <c r="N521" t="str">
        <v/>
      </c>
      <c r="O521" t="str">
        <v/>
      </c>
      <c r="P521">
        <f t="shared" si="45"/>
        <v>0</v>
      </c>
      <c r="Q521">
        <f t="shared" si="46"/>
        <v>0</v>
      </c>
      <c r="R521">
        <f t="shared" si="47"/>
        <v>0</v>
      </c>
      <c r="S521">
        <f t="shared" si="43"/>
        <v>0</v>
      </c>
      <c r="T521">
        <f t="shared" si="44"/>
        <v>0</v>
      </c>
    </row>
    <row r="522" x14ac:dyDescent="0.35">
      <c r="A522" t="str">
        <v/>
      </c>
      <c r="B522" t="str">
        <v/>
      </c>
      <c r="C522" t="str">
        <v/>
      </c>
      <c r="D522" t="str">
        <v/>
      </c>
      <c r="E522" t="str">
        <v/>
      </c>
      <c r="F522" t="str">
        <v/>
      </c>
      <c r="G522" t="str">
        <v/>
      </c>
      <c r="H522" t="str">
        <v/>
      </c>
      <c r="I522" t="str">
        <v/>
      </c>
      <c r="J522" t="str">
        <v/>
      </c>
      <c r="K522" t="str">
        <v/>
      </c>
      <c r="L522" t="str">
        <v/>
      </c>
      <c r="M522" t="str">
        <v/>
      </c>
      <c r="N522" t="str">
        <v/>
      </c>
      <c r="O522" t="str">
        <v/>
      </c>
      <c r="P522">
        <f t="shared" si="45"/>
        <v>0</v>
      </c>
      <c r="Q522">
        <f t="shared" si="46"/>
        <v>0</v>
      </c>
      <c r="R522">
        <f t="shared" si="47"/>
        <v>0</v>
      </c>
      <c r="S522">
        <f t="shared" si="43"/>
        <v>0</v>
      </c>
      <c r="T522">
        <f t="shared" si="44"/>
        <v>0</v>
      </c>
    </row>
    <row r="523" x14ac:dyDescent="0.35">
      <c r="A523" t="str">
        <v/>
      </c>
      <c r="B523" t="str">
        <v/>
      </c>
      <c r="C523" t="str">
        <v/>
      </c>
      <c r="D523" t="str">
        <v/>
      </c>
      <c r="E523" t="str">
        <v/>
      </c>
      <c r="F523" t="str">
        <v/>
      </c>
      <c r="G523" t="str">
        <v/>
      </c>
      <c r="H523" t="str">
        <v/>
      </c>
      <c r="I523" t="str">
        <v/>
      </c>
      <c r="J523" t="str">
        <v/>
      </c>
      <c r="K523" t="str">
        <v/>
      </c>
      <c r="L523" t="str">
        <v/>
      </c>
      <c r="M523" t="str">
        <v/>
      </c>
      <c r="N523" t="str">
        <v/>
      </c>
      <c r="O523" t="str">
        <v/>
      </c>
      <c r="P523">
        <f t="shared" si="45"/>
        <v>0</v>
      </c>
      <c r="Q523">
        <f t="shared" si="46"/>
        <v>0</v>
      </c>
      <c r="R523">
        <f t="shared" si="47"/>
        <v>0</v>
      </c>
      <c r="S523">
        <f t="shared" si="43"/>
        <v>0</v>
      </c>
      <c r="T523">
        <f t="shared" si="44"/>
        <v>0</v>
      </c>
    </row>
    <row r="524" x14ac:dyDescent="0.35">
      <c r="A524" t="str">
        <v/>
      </c>
      <c r="B524" t="str">
        <v/>
      </c>
      <c r="C524" t="str">
        <v/>
      </c>
      <c r="D524" t="str">
        <v/>
      </c>
      <c r="E524" t="str">
        <v/>
      </c>
      <c r="F524" t="str">
        <v/>
      </c>
      <c r="G524" t="str">
        <v/>
      </c>
      <c r="H524" t="str">
        <v/>
      </c>
      <c r="I524" t="str">
        <v/>
      </c>
      <c r="J524" t="str">
        <v/>
      </c>
      <c r="K524" t="str">
        <v/>
      </c>
      <c r="L524" t="str">
        <v/>
      </c>
      <c r="M524" t="str">
        <v/>
      </c>
      <c r="N524" t="str">
        <v/>
      </c>
      <c r="O524" t="str">
        <v/>
      </c>
      <c r="P524">
        <f t="shared" si="45"/>
        <v>0</v>
      </c>
      <c r="Q524">
        <f t="shared" si="46"/>
        <v>0</v>
      </c>
      <c r="R524">
        <f t="shared" si="47"/>
        <v>0</v>
      </c>
      <c r="S524">
        <f t="shared" si="43"/>
        <v>0</v>
      </c>
      <c r="T524">
        <f t="shared" si="44"/>
        <v>0</v>
      </c>
    </row>
    <row r="525" x14ac:dyDescent="0.35">
      <c r="A525" t="str">
        <v/>
      </c>
      <c r="B525" t="str">
        <v/>
      </c>
      <c r="C525" t="str">
        <v/>
      </c>
      <c r="D525" t="str">
        <v/>
      </c>
      <c r="E525" t="str">
        <v/>
      </c>
      <c r="F525" t="str">
        <v/>
      </c>
      <c r="G525" t="str">
        <v/>
      </c>
      <c r="H525" t="str">
        <v/>
      </c>
      <c r="I525" t="str">
        <v/>
      </c>
      <c r="J525" t="str">
        <v/>
      </c>
      <c r="K525" t="str">
        <v/>
      </c>
      <c r="L525" t="str">
        <v/>
      </c>
      <c r="M525" t="str">
        <v/>
      </c>
      <c r="N525" t="str">
        <v/>
      </c>
      <c r="O525" t="str">
        <v/>
      </c>
      <c r="P525">
        <f t="shared" si="45"/>
        <v>0</v>
      </c>
      <c r="Q525">
        <f t="shared" si="46"/>
        <v>0</v>
      </c>
      <c r="R525">
        <f t="shared" si="47"/>
        <v>0</v>
      </c>
      <c r="S525">
        <f t="shared" si="43"/>
        <v>0</v>
      </c>
      <c r="T525">
        <f t="shared" si="44"/>
        <v>0</v>
      </c>
    </row>
    <row r="526" x14ac:dyDescent="0.35">
      <c r="A526" t="str">
        <v/>
      </c>
      <c r="B526" t="str">
        <v/>
      </c>
      <c r="C526" t="str">
        <v/>
      </c>
      <c r="D526" t="str">
        <v/>
      </c>
      <c r="E526" t="str">
        <v/>
      </c>
      <c r="F526" t="str">
        <v/>
      </c>
      <c r="G526" t="str">
        <v/>
      </c>
      <c r="H526" t="str">
        <v/>
      </c>
      <c r="I526" t="str">
        <v/>
      </c>
      <c r="J526" t="str">
        <v/>
      </c>
      <c r="K526" t="str">
        <v/>
      </c>
      <c r="L526" t="str">
        <v/>
      </c>
      <c r="M526" t="str">
        <v/>
      </c>
      <c r="N526" t="str">
        <v/>
      </c>
      <c r="O526" t="str">
        <v/>
      </c>
      <c r="P526">
        <f t="shared" si="45"/>
        <v>0</v>
      </c>
      <c r="Q526">
        <f t="shared" si="46"/>
        <v>0</v>
      </c>
      <c r="R526">
        <f t="shared" si="47"/>
        <v>0</v>
      </c>
      <c r="S526">
        <f t="shared" si="43"/>
        <v>0</v>
      </c>
      <c r="T526">
        <f t="shared" si="44"/>
        <v>0</v>
      </c>
    </row>
    <row r="527" x14ac:dyDescent="0.35">
      <c r="A527" t="str">
        <v/>
      </c>
      <c r="B527" t="str">
        <v/>
      </c>
      <c r="C527" t="str">
        <v/>
      </c>
      <c r="D527" t="str">
        <v/>
      </c>
      <c r="E527" t="str">
        <v/>
      </c>
      <c r="F527" t="str">
        <v/>
      </c>
      <c r="G527" t="str">
        <v/>
      </c>
      <c r="H527" t="str">
        <v/>
      </c>
      <c r="I527" t="str">
        <v/>
      </c>
      <c r="J527" t="str">
        <v/>
      </c>
      <c r="K527" t="str">
        <v/>
      </c>
      <c r="L527" t="str">
        <v/>
      </c>
      <c r="M527" t="str">
        <v/>
      </c>
      <c r="N527" t="str">
        <v/>
      </c>
      <c r="O527" t="str">
        <v/>
      </c>
      <c r="P527">
        <f t="shared" si="45"/>
        <v>0</v>
      </c>
      <c r="Q527">
        <f t="shared" si="46"/>
        <v>0</v>
      </c>
      <c r="R527">
        <f t="shared" si="47"/>
        <v>0</v>
      </c>
      <c r="S527">
        <f t="shared" si="43"/>
        <v>0</v>
      </c>
      <c r="T527">
        <f t="shared" si="44"/>
        <v>0</v>
      </c>
    </row>
    <row r="528" x14ac:dyDescent="0.35">
      <c r="A528" t="str">
        <v/>
      </c>
      <c r="B528" t="str">
        <v/>
      </c>
      <c r="C528" t="str">
        <v/>
      </c>
      <c r="D528" t="str">
        <v/>
      </c>
      <c r="E528" t="str">
        <v/>
      </c>
      <c r="F528" t="str">
        <v/>
      </c>
      <c r="G528" t="str">
        <v/>
      </c>
      <c r="H528" t="str">
        <v/>
      </c>
      <c r="I528" t="str">
        <v/>
      </c>
      <c r="J528" t="str">
        <v/>
      </c>
      <c r="K528" t="str">
        <v/>
      </c>
      <c r="L528" t="str">
        <v/>
      </c>
      <c r="M528" t="str">
        <v/>
      </c>
      <c r="N528" t="str">
        <v/>
      </c>
      <c r="O528" t="str">
        <v/>
      </c>
      <c r="P528">
        <f t="shared" si="45"/>
        <v>0</v>
      </c>
      <c r="Q528">
        <f t="shared" si="46"/>
        <v>0</v>
      </c>
      <c r="R528">
        <f t="shared" si="47"/>
        <v>0</v>
      </c>
      <c r="S528">
        <f t="shared" si="43"/>
        <v>0</v>
      </c>
      <c r="T528">
        <f t="shared" si="44"/>
        <v>0</v>
      </c>
    </row>
    <row r="529" x14ac:dyDescent="0.35">
      <c r="A529" t="str">
        <v/>
      </c>
      <c r="B529" t="str">
        <v/>
      </c>
      <c r="C529" t="str">
        <v/>
      </c>
      <c r="D529" t="str">
        <v/>
      </c>
      <c r="E529" t="str">
        <v/>
      </c>
      <c r="F529" t="str">
        <v/>
      </c>
      <c r="G529" t="str">
        <v/>
      </c>
      <c r="H529" t="str">
        <v/>
      </c>
      <c r="I529" t="str">
        <v/>
      </c>
      <c r="J529" t="str">
        <v/>
      </c>
      <c r="K529" t="str">
        <v/>
      </c>
      <c r="L529" t="str">
        <v/>
      </c>
      <c r="M529" t="str">
        <v/>
      </c>
      <c r="N529" t="str">
        <v/>
      </c>
      <c r="O529" t="str">
        <v/>
      </c>
      <c r="P529">
        <f t="shared" si="45"/>
        <v>0</v>
      </c>
      <c r="Q529">
        <f t="shared" si="46"/>
        <v>0</v>
      </c>
      <c r="R529">
        <f t="shared" si="47"/>
        <v>0</v>
      </c>
      <c r="S529">
        <f t="shared" si="43"/>
        <v>0</v>
      </c>
      <c r="T529">
        <f t="shared" si="44"/>
        <v>0</v>
      </c>
    </row>
    <row r="530" x14ac:dyDescent="0.35">
      <c r="A530" t="str">
        <v/>
      </c>
      <c r="B530" t="str">
        <v/>
      </c>
      <c r="C530" t="str">
        <v/>
      </c>
      <c r="D530" t="str">
        <v/>
      </c>
      <c r="E530" t="str">
        <v/>
      </c>
      <c r="F530" t="str">
        <v/>
      </c>
      <c r="G530" t="str">
        <v/>
      </c>
      <c r="H530" t="str">
        <v/>
      </c>
      <c r="I530" t="str">
        <v/>
      </c>
      <c r="J530" t="str">
        <v/>
      </c>
      <c r="K530" t="str">
        <v/>
      </c>
      <c r="L530" t="str">
        <v/>
      </c>
      <c r="M530" t="str">
        <v/>
      </c>
      <c r="N530" t="str">
        <v/>
      </c>
      <c r="O530" t="str">
        <v/>
      </c>
      <c r="P530">
        <f t="shared" si="45"/>
        <v>0</v>
      </c>
      <c r="Q530">
        <f t="shared" si="46"/>
        <v>0</v>
      </c>
      <c r="R530">
        <f t="shared" si="47"/>
        <v>0</v>
      </c>
      <c r="S530">
        <f t="shared" si="43"/>
        <v>0</v>
      </c>
      <c r="T530">
        <f t="shared" si="44"/>
        <v>0</v>
      </c>
    </row>
    <row r="531" x14ac:dyDescent="0.35">
      <c r="A531" t="str">
        <v/>
      </c>
      <c r="B531" t="str">
        <v/>
      </c>
      <c r="C531" t="str">
        <v/>
      </c>
      <c r="D531" t="str">
        <v/>
      </c>
      <c r="E531" t="str">
        <v/>
      </c>
      <c r="F531" t="str">
        <v/>
      </c>
      <c r="G531" t="str">
        <v/>
      </c>
      <c r="H531" t="str">
        <v/>
      </c>
      <c r="I531" t="str">
        <v/>
      </c>
      <c r="J531" t="str">
        <v/>
      </c>
      <c r="K531" t="str">
        <v/>
      </c>
      <c r="L531" t="str">
        <v/>
      </c>
      <c r="M531" t="str">
        <v/>
      </c>
      <c r="N531" t="str">
        <v/>
      </c>
      <c r="O531" t="str">
        <v/>
      </c>
      <c r="P531">
        <f t="shared" si="45"/>
        <v>0</v>
      </c>
      <c r="Q531">
        <f t="shared" si="46"/>
        <v>0</v>
      </c>
      <c r="R531">
        <f t="shared" si="47"/>
        <v>0</v>
      </c>
      <c r="S531">
        <f t="shared" si="43"/>
        <v>0</v>
      </c>
      <c r="T531">
        <f t="shared" si="44"/>
        <v>0</v>
      </c>
    </row>
    <row r="532" x14ac:dyDescent="0.35">
      <c r="A532" t="str">
        <v/>
      </c>
      <c r="B532" t="str">
        <v/>
      </c>
      <c r="C532" t="str">
        <v/>
      </c>
      <c r="D532" t="str">
        <v/>
      </c>
      <c r="E532" t="str">
        <v/>
      </c>
      <c r="F532" t="str">
        <v/>
      </c>
      <c r="G532" t="str">
        <v/>
      </c>
      <c r="H532" t="str">
        <v/>
      </c>
      <c r="I532" t="str">
        <v/>
      </c>
      <c r="J532" t="str">
        <v/>
      </c>
      <c r="K532" t="str">
        <v/>
      </c>
      <c r="L532" t="str">
        <v/>
      </c>
      <c r="M532" t="str">
        <v/>
      </c>
      <c r="N532" t="str">
        <v/>
      </c>
      <c r="O532" t="str">
        <v/>
      </c>
      <c r="P532">
        <f t="shared" si="45"/>
        <v>0</v>
      </c>
      <c r="Q532">
        <f t="shared" si="46"/>
        <v>0</v>
      </c>
      <c r="R532">
        <f t="shared" si="47"/>
        <v>0</v>
      </c>
      <c r="S532">
        <f t="shared" si="43"/>
        <v>0</v>
      </c>
      <c r="T532">
        <f t="shared" si="44"/>
        <v>0</v>
      </c>
    </row>
    <row r="533" x14ac:dyDescent="0.35">
      <c r="A533" t="str">
        <v/>
      </c>
      <c r="B533" t="str">
        <v/>
      </c>
      <c r="C533" t="str">
        <v/>
      </c>
      <c r="D533" t="str">
        <v/>
      </c>
      <c r="E533" t="str">
        <v/>
      </c>
      <c r="F533" t="str">
        <v/>
      </c>
      <c r="G533" t="str">
        <v/>
      </c>
      <c r="H533" t="str">
        <v/>
      </c>
      <c r="I533" t="str">
        <v/>
      </c>
      <c r="J533" t="str">
        <v/>
      </c>
      <c r="K533" t="str">
        <v/>
      </c>
      <c r="L533" t="str">
        <v/>
      </c>
      <c r="M533" t="str">
        <v/>
      </c>
      <c r="N533" t="str">
        <v/>
      </c>
      <c r="O533" t="str">
        <v/>
      </c>
      <c r="P533">
        <f t="shared" si="45"/>
        <v>0</v>
      </c>
      <c r="Q533">
        <f t="shared" si="46"/>
        <v>0</v>
      </c>
      <c r="R533">
        <f t="shared" si="47"/>
        <v>0</v>
      </c>
      <c r="S533">
        <f t="shared" si="43"/>
        <v>0</v>
      </c>
      <c r="T533">
        <f t="shared" si="44"/>
        <v>0</v>
      </c>
    </row>
    <row r="534" x14ac:dyDescent="0.35">
      <c r="A534" t="str">
        <v/>
      </c>
      <c r="B534" t="str">
        <v/>
      </c>
      <c r="C534" t="str">
        <v/>
      </c>
      <c r="D534" t="str">
        <v/>
      </c>
      <c r="E534" t="str">
        <v/>
      </c>
      <c r="F534" t="str">
        <v/>
      </c>
      <c r="G534" t="str">
        <v/>
      </c>
      <c r="H534" t="str">
        <v/>
      </c>
      <c r="I534" t="str">
        <v/>
      </c>
      <c r="J534" t="str">
        <v/>
      </c>
      <c r="K534" t="str">
        <v/>
      </c>
      <c r="L534" t="str">
        <v/>
      </c>
      <c r="M534" t="str">
        <v/>
      </c>
      <c r="N534" t="str">
        <v/>
      </c>
      <c r="O534" t="str">
        <v/>
      </c>
      <c r="P534">
        <f t="shared" si="45"/>
        <v>0</v>
      </c>
      <c r="Q534">
        <f t="shared" si="46"/>
        <v>0</v>
      </c>
      <c r="R534">
        <f t="shared" si="47"/>
        <v>0</v>
      </c>
      <c r="S534">
        <f t="shared" si="43"/>
        <v>0</v>
      </c>
      <c r="T534">
        <f t="shared" si="44"/>
        <v>0</v>
      </c>
    </row>
    <row r="535" x14ac:dyDescent="0.35">
      <c r="A535" t="str">
        <v/>
      </c>
      <c r="B535" t="str">
        <v/>
      </c>
      <c r="C535" t="str">
        <v/>
      </c>
      <c r="D535" t="str">
        <v/>
      </c>
      <c r="E535" t="str">
        <v/>
      </c>
      <c r="F535" t="str">
        <v/>
      </c>
      <c r="G535" t="str">
        <v/>
      </c>
      <c r="H535" t="str">
        <v/>
      </c>
      <c r="I535" t="str">
        <v/>
      </c>
      <c r="J535" t="str">
        <v/>
      </c>
      <c r="K535" t="str">
        <v/>
      </c>
      <c r="L535" t="str">
        <v/>
      </c>
      <c r="M535" t="str">
        <v/>
      </c>
      <c r="N535" t="str">
        <v/>
      </c>
      <c r="O535" t="str">
        <v/>
      </c>
      <c r="P535">
        <f t="shared" si="45"/>
        <v>0</v>
      </c>
      <c r="Q535">
        <f t="shared" si="46"/>
        <v>0</v>
      </c>
      <c r="R535">
        <f t="shared" si="47"/>
        <v>0</v>
      </c>
      <c r="S535">
        <f t="shared" si="43"/>
        <v>0</v>
      </c>
      <c r="T535">
        <f t="shared" si="44"/>
        <v>0</v>
      </c>
    </row>
    <row r="536" x14ac:dyDescent="0.35">
      <c r="A536" t="str">
        <v/>
      </c>
      <c r="B536" t="str">
        <v/>
      </c>
      <c r="C536" t="str">
        <v/>
      </c>
      <c r="D536" t="str">
        <v/>
      </c>
      <c r="E536" t="str">
        <v/>
      </c>
      <c r="F536" t="str">
        <v/>
      </c>
      <c r="G536" t="str">
        <v/>
      </c>
      <c r="H536" t="str">
        <v/>
      </c>
      <c r="I536" t="str">
        <v/>
      </c>
      <c r="J536" t="str">
        <v/>
      </c>
      <c r="K536" t="str">
        <v/>
      </c>
      <c r="L536" t="str">
        <v/>
      </c>
      <c r="M536" t="str">
        <v/>
      </c>
      <c r="N536" t="str">
        <v/>
      </c>
      <c r="O536" t="str">
        <v/>
      </c>
      <c r="P536">
        <f t="shared" si="45"/>
        <v>0</v>
      </c>
      <c r="Q536">
        <f t="shared" si="46"/>
        <v>0</v>
      </c>
      <c r="R536">
        <f t="shared" si="47"/>
        <v>0</v>
      </c>
      <c r="S536">
        <f t="shared" si="43"/>
        <v>0</v>
      </c>
      <c r="T536">
        <f t="shared" si="44"/>
        <v>0</v>
      </c>
    </row>
    <row r="537" x14ac:dyDescent="0.35">
      <c r="A537" t="str">
        <v/>
      </c>
      <c r="B537" t="str">
        <v/>
      </c>
      <c r="C537" t="str">
        <v/>
      </c>
      <c r="D537" t="str">
        <v/>
      </c>
      <c r="E537" t="str">
        <v/>
      </c>
      <c r="F537" t="str">
        <v/>
      </c>
      <c r="G537" t="str">
        <v/>
      </c>
      <c r="H537" t="str">
        <v/>
      </c>
      <c r="I537" t="str">
        <v/>
      </c>
      <c r="J537" t="str">
        <v/>
      </c>
      <c r="K537" t="str">
        <v/>
      </c>
      <c r="L537" t="str">
        <v/>
      </c>
      <c r="M537" t="str">
        <v/>
      </c>
      <c r="N537" t="str">
        <v/>
      </c>
      <c r="O537" t="str">
        <v/>
      </c>
      <c r="P537">
        <f t="shared" si="45"/>
        <v>0</v>
      </c>
      <c r="Q537">
        <f t="shared" si="46"/>
        <v>0</v>
      </c>
      <c r="R537">
        <f t="shared" si="47"/>
        <v>0</v>
      </c>
      <c r="S537">
        <f t="shared" si="43"/>
        <v>0</v>
      </c>
      <c r="T537">
        <f t="shared" si="44"/>
        <v>0</v>
      </c>
    </row>
    <row r="538" x14ac:dyDescent="0.35">
      <c r="A538" t="str">
        <v/>
      </c>
      <c r="B538" t="str">
        <v/>
      </c>
      <c r="C538" t="str">
        <v/>
      </c>
      <c r="D538" t="str">
        <v/>
      </c>
      <c r="E538" t="str">
        <v/>
      </c>
      <c r="F538" t="str">
        <v/>
      </c>
      <c r="G538" t="str">
        <v/>
      </c>
      <c r="H538" t="str">
        <v/>
      </c>
      <c r="I538" t="str">
        <v/>
      </c>
      <c r="J538" t="str">
        <v/>
      </c>
      <c r="K538" t="str">
        <v/>
      </c>
      <c r="L538" t="str">
        <v/>
      </c>
      <c r="M538" t="str">
        <v/>
      </c>
      <c r="N538" t="str">
        <v/>
      </c>
      <c r="O538" t="str">
        <v/>
      </c>
      <c r="P538">
        <f t="shared" si="45"/>
        <v>0</v>
      </c>
      <c r="Q538">
        <f t="shared" si="46"/>
        <v>0</v>
      </c>
      <c r="R538">
        <f t="shared" si="47"/>
        <v>0</v>
      </c>
      <c r="S538">
        <f t="shared" si="43"/>
        <v>0</v>
      </c>
      <c r="T538">
        <f t="shared" si="44"/>
        <v>0</v>
      </c>
    </row>
    <row r="539" x14ac:dyDescent="0.35">
      <c r="A539" t="str">
        <v/>
      </c>
      <c r="B539" t="str">
        <v/>
      </c>
      <c r="C539" t="str">
        <v/>
      </c>
      <c r="D539" t="str">
        <v/>
      </c>
      <c r="E539" t="str">
        <v/>
      </c>
      <c r="F539" t="str">
        <v/>
      </c>
      <c r="G539" t="str">
        <v/>
      </c>
      <c r="H539" t="str">
        <v/>
      </c>
      <c r="I539" t="str">
        <v/>
      </c>
      <c r="J539" t="str">
        <v/>
      </c>
      <c r="K539" t="str">
        <v/>
      </c>
      <c r="L539" t="str">
        <v/>
      </c>
      <c r="M539" t="str">
        <v/>
      </c>
      <c r="N539" t="str">
        <v/>
      </c>
      <c r="O539" t="str">
        <v/>
      </c>
      <c r="P539">
        <f t="shared" si="45"/>
        <v>0</v>
      </c>
      <c r="Q539">
        <f t="shared" si="46"/>
        <v>0</v>
      </c>
      <c r="R539">
        <f t="shared" si="47"/>
        <v>0</v>
      </c>
      <c r="S539">
        <f t="shared" si="43"/>
        <v>0</v>
      </c>
      <c r="T539">
        <f t="shared" si="44"/>
        <v>0</v>
      </c>
    </row>
    <row r="540" x14ac:dyDescent="0.35">
      <c r="A540" t="str">
        <v/>
      </c>
      <c r="B540" t="str">
        <v/>
      </c>
      <c r="C540" t="str">
        <v/>
      </c>
      <c r="D540" t="str">
        <v/>
      </c>
      <c r="E540" t="str">
        <v/>
      </c>
      <c r="F540" t="str">
        <v/>
      </c>
      <c r="G540" t="str">
        <v/>
      </c>
      <c r="H540" t="str">
        <v/>
      </c>
      <c r="I540" t="str">
        <v/>
      </c>
      <c r="J540" t="str">
        <v/>
      </c>
      <c r="K540" t="str">
        <v/>
      </c>
      <c r="L540" t="str">
        <v/>
      </c>
      <c r="M540" t="str">
        <v/>
      </c>
      <c r="N540" t="str">
        <v/>
      </c>
      <c r="O540" t="str">
        <v/>
      </c>
      <c r="P540">
        <f t="shared" si="45"/>
        <v>0</v>
      </c>
      <c r="Q540">
        <f t="shared" si="46"/>
        <v>0</v>
      </c>
      <c r="R540">
        <f t="shared" si="47"/>
        <v>0</v>
      </c>
      <c r="S540">
        <f t="shared" si="43"/>
        <v>0</v>
      </c>
      <c r="T540">
        <f t="shared" si="44"/>
        <v>0</v>
      </c>
    </row>
    <row r="541" x14ac:dyDescent="0.35">
      <c r="A541" t="str">
        <v/>
      </c>
      <c r="B541" t="str">
        <v/>
      </c>
      <c r="C541" t="str">
        <v/>
      </c>
      <c r="D541" t="str">
        <v/>
      </c>
      <c r="E541" t="str">
        <v/>
      </c>
      <c r="F541" t="str">
        <v/>
      </c>
      <c r="G541" t="str">
        <v/>
      </c>
      <c r="H541" t="str">
        <v/>
      </c>
      <c r="I541" t="str">
        <v/>
      </c>
      <c r="J541" t="str">
        <v/>
      </c>
      <c r="K541" t="str">
        <v/>
      </c>
      <c r="L541" t="str">
        <v/>
      </c>
      <c r="M541" t="str">
        <v/>
      </c>
      <c r="N541" t="str">
        <v/>
      </c>
      <c r="O541" t="str">
        <v/>
      </c>
      <c r="P541">
        <f t="shared" si="45"/>
        <v>0</v>
      </c>
      <c r="Q541">
        <f t="shared" si="46"/>
        <v>0</v>
      </c>
      <c r="R541">
        <f t="shared" si="47"/>
        <v>0</v>
      </c>
      <c r="S541">
        <f t="shared" si="43"/>
        <v>0</v>
      </c>
      <c r="T541">
        <f t="shared" si="44"/>
        <v>0</v>
      </c>
    </row>
    <row r="542" x14ac:dyDescent="0.35">
      <c r="A542" t="str">
        <v/>
      </c>
      <c r="B542" t="str">
        <v/>
      </c>
      <c r="C542" t="str">
        <v/>
      </c>
      <c r="D542" t="str">
        <v/>
      </c>
      <c r="E542" t="str">
        <v/>
      </c>
      <c r="F542" t="str">
        <v/>
      </c>
      <c r="G542" t="str">
        <v/>
      </c>
      <c r="H542" t="str">
        <v/>
      </c>
      <c r="I542" t="str">
        <v/>
      </c>
      <c r="J542" t="str">
        <v/>
      </c>
      <c r="K542" t="str">
        <v/>
      </c>
      <c r="L542" t="str">
        <v/>
      </c>
      <c r="M542" t="str">
        <v/>
      </c>
      <c r="N542" t="str">
        <v/>
      </c>
      <c r="O542" t="str">
        <v/>
      </c>
      <c r="P542">
        <f t="shared" si="45"/>
        <v>0</v>
      </c>
      <c r="Q542">
        <f t="shared" si="46"/>
        <v>0</v>
      </c>
      <c r="R542">
        <f t="shared" si="47"/>
        <v>0</v>
      </c>
      <c r="S542">
        <f t="shared" si="43"/>
        <v>0</v>
      </c>
      <c r="T542">
        <f t="shared" si="44"/>
        <v>0</v>
      </c>
    </row>
    <row r="543" x14ac:dyDescent="0.35">
      <c r="A543" t="str">
        <v/>
      </c>
      <c r="B543" t="str">
        <v/>
      </c>
      <c r="C543" t="str">
        <v/>
      </c>
      <c r="D543" t="str">
        <v/>
      </c>
      <c r="E543" t="str">
        <v/>
      </c>
      <c r="F543" t="str">
        <v/>
      </c>
      <c r="G543" t="str">
        <v/>
      </c>
      <c r="H543" t="str">
        <v/>
      </c>
      <c r="I543" t="str">
        <v/>
      </c>
      <c r="J543" t="str">
        <v/>
      </c>
      <c r="K543" t="str">
        <v/>
      </c>
      <c r="L543" t="str">
        <v/>
      </c>
      <c r="M543" t="str">
        <v/>
      </c>
      <c r="N543" t="str">
        <v/>
      </c>
      <c r="O543" t="str">
        <v/>
      </c>
      <c r="P543">
        <f t="shared" si="45"/>
        <v>0</v>
      </c>
      <c r="Q543">
        <f t="shared" si="46"/>
        <v>0</v>
      </c>
      <c r="R543">
        <f t="shared" si="47"/>
        <v>0</v>
      </c>
      <c r="S543">
        <f t="shared" si="43"/>
        <v>0</v>
      </c>
      <c r="T543">
        <f t="shared" si="44"/>
        <v>0</v>
      </c>
    </row>
    <row r="544" x14ac:dyDescent="0.35">
      <c r="A544" t="str">
        <v/>
      </c>
      <c r="B544" t="str">
        <v/>
      </c>
      <c r="C544" t="str">
        <v/>
      </c>
      <c r="D544" t="str">
        <v/>
      </c>
      <c r="E544" t="str">
        <v/>
      </c>
      <c r="F544" t="str">
        <v/>
      </c>
      <c r="G544" t="str">
        <v/>
      </c>
      <c r="H544" t="str">
        <v/>
      </c>
      <c r="I544" t="str">
        <v/>
      </c>
      <c r="J544" t="str">
        <v/>
      </c>
      <c r="K544" t="str">
        <v/>
      </c>
      <c r="L544" t="str">
        <v/>
      </c>
      <c r="M544" t="str">
        <v/>
      </c>
      <c r="N544" t="str">
        <v/>
      </c>
      <c r="O544" t="str">
        <v/>
      </c>
      <c r="P544">
        <f t="shared" si="45"/>
        <v>0</v>
      </c>
      <c r="Q544">
        <f t="shared" si="46"/>
        <v>0</v>
      </c>
      <c r="R544">
        <f t="shared" si="47"/>
        <v>0</v>
      </c>
      <c r="S544">
        <f t="shared" si="43"/>
        <v>0</v>
      </c>
      <c r="T544">
        <f t="shared" si="44"/>
        <v>0</v>
      </c>
    </row>
    <row r="545" x14ac:dyDescent="0.35">
      <c r="A545" t="str">
        <v/>
      </c>
      <c r="B545" t="str">
        <v/>
      </c>
      <c r="C545" t="str">
        <v/>
      </c>
      <c r="D545" t="str">
        <v/>
      </c>
      <c r="E545" t="str">
        <v/>
      </c>
      <c r="F545" t="str">
        <v/>
      </c>
      <c r="G545" t="str">
        <v/>
      </c>
      <c r="H545" t="str">
        <v/>
      </c>
      <c r="I545" t="str">
        <v/>
      </c>
      <c r="J545" t="str">
        <v/>
      </c>
      <c r="K545" t="str">
        <v/>
      </c>
      <c r="L545" t="str">
        <v/>
      </c>
      <c r="M545" t="str">
        <v/>
      </c>
      <c r="N545" t="str">
        <v/>
      </c>
      <c r="O545" t="str">
        <v/>
      </c>
      <c r="P545">
        <f t="shared" si="45"/>
        <v>0</v>
      </c>
      <c r="Q545">
        <f t="shared" si="46"/>
        <v>0</v>
      </c>
      <c r="R545">
        <f t="shared" si="47"/>
        <v>0</v>
      </c>
      <c r="S545">
        <f t="shared" si="43"/>
        <v>0</v>
      </c>
      <c r="T545">
        <f t="shared" si="44"/>
        <v>0</v>
      </c>
    </row>
    <row r="546" x14ac:dyDescent="0.35">
      <c r="A546" t="str">
        <v/>
      </c>
      <c r="B546" t="str">
        <v/>
      </c>
      <c r="C546" t="str">
        <v/>
      </c>
      <c r="D546" t="str">
        <v/>
      </c>
      <c r="E546" t="str">
        <v/>
      </c>
      <c r="F546" t="str">
        <v/>
      </c>
      <c r="G546" t="str">
        <v/>
      </c>
      <c r="H546" t="str">
        <v/>
      </c>
      <c r="I546" t="str">
        <v/>
      </c>
      <c r="J546" t="str">
        <v/>
      </c>
      <c r="K546" t="str">
        <v/>
      </c>
      <c r="L546" t="str">
        <v/>
      </c>
      <c r="M546" t="str">
        <v/>
      </c>
      <c r="N546" t="str">
        <v/>
      </c>
      <c r="O546" t="str">
        <v/>
      </c>
      <c r="P546">
        <f t="shared" si="45"/>
        <v>0</v>
      </c>
      <c r="Q546">
        <f t="shared" si="46"/>
        <v>0</v>
      </c>
      <c r="R546">
        <f t="shared" si="47"/>
        <v>0</v>
      </c>
      <c r="S546">
        <f t="shared" si="43"/>
        <v>0</v>
      </c>
      <c r="T546">
        <f t="shared" si="44"/>
        <v>0</v>
      </c>
    </row>
    <row r="547" x14ac:dyDescent="0.35">
      <c r="A547" t="str">
        <v/>
      </c>
      <c r="B547" t="str">
        <v/>
      </c>
      <c r="C547" t="str">
        <v/>
      </c>
      <c r="D547" t="str">
        <v/>
      </c>
      <c r="E547" t="str">
        <v/>
      </c>
      <c r="F547" t="str">
        <v/>
      </c>
      <c r="G547" t="str">
        <v/>
      </c>
      <c r="H547" t="str">
        <v/>
      </c>
      <c r="I547" t="str">
        <v/>
      </c>
      <c r="J547" t="str">
        <v/>
      </c>
      <c r="K547" t="str">
        <v/>
      </c>
      <c r="L547" t="str">
        <v/>
      </c>
      <c r="M547" t="str">
        <v/>
      </c>
      <c r="N547" t="str">
        <v/>
      </c>
      <c r="O547" t="str">
        <v/>
      </c>
      <c r="P547">
        <f t="shared" si="45"/>
        <v>0</v>
      </c>
      <c r="Q547">
        <f t="shared" si="46"/>
        <v>0</v>
      </c>
      <c r="R547">
        <f t="shared" si="47"/>
        <v>0</v>
      </c>
      <c r="S547">
        <f t="shared" si="43"/>
        <v>0</v>
      </c>
      <c r="T547">
        <f t="shared" si="44"/>
        <v>0</v>
      </c>
    </row>
    <row r="548" x14ac:dyDescent="0.35">
      <c r="A548" t="str">
        <v/>
      </c>
      <c r="B548" t="str">
        <v/>
      </c>
      <c r="C548" t="str">
        <v/>
      </c>
      <c r="D548" t="str">
        <v/>
      </c>
      <c r="E548" t="str">
        <v/>
      </c>
      <c r="F548" t="str">
        <v/>
      </c>
      <c r="G548" t="str">
        <v/>
      </c>
      <c r="H548" t="str">
        <v/>
      </c>
      <c r="I548" t="str">
        <v/>
      </c>
      <c r="J548" t="str">
        <v/>
      </c>
      <c r="K548" t="str">
        <v/>
      </c>
      <c r="L548" t="str">
        <v/>
      </c>
      <c r="M548" t="str">
        <v/>
      </c>
      <c r="N548" t="str">
        <v/>
      </c>
      <c r="O548" t="str">
        <v/>
      </c>
      <c r="P548">
        <f t="shared" si="45"/>
        <v>0</v>
      </c>
      <c r="Q548">
        <f t="shared" si="46"/>
        <v>0</v>
      </c>
      <c r="R548">
        <f t="shared" si="47"/>
        <v>0</v>
      </c>
      <c r="S548">
        <f t="shared" si="43"/>
        <v>0</v>
      </c>
      <c r="T548">
        <f t="shared" si="44"/>
        <v>0</v>
      </c>
    </row>
    <row r="549" x14ac:dyDescent="0.35">
      <c r="A549" t="str">
        <v/>
      </c>
      <c r="B549" t="str">
        <v/>
      </c>
      <c r="C549" t="str">
        <v/>
      </c>
      <c r="D549" t="str">
        <v/>
      </c>
      <c r="E549" t="str">
        <v/>
      </c>
      <c r="F549" t="str">
        <v/>
      </c>
      <c r="G549" t="str">
        <v/>
      </c>
      <c r="H549" t="str">
        <v/>
      </c>
      <c r="I549" t="str">
        <v/>
      </c>
      <c r="J549" t="str">
        <v/>
      </c>
      <c r="K549" t="str">
        <v/>
      </c>
      <c r="L549" t="str">
        <v/>
      </c>
      <c r="M549" t="str">
        <v/>
      </c>
      <c r="N549" t="str">
        <v/>
      </c>
      <c r="O549" t="str">
        <v/>
      </c>
      <c r="P549">
        <f t="shared" si="45"/>
        <v>0</v>
      </c>
      <c r="Q549">
        <f t="shared" si="46"/>
        <v>0</v>
      </c>
      <c r="R549">
        <f t="shared" si="47"/>
        <v>0</v>
      </c>
      <c r="S549">
        <f t="shared" si="43"/>
        <v>0</v>
      </c>
      <c r="T549">
        <f t="shared" si="44"/>
        <v>0</v>
      </c>
    </row>
    <row r="550" x14ac:dyDescent="0.35">
      <c r="A550" t="str">
        <v/>
      </c>
      <c r="B550" t="str">
        <v/>
      </c>
      <c r="C550" t="str">
        <v/>
      </c>
      <c r="D550" t="str">
        <v/>
      </c>
      <c r="E550" t="str">
        <v/>
      </c>
      <c r="F550" t="str">
        <v/>
      </c>
      <c r="G550" t="str">
        <v/>
      </c>
      <c r="H550" t="str">
        <v/>
      </c>
      <c r="I550" t="str">
        <v/>
      </c>
      <c r="J550" t="str">
        <v/>
      </c>
      <c r="K550" t="str">
        <v/>
      </c>
      <c r="L550" t="str">
        <v/>
      </c>
      <c r="M550" t="str">
        <v/>
      </c>
      <c r="N550" t="str">
        <v/>
      </c>
      <c r="O550" t="str">
        <v/>
      </c>
      <c r="P550">
        <f t="shared" si="45"/>
        <v>0</v>
      </c>
      <c r="Q550">
        <f t="shared" si="46"/>
        <v>0</v>
      </c>
      <c r="R550">
        <f t="shared" si="47"/>
        <v>0</v>
      </c>
      <c r="S550">
        <f t="shared" si="43"/>
        <v>0</v>
      </c>
      <c r="T550">
        <f t="shared" si="44"/>
        <v>0</v>
      </c>
    </row>
    <row r="551" x14ac:dyDescent="0.35">
      <c r="A551" t="str">
        <v/>
      </c>
      <c r="B551" t="str">
        <v/>
      </c>
      <c r="C551" t="str">
        <v/>
      </c>
      <c r="D551" t="str">
        <v/>
      </c>
      <c r="E551" t="str">
        <v/>
      </c>
      <c r="F551" t="str">
        <v/>
      </c>
      <c r="G551" t="str">
        <v/>
      </c>
      <c r="H551" t="str">
        <v/>
      </c>
      <c r="I551" t="str">
        <v/>
      </c>
      <c r="J551" t="str">
        <v/>
      </c>
      <c r="K551" t="str">
        <v/>
      </c>
      <c r="L551" t="str">
        <v/>
      </c>
      <c r="M551" t="str">
        <v/>
      </c>
      <c r="N551" t="str">
        <v/>
      </c>
      <c r="O551" t="str">
        <v/>
      </c>
      <c r="P551">
        <f t="shared" si="45"/>
        <v>0</v>
      </c>
      <c r="Q551">
        <f t="shared" si="46"/>
        <v>0</v>
      </c>
      <c r="R551">
        <f t="shared" si="47"/>
        <v>0</v>
      </c>
      <c r="S551">
        <f t="shared" si="43"/>
        <v>0</v>
      </c>
      <c r="T551">
        <f t="shared" si="44"/>
        <v>0</v>
      </c>
    </row>
    <row r="552" x14ac:dyDescent="0.35">
      <c r="A552" t="str">
        <v/>
      </c>
      <c r="B552" t="str">
        <v/>
      </c>
      <c r="C552" t="str">
        <v/>
      </c>
      <c r="D552" t="str">
        <v/>
      </c>
      <c r="E552" t="str">
        <v/>
      </c>
      <c r="F552" t="str">
        <v/>
      </c>
      <c r="G552" t="str">
        <v/>
      </c>
      <c r="H552" t="str">
        <v/>
      </c>
      <c r="I552" t="str">
        <v/>
      </c>
      <c r="J552" t="str">
        <v/>
      </c>
      <c r="K552" t="str">
        <v/>
      </c>
      <c r="L552" t="str">
        <v/>
      </c>
      <c r="M552" t="str">
        <v/>
      </c>
      <c r="N552" t="str">
        <v/>
      </c>
      <c r="O552" t="str">
        <v/>
      </c>
      <c r="P552">
        <f t="shared" si="45"/>
        <v>0</v>
      </c>
      <c r="Q552">
        <f t="shared" si="46"/>
        <v>0</v>
      </c>
      <c r="R552">
        <f t="shared" si="47"/>
        <v>0</v>
      </c>
      <c r="S552">
        <f t="shared" si="43"/>
        <v>0</v>
      </c>
      <c r="T552">
        <f t="shared" si="44"/>
        <v>0</v>
      </c>
    </row>
    <row r="553" x14ac:dyDescent="0.35">
      <c r="A553" t="str">
        <v/>
      </c>
      <c r="B553" t="str">
        <v/>
      </c>
      <c r="C553" t="str">
        <v/>
      </c>
      <c r="D553" t="str">
        <v/>
      </c>
      <c r="E553" t="str">
        <v/>
      </c>
      <c r="F553" t="str">
        <v/>
      </c>
      <c r="G553" t="str">
        <v/>
      </c>
      <c r="H553" t="str">
        <v/>
      </c>
      <c r="I553" t="str">
        <v/>
      </c>
      <c r="J553" t="str">
        <v/>
      </c>
      <c r="K553" t="str">
        <v/>
      </c>
      <c r="L553" t="str">
        <v/>
      </c>
      <c r="M553" t="str">
        <v/>
      </c>
      <c r="N553" t="str">
        <v/>
      </c>
      <c r="O553" t="str">
        <v/>
      </c>
      <c r="P553">
        <f t="shared" si="45"/>
        <v>0</v>
      </c>
      <c r="Q553">
        <f t="shared" si="46"/>
        <v>0</v>
      </c>
      <c r="R553">
        <f t="shared" si="47"/>
        <v>0</v>
      </c>
      <c r="S553">
        <f t="shared" si="43"/>
        <v>0</v>
      </c>
      <c r="T553">
        <f t="shared" si="44"/>
        <v>0</v>
      </c>
    </row>
    <row r="554" x14ac:dyDescent="0.35">
      <c r="A554" t="str">
        <v/>
      </c>
      <c r="B554" t="str">
        <v/>
      </c>
      <c r="C554" t="str">
        <v/>
      </c>
      <c r="D554" t="str">
        <v/>
      </c>
      <c r="E554" t="str">
        <v/>
      </c>
      <c r="F554" t="str">
        <v/>
      </c>
      <c r="G554" t="str">
        <v/>
      </c>
      <c r="H554" t="str">
        <v/>
      </c>
      <c r="I554" t="str">
        <v/>
      </c>
      <c r="J554" t="str">
        <v/>
      </c>
      <c r="K554" t="str">
        <v/>
      </c>
      <c r="L554" t="str">
        <v/>
      </c>
      <c r="M554" t="str">
        <v/>
      </c>
      <c r="N554" t="str">
        <v/>
      </c>
      <c r="O554" t="str">
        <v/>
      </c>
      <c r="P554">
        <f t="shared" si="45"/>
        <v>0</v>
      </c>
      <c r="Q554">
        <f t="shared" si="46"/>
        <v>0</v>
      </c>
      <c r="R554">
        <f t="shared" si="47"/>
        <v>0</v>
      </c>
      <c r="S554">
        <f t="shared" si="43"/>
        <v>0</v>
      </c>
      <c r="T554">
        <f t="shared" si="44"/>
        <v>0</v>
      </c>
    </row>
    <row r="555" x14ac:dyDescent="0.35">
      <c r="A555" t="str">
        <v/>
      </c>
      <c r="B555" t="str">
        <v/>
      </c>
      <c r="C555" t="str">
        <v/>
      </c>
      <c r="D555" t="str">
        <v/>
      </c>
      <c r="E555" t="str">
        <v/>
      </c>
      <c r="F555" t="str">
        <v/>
      </c>
      <c r="G555" t="str">
        <v/>
      </c>
      <c r="H555" t="str">
        <v/>
      </c>
      <c r="I555" t="str">
        <v/>
      </c>
      <c r="J555" t="str">
        <v/>
      </c>
      <c r="K555" t="str">
        <v/>
      </c>
      <c r="L555" t="str">
        <v/>
      </c>
      <c r="M555" t="str">
        <v/>
      </c>
      <c r="N555" t="str">
        <v/>
      </c>
      <c r="O555" t="str">
        <v/>
      </c>
      <c r="P555">
        <f t="shared" si="45"/>
        <v>0</v>
      </c>
      <c r="Q555">
        <f t="shared" si="46"/>
        <v>0</v>
      </c>
      <c r="R555">
        <f t="shared" si="47"/>
        <v>0</v>
      </c>
      <c r="S555">
        <f t="shared" si="43"/>
        <v>0</v>
      </c>
      <c r="T555">
        <f t="shared" si="44"/>
        <v>0</v>
      </c>
    </row>
    <row r="556" x14ac:dyDescent="0.35">
      <c r="A556" t="str">
        <v/>
      </c>
      <c r="B556" t="str">
        <v/>
      </c>
      <c r="C556" t="str">
        <v/>
      </c>
      <c r="D556" t="str">
        <v/>
      </c>
      <c r="E556" t="str">
        <v/>
      </c>
      <c r="F556" t="str">
        <v/>
      </c>
      <c r="G556" t="str">
        <v/>
      </c>
      <c r="H556" t="str">
        <v/>
      </c>
      <c r="I556" t="str">
        <v/>
      </c>
      <c r="J556" t="str">
        <v/>
      </c>
      <c r="K556" t="str">
        <v/>
      </c>
      <c r="L556" t="str">
        <v/>
      </c>
      <c r="M556" t="str">
        <v/>
      </c>
      <c r="N556" t="str">
        <v/>
      </c>
      <c r="O556" t="str">
        <v/>
      </c>
      <c r="P556">
        <f t="shared" si="45"/>
        <v>0</v>
      </c>
      <c r="Q556">
        <f t="shared" si="46"/>
        <v>0</v>
      </c>
      <c r="R556">
        <f t="shared" si="47"/>
        <v>0</v>
      </c>
      <c r="S556">
        <f t="shared" si="43"/>
        <v>0</v>
      </c>
      <c r="T556">
        <f t="shared" si="44"/>
        <v>0</v>
      </c>
    </row>
    <row r="557" x14ac:dyDescent="0.35">
      <c r="A557" t="str">
        <v/>
      </c>
      <c r="B557" t="str">
        <v/>
      </c>
      <c r="C557" t="str">
        <v/>
      </c>
      <c r="D557" t="str">
        <v/>
      </c>
      <c r="E557" t="str">
        <v/>
      </c>
      <c r="F557" t="str">
        <v/>
      </c>
      <c r="G557" t="str">
        <v/>
      </c>
      <c r="H557" t="str">
        <v/>
      </c>
      <c r="I557" t="str">
        <v/>
      </c>
      <c r="J557" t="str">
        <v/>
      </c>
      <c r="K557" t="str">
        <v/>
      </c>
      <c r="L557" t="str">
        <v/>
      </c>
      <c r="M557" t="str">
        <v/>
      </c>
      <c r="N557" t="str">
        <v/>
      </c>
      <c r="O557" t="str">
        <v/>
      </c>
      <c r="P557">
        <f t="shared" si="45"/>
        <v>0</v>
      </c>
      <c r="Q557">
        <f t="shared" si="46"/>
        <v>0</v>
      </c>
      <c r="R557">
        <f t="shared" si="47"/>
        <v>0</v>
      </c>
      <c r="S557">
        <f t="shared" si="43"/>
        <v>0</v>
      </c>
      <c r="T557">
        <f t="shared" si="44"/>
        <v>0</v>
      </c>
    </row>
    <row r="558" x14ac:dyDescent="0.35">
      <c r="A558" t="str">
        <v/>
      </c>
      <c r="B558" t="str">
        <v/>
      </c>
      <c r="C558" t="str">
        <v/>
      </c>
      <c r="D558" t="str">
        <v/>
      </c>
      <c r="E558" t="str">
        <v/>
      </c>
      <c r="F558" t="str">
        <v/>
      </c>
      <c r="G558" t="str">
        <v/>
      </c>
      <c r="H558" t="str">
        <v/>
      </c>
      <c r="I558" t="str">
        <v/>
      </c>
      <c r="J558" t="str">
        <v/>
      </c>
      <c r="K558" t="str">
        <v/>
      </c>
      <c r="L558" t="str">
        <v/>
      </c>
      <c r="M558" t="str">
        <v/>
      </c>
      <c r="N558" t="str">
        <v/>
      </c>
      <c r="O558" t="str">
        <v/>
      </c>
      <c r="P558">
        <f t="shared" si="45"/>
        <v>0</v>
      </c>
      <c r="Q558">
        <f t="shared" si="46"/>
        <v>0</v>
      </c>
      <c r="R558">
        <f t="shared" si="47"/>
        <v>0</v>
      </c>
      <c r="S558">
        <f t="shared" si="43"/>
        <v>0</v>
      </c>
      <c r="T558">
        <f t="shared" si="44"/>
        <v>0</v>
      </c>
    </row>
    <row r="559" x14ac:dyDescent="0.35">
      <c r="A559" t="str">
        <v/>
      </c>
      <c r="B559" t="str">
        <v/>
      </c>
      <c r="C559" t="str">
        <v/>
      </c>
      <c r="D559" t="str">
        <v/>
      </c>
      <c r="E559" t="str">
        <v/>
      </c>
      <c r="F559" t="str">
        <v/>
      </c>
      <c r="G559" t="str">
        <v/>
      </c>
      <c r="H559" t="str">
        <v/>
      </c>
      <c r="I559" t="str">
        <v/>
      </c>
      <c r="J559" t="str">
        <v/>
      </c>
      <c r="K559" t="str">
        <v/>
      </c>
      <c r="L559" t="str">
        <v/>
      </c>
      <c r="M559" t="str">
        <v/>
      </c>
      <c r="N559" t="str">
        <v/>
      </c>
      <c r="O559" t="str">
        <v/>
      </c>
      <c r="P559">
        <f t="shared" si="45"/>
        <v>0</v>
      </c>
      <c r="Q559">
        <f t="shared" si="46"/>
        <v>0</v>
      </c>
      <c r="R559">
        <f t="shared" si="47"/>
        <v>0</v>
      </c>
      <c r="S559">
        <f t="shared" si="43"/>
        <v>0</v>
      </c>
      <c r="T559">
        <f t="shared" si="44"/>
        <v>0</v>
      </c>
    </row>
    <row r="560" x14ac:dyDescent="0.35">
      <c r="A560" t="str">
        <v/>
      </c>
      <c r="B560" t="str">
        <v/>
      </c>
      <c r="C560" t="str">
        <v/>
      </c>
      <c r="D560" t="str">
        <v/>
      </c>
      <c r="E560" t="str">
        <v/>
      </c>
      <c r="F560" t="str">
        <v/>
      </c>
      <c r="G560" t="str">
        <v/>
      </c>
      <c r="H560" t="str">
        <v/>
      </c>
      <c r="I560" t="str">
        <v/>
      </c>
      <c r="J560" t="str">
        <v/>
      </c>
      <c r="K560" t="str">
        <v/>
      </c>
      <c r="L560" t="str">
        <v/>
      </c>
      <c r="M560" t="str">
        <v/>
      </c>
      <c r="N560" t="str">
        <v/>
      </c>
      <c r="O560" t="str">
        <v/>
      </c>
      <c r="P560">
        <f t="shared" si="45"/>
        <v>0</v>
      </c>
      <c r="Q560">
        <f t="shared" si="46"/>
        <v>0</v>
      </c>
      <c r="R560">
        <f t="shared" si="47"/>
        <v>0</v>
      </c>
      <c r="S560">
        <f t="shared" si="43"/>
        <v>0</v>
      </c>
      <c r="T560">
        <f t="shared" si="44"/>
        <v>0</v>
      </c>
    </row>
    <row r="561" x14ac:dyDescent="0.35">
      <c r="A561" t="str">
        <v/>
      </c>
      <c r="B561" t="str">
        <v/>
      </c>
      <c r="C561" t="str">
        <v/>
      </c>
      <c r="D561" t="str">
        <v/>
      </c>
      <c r="E561" t="str">
        <v/>
      </c>
      <c r="F561" t="str">
        <v/>
      </c>
      <c r="G561" t="str">
        <v/>
      </c>
      <c r="H561" t="str">
        <v/>
      </c>
      <c r="I561" t="str">
        <v/>
      </c>
      <c r="J561" t="str">
        <v/>
      </c>
      <c r="K561" t="str">
        <v/>
      </c>
      <c r="L561" t="str">
        <v/>
      </c>
      <c r="M561" t="str">
        <v/>
      </c>
      <c r="N561" t="str">
        <v/>
      </c>
      <c r="O561" t="str">
        <v/>
      </c>
      <c r="P561">
        <f t="shared" si="45"/>
        <v>0</v>
      </c>
      <c r="Q561">
        <f t="shared" si="46"/>
        <v>0</v>
      </c>
      <c r="R561">
        <f t="shared" si="47"/>
        <v>0</v>
      </c>
      <c r="S561">
        <f t="shared" si="43"/>
        <v>0</v>
      </c>
      <c r="T561">
        <f t="shared" si="44"/>
        <v>0</v>
      </c>
    </row>
    <row r="562" x14ac:dyDescent="0.35">
      <c r="A562" t="str">
        <v/>
      </c>
      <c r="B562" t="str">
        <v/>
      </c>
      <c r="C562" t="str">
        <v/>
      </c>
      <c r="D562" t="str">
        <v/>
      </c>
      <c r="E562" t="str">
        <v/>
      </c>
      <c r="F562" t="str">
        <v/>
      </c>
      <c r="G562" t="str">
        <v/>
      </c>
      <c r="H562" t="str">
        <v/>
      </c>
      <c r="I562" t="str">
        <v/>
      </c>
      <c r="J562" t="str">
        <v/>
      </c>
      <c r="K562" t="str">
        <v/>
      </c>
      <c r="L562" t="str">
        <v/>
      </c>
      <c r="M562" t="str">
        <v/>
      </c>
      <c r="N562" t="str">
        <v/>
      </c>
      <c r="O562" t="str">
        <v/>
      </c>
      <c r="P562">
        <f t="shared" si="45"/>
        <v>0</v>
      </c>
      <c r="Q562">
        <f t="shared" si="46"/>
        <v>0</v>
      </c>
      <c r="R562">
        <f t="shared" si="47"/>
        <v>0</v>
      </c>
      <c r="S562">
        <f t="shared" si="43"/>
        <v>0</v>
      </c>
      <c r="T562">
        <f t="shared" si="44"/>
        <v>0</v>
      </c>
    </row>
    <row r="563" x14ac:dyDescent="0.35">
      <c r="A563" t="str">
        <v/>
      </c>
      <c r="B563" t="str">
        <v/>
      </c>
      <c r="C563" t="str">
        <v/>
      </c>
      <c r="D563" t="str">
        <v/>
      </c>
      <c r="E563" t="str">
        <v/>
      </c>
      <c r="F563" t="str">
        <v/>
      </c>
      <c r="G563" t="str">
        <v/>
      </c>
      <c r="H563" t="str">
        <v/>
      </c>
      <c r="I563" t="str">
        <v/>
      </c>
      <c r="J563" t="str">
        <v/>
      </c>
      <c r="K563" t="str">
        <v/>
      </c>
      <c r="L563" t="str">
        <v/>
      </c>
      <c r="M563" t="str">
        <v/>
      </c>
      <c r="N563" t="str">
        <v/>
      </c>
      <c r="O563" t="str">
        <v/>
      </c>
      <c r="P563">
        <f t="shared" si="45"/>
        <v>0</v>
      </c>
      <c r="Q563">
        <f t="shared" si="46"/>
        <v>0</v>
      </c>
      <c r="R563">
        <f t="shared" si="47"/>
        <v>0</v>
      </c>
      <c r="S563">
        <f t="shared" si="43"/>
        <v>0</v>
      </c>
      <c r="T563">
        <f t="shared" si="44"/>
        <v>0</v>
      </c>
    </row>
    <row r="564" x14ac:dyDescent="0.35">
      <c r="A564" t="str">
        <v/>
      </c>
      <c r="B564" t="str">
        <v/>
      </c>
      <c r="C564" t="str">
        <v/>
      </c>
      <c r="D564" t="str">
        <v/>
      </c>
      <c r="E564" t="str">
        <v/>
      </c>
      <c r="F564" t="str">
        <v/>
      </c>
      <c r="G564" t="str">
        <v/>
      </c>
      <c r="H564" t="str">
        <v/>
      </c>
      <c r="I564" t="str">
        <v/>
      </c>
      <c r="J564" t="str">
        <v/>
      </c>
      <c r="K564" t="str">
        <v/>
      </c>
      <c r="L564" t="str">
        <v/>
      </c>
      <c r="M564" t="str">
        <v/>
      </c>
      <c r="N564" t="str">
        <v/>
      </c>
      <c r="O564" t="str">
        <v/>
      </c>
      <c r="P564">
        <f t="shared" si="45"/>
        <v>0</v>
      </c>
      <c r="Q564">
        <f t="shared" si="46"/>
        <v>0</v>
      </c>
      <c r="R564">
        <f t="shared" si="47"/>
        <v>0</v>
      </c>
      <c r="S564">
        <f t="shared" si="43"/>
        <v>0</v>
      </c>
      <c r="T564">
        <f t="shared" si="44"/>
        <v>0</v>
      </c>
    </row>
    <row r="565" x14ac:dyDescent="0.35">
      <c r="A565" t="str">
        <v/>
      </c>
      <c r="B565" t="str">
        <v/>
      </c>
      <c r="C565" t="str">
        <v/>
      </c>
      <c r="D565" t="str">
        <v/>
      </c>
      <c r="E565" t="str">
        <v/>
      </c>
      <c r="F565" t="str">
        <v/>
      </c>
      <c r="G565" t="str">
        <v/>
      </c>
      <c r="H565" t="str">
        <v/>
      </c>
      <c r="I565" t="str">
        <v/>
      </c>
      <c r="J565" t="str">
        <v/>
      </c>
      <c r="K565" t="str">
        <v/>
      </c>
      <c r="L565" t="str">
        <v/>
      </c>
      <c r="M565" t="str">
        <v/>
      </c>
      <c r="N565" t="str">
        <v/>
      </c>
      <c r="O565" t="str">
        <v/>
      </c>
      <c r="P565">
        <f t="shared" si="45"/>
        <v>0</v>
      </c>
      <c r="Q565">
        <f t="shared" si="46"/>
        <v>0</v>
      </c>
      <c r="R565">
        <f t="shared" si="47"/>
        <v>0</v>
      </c>
      <c r="S565">
        <f t="shared" si="43"/>
        <v>0</v>
      </c>
      <c r="T565">
        <f t="shared" si="44"/>
        <v>0</v>
      </c>
    </row>
    <row r="566" x14ac:dyDescent="0.35">
      <c r="A566" t="str">
        <v/>
      </c>
      <c r="B566" t="str">
        <v/>
      </c>
      <c r="C566" t="str">
        <v/>
      </c>
      <c r="D566" t="str">
        <v/>
      </c>
      <c r="E566" t="str">
        <v/>
      </c>
      <c r="F566" t="str">
        <v/>
      </c>
      <c r="G566" t="str">
        <v/>
      </c>
      <c r="H566" t="str">
        <v/>
      </c>
      <c r="I566" t="str">
        <v/>
      </c>
      <c r="J566" t="str">
        <v/>
      </c>
      <c r="K566" t="str">
        <v/>
      </c>
      <c r="L566" t="str">
        <v/>
      </c>
      <c r="M566" t="str">
        <v/>
      </c>
      <c r="N566" t="str">
        <v/>
      </c>
      <c r="O566" t="str">
        <v/>
      </c>
      <c r="P566">
        <f t="shared" si="45"/>
        <v>0</v>
      </c>
      <c r="Q566">
        <f t="shared" si="46"/>
        <v>0</v>
      </c>
      <c r="R566">
        <f t="shared" si="47"/>
        <v>0</v>
      </c>
      <c r="S566">
        <f t="shared" si="43"/>
        <v>0</v>
      </c>
      <c r="T566">
        <f t="shared" si="44"/>
        <v>0</v>
      </c>
    </row>
    <row r="567" x14ac:dyDescent="0.35">
      <c r="A567" t="str">
        <v/>
      </c>
      <c r="B567" t="str">
        <v/>
      </c>
      <c r="C567" t="str">
        <v/>
      </c>
      <c r="D567" t="str">
        <v/>
      </c>
      <c r="E567" t="str">
        <v/>
      </c>
      <c r="F567" t="str">
        <v/>
      </c>
      <c r="G567" t="str">
        <v/>
      </c>
      <c r="H567" t="str">
        <v/>
      </c>
      <c r="I567" t="str">
        <v/>
      </c>
      <c r="J567" t="str">
        <v/>
      </c>
      <c r="K567" t="str">
        <v/>
      </c>
      <c r="L567" t="str">
        <v/>
      </c>
      <c r="M567" t="str">
        <v/>
      </c>
      <c r="N567" t="str">
        <v/>
      </c>
      <c r="O567" t="str">
        <v/>
      </c>
      <c r="P567">
        <f t="shared" si="45"/>
        <v>0</v>
      </c>
      <c r="Q567">
        <f t="shared" si="46"/>
        <v>0</v>
      </c>
      <c r="R567">
        <f t="shared" si="47"/>
        <v>0</v>
      </c>
      <c r="S567">
        <f t="shared" si="43"/>
        <v>0</v>
      </c>
      <c r="T567">
        <f t="shared" si="44"/>
        <v>0</v>
      </c>
    </row>
    <row r="568" x14ac:dyDescent="0.35">
      <c r="A568" t="str">
        <v/>
      </c>
      <c r="B568" t="str">
        <v/>
      </c>
      <c r="C568" t="str">
        <v/>
      </c>
      <c r="D568" t="str">
        <v/>
      </c>
      <c r="E568" t="str">
        <v/>
      </c>
      <c r="F568" t="str">
        <v/>
      </c>
      <c r="G568" t="str">
        <v/>
      </c>
      <c r="H568" t="str">
        <v/>
      </c>
      <c r="I568" t="str">
        <v/>
      </c>
      <c r="J568" t="str">
        <v/>
      </c>
      <c r="K568" t="str">
        <v/>
      </c>
      <c r="L568" t="str">
        <v/>
      </c>
      <c r="M568" t="str">
        <v/>
      </c>
      <c r="N568" t="str">
        <v/>
      </c>
      <c r="O568" t="str">
        <v/>
      </c>
      <c r="P568">
        <f t="shared" si="45"/>
        <v>0</v>
      </c>
      <c r="Q568">
        <f t="shared" si="46"/>
        <v>0</v>
      </c>
      <c r="R568">
        <f t="shared" si="47"/>
        <v>0</v>
      </c>
      <c r="S568">
        <f t="shared" si="43"/>
        <v>0</v>
      </c>
      <c r="T568">
        <f t="shared" si="44"/>
        <v>0</v>
      </c>
    </row>
    <row r="569" x14ac:dyDescent="0.35">
      <c r="A569" t="str">
        <v/>
      </c>
      <c r="B569" t="str">
        <v/>
      </c>
      <c r="C569" t="str">
        <v/>
      </c>
      <c r="D569" t="str">
        <v/>
      </c>
      <c r="E569" t="str">
        <v/>
      </c>
      <c r="F569" t="str">
        <v/>
      </c>
      <c r="G569" t="str">
        <v/>
      </c>
      <c r="H569" t="str">
        <v/>
      </c>
      <c r="I569" t="str">
        <v/>
      </c>
      <c r="J569" t="str">
        <v/>
      </c>
      <c r="K569" t="str">
        <v/>
      </c>
      <c r="L569" t="str">
        <v/>
      </c>
      <c r="M569" t="str">
        <v/>
      </c>
      <c r="N569" t="str">
        <v/>
      </c>
      <c r="O569" t="str">
        <v/>
      </c>
      <c r="P569">
        <f t="shared" si="45"/>
        <v>0</v>
      </c>
      <c r="Q569">
        <f t="shared" si="46"/>
        <v>0</v>
      </c>
      <c r="R569">
        <f t="shared" si="47"/>
        <v>0</v>
      </c>
      <c r="S569">
        <f t="shared" si="43"/>
        <v>0</v>
      </c>
      <c r="T569">
        <f t="shared" si="44"/>
        <v>0</v>
      </c>
    </row>
    <row r="570" x14ac:dyDescent="0.35">
      <c r="A570" t="str">
        <v/>
      </c>
      <c r="B570" t="str">
        <v/>
      </c>
      <c r="C570" t="str">
        <v/>
      </c>
      <c r="D570" t="str">
        <v/>
      </c>
      <c r="E570" t="str">
        <v/>
      </c>
      <c r="F570" t="str">
        <v/>
      </c>
      <c r="G570" t="str">
        <v/>
      </c>
      <c r="H570" t="str">
        <v/>
      </c>
      <c r="I570" t="str">
        <v/>
      </c>
      <c r="J570" t="str">
        <v/>
      </c>
      <c r="K570" t="str">
        <v/>
      </c>
      <c r="L570" t="str">
        <v/>
      </c>
      <c r="M570" t="str">
        <v/>
      </c>
      <c r="N570" t="str">
        <v/>
      </c>
      <c r="O570" t="str">
        <v/>
      </c>
      <c r="P570">
        <f t="shared" si="45"/>
        <v>0</v>
      </c>
      <c r="Q570">
        <f t="shared" si="46"/>
        <v>0</v>
      </c>
      <c r="R570">
        <f t="shared" si="47"/>
        <v>0</v>
      </c>
      <c r="S570">
        <f t="shared" si="43"/>
        <v>0</v>
      </c>
      <c r="T570">
        <f t="shared" si="44"/>
        <v>0</v>
      </c>
    </row>
    <row r="571" x14ac:dyDescent="0.35">
      <c r="A571" t="str">
        <v/>
      </c>
      <c r="B571" t="str">
        <v/>
      </c>
      <c r="C571" t="str">
        <v/>
      </c>
      <c r="D571" t="str">
        <v/>
      </c>
      <c r="E571" t="str">
        <v/>
      </c>
      <c r="F571" t="str">
        <v/>
      </c>
      <c r="G571" t="str">
        <v/>
      </c>
      <c r="H571" t="str">
        <v/>
      </c>
      <c r="I571" t="str">
        <v/>
      </c>
      <c r="J571" t="str">
        <v/>
      </c>
      <c r="K571" t="str">
        <v/>
      </c>
      <c r="L571" t="str">
        <v/>
      </c>
      <c r="M571" t="str">
        <v/>
      </c>
      <c r="N571" t="str">
        <v/>
      </c>
      <c r="O571" t="str">
        <v/>
      </c>
      <c r="P571">
        <f t="shared" si="45"/>
        <v>0</v>
      </c>
      <c r="Q571">
        <f t="shared" si="46"/>
        <v>0</v>
      </c>
      <c r="R571">
        <f t="shared" si="47"/>
        <v>0</v>
      </c>
      <c r="S571">
        <f t="shared" si="43"/>
        <v>0</v>
      </c>
      <c r="T571">
        <f t="shared" si="44"/>
        <v>0</v>
      </c>
    </row>
    <row r="572" x14ac:dyDescent="0.35">
      <c r="A572" t="str">
        <v/>
      </c>
      <c r="B572" t="str">
        <v/>
      </c>
      <c r="C572" t="str">
        <v/>
      </c>
      <c r="D572" t="str">
        <v/>
      </c>
      <c r="E572" t="str">
        <v/>
      </c>
      <c r="F572" t="str">
        <v/>
      </c>
      <c r="G572" t="str">
        <v/>
      </c>
      <c r="H572" t="str">
        <v/>
      </c>
      <c r="I572" t="str">
        <v/>
      </c>
      <c r="J572" t="str">
        <v/>
      </c>
      <c r="K572" t="str">
        <v/>
      </c>
      <c r="L572" t="str">
        <v/>
      </c>
      <c r="M572" t="str">
        <v/>
      </c>
      <c r="N572" t="str">
        <v/>
      </c>
      <c r="O572" t="str">
        <v/>
      </c>
      <c r="P572">
        <f t="shared" si="45"/>
        <v>0</v>
      </c>
      <c r="Q572">
        <f t="shared" si="46"/>
        <v>0</v>
      </c>
      <c r="R572">
        <f t="shared" si="47"/>
        <v>0</v>
      </c>
      <c r="S572">
        <f t="shared" si="43"/>
        <v>0</v>
      </c>
      <c r="T572">
        <f t="shared" si="44"/>
        <v>0</v>
      </c>
    </row>
    <row r="573" x14ac:dyDescent="0.35">
      <c r="A573" t="str">
        <v/>
      </c>
      <c r="B573" t="str">
        <v/>
      </c>
      <c r="C573" t="str">
        <v/>
      </c>
      <c r="D573" t="str">
        <v/>
      </c>
      <c r="E573" t="str">
        <v/>
      </c>
      <c r="F573" t="str">
        <v/>
      </c>
      <c r="G573" t="str">
        <v/>
      </c>
      <c r="H573" t="str">
        <v/>
      </c>
      <c r="I573" t="str">
        <v/>
      </c>
      <c r="J573" t="str">
        <v/>
      </c>
      <c r="K573" t="str">
        <v/>
      </c>
      <c r="L573" t="str">
        <v/>
      </c>
      <c r="M573" t="str">
        <v/>
      </c>
      <c r="N573" t="str">
        <v/>
      </c>
      <c r="O573" t="str">
        <v/>
      </c>
      <c r="P573">
        <f t="shared" si="45"/>
        <v>0</v>
      </c>
      <c r="Q573">
        <f t="shared" si="46"/>
        <v>0</v>
      </c>
      <c r="R573">
        <f t="shared" si="47"/>
        <v>0</v>
      </c>
      <c r="S573">
        <f t="shared" si="43"/>
        <v>0</v>
      </c>
      <c r="T573">
        <f t="shared" si="44"/>
        <v>0</v>
      </c>
    </row>
    <row r="574" x14ac:dyDescent="0.35">
      <c r="A574" t="str">
        <v/>
      </c>
      <c r="B574" t="str">
        <v/>
      </c>
      <c r="C574" t="str">
        <v/>
      </c>
      <c r="D574" t="str">
        <v/>
      </c>
      <c r="E574" t="str">
        <v/>
      </c>
      <c r="F574" t="str">
        <v/>
      </c>
      <c r="G574" t="str">
        <v/>
      </c>
      <c r="H574" t="str">
        <v/>
      </c>
      <c r="I574" t="str">
        <v/>
      </c>
      <c r="J574" t="str">
        <v/>
      </c>
      <c r="K574" t="str">
        <v/>
      </c>
      <c r="L574" t="str">
        <v/>
      </c>
      <c r="M574" t="str">
        <v/>
      </c>
      <c r="N574" t="str">
        <v/>
      </c>
      <c r="O574" t="str">
        <v/>
      </c>
      <c r="P574">
        <f t="shared" si="45"/>
        <v>0</v>
      </c>
      <c r="Q574">
        <f t="shared" si="46"/>
        <v>0</v>
      </c>
      <c r="R574">
        <f t="shared" si="47"/>
        <v>0</v>
      </c>
      <c r="S574">
        <f t="shared" si="43"/>
        <v>0</v>
      </c>
      <c r="T574">
        <f t="shared" si="44"/>
        <v>0</v>
      </c>
    </row>
    <row r="575" x14ac:dyDescent="0.35">
      <c r="A575" t="str">
        <v/>
      </c>
      <c r="B575" t="str">
        <v/>
      </c>
      <c r="C575" t="str">
        <v/>
      </c>
      <c r="D575" t="str">
        <v/>
      </c>
      <c r="E575" t="str">
        <v/>
      </c>
      <c r="F575" t="str">
        <v/>
      </c>
      <c r="G575" t="str">
        <v/>
      </c>
      <c r="H575" t="str">
        <v/>
      </c>
      <c r="I575" t="str">
        <v/>
      </c>
      <c r="J575" t="str">
        <v/>
      </c>
      <c r="K575" t="str">
        <v/>
      </c>
      <c r="L575" t="str">
        <v/>
      </c>
      <c r="M575" t="str">
        <v/>
      </c>
      <c r="N575" t="str">
        <v/>
      </c>
      <c r="O575" t="str">
        <v/>
      </c>
      <c r="P575">
        <f t="shared" si="45"/>
        <v>0</v>
      </c>
      <c r="Q575">
        <f t="shared" si="46"/>
        <v>0</v>
      </c>
      <c r="R575">
        <f t="shared" si="47"/>
        <v>0</v>
      </c>
      <c r="S575">
        <f t="shared" si="43"/>
        <v>0</v>
      </c>
      <c r="T575">
        <f t="shared" si="44"/>
        <v>0</v>
      </c>
    </row>
    <row r="576" x14ac:dyDescent="0.35">
      <c r="A576" t="str">
        <v/>
      </c>
      <c r="B576" t="str">
        <v/>
      </c>
      <c r="C576" t="str">
        <v/>
      </c>
      <c r="D576" t="str">
        <v/>
      </c>
      <c r="E576" t="str">
        <v/>
      </c>
      <c r="F576" t="str">
        <v/>
      </c>
      <c r="G576" t="str">
        <v/>
      </c>
      <c r="H576" t="str">
        <v/>
      </c>
      <c r="I576" t="str">
        <v/>
      </c>
      <c r="J576" t="str">
        <v/>
      </c>
      <c r="K576" t="str">
        <v/>
      </c>
      <c r="L576" t="str">
        <v/>
      </c>
      <c r="M576" t="str">
        <v/>
      </c>
      <c r="N576" t="str">
        <v/>
      </c>
      <c r="O576" t="str">
        <v/>
      </c>
      <c r="P576">
        <f t="shared" si="45"/>
        <v>0</v>
      </c>
      <c r="Q576">
        <f t="shared" si="46"/>
        <v>0</v>
      </c>
      <c r="R576">
        <f t="shared" si="47"/>
        <v>0</v>
      </c>
      <c r="S576">
        <f t="shared" si="43"/>
        <v>0</v>
      </c>
      <c r="T576">
        <f t="shared" si="44"/>
        <v>0</v>
      </c>
    </row>
    <row r="577" x14ac:dyDescent="0.35">
      <c r="A577" t="str">
        <v/>
      </c>
      <c r="B577" t="str">
        <v/>
      </c>
      <c r="C577" t="str">
        <v/>
      </c>
      <c r="D577" t="str">
        <v/>
      </c>
      <c r="E577" t="str">
        <v/>
      </c>
      <c r="F577" t="str">
        <v/>
      </c>
      <c r="G577" t="str">
        <v/>
      </c>
      <c r="H577" t="str">
        <v/>
      </c>
      <c r="I577" t="str">
        <v/>
      </c>
      <c r="J577" t="str">
        <v/>
      </c>
      <c r="K577" t="str">
        <v/>
      </c>
      <c r="L577" t="str">
        <v/>
      </c>
      <c r="M577" t="str">
        <v/>
      </c>
      <c r="N577" t="str">
        <v/>
      </c>
      <c r="O577" t="str">
        <v/>
      </c>
      <c r="P577">
        <f t="shared" si="45"/>
        <v>0</v>
      </c>
      <c r="Q577">
        <f t="shared" si="46"/>
        <v>0</v>
      </c>
      <c r="R577">
        <f t="shared" si="47"/>
        <v>0</v>
      </c>
      <c r="S577">
        <f t="shared" si="43"/>
        <v>0</v>
      </c>
      <c r="T577">
        <f t="shared" si="44"/>
        <v>0</v>
      </c>
    </row>
    <row r="578" x14ac:dyDescent="0.35">
      <c r="A578" t="str">
        <v/>
      </c>
      <c r="B578" t="str">
        <v/>
      </c>
      <c r="C578" t="str">
        <v/>
      </c>
      <c r="D578" t="str">
        <v/>
      </c>
      <c r="E578" t="str">
        <v/>
      </c>
      <c r="F578" t="str">
        <v/>
      </c>
      <c r="G578" t="str">
        <v/>
      </c>
      <c r="H578" t="str">
        <v/>
      </c>
      <c r="I578" t="str">
        <v/>
      </c>
      <c r="J578" t="str">
        <v/>
      </c>
      <c r="K578" t="str">
        <v/>
      </c>
      <c r="L578" t="str">
        <v/>
      </c>
      <c r="M578" t="str">
        <v/>
      </c>
      <c r="N578" t="str">
        <v/>
      </c>
      <c r="O578" t="str">
        <v/>
      </c>
      <c r="P578">
        <f t="shared" si="45"/>
        <v>0</v>
      </c>
      <c r="Q578">
        <f t="shared" si="46"/>
        <v>0</v>
      </c>
      <c r="R578">
        <f t="shared" si="47"/>
        <v>0</v>
      </c>
      <c r="S578">
        <f t="shared" si="43"/>
        <v>0</v>
      </c>
      <c r="T578">
        <f t="shared" si="44"/>
        <v>0</v>
      </c>
    </row>
    <row r="579" x14ac:dyDescent="0.35">
      <c r="A579" t="str">
        <v/>
      </c>
      <c r="B579" t="str">
        <v/>
      </c>
      <c r="C579" t="str">
        <v/>
      </c>
      <c r="D579" t="str">
        <v/>
      </c>
      <c r="E579" t="str">
        <v/>
      </c>
      <c r="F579" t="str">
        <v/>
      </c>
      <c r="G579" t="str">
        <v/>
      </c>
      <c r="H579" t="str">
        <v/>
      </c>
      <c r="I579" t="str">
        <v/>
      </c>
      <c r="J579" t="str">
        <v/>
      </c>
      <c r="K579" t="str">
        <v/>
      </c>
      <c r="L579" t="str">
        <v/>
      </c>
      <c r="M579" t="str">
        <v/>
      </c>
      <c r="N579" t="str">
        <v/>
      </c>
      <c r="O579" t="str">
        <v/>
      </c>
      <c r="P579">
        <f t="shared" si="45"/>
        <v>0</v>
      </c>
      <c r="Q579">
        <f t="shared" si="46"/>
        <v>0</v>
      </c>
      <c r="R579">
        <f t="shared" si="47"/>
        <v>0</v>
      </c>
      <c r="S579">
        <f t="shared" ref="S579:S600" si="48">IF(J579="Realizada completa",1,0)</f>
        <v>0</v>
      </c>
      <c r="T579">
        <f t="shared" ref="T579:T600" si="49">IF(J579="Sin respuesta",1,0)</f>
        <v>0</v>
      </c>
    </row>
    <row r="580" x14ac:dyDescent="0.35">
      <c r="A580" t="str">
        <v/>
      </c>
      <c r="B580" t="str">
        <v/>
      </c>
      <c r="C580" t="str">
        <v/>
      </c>
      <c r="D580" t="str">
        <v/>
      </c>
      <c r="E580" t="str">
        <v/>
      </c>
      <c r="F580" t="str">
        <v/>
      </c>
      <c r="G580" t="str">
        <v/>
      </c>
      <c r="H580" t="str">
        <v/>
      </c>
      <c r="I580" t="str">
        <v/>
      </c>
      <c r="J580" t="str">
        <v/>
      </c>
      <c r="K580" t="str">
        <v/>
      </c>
      <c r="L580" t="str">
        <v/>
      </c>
      <c r="M580" t="str">
        <v/>
      </c>
      <c r="N580" t="str">
        <v/>
      </c>
      <c r="O580" t="str">
        <v/>
      </c>
      <c r="P580">
        <f t="shared" ref="P580:P600" si="50">IF(F580="Sí",1,0)</f>
        <v>0</v>
      </c>
      <c r="Q580">
        <f t="shared" ref="Q580:Q600" si="51">IF(J580="En coordinación",1,0)</f>
        <v>0</v>
      </c>
      <c r="R580">
        <f t="shared" ref="R580:R600" si="52">IF(J580="En coordinación",1,0)</f>
        <v>0</v>
      </c>
      <c r="S580">
        <f t="shared" si="48"/>
        <v>0</v>
      </c>
      <c r="T580">
        <f t="shared" si="49"/>
        <v>0</v>
      </c>
    </row>
    <row r="581" x14ac:dyDescent="0.35">
      <c r="A581" t="str">
        <v/>
      </c>
      <c r="B581" t="str">
        <v/>
      </c>
      <c r="C581" t="str">
        <v/>
      </c>
      <c r="D581" t="str">
        <v/>
      </c>
      <c r="E581" t="str">
        <v/>
      </c>
      <c r="F581" t="str">
        <v/>
      </c>
      <c r="G581" t="str">
        <v/>
      </c>
      <c r="H581" t="str">
        <v/>
      </c>
      <c r="I581" t="str">
        <v/>
      </c>
      <c r="J581" t="str">
        <v/>
      </c>
      <c r="K581" t="str">
        <v/>
      </c>
      <c r="L581" t="str">
        <v/>
      </c>
      <c r="M581" t="str">
        <v/>
      </c>
      <c r="N581" t="str">
        <v/>
      </c>
      <c r="O581" t="str">
        <v/>
      </c>
      <c r="P581">
        <f t="shared" si="50"/>
        <v>0</v>
      </c>
      <c r="Q581">
        <f t="shared" si="51"/>
        <v>0</v>
      </c>
      <c r="R581">
        <f t="shared" si="52"/>
        <v>0</v>
      </c>
      <c r="S581">
        <f t="shared" si="48"/>
        <v>0</v>
      </c>
      <c r="T581">
        <f t="shared" si="49"/>
        <v>0</v>
      </c>
    </row>
    <row r="582" x14ac:dyDescent="0.35">
      <c r="A582" t="str">
        <v/>
      </c>
      <c r="B582" t="str">
        <v/>
      </c>
      <c r="C582" t="str">
        <v/>
      </c>
      <c r="D582" t="str">
        <v/>
      </c>
      <c r="E582" t="str">
        <v/>
      </c>
      <c r="F582" t="str">
        <v/>
      </c>
      <c r="G582" t="str">
        <v/>
      </c>
      <c r="H582" t="str">
        <v/>
      </c>
      <c r="I582" t="str">
        <v/>
      </c>
      <c r="J582" t="str">
        <v/>
      </c>
      <c r="K582" t="str">
        <v/>
      </c>
      <c r="L582" t="str">
        <v/>
      </c>
      <c r="M582" t="str">
        <v/>
      </c>
      <c r="N582" t="str">
        <v/>
      </c>
      <c r="O582" t="str">
        <v/>
      </c>
      <c r="P582">
        <f t="shared" si="50"/>
        <v>0</v>
      </c>
      <c r="Q582">
        <f t="shared" si="51"/>
        <v>0</v>
      </c>
      <c r="R582">
        <f t="shared" si="52"/>
        <v>0</v>
      </c>
      <c r="S582">
        <f t="shared" si="48"/>
        <v>0</v>
      </c>
      <c r="T582">
        <f t="shared" si="49"/>
        <v>0</v>
      </c>
    </row>
    <row r="583" x14ac:dyDescent="0.35">
      <c r="A583" t="str">
        <v/>
      </c>
      <c r="B583" t="str">
        <v/>
      </c>
      <c r="C583" t="str">
        <v/>
      </c>
      <c r="D583" t="str">
        <v/>
      </c>
      <c r="E583" t="str">
        <v/>
      </c>
      <c r="F583" t="str">
        <v/>
      </c>
      <c r="G583" t="str">
        <v/>
      </c>
      <c r="H583" t="str">
        <v/>
      </c>
      <c r="I583" t="str">
        <v/>
      </c>
      <c r="J583" t="str">
        <v/>
      </c>
      <c r="K583" t="str">
        <v/>
      </c>
      <c r="L583" t="str">
        <v/>
      </c>
      <c r="M583" t="str">
        <v/>
      </c>
      <c r="N583" t="str">
        <v/>
      </c>
      <c r="O583" t="str">
        <v/>
      </c>
      <c r="P583">
        <f t="shared" si="50"/>
        <v>0</v>
      </c>
      <c r="Q583">
        <f t="shared" si="51"/>
        <v>0</v>
      </c>
      <c r="R583">
        <f t="shared" si="52"/>
        <v>0</v>
      </c>
      <c r="S583">
        <f t="shared" si="48"/>
        <v>0</v>
      </c>
      <c r="T583">
        <f t="shared" si="49"/>
        <v>0</v>
      </c>
    </row>
    <row r="584" x14ac:dyDescent="0.35">
      <c r="A584" t="str">
        <v/>
      </c>
      <c r="B584" t="str">
        <v/>
      </c>
      <c r="C584" t="str">
        <v/>
      </c>
      <c r="D584" t="str">
        <v/>
      </c>
      <c r="E584" t="str">
        <v/>
      </c>
      <c r="F584" t="str">
        <v/>
      </c>
      <c r="G584" t="str">
        <v/>
      </c>
      <c r="H584" t="str">
        <v/>
      </c>
      <c r="I584" t="str">
        <v/>
      </c>
      <c r="J584" t="str">
        <v/>
      </c>
      <c r="K584" t="str">
        <v/>
      </c>
      <c r="L584" t="str">
        <v/>
      </c>
      <c r="M584" t="str">
        <v/>
      </c>
      <c r="N584" t="str">
        <v/>
      </c>
      <c r="O584" t="str">
        <v/>
      </c>
      <c r="P584">
        <f t="shared" si="50"/>
        <v>0</v>
      </c>
      <c r="Q584">
        <f t="shared" si="51"/>
        <v>0</v>
      </c>
      <c r="R584">
        <f t="shared" si="52"/>
        <v>0</v>
      </c>
      <c r="S584">
        <f t="shared" si="48"/>
        <v>0</v>
      </c>
      <c r="T584">
        <f t="shared" si="49"/>
        <v>0</v>
      </c>
    </row>
    <row r="585" x14ac:dyDescent="0.35">
      <c r="A585" t="str">
        <v/>
      </c>
      <c r="B585" t="str">
        <v/>
      </c>
      <c r="C585" t="str">
        <v/>
      </c>
      <c r="D585" t="str">
        <v/>
      </c>
      <c r="E585" t="str">
        <v/>
      </c>
      <c r="F585" t="str">
        <v/>
      </c>
      <c r="G585" t="str">
        <v/>
      </c>
      <c r="H585" t="str">
        <v/>
      </c>
      <c r="I585" t="str">
        <v/>
      </c>
      <c r="J585" t="str">
        <v/>
      </c>
      <c r="K585" t="str">
        <v/>
      </c>
      <c r="L585" t="str">
        <v/>
      </c>
      <c r="M585" t="str">
        <v/>
      </c>
      <c r="N585" t="str">
        <v/>
      </c>
      <c r="O585" t="str">
        <v/>
      </c>
      <c r="P585">
        <f t="shared" si="50"/>
        <v>0</v>
      </c>
      <c r="Q585">
        <f t="shared" si="51"/>
        <v>0</v>
      </c>
      <c r="R585">
        <f t="shared" si="52"/>
        <v>0</v>
      </c>
      <c r="S585">
        <f t="shared" si="48"/>
        <v>0</v>
      </c>
      <c r="T585">
        <f t="shared" si="49"/>
        <v>0</v>
      </c>
    </row>
    <row r="586" x14ac:dyDescent="0.35">
      <c r="A586" t="str">
        <v/>
      </c>
      <c r="B586" t="str">
        <v/>
      </c>
      <c r="C586" t="str">
        <v/>
      </c>
      <c r="D586" t="str">
        <v/>
      </c>
      <c r="E586" t="str">
        <v/>
      </c>
      <c r="F586" t="str">
        <v/>
      </c>
      <c r="G586" t="str">
        <v/>
      </c>
      <c r="H586" t="str">
        <v/>
      </c>
      <c r="I586" t="str">
        <v/>
      </c>
      <c r="J586" t="str">
        <v/>
      </c>
      <c r="K586" t="str">
        <v/>
      </c>
      <c r="L586" t="str">
        <v/>
      </c>
      <c r="M586" t="str">
        <v/>
      </c>
      <c r="N586" t="str">
        <v/>
      </c>
      <c r="O586" t="str">
        <v/>
      </c>
      <c r="P586">
        <f t="shared" si="50"/>
        <v>0</v>
      </c>
      <c r="Q586">
        <f t="shared" si="51"/>
        <v>0</v>
      </c>
      <c r="R586">
        <f t="shared" si="52"/>
        <v>0</v>
      </c>
      <c r="S586">
        <f t="shared" si="48"/>
        <v>0</v>
      </c>
      <c r="T586">
        <f t="shared" si="49"/>
        <v>0</v>
      </c>
    </row>
    <row r="587" x14ac:dyDescent="0.35">
      <c r="A587" t="str">
        <v/>
      </c>
      <c r="B587" t="str">
        <v/>
      </c>
      <c r="C587" t="str">
        <v/>
      </c>
      <c r="D587" t="str">
        <v/>
      </c>
      <c r="E587" t="str">
        <v/>
      </c>
      <c r="F587" t="str">
        <v/>
      </c>
      <c r="G587" t="str">
        <v/>
      </c>
      <c r="H587" t="str">
        <v/>
      </c>
      <c r="I587" t="str">
        <v/>
      </c>
      <c r="J587" t="str">
        <v/>
      </c>
      <c r="K587" t="str">
        <v/>
      </c>
      <c r="L587" t="str">
        <v/>
      </c>
      <c r="M587" t="str">
        <v/>
      </c>
      <c r="N587" t="str">
        <v/>
      </c>
      <c r="O587" t="str">
        <v/>
      </c>
      <c r="P587">
        <f t="shared" si="50"/>
        <v>0</v>
      </c>
      <c r="Q587">
        <f t="shared" si="51"/>
        <v>0</v>
      </c>
      <c r="R587">
        <f t="shared" si="52"/>
        <v>0</v>
      </c>
      <c r="S587">
        <f t="shared" si="48"/>
        <v>0</v>
      </c>
      <c r="T587">
        <f t="shared" si="49"/>
        <v>0</v>
      </c>
    </row>
    <row r="588" x14ac:dyDescent="0.35">
      <c r="A588" t="str">
        <v/>
      </c>
      <c r="B588" t="str">
        <v/>
      </c>
      <c r="C588" t="str">
        <v/>
      </c>
      <c r="D588" t="str">
        <v/>
      </c>
      <c r="E588" t="str">
        <v/>
      </c>
      <c r="F588" t="str">
        <v/>
      </c>
      <c r="G588" t="str">
        <v/>
      </c>
      <c r="H588" t="str">
        <v/>
      </c>
      <c r="I588" t="str">
        <v/>
      </c>
      <c r="J588" t="str">
        <v/>
      </c>
      <c r="K588" t="str">
        <v/>
      </c>
      <c r="L588" t="str">
        <v/>
      </c>
      <c r="M588" t="str">
        <v/>
      </c>
      <c r="N588" t="str">
        <v/>
      </c>
      <c r="O588" t="str">
        <v/>
      </c>
      <c r="P588">
        <f t="shared" si="50"/>
        <v>0</v>
      </c>
      <c r="Q588">
        <f t="shared" si="51"/>
        <v>0</v>
      </c>
      <c r="R588">
        <f t="shared" si="52"/>
        <v>0</v>
      </c>
      <c r="S588">
        <f t="shared" si="48"/>
        <v>0</v>
      </c>
      <c r="T588">
        <f t="shared" si="49"/>
        <v>0</v>
      </c>
    </row>
    <row r="589" x14ac:dyDescent="0.35">
      <c r="A589" t="str">
        <v/>
      </c>
      <c r="B589" t="str">
        <v/>
      </c>
      <c r="C589" t="str">
        <v/>
      </c>
      <c r="D589" t="str">
        <v/>
      </c>
      <c r="E589" t="str">
        <v/>
      </c>
      <c r="F589" t="str">
        <v/>
      </c>
      <c r="G589" t="str">
        <v/>
      </c>
      <c r="H589" t="str">
        <v/>
      </c>
      <c r="I589" t="str">
        <v/>
      </c>
      <c r="J589" t="str">
        <v/>
      </c>
      <c r="K589" t="str">
        <v/>
      </c>
      <c r="L589" t="str">
        <v/>
      </c>
      <c r="M589" t="str">
        <v/>
      </c>
      <c r="N589" t="str">
        <v/>
      </c>
      <c r="O589" t="str">
        <v/>
      </c>
      <c r="P589">
        <f t="shared" si="50"/>
        <v>0</v>
      </c>
      <c r="Q589">
        <f t="shared" si="51"/>
        <v>0</v>
      </c>
      <c r="R589">
        <f t="shared" si="52"/>
        <v>0</v>
      </c>
      <c r="S589">
        <f t="shared" si="48"/>
        <v>0</v>
      </c>
      <c r="T589">
        <f t="shared" si="49"/>
        <v>0</v>
      </c>
    </row>
    <row r="590" x14ac:dyDescent="0.35">
      <c r="A590" t="str">
        <v/>
      </c>
      <c r="B590" t="str">
        <v/>
      </c>
      <c r="C590" t="str">
        <v/>
      </c>
      <c r="D590" t="str">
        <v/>
      </c>
      <c r="E590" t="str">
        <v/>
      </c>
      <c r="F590" t="str">
        <v/>
      </c>
      <c r="G590" t="str">
        <v/>
      </c>
      <c r="H590" t="str">
        <v/>
      </c>
      <c r="I590" t="str">
        <v/>
      </c>
      <c r="J590" t="str">
        <v/>
      </c>
      <c r="K590" t="str">
        <v/>
      </c>
      <c r="L590" t="str">
        <v/>
      </c>
      <c r="M590" t="str">
        <v/>
      </c>
      <c r="N590" t="str">
        <v/>
      </c>
      <c r="O590" t="str">
        <v/>
      </c>
      <c r="P590">
        <f t="shared" si="50"/>
        <v>0</v>
      </c>
      <c r="Q590">
        <f t="shared" si="51"/>
        <v>0</v>
      </c>
      <c r="R590">
        <f t="shared" si="52"/>
        <v>0</v>
      </c>
      <c r="S590">
        <f t="shared" si="48"/>
        <v>0</v>
      </c>
      <c r="T590">
        <f t="shared" si="49"/>
        <v>0</v>
      </c>
    </row>
    <row r="591" x14ac:dyDescent="0.35">
      <c r="A591" t="str">
        <v/>
      </c>
      <c r="B591" t="str">
        <v/>
      </c>
      <c r="C591" t="str">
        <v/>
      </c>
      <c r="D591" t="str">
        <v/>
      </c>
      <c r="E591" t="str">
        <v/>
      </c>
      <c r="F591" t="str">
        <v/>
      </c>
      <c r="G591" t="str">
        <v/>
      </c>
      <c r="H591" t="str">
        <v/>
      </c>
      <c r="I591" t="str">
        <v/>
      </c>
      <c r="J591" t="str">
        <v/>
      </c>
      <c r="K591" t="str">
        <v/>
      </c>
      <c r="L591" t="str">
        <v/>
      </c>
      <c r="M591" t="str">
        <v/>
      </c>
      <c r="N591" t="str">
        <v/>
      </c>
      <c r="O591" t="str">
        <v/>
      </c>
      <c r="P591">
        <f t="shared" si="50"/>
        <v>0</v>
      </c>
      <c r="Q591">
        <f t="shared" si="51"/>
        <v>0</v>
      </c>
      <c r="R591">
        <f t="shared" si="52"/>
        <v>0</v>
      </c>
      <c r="S591">
        <f t="shared" si="48"/>
        <v>0</v>
      </c>
      <c r="T591">
        <f t="shared" si="49"/>
        <v>0</v>
      </c>
    </row>
    <row r="592" x14ac:dyDescent="0.35">
      <c r="A592" t="str">
        <v/>
      </c>
      <c r="B592" t="str">
        <v/>
      </c>
      <c r="C592" t="str">
        <v/>
      </c>
      <c r="D592" t="str">
        <v/>
      </c>
      <c r="E592" t="str">
        <v/>
      </c>
      <c r="F592" t="str">
        <v/>
      </c>
      <c r="G592" t="str">
        <v/>
      </c>
      <c r="H592" t="str">
        <v/>
      </c>
      <c r="I592" t="str">
        <v/>
      </c>
      <c r="J592" t="str">
        <v/>
      </c>
      <c r="K592" t="str">
        <v/>
      </c>
      <c r="L592" t="str">
        <v/>
      </c>
      <c r="M592" t="str">
        <v/>
      </c>
      <c r="N592" t="str">
        <v/>
      </c>
      <c r="O592" t="str">
        <v/>
      </c>
      <c r="P592">
        <f t="shared" si="50"/>
        <v>0</v>
      </c>
      <c r="Q592">
        <f t="shared" si="51"/>
        <v>0</v>
      </c>
      <c r="R592">
        <f t="shared" si="52"/>
        <v>0</v>
      </c>
      <c r="S592">
        <f t="shared" si="48"/>
        <v>0</v>
      </c>
      <c r="T592">
        <f t="shared" si="49"/>
        <v>0</v>
      </c>
    </row>
    <row r="593" x14ac:dyDescent="0.35">
      <c r="A593" t="str">
        <v/>
      </c>
      <c r="B593" t="str">
        <v/>
      </c>
      <c r="C593" t="str">
        <v/>
      </c>
      <c r="D593" t="str">
        <v/>
      </c>
      <c r="E593" t="str">
        <v/>
      </c>
      <c r="F593" t="str">
        <v/>
      </c>
      <c r="G593" t="str">
        <v/>
      </c>
      <c r="H593" t="str">
        <v/>
      </c>
      <c r="I593" t="str">
        <v/>
      </c>
      <c r="J593" t="str">
        <v/>
      </c>
      <c r="K593" t="str">
        <v/>
      </c>
      <c r="L593" t="str">
        <v/>
      </c>
      <c r="M593" t="str">
        <v/>
      </c>
      <c r="N593" t="str">
        <v/>
      </c>
      <c r="O593" t="str">
        <v/>
      </c>
      <c r="P593">
        <f t="shared" si="50"/>
        <v>0</v>
      </c>
      <c r="Q593">
        <f t="shared" si="51"/>
        <v>0</v>
      </c>
      <c r="R593">
        <f t="shared" si="52"/>
        <v>0</v>
      </c>
      <c r="S593">
        <f t="shared" si="48"/>
        <v>0</v>
      </c>
      <c r="T593">
        <f t="shared" si="49"/>
        <v>0</v>
      </c>
    </row>
    <row r="594" x14ac:dyDescent="0.35">
      <c r="A594" t="str">
        <v/>
      </c>
      <c r="B594" t="str">
        <v/>
      </c>
      <c r="C594" t="str">
        <v/>
      </c>
      <c r="D594" t="str">
        <v/>
      </c>
      <c r="E594" t="str">
        <v/>
      </c>
      <c r="F594" t="str">
        <v/>
      </c>
      <c r="G594" t="str">
        <v/>
      </c>
      <c r="H594" t="str">
        <v/>
      </c>
      <c r="I594" t="str">
        <v/>
      </c>
      <c r="J594" t="str">
        <v/>
      </c>
      <c r="K594" t="str">
        <v/>
      </c>
      <c r="L594" t="str">
        <v/>
      </c>
      <c r="M594" t="str">
        <v/>
      </c>
      <c r="N594" t="str">
        <v/>
      </c>
      <c r="O594" t="str">
        <v/>
      </c>
      <c r="P594">
        <f t="shared" si="50"/>
        <v>0</v>
      </c>
      <c r="Q594">
        <f t="shared" si="51"/>
        <v>0</v>
      </c>
      <c r="R594">
        <f t="shared" si="52"/>
        <v>0</v>
      </c>
      <c r="S594">
        <f t="shared" si="48"/>
        <v>0</v>
      </c>
      <c r="T594">
        <f t="shared" si="49"/>
        <v>0</v>
      </c>
    </row>
    <row r="595" x14ac:dyDescent="0.35">
      <c r="A595" t="str">
        <v/>
      </c>
      <c r="B595" t="str">
        <v/>
      </c>
      <c r="C595" t="str">
        <v/>
      </c>
      <c r="D595" t="str">
        <v/>
      </c>
      <c r="E595" t="str">
        <v/>
      </c>
      <c r="F595" t="str">
        <v/>
      </c>
      <c r="G595" t="str">
        <v/>
      </c>
      <c r="H595" t="str">
        <v/>
      </c>
      <c r="I595" t="str">
        <v/>
      </c>
      <c r="J595" t="str">
        <v/>
      </c>
      <c r="K595" t="str">
        <v/>
      </c>
      <c r="L595" t="str">
        <v/>
      </c>
      <c r="M595" t="str">
        <v/>
      </c>
      <c r="N595" t="str">
        <v/>
      </c>
      <c r="O595" t="str">
        <v/>
      </c>
      <c r="P595">
        <f t="shared" si="50"/>
        <v>0</v>
      </c>
      <c r="Q595">
        <f t="shared" si="51"/>
        <v>0</v>
      </c>
      <c r="R595">
        <f t="shared" si="52"/>
        <v>0</v>
      </c>
      <c r="S595">
        <f t="shared" si="48"/>
        <v>0</v>
      </c>
      <c r="T595">
        <f t="shared" si="49"/>
        <v>0</v>
      </c>
    </row>
    <row r="596" x14ac:dyDescent="0.35">
      <c r="A596" t="str">
        <v/>
      </c>
      <c r="B596" t="str">
        <v/>
      </c>
      <c r="C596" t="str">
        <v/>
      </c>
      <c r="D596" t="str">
        <v/>
      </c>
      <c r="E596" t="str">
        <v/>
      </c>
      <c r="F596" t="str">
        <v/>
      </c>
      <c r="G596" t="str">
        <v/>
      </c>
      <c r="H596" t="str">
        <v/>
      </c>
      <c r="I596" t="str">
        <v/>
      </c>
      <c r="J596" t="str">
        <v/>
      </c>
      <c r="K596" t="str">
        <v/>
      </c>
      <c r="L596" t="str">
        <v/>
      </c>
      <c r="M596" t="str">
        <v/>
      </c>
      <c r="N596" t="str">
        <v/>
      </c>
      <c r="O596" t="str">
        <v/>
      </c>
      <c r="P596">
        <f t="shared" si="50"/>
        <v>0</v>
      </c>
      <c r="Q596">
        <f t="shared" si="51"/>
        <v>0</v>
      </c>
      <c r="R596">
        <f t="shared" si="52"/>
        <v>0</v>
      </c>
      <c r="S596">
        <f t="shared" si="48"/>
        <v>0</v>
      </c>
      <c r="T596">
        <f t="shared" si="49"/>
        <v>0</v>
      </c>
    </row>
    <row r="597" x14ac:dyDescent="0.35">
      <c r="A597" t="str">
        <v/>
      </c>
      <c r="B597" t="str">
        <v/>
      </c>
      <c r="C597" t="str">
        <v/>
      </c>
      <c r="D597" t="str">
        <v/>
      </c>
      <c r="E597" t="str">
        <v/>
      </c>
      <c r="F597" t="str">
        <v/>
      </c>
      <c r="G597" t="str">
        <v/>
      </c>
      <c r="H597" t="str">
        <v/>
      </c>
      <c r="I597" t="str">
        <v/>
      </c>
      <c r="J597" t="str">
        <v/>
      </c>
      <c r="K597" t="str">
        <v/>
      </c>
      <c r="L597" t="str">
        <v/>
      </c>
      <c r="M597" t="str">
        <v/>
      </c>
      <c r="N597" t="str">
        <v/>
      </c>
      <c r="O597" t="str">
        <v/>
      </c>
      <c r="P597">
        <f t="shared" si="50"/>
        <v>0</v>
      </c>
      <c r="Q597">
        <f t="shared" si="51"/>
        <v>0</v>
      </c>
      <c r="R597">
        <f t="shared" si="52"/>
        <v>0</v>
      </c>
      <c r="S597">
        <f t="shared" si="48"/>
        <v>0</v>
      </c>
      <c r="T597">
        <f t="shared" si="49"/>
        <v>0</v>
      </c>
    </row>
    <row r="598" x14ac:dyDescent="0.35">
      <c r="A598" t="str">
        <v/>
      </c>
      <c r="B598" t="str">
        <v/>
      </c>
      <c r="C598" t="str">
        <v/>
      </c>
      <c r="D598" t="str">
        <v/>
      </c>
      <c r="E598" t="str">
        <v/>
      </c>
      <c r="F598" t="str">
        <v/>
      </c>
      <c r="G598" t="str">
        <v/>
      </c>
      <c r="H598" t="str">
        <v/>
      </c>
      <c r="I598" t="str">
        <v/>
      </c>
      <c r="J598" t="str">
        <v/>
      </c>
      <c r="K598" t="str">
        <v/>
      </c>
      <c r="L598" t="str">
        <v/>
      </c>
      <c r="M598" t="str">
        <v/>
      </c>
      <c r="N598" t="str">
        <v/>
      </c>
      <c r="O598" t="str">
        <v/>
      </c>
      <c r="P598">
        <f t="shared" si="50"/>
        <v>0</v>
      </c>
      <c r="Q598">
        <f t="shared" si="51"/>
        <v>0</v>
      </c>
      <c r="R598">
        <f t="shared" si="52"/>
        <v>0</v>
      </c>
      <c r="S598">
        <f t="shared" si="48"/>
        <v>0</v>
      </c>
      <c r="T598">
        <f t="shared" si="49"/>
        <v>0</v>
      </c>
    </row>
    <row r="599" x14ac:dyDescent="0.35">
      <c r="A599" t="str">
        <v/>
      </c>
      <c r="B599" t="str">
        <v/>
      </c>
      <c r="C599" t="str">
        <v/>
      </c>
      <c r="D599" t="str">
        <v/>
      </c>
      <c r="E599" t="str">
        <v/>
      </c>
      <c r="F599" t="str">
        <v/>
      </c>
      <c r="G599" t="str">
        <v/>
      </c>
      <c r="H599" t="str">
        <v/>
      </c>
      <c r="I599" t="str">
        <v/>
      </c>
      <c r="J599" t="str">
        <v/>
      </c>
      <c r="K599" t="str">
        <v/>
      </c>
      <c r="L599" t="str">
        <v/>
      </c>
      <c r="M599" t="str">
        <v/>
      </c>
      <c r="N599" t="str">
        <v/>
      </c>
      <c r="O599" t="str">
        <v/>
      </c>
      <c r="P599">
        <f t="shared" si="50"/>
        <v>0</v>
      </c>
      <c r="Q599">
        <f t="shared" si="51"/>
        <v>0</v>
      </c>
      <c r="R599">
        <f t="shared" si="52"/>
        <v>0</v>
      </c>
      <c r="S599">
        <f t="shared" si="48"/>
        <v>0</v>
      </c>
      <c r="T599">
        <f t="shared" si="49"/>
        <v>0</v>
      </c>
    </row>
    <row r="600" x14ac:dyDescent="0.35">
      <c r="A600" t="str">
        <v/>
      </c>
      <c r="B600" t="str">
        <v/>
      </c>
      <c r="C600" t="str">
        <v/>
      </c>
      <c r="D600" t="str">
        <v/>
      </c>
      <c r="E600" t="str">
        <v/>
      </c>
      <c r="F600" t="str">
        <v/>
      </c>
      <c r="G600" t="str">
        <v/>
      </c>
      <c r="H600" t="str">
        <v/>
      </c>
      <c r="I600" t="str">
        <v/>
      </c>
      <c r="J600" t="str">
        <v/>
      </c>
      <c r="K600" t="str">
        <v/>
      </c>
      <c r="L600" t="str">
        <v/>
      </c>
      <c r="M600" t="str">
        <v/>
      </c>
      <c r="N600" t="str">
        <v/>
      </c>
      <c r="O600" t="str">
        <v/>
      </c>
      <c r="P600">
        <f t="shared" si="50"/>
        <v>0</v>
      </c>
      <c r="Q600">
        <f t="shared" si="51"/>
        <v>0</v>
      </c>
      <c r="R600">
        <f t="shared" si="52"/>
        <v>0</v>
      </c>
      <c r="S600">
        <f t="shared" si="48"/>
        <v>0</v>
      </c>
      <c r="T600">
        <f t="shared" si="4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2C90-E92D-4A1B-BAF8-A07131BC7619}">
  <dimension ref="A1:U996"/>
  <sheetViews>
    <sheetView topLeftCell="D1" zoomScale="85" zoomScaleNormal="98" workbookViewId="0">
      <selection activeCell="P10" sqref="P10"/>
    </sheetView>
  </sheetViews>
  <sheetFormatPr baseColWidth="10" defaultColWidth="11.453125" defaultRowHeight="14.5" x14ac:dyDescent="0.35"/>
  <cols>
    <col min="1" max="1" width="22.81640625" style="21" bestFit="true" customWidth="true"/>
    <col min="2" max="2" width="38.7265625" style="23" customWidth="true"/>
    <col min="3" max="3" width="26.1796875" bestFit="true" customWidth="true"/>
    <col min="4" max="4" width="55.1796875" bestFit="true" customWidth="true"/>
    <col min="5" max="5" width="35.54296875" customWidth="true"/>
    <col min="6" max="6" width="30.54296875" customWidth="true"/>
    <col min="7" max="7" width="22.453125" bestFit="true" customWidth="true"/>
    <col min="9" max="11" width="21" style="2" bestFit="true" customWidth="true"/>
    <col min="12" max="12" width="21" style="1" bestFit="true" customWidth="true"/>
    <col min="13" max="13" width="21" style="2" bestFit="true" customWidth="true"/>
    <col min="14" max="14" width="21" style="1" customWidth="true"/>
    <col min="15" max="16" width="21" style="1" bestFit="true" customWidth="true"/>
    <col min="17" max="18" width="21" style="1" customWidth="true"/>
  </cols>
  <sheetData>
    <row r="1" x14ac:dyDescent="0.35">
      <c r="A1" s="14" t="s">
        <v>0</v>
      </c>
      <c r="B1" s="22" t="s">
        <v>1</v>
      </c>
      <c r="C1" s="3" t="s">
        <v>128</v>
      </c>
      <c r="D1" s="3" t="s">
        <v>2</v>
      </c>
      <c r="E1" s="3" t="s">
        <v>7</v>
      </c>
      <c r="F1" s="3" t="s">
        <v>8</v>
      </c>
      <c r="G1" s="3" t="s">
        <v>141</v>
      </c>
      <c r="H1" s="3" t="s">
        <v>9</v>
      </c>
      <c r="I1" s="18" t="s">
        <v>10</v>
      </c>
      <c r="J1" s="18" t="s">
        <v>11</v>
      </c>
      <c r="K1" s="18" t="s">
        <v>12</v>
      </c>
      <c r="L1" s="3" t="s">
        <v>13</v>
      </c>
      <c r="M1" s="18" t="s">
        <v>119</v>
      </c>
      <c r="N1" s="3" t="s">
        <v>67</v>
      </c>
      <c r="O1" s="3" t="s">
        <v>997</v>
      </c>
      <c r="P1" s="3" t="s">
        <v>17</v>
      </c>
      <c r="Q1" s="3" t="s">
        <v>1000</v>
      </c>
      <c r="R1" s="3" t="s">
        <v>134</v>
      </c>
      <c r="S1" s="3" t="s">
        <v>138</v>
      </c>
      <c r="T1" s="3" t="s">
        <v>139</v>
      </c>
      <c r="U1" s="3" t="s">
        <v>140</v>
      </c>
    </row>
    <row r="2" x14ac:dyDescent="0.35">
      <c r="A2" s="15" t="str" cm="1">
        <f t="array" ref="A2:A994">+IF('Seguimiento grupos focales'!C7:C999&lt;&gt;"",'Seguimiento grupos focales'!C7:C999,"")</f>
        <v>1</v>
      </c>
      <c r="B2" s="5" t="str" cm="1">
        <f t="array" ref="B2:B994">+IF('Seguimiento grupos focales'!D7:D999&lt;&gt;"",'Seguimiento grupos focales'!D7:D999,"")</f>
        <v>Sofía Blamey Andrusco</v>
      </c>
      <c r="C2" s="1" t="str" cm="1">
        <f t="array" ref="C2:C994">+IF('Seguimiento grupos focales'!J7:J999&lt;&gt;"",'Seguimiento grupos focales'!J7:J999,"")</f>
        <v>Grupo focal de reconocimiento</v>
      </c>
      <c r="D2" s="1" t="str" cm="1">
        <f t="array" ref="D2:D994">+IF('Seguimiento grupos focales'!E7:E999&lt;&gt;"",'Seguimiento grupos focales'!E7:E999,"")</f>
        <v>Organización para la Cooperación y el Desarrollo Económico</v>
      </c>
      <c r="E2" s="1" t="str" cm="1">
        <f t="array" ref="E2:E994">+IF('Seguimiento grupos focales'!I7:I999&lt;&gt;"",'Seguimiento grupos focales'!I7:I999,"")</f>
        <v>Multilaterales</v>
      </c>
      <c r="F2" s="1" t="str" cm="1">
        <f t="array" ref="F2:F994">+IF('Seguimiento grupos focales'!F7:F999&lt;&gt;"",'Seguimiento grupos focales'!F7:F999,"")</f>
        <v>Nacional</v>
      </c>
      <c r="G2" s="1" t="str" cm="1">
        <f t="array" ref="G2:G994">+IF('Seguimiento grupos focales'!Q7:Q999&lt;&gt;"",'Seguimiento grupos focales'!Q7:Q999,"")</f>
        <v>IJM</v>
      </c>
      <c r="H2" s="1" t="str" cm="1">
        <f t="array" ref="H2:H994">+IF('Seguimiento grupos focales'!S7:S999&lt;&gt;"",'Seguimiento grupos focales'!S7:S999,"")</f>
        <v>Sí</v>
      </c>
      <c r="I2" s="2" t="str" cm="1">
        <f t="array" ref="I2:I994">+IF('Seguimiento grupos focales'!U7:U999&lt;&gt;"",'Seguimiento grupos focales'!U7:U999,"")</f>
        <v> 4/27/2026</v>
      </c>
      <c r="J2" s="2" t="str" cm="1">
        <f t="array" ref="J2:J994">+IF('Seguimiento grupos focales'!V7:V999&lt;&gt;"",'Seguimiento grupos focales'!V7:V999,"")</f>
        <v> 6-May</v>
      </c>
      <c r="K2" s="2" t="str" cm="1">
        <f t="array" ref="K2:K994">+IF('Seguimiento grupos focales'!W7:W999&lt;&gt;"",'Seguimiento grupos focales'!W7:W999,"")</f>
        <v/>
      </c>
      <c r="L2" s="2" t="str" cm="1">
        <f t="array" ref="L2:L994">+IF('Seguimiento grupos focales'!T7:T999&lt;&gt;"",'Seguimiento grupos focales'!T7:T999,"")</f>
        <v>Sin respuesta</v>
      </c>
      <c r="M2" s="2" t="str" cm="1">
        <f t="array" ref="M2:M994">+IF('Seguimiento grupos focales'!X7:X999&lt;&gt;"",'Seguimiento grupos focales'!X7:X999,"")</f>
        <v/>
      </c>
      <c r="N2" s="2" t="str" cm="1">
        <f t="array" ref="N2:N994">+IF('Seguimiento grupos focales'!L7:L999&lt;&gt;"",'Seguimiento grupos focales'!L7:L999,"")</f>
        <v/>
      </c>
      <c r="O2" s="1" t="str" cm="1">
        <f t="array" ref="O2:O994">+IF('Seguimiento grupos focales'!K7:K999&lt;&gt;"",'Seguimiento grupos focales'!K7:K999,"")</f>
        <v>Grupo focal 1</v>
      </c>
      <c r="P2" s="1" t="str" cm="1">
        <f t="array" ref="P2:P994">+IF('Seguimiento grupos focales'!AC7:AC999&lt;&gt;"",'Seguimiento grupos focales'!AC7:AC999,"")</f>
        <v/>
      </c>
      <c r="Q2" s="1">
        <f>IF(H2="Sí",1,0)</f>
        <v>1</v>
      </c>
      <c r="R2" s="1">
        <f>IF(L2="En coordinación",1,0)</f>
        <v>0</v>
      </c>
      <c r="S2">
        <v>0</v>
      </c>
      <c r="T2">
        <f>IF(N2="Sí",1,0)</f>
        <v>0</v>
      </c>
      <c r="U2">
        <f>IF(L2="Aceptada",1,0)</f>
        <v>0</v>
      </c>
    </row>
    <row r="3" x14ac:dyDescent="0.35">
      <c r="A3" s="15" t="str">
        <v>2</v>
      </c>
      <c r="B3" s="5" t="str">
        <v>Cinthia Navarro</v>
      </c>
      <c r="C3" s="1" t="str">
        <v>Grupo focal de reconocimiento</v>
      </c>
      <c r="D3" s="1" t="str">
        <v>Oxfam</v>
      </c>
      <c r="E3" s="1" t="str">
        <v>Multilaterales</v>
      </c>
      <c r="F3" s="1" t="str">
        <v>Nacional</v>
      </c>
      <c r="G3" s="1" t="str">
        <v>IJM</v>
      </c>
      <c r="H3" s="1" t="str">
        <v>Sí</v>
      </c>
      <c r="I3" s="2" t="str">
        <v> 4/27/2026</v>
      </c>
      <c r="J3" s="2" t="str">
        <v> 6-May</v>
      </c>
      <c r="K3" s="2" t="str">
        <v>15-May</v>
      </c>
      <c r="L3" s="1" t="str">
        <v>Sin respuesta</v>
      </c>
      <c r="M3" s="2" t="str">
        <v/>
      </c>
      <c r="N3" s="1" t="str">
        <v/>
      </c>
      <c r="O3" s="1" t="str">
        <v>Grupo focal 2</v>
      </c>
      <c r="P3" s="1" t="str">
        <v/>
      </c>
      <c r="Q3" s="1">
        <f t="shared" ref="Q3:Q66" si="0">IF(H3="Sí",1,0)</f>
        <v>1</v>
      </c>
      <c r="R3" s="1">
        <f t="shared" ref="R3:R66" si="1">IF(L3="En coordinación",1,0)</f>
        <v>0</v>
      </c>
      <c r="S3">
        <v>1</v>
      </c>
      <c r="T3">
        <f t="shared" ref="T3:T66" si="2">IF(N3="Sí",1,0)</f>
        <v>0</v>
      </c>
      <c r="U3">
        <f t="shared" ref="U3:U66" si="3">IF(L3="Aceptada",1,0)</f>
        <v>0</v>
      </c>
    </row>
    <row r="4" x14ac:dyDescent="0.35">
      <c r="A4" s="15" t="str">
        <v>3</v>
      </c>
      <c r="B4" s="5" t="str">
        <v>Sofia Garcia</v>
      </c>
      <c r="C4" s="1" t="str">
        <v>Grupo focal de reconocimiento</v>
      </c>
      <c r="D4" s="1" t="str">
        <v>Instituto Promoviendo Desarrollo Social-IPRODES</v>
      </c>
      <c r="E4" s="1" t="str">
        <v>Multilaterales</v>
      </c>
      <c r="F4" s="1" t="str">
        <v>Distrito Judicial: Huánuco</v>
      </c>
      <c r="G4" s="1" t="str">
        <v>APOYO</v>
      </c>
      <c r="H4" s="1" t="str">
        <v>Sí</v>
      </c>
      <c r="I4" s="2" t="str">
        <v>29-Apr</v>
      </c>
      <c r="J4" s="2" t="str">
        <v> 8-May</v>
      </c>
      <c r="K4" s="2" t="str">
        <v>14-May</v>
      </c>
      <c r="L4" s="1" t="str">
        <v>Aceptada</v>
      </c>
      <c r="M4" s="2" t="str">
        <v>20-May</v>
      </c>
      <c r="N4" s="1" t="str">
        <v>Sí</v>
      </c>
      <c r="O4" s="1" t="str">
        <v>Grupo focal 2</v>
      </c>
      <c r="P4" s="1" t="str">
        <v/>
      </c>
      <c r="Q4" s="1">
        <f t="shared" si="0"/>
        <v>1</v>
      </c>
      <c r="R4" s="1">
        <f t="shared" si="1"/>
        <v>0</v>
      </c>
      <c r="S4">
        <v>1</v>
      </c>
      <c r="T4">
        <f t="shared" si="2"/>
        <v>1</v>
      </c>
      <c r="U4">
        <f t="shared" si="3"/>
        <v>1</v>
      </c>
    </row>
    <row r="5" x14ac:dyDescent="0.35">
      <c r="A5" s="15" t="str">
        <v>4</v>
      </c>
      <c r="B5" s="5" t="str">
        <v>Sandra Contreras</v>
      </c>
      <c r="C5" s="1" t="str">
        <v>Grupo focal de reconocimiento</v>
      </c>
      <c r="D5" s="1" t="str">
        <v>World Vision</v>
      </c>
      <c r="E5" s="1" t="str">
        <v>Multilaterales</v>
      </c>
      <c r="F5" s="1" t="str">
        <v>Nacional</v>
      </c>
      <c r="G5" s="1" t="str">
        <v>APOYO</v>
      </c>
      <c r="H5" s="1" t="str">
        <v>Sí</v>
      </c>
      <c r="I5" s="2" t="str">
        <v> 9-Apr</v>
      </c>
      <c r="J5" s="2" t="str">
        <v> 6-May</v>
      </c>
      <c r="K5" s="2" t="str">
        <v/>
      </c>
      <c r="L5" s="1" t="str">
        <v>Sin respuesta</v>
      </c>
      <c r="M5" s="2" t="str">
        <v/>
      </c>
      <c r="N5" s="1" t="str">
        <v/>
      </c>
      <c r="O5" s="1" t="str">
        <v>Grupo focal 2</v>
      </c>
      <c r="P5" s="1" t="str">
        <v/>
      </c>
      <c r="Q5" s="1">
        <f t="shared" si="0"/>
        <v>1</v>
      </c>
      <c r="R5" s="1">
        <f t="shared" si="1"/>
        <v>0</v>
      </c>
      <c r="S5">
        <v>1</v>
      </c>
      <c r="T5">
        <f t="shared" si="2"/>
        <v>0</v>
      </c>
      <c r="U5">
        <f t="shared" si="3"/>
        <v>0</v>
      </c>
    </row>
    <row r="6" x14ac:dyDescent="0.35">
      <c r="A6" s="15" t="str">
        <v>5</v>
      </c>
      <c r="B6" s="5" t="str">
        <v>Silvia Romero Borda</v>
      </c>
      <c r="C6" s="1" t="str">
        <v>Grupo focal de reconocimiento</v>
      </c>
      <c r="D6" s="1" t="str">
        <v>GIZ</v>
      </c>
      <c r="E6" s="1" t="str">
        <v>Multilaterales</v>
      </c>
      <c r="F6" s="1" t="str">
        <v>Nacional</v>
      </c>
      <c r="G6" s="1" t="str">
        <v>IJM</v>
      </c>
      <c r="H6" s="1" t="str">
        <v>Sí</v>
      </c>
      <c r="I6" s="2" t="str">
        <v> 4/27/2026</v>
      </c>
      <c r="J6" s="2" t="str">
        <v>12-May</v>
      </c>
      <c r="K6" s="2" t="str">
        <v>14-May</v>
      </c>
      <c r="L6" s="1" t="str">
        <v>Aceptada</v>
      </c>
      <c r="M6" s="2" t="str">
        <v>11-May</v>
      </c>
      <c r="N6" s="1" t="str">
        <v>No</v>
      </c>
      <c r="O6" s="1" t="str">
        <v>Grupo focal 1</v>
      </c>
      <c r="P6" s="1" t="str">
        <v/>
      </c>
      <c r="Q6" s="1">
        <f t="shared" si="0"/>
        <v>1</v>
      </c>
      <c r="R6" s="1">
        <f t="shared" si="1"/>
        <v>0</v>
      </c>
      <c r="S6">
        <v>1</v>
      </c>
      <c r="T6">
        <f t="shared" si="2"/>
        <v>0</v>
      </c>
      <c r="U6">
        <f t="shared" si="3"/>
        <v>1</v>
      </c>
    </row>
    <row r="7" x14ac:dyDescent="0.35">
      <c r="A7" s="15" t="str">
        <v>6</v>
      </c>
      <c r="B7" s="5" t="str">
        <v>Sandy Martinez</v>
      </c>
      <c r="C7" s="1" t="str">
        <v/>
      </c>
      <c r="D7" s="1" t="str">
        <v>GIZ</v>
      </c>
      <c r="E7" s="1" t="str">
        <v/>
      </c>
      <c r="F7" s="1" t="str">
        <v/>
      </c>
      <c r="G7" s="1" t="str">
        <v/>
      </c>
      <c r="H7" s="1" t="str">
        <v/>
      </c>
      <c r="I7" s="2" t="str">
        <v/>
      </c>
      <c r="J7" s="2" t="str">
        <v/>
      </c>
      <c r="K7" s="2" t="str">
        <v/>
      </c>
      <c r="L7" s="1" t="str">
        <v>Aceptada</v>
      </c>
      <c r="M7" s="2" t="str">
        <v>20-May</v>
      </c>
      <c r="N7" s="1" t="str">
        <v>Sí</v>
      </c>
      <c r="O7" s="1" t="str">
        <v/>
      </c>
      <c r="P7" s="1" t="str">
        <v/>
      </c>
      <c r="Q7" s="1">
        <f t="shared" si="0"/>
        <v>0</v>
      </c>
      <c r="R7" s="1">
        <f t="shared" si="1"/>
        <v>0</v>
      </c>
      <c r="S7">
        <v>1</v>
      </c>
      <c r="T7">
        <f t="shared" si="2"/>
        <v>1</v>
      </c>
      <c r="U7">
        <f t="shared" si="3"/>
        <v>1</v>
      </c>
    </row>
    <row r="8" x14ac:dyDescent="0.35">
      <c r="A8" s="15" t="str">
        <v>7</v>
      </c>
      <c r="B8" s="5" t="str">
        <v>Lissette Tobar</v>
      </c>
      <c r="C8" s="1" t="str">
        <v>Grupo focal de reconocimiento</v>
      </c>
      <c r="D8" s="1" t="str">
        <v>Fundación Arbol de la Vida</v>
      </c>
      <c r="E8" s="1" t="str">
        <v>Multilaterales</v>
      </c>
      <c r="F8" s="1" t="str">
        <v>Distrito Judicial: Ucayali</v>
      </c>
      <c r="G8" s="1" t="str">
        <v>IJM</v>
      </c>
      <c r="H8" s="1" t="str">
        <v>Sí</v>
      </c>
      <c r="I8" s="2" t="str">
        <v> 4/27/2026</v>
      </c>
      <c r="J8" s="2" t="str">
        <v> 6-May</v>
      </c>
      <c r="K8" s="2" t="str">
        <v>15-May</v>
      </c>
      <c r="L8" s="1" t="str">
        <v>Sin respuesta</v>
      </c>
      <c r="M8" s="2" t="str">
        <v/>
      </c>
      <c r="N8" s="1" t="str">
        <v/>
      </c>
      <c r="O8" s="1" t="str">
        <v>Grupo focal 2</v>
      </c>
      <c r="P8" s="1" t="str">
        <v/>
      </c>
      <c r="Q8" s="1">
        <f t="shared" si="0"/>
        <v>1</v>
      </c>
      <c r="R8" s="1">
        <f t="shared" si="1"/>
        <v>0</v>
      </c>
      <c r="S8">
        <v>1</v>
      </c>
      <c r="T8">
        <f t="shared" si="2"/>
        <v>0</v>
      </c>
      <c r="U8">
        <f t="shared" si="3"/>
        <v>0</v>
      </c>
    </row>
    <row r="9" x14ac:dyDescent="0.35">
      <c r="A9" s="15" t="str">
        <v>8</v>
      </c>
      <c r="B9" s="5" t="str">
        <v>Jenny Dador</v>
      </c>
      <c r="C9" s="1" t="str">
        <v>Grupo focal de reconocimiento</v>
      </c>
      <c r="D9" s="1" t="str">
        <v>Coordinadora de Derechos Humanos</v>
      </c>
      <c r="E9" s="1" t="str">
        <v>Multilaterales</v>
      </c>
      <c r="F9" s="1" t="str">
        <v>Distrito Judicial: Lima Este</v>
      </c>
      <c r="G9" s="1" t="str">
        <v>APOYO</v>
      </c>
      <c r="H9" s="1" t="str">
        <v>Sí</v>
      </c>
      <c r="I9" s="2" t="str">
        <v>29-Apr</v>
      </c>
      <c r="J9" s="2" t="str">
        <v> 6-May</v>
      </c>
      <c r="K9" s="2" t="str">
        <v>14-May</v>
      </c>
      <c r="L9" s="1" t="str">
        <v>Sin respuesta</v>
      </c>
      <c r="M9" s="2" t="str">
        <v/>
      </c>
      <c r="N9" s="1" t="str">
        <v/>
      </c>
      <c r="O9" s="1" t="str">
        <v>Grupo focal 1</v>
      </c>
      <c r="P9" s="1" t="str">
        <v/>
      </c>
      <c r="Q9" s="1">
        <f t="shared" si="0"/>
        <v>1</v>
      </c>
      <c r="R9" s="1">
        <f t="shared" si="1"/>
        <v>0</v>
      </c>
      <c r="S9">
        <v>1</v>
      </c>
      <c r="T9">
        <f t="shared" si="2"/>
        <v>0</v>
      </c>
      <c r="U9">
        <f t="shared" si="3"/>
        <v>0</v>
      </c>
    </row>
    <row r="10" x14ac:dyDescent="0.35">
      <c r="A10" s="15" t="str">
        <v>9</v>
      </c>
      <c r="B10" s="5" t="str">
        <v>Oscar Andrés Alva Arías</v>
      </c>
      <c r="C10" s="1" t="str">
        <v>Grupo focal de reconocimiento</v>
      </c>
      <c r="D10" s="1" t="str">
        <v>Ministerio de la Mujer </v>
      </c>
      <c r="E10" s="1" t="str">
        <v>Actores locales</v>
      </c>
      <c r="F10" s="1" t="str">
        <v>Nacional</v>
      </c>
      <c r="G10" s="1" t="str">
        <v>IJM</v>
      </c>
      <c r="H10" s="1" t="str">
        <v>Sí</v>
      </c>
      <c r="I10" s="2" t="str">
        <v> 4/27/2026</v>
      </c>
      <c r="J10" s="2" t="str">
        <v/>
      </c>
      <c r="K10" s="2" t="str">
        <v/>
      </c>
      <c r="L10" s="1" t="str">
        <v>Aceptada</v>
      </c>
      <c r="M10" s="2" t="str">
        <v>20-May</v>
      </c>
      <c r="N10" s="1" t="str">
        <v>Sí</v>
      </c>
      <c r="O10" s="1" t="str">
        <v>Grupo focal 2</v>
      </c>
      <c r="P10" s="1" t="str">
        <v/>
      </c>
      <c r="Q10" s="1">
        <f t="shared" si="0"/>
        <v>1</v>
      </c>
      <c r="R10" s="1">
        <f t="shared" si="1"/>
        <v>0</v>
      </c>
      <c r="S10">
        <v>1</v>
      </c>
      <c r="T10">
        <f t="shared" si="2"/>
        <v>1</v>
      </c>
      <c r="U10">
        <f t="shared" si="3"/>
        <v>1</v>
      </c>
    </row>
    <row r="11" x14ac:dyDescent="0.35">
      <c r="A11" s="15" t="str">
        <v>10</v>
      </c>
      <c r="B11" s="5" t="str">
        <v>Gloria Cano</v>
      </c>
      <c r="C11" s="1" t="str">
        <v>Grupo focal de reconocimiento</v>
      </c>
      <c r="D11" s="1" t="str">
        <v>Asociación Pro Derechos Humanos (APRODEH)</v>
      </c>
      <c r="E11" s="1" t="str">
        <v>Actores locales</v>
      </c>
      <c r="F11" s="1" t="str">
        <v>Nacional</v>
      </c>
      <c r="G11" s="1" t="str">
        <v>APOYO</v>
      </c>
      <c r="H11" s="1" t="str">
        <v>Sí</v>
      </c>
      <c r="I11" s="2" t="str">
        <v>29-Apr</v>
      </c>
      <c r="J11" s="2" t="str">
        <v> 6-May</v>
      </c>
      <c r="K11" s="2" t="str">
        <v/>
      </c>
      <c r="L11" s="1" t="str">
        <v>Sin respuesta</v>
      </c>
      <c r="M11" s="2" t="str">
        <v/>
      </c>
      <c r="N11" s="1" t="str">
        <v/>
      </c>
      <c r="O11" s="1" t="str">
        <v>Grupo focal 1</v>
      </c>
      <c r="P11" s="1" t="str">
        <v/>
      </c>
      <c r="Q11" s="1">
        <f t="shared" si="0"/>
        <v>1</v>
      </c>
      <c r="R11" s="1">
        <f t="shared" si="1"/>
        <v>0</v>
      </c>
      <c r="S11">
        <v>1</v>
      </c>
      <c r="T11">
        <f t="shared" si="2"/>
        <v>0</v>
      </c>
      <c r="U11">
        <f t="shared" si="3"/>
        <v>0</v>
      </c>
    </row>
    <row r="12" x14ac:dyDescent="0.35">
      <c r="A12" s="15" t="str">
        <v>11</v>
      </c>
      <c r="B12" s="5" t="str">
        <v>Maria Elena Bazan Ponce de Leon</v>
      </c>
      <c r="C12" s="1" t="str">
        <v>Grupo focal de reconocimiento</v>
      </c>
      <c r="D12" s="1" t="str">
        <v>Centros de Acogida Residencial</v>
      </c>
      <c r="E12" s="1" t="str">
        <v>Actores locales</v>
      </c>
      <c r="F12" s="1" t="str">
        <v>Distrito Judicial: Lima Norte</v>
      </c>
      <c r="G12" s="1" t="str">
        <v>APOYO</v>
      </c>
      <c r="H12" s="1" t="str">
        <v>Sí</v>
      </c>
      <c r="I12" s="2" t="str">
        <v>29-Apr</v>
      </c>
      <c r="J12" s="2" t="str">
        <v> 6-May</v>
      </c>
      <c r="K12" s="2" t="str">
        <v> 8-May</v>
      </c>
      <c r="L12" s="1" t="str">
        <v>Sin respuesta</v>
      </c>
      <c r="M12" s="2" t="str">
        <v/>
      </c>
      <c r="N12" s="1" t="str">
        <v/>
      </c>
      <c r="O12" s="1" t="str">
        <v>Grupo focal 2</v>
      </c>
      <c r="P12" s="1" t="str">
        <v/>
      </c>
      <c r="Q12" s="1">
        <f t="shared" si="0"/>
        <v>1</v>
      </c>
      <c r="R12" s="1">
        <f t="shared" si="1"/>
        <v>0</v>
      </c>
      <c r="S12">
        <v>1</v>
      </c>
      <c r="T12">
        <f t="shared" si="2"/>
        <v>0</v>
      </c>
      <c r="U12">
        <f t="shared" si="3"/>
        <v>0</v>
      </c>
    </row>
    <row r="13" x14ac:dyDescent="0.35">
      <c r="A13" s="15" t="str">
        <v>12</v>
      </c>
      <c r="B13" s="5" t="str">
        <v>Sara Estela Rivera Almerco</v>
      </c>
      <c r="C13" s="1" t="str">
        <v>Grupo focal de reconocimiento</v>
      </c>
      <c r="D13" s="1" t="str">
        <v>Centros de Acogida Residencial</v>
      </c>
      <c r="E13" s="1" t="str">
        <v>Actores locales</v>
      </c>
      <c r="F13" s="1" t="str">
        <v>Distrito Judicial: Huánuco</v>
      </c>
      <c r="G13" s="1" t="str">
        <v>APOYO</v>
      </c>
      <c r="H13" s="1" t="str">
        <v>Sí</v>
      </c>
      <c r="I13" s="2" t="str">
        <v>29-Apr</v>
      </c>
      <c r="J13" s="2" t="str">
        <v> 6-May</v>
      </c>
      <c r="K13" s="2" t="str">
        <v> 8-May</v>
      </c>
      <c r="L13" s="1" t="str">
        <v>Sin respuesta</v>
      </c>
      <c r="M13" s="2" t="str">
        <v/>
      </c>
      <c r="N13" s="1" t="str">
        <v/>
      </c>
      <c r="O13" s="1" t="str">
        <v>Grupo focal 1</v>
      </c>
      <c r="P13" s="1" t="str">
        <v/>
      </c>
      <c r="Q13" s="1">
        <f t="shared" si="0"/>
        <v>1</v>
      </c>
      <c r="R13" s="1">
        <f t="shared" si="1"/>
        <v>0</v>
      </c>
      <c r="S13">
        <v>1</v>
      </c>
      <c r="T13">
        <f t="shared" si="2"/>
        <v>0</v>
      </c>
      <c r="U13">
        <f t="shared" si="3"/>
        <v>0</v>
      </c>
    </row>
    <row r="14" x14ac:dyDescent="0.35">
      <c r="A14" s="15" t="str">
        <v>13</v>
      </c>
      <c r="B14" s="5" t="str">
        <v>Soledad Chavez Bedoya</v>
      </c>
      <c r="C14" s="1" t="str">
        <v>Grupo focal de reconocimiento</v>
      </c>
      <c r="D14" s="1" t="str">
        <v>Centros de Acogida Residencial</v>
      </c>
      <c r="E14" s="1" t="str">
        <v>Actores locales</v>
      </c>
      <c r="F14" s="1" t="str">
        <v>Distrito Judicial: Lima</v>
      </c>
      <c r="G14" s="1" t="str">
        <v>APOYO</v>
      </c>
      <c r="H14" s="1" t="str">
        <v>No</v>
      </c>
      <c r="I14" s="2" t="str">
        <v> 8-May</v>
      </c>
      <c r="J14" s="2" t="str">
        <v>12-May</v>
      </c>
      <c r="K14" s="2" t="str">
        <v>15-May</v>
      </c>
      <c r="L14" s="1" t="str">
        <v>Sin respuesta</v>
      </c>
      <c r="M14" s="2" t="str">
        <v/>
      </c>
      <c r="N14" s="1" t="str">
        <v/>
      </c>
      <c r="O14" s="1" t="str">
        <v>Grupo focal 2</v>
      </c>
      <c r="P14" s="1" t="str">
        <v/>
      </c>
      <c r="Q14" s="1">
        <f t="shared" si="0"/>
        <v>0</v>
      </c>
      <c r="R14" s="1">
        <f t="shared" si="1"/>
        <v>0</v>
      </c>
      <c r="S14">
        <v>1</v>
      </c>
      <c r="T14">
        <f t="shared" si="2"/>
        <v>0</v>
      </c>
      <c r="U14">
        <f t="shared" si="3"/>
        <v>0</v>
      </c>
    </row>
    <row r="15" x14ac:dyDescent="0.35">
      <c r="A15" s="15" t="str">
        <v>14</v>
      </c>
      <c r="B15" s="5" t="str">
        <v>Silvia Arteaga</v>
      </c>
      <c r="C15" s="1" t="str">
        <v>Grupo focal de reconocimiento</v>
      </c>
      <c r="D15" s="1" t="str">
        <v>Centros de Acogida Residencial</v>
      </c>
      <c r="E15" s="1" t="str">
        <v>Actores locales</v>
      </c>
      <c r="F15" s="1" t="str">
        <v>Distrito Judicial: Lima Este</v>
      </c>
      <c r="G15" s="1" t="str">
        <v>APOYO</v>
      </c>
      <c r="H15" s="1" t="str">
        <v>Sí</v>
      </c>
      <c r="I15" s="2" t="str">
        <v>29-Apr</v>
      </c>
      <c r="J15" s="2" t="str">
        <v> 6-May</v>
      </c>
      <c r="K15" s="2" t="str">
        <v> 8-May</v>
      </c>
      <c r="L15" s="1" t="str">
        <v>Aceptada</v>
      </c>
      <c r="M15" s="2" t="str">
        <v>20-May</v>
      </c>
      <c r="N15" s="1" t="str">
        <v/>
      </c>
      <c r="O15" s="1" t="str">
        <v>Grupo focal 2</v>
      </c>
      <c r="P15" s="1" t="str">
        <v/>
      </c>
      <c r="Q15" s="1">
        <f t="shared" si="0"/>
        <v>1</v>
      </c>
      <c r="R15" s="1">
        <f t="shared" si="1"/>
        <v>0</v>
      </c>
      <c r="S15">
        <v>1</v>
      </c>
      <c r="T15">
        <f t="shared" si="2"/>
        <v>0</v>
      </c>
      <c r="U15">
        <f t="shared" si="3"/>
        <v>1</v>
      </c>
    </row>
    <row r="16" x14ac:dyDescent="0.35">
      <c r="A16" s="15" t="str">
        <v>15</v>
      </c>
      <c r="B16" s="5" t="str">
        <v>Karolina</v>
      </c>
      <c r="C16" s="1" t="str">
        <v>Grupo focal de reconocimiento</v>
      </c>
      <c r="D16" s="1" t="str">
        <v>Centros de Acogida Residencial</v>
      </c>
      <c r="E16" s="1" t="str">
        <v>Actores locales</v>
      </c>
      <c r="F16" s="1" t="str">
        <v>Distrito Judicial: Lima Este</v>
      </c>
      <c r="G16" s="1" t="str">
        <v>APOYO</v>
      </c>
      <c r="H16" s="1" t="str">
        <v>Sí</v>
      </c>
      <c r="I16" s="2" t="str">
        <v>11-May</v>
      </c>
      <c r="J16" s="2" t="str">
        <v/>
      </c>
      <c r="K16" s="2" t="str">
        <v/>
      </c>
      <c r="L16" s="1" t="str">
        <v>Aceptada</v>
      </c>
      <c r="M16" s="2" t="str">
        <v>20-May</v>
      </c>
      <c r="N16" s="1" t="str">
        <v/>
      </c>
      <c r="O16" s="1" t="str">
        <v>Grupo focal 2</v>
      </c>
      <c r="P16" s="1" t="str">
        <v/>
      </c>
      <c r="Q16" s="1">
        <f t="shared" si="0"/>
        <v>1</v>
      </c>
      <c r="R16" s="1">
        <f t="shared" si="1"/>
        <v>0</v>
      </c>
      <c r="S16">
        <v>1</v>
      </c>
      <c r="T16">
        <f t="shared" si="2"/>
        <v>0</v>
      </c>
      <c r="U16">
        <f t="shared" si="3"/>
        <v>1</v>
      </c>
    </row>
    <row r="17" x14ac:dyDescent="0.35">
      <c r="A17" s="15" t="str">
        <v>16</v>
      </c>
      <c r="B17" s="5" t="str">
        <v>Carol Tremont</v>
      </c>
      <c r="C17" s="1" t="str">
        <v>Grupo focal de reconocimiento</v>
      </c>
      <c r="D17" s="1" t="str">
        <v>Asociación Protección Población Vulnerable</v>
      </c>
      <c r="E17" s="1" t="str">
        <v>Actores locales</v>
      </c>
      <c r="F17" s="1" t="str">
        <v>Distrito Judicial: Lima</v>
      </c>
      <c r="G17" s="1" t="str">
        <v>APOYO</v>
      </c>
      <c r="H17" s="1" t="str">
        <v>Sí</v>
      </c>
      <c r="I17" s="2" t="str">
        <v>29-Apr</v>
      </c>
      <c r="J17" s="2" t="str">
        <v> 6-May</v>
      </c>
      <c r="K17" s="2" t="str">
        <v/>
      </c>
      <c r="L17" s="1" t="str">
        <v>Sin respuesta</v>
      </c>
      <c r="M17" s="2" t="str">
        <v/>
      </c>
      <c r="N17" s="1" t="str">
        <v/>
      </c>
      <c r="O17" s="1" t="str">
        <v>Grupo focal 2</v>
      </c>
      <c r="P17" s="1" t="str">
        <v/>
      </c>
      <c r="Q17" s="1">
        <f t="shared" si="0"/>
        <v>1</v>
      </c>
      <c r="R17" s="1">
        <f t="shared" si="1"/>
        <v>0</v>
      </c>
      <c r="S17">
        <v>1</v>
      </c>
      <c r="T17">
        <f t="shared" si="2"/>
        <v>0</v>
      </c>
      <c r="U17">
        <f t="shared" si="3"/>
        <v>0</v>
      </c>
    </row>
    <row r="18" x14ac:dyDescent="0.35">
      <c r="A18" s="15" t="str">
        <v>17</v>
      </c>
      <c r="B18" s="5" t="str">
        <v>Intikilla Eutropía Delgado Castro</v>
      </c>
      <c r="C18" s="1" t="str">
        <v>Grupo focal de reconocimiento</v>
      </c>
      <c r="D18" s="1" t="str">
        <v>Asociación Kallpa</v>
      </c>
      <c r="E18" s="1" t="str">
        <v>Actores locales</v>
      </c>
      <c r="F18" s="1" t="str">
        <v>Distrito Judicial: Ayacucho</v>
      </c>
      <c r="G18" s="1" t="str">
        <v>APOYO</v>
      </c>
      <c r="H18" s="1" t="str">
        <v>Sí</v>
      </c>
      <c r="I18" s="2" t="str">
        <v>29-Apr</v>
      </c>
      <c r="J18" s="2" t="str">
        <v> 6-May</v>
      </c>
      <c r="K18" s="2" t="str">
        <v> 8-May</v>
      </c>
      <c r="L18" s="1" t="str">
        <v>Sin respuesta</v>
      </c>
      <c r="M18" s="2" t="str">
        <v/>
      </c>
      <c r="N18" s="1" t="str">
        <v/>
      </c>
      <c r="O18" s="1" t="str">
        <v>Grupo focal 1</v>
      </c>
      <c r="P18" s="1" t="str">
        <v/>
      </c>
      <c r="Q18" s="1">
        <f t="shared" si="0"/>
        <v>1</v>
      </c>
      <c r="R18" s="1">
        <f t="shared" si="1"/>
        <v>0</v>
      </c>
      <c r="S18">
        <v>1</v>
      </c>
      <c r="T18">
        <f t="shared" si="2"/>
        <v>0</v>
      </c>
      <c r="U18">
        <f t="shared" si="3"/>
        <v>0</v>
      </c>
    </row>
    <row r="19" x14ac:dyDescent="0.35">
      <c r="A19" s="15" t="str">
        <v>18</v>
      </c>
      <c r="B19" s="5" t="str">
        <v>Rosario Cosar</v>
      </c>
      <c r="C19" s="1" t="str">
        <v>Grupo focal de reconocimiento</v>
      </c>
      <c r="D19" s="1" t="str">
        <v>Asociación Kallpa</v>
      </c>
      <c r="E19" s="1" t="str">
        <v>Actores locales</v>
      </c>
      <c r="F19" s="1" t="str">
        <v>Nacional</v>
      </c>
      <c r="G19" s="1" t="str">
        <v>APOYO</v>
      </c>
      <c r="H19" s="1" t="str">
        <v>Sí</v>
      </c>
      <c r="I19" s="2" t="str">
        <v>29-Apr</v>
      </c>
      <c r="J19" s="2" t="str">
        <v> 6-May</v>
      </c>
      <c r="K19" s="2" t="str">
        <v> 8-May</v>
      </c>
      <c r="L19" s="1" t="str">
        <v>Sin respuesta</v>
      </c>
      <c r="M19" s="2" t="str">
        <v/>
      </c>
      <c r="N19" s="1" t="str">
        <v/>
      </c>
      <c r="O19" s="1" t="str">
        <v>Grupo focal 2</v>
      </c>
      <c r="P19" s="1" t="str">
        <v/>
      </c>
      <c r="Q19" s="1">
        <f t="shared" si="0"/>
        <v>1</v>
      </c>
      <c r="R19" s="1">
        <f t="shared" si="1"/>
        <v>0</v>
      </c>
      <c r="S19">
        <v>1</v>
      </c>
      <c r="T19">
        <f t="shared" si="2"/>
        <v>0</v>
      </c>
      <c r="U19">
        <f t="shared" si="3"/>
        <v>0</v>
      </c>
    </row>
    <row r="20" x14ac:dyDescent="0.35">
      <c r="A20" s="15" t="str">
        <v>19</v>
      </c>
      <c r="B20" s="5" t="str">
        <v>Lourdes Febres</v>
      </c>
      <c r="C20" s="1" t="str">
        <v>Grupo focal de reconocimiento</v>
      </c>
      <c r="D20" s="1" t="str">
        <v>Acción por los niños</v>
      </c>
      <c r="E20" s="1" t="str">
        <v>Actores locales</v>
      </c>
      <c r="F20" s="1" t="str">
        <v>Distrito Judicial: Cajamarca</v>
      </c>
      <c r="G20" s="1" t="str">
        <v>APOYO</v>
      </c>
      <c r="H20" s="1" t="str">
        <v>Sí</v>
      </c>
      <c r="I20" s="2" t="str">
        <v>29-Apr</v>
      </c>
      <c r="J20" s="2" t="str">
        <v> 6-May</v>
      </c>
      <c r="K20" s="2" t="str">
        <v/>
      </c>
      <c r="L20" s="1" t="str">
        <v>Aceptada</v>
      </c>
      <c r="M20" s="2" t="str">
        <v>20-May</v>
      </c>
      <c r="N20" s="1" t="str">
        <v>Sí</v>
      </c>
      <c r="O20" s="1" t="str">
        <v>Grupo focal 2</v>
      </c>
      <c r="P20" s="1" t="str">
        <v/>
      </c>
      <c r="Q20" s="1">
        <f t="shared" si="0"/>
        <v>1</v>
      </c>
      <c r="R20" s="1">
        <f t="shared" si="1"/>
        <v>0</v>
      </c>
      <c r="S20">
        <v>1</v>
      </c>
      <c r="T20">
        <f t="shared" si="2"/>
        <v>1</v>
      </c>
      <c r="U20">
        <f t="shared" si="3"/>
        <v>1</v>
      </c>
    </row>
    <row r="21" x14ac:dyDescent="0.35">
      <c r="A21" s="15" t="str">
        <v>20</v>
      </c>
      <c r="B21" s="5" t="str">
        <v>Magaly Blas</v>
      </c>
      <c r="C21" s="1" t="str">
        <v>Grupo focal de reconocimiento</v>
      </c>
      <c r="D21" s="1" t="str">
        <v>Colegio Médico del Perú</v>
      </c>
      <c r="E21" s="1" t="str">
        <v>Actores locales</v>
      </c>
      <c r="F21" s="1" t="str">
        <v>Distrito Judicial: Lima Norte</v>
      </c>
      <c r="G21" s="1" t="str">
        <v>APOYO</v>
      </c>
      <c r="H21" s="1" t="str">
        <v>Sí</v>
      </c>
      <c r="I21" s="2" t="str">
        <v>29-Apr</v>
      </c>
      <c r="J21" s="2" t="str">
        <v> 6-May</v>
      </c>
      <c r="K21" s="2" t="str">
        <v/>
      </c>
      <c r="L21" s="1" t="str">
        <v>Sin respuesta</v>
      </c>
      <c r="M21" s="2" t="str">
        <v/>
      </c>
      <c r="N21" s="1" t="str">
        <v/>
      </c>
      <c r="O21" s="1" t="str">
        <v>Grupo focal 2</v>
      </c>
      <c r="P21" s="1" t="str">
        <v/>
      </c>
      <c r="Q21" s="1">
        <f t="shared" si="0"/>
        <v>1</v>
      </c>
      <c r="R21" s="1">
        <f t="shared" si="1"/>
        <v>0</v>
      </c>
      <c r="S21">
        <v>1</v>
      </c>
      <c r="T21">
        <f t="shared" si="2"/>
        <v>0</v>
      </c>
      <c r="U21">
        <f t="shared" si="3"/>
        <v>0</v>
      </c>
    </row>
    <row r="22" x14ac:dyDescent="0.35">
      <c r="A22" s="15" t="str">
        <v>21</v>
      </c>
      <c r="B22" s="5" t="str">
        <v>Gabriela Osco Chuquizuta</v>
      </c>
      <c r="C22" s="1" t="str">
        <v>Grupo focal de reconocimiento</v>
      </c>
      <c r="D22" s="1" t="str">
        <v>Red Interquorum</v>
      </c>
      <c r="E22" s="1" t="str">
        <v>Actores locales</v>
      </c>
      <c r="F22" s="1" t="str">
        <v>Nacional</v>
      </c>
      <c r="G22" s="1" t="str">
        <v>APOYO</v>
      </c>
      <c r="H22" s="1" t="str">
        <v>Sí</v>
      </c>
      <c r="I22" s="2" t="str">
        <v>29-Apr</v>
      </c>
      <c r="J22" s="2" t="str">
        <v> 6-May</v>
      </c>
      <c r="K22" s="2" t="str">
        <v/>
      </c>
      <c r="L22" s="1" t="str">
        <v>Sin respuesta</v>
      </c>
      <c r="M22" s="2" t="str">
        <v/>
      </c>
      <c r="N22" s="1" t="str">
        <v/>
      </c>
      <c r="O22" s="1" t="str">
        <v>Grupo focal 1</v>
      </c>
      <c r="P22" s="1" t="str">
        <v/>
      </c>
      <c r="Q22" s="1">
        <f t="shared" si="0"/>
        <v>1</v>
      </c>
      <c r="R22" s="1">
        <f t="shared" si="1"/>
        <v>0</v>
      </c>
      <c r="S22">
        <v>1</v>
      </c>
      <c r="T22">
        <f t="shared" si="2"/>
        <v>0</v>
      </c>
      <c r="U22">
        <f t="shared" si="3"/>
        <v>0</v>
      </c>
    </row>
    <row r="23" x14ac:dyDescent="0.35">
      <c r="A23" s="15" t="str">
        <v>22</v>
      </c>
      <c r="B23" s="5" t="str">
        <v>Inés Agresott</v>
      </c>
      <c r="C23" s="1" t="str">
        <v>Grupo focal de reconocimiento</v>
      </c>
      <c r="D23" s="1" t="str">
        <v>Mujeres Migrantes Maltratadas</v>
      </c>
      <c r="E23" s="1" t="str">
        <v>Actores locales</v>
      </c>
      <c r="F23" s="1" t="str">
        <v>Nacional</v>
      </c>
      <c r="G23" s="1" t="str">
        <v>APOYO</v>
      </c>
      <c r="H23" s="1" t="str">
        <v>Sí</v>
      </c>
      <c r="I23" s="2" t="str">
        <v>29-Apr</v>
      </c>
      <c r="J23" s="2" t="str">
        <v> 6-May</v>
      </c>
      <c r="K23" s="2" t="str">
        <v/>
      </c>
      <c r="L23" s="1" t="str">
        <v>Sin respuesta</v>
      </c>
      <c r="M23" s="2" t="str">
        <v/>
      </c>
      <c r="N23" s="1" t="str">
        <v/>
      </c>
      <c r="O23" s="1" t="str">
        <v>Grupo focal 2</v>
      </c>
      <c r="P23" s="1" t="str">
        <v/>
      </c>
      <c r="Q23" s="1">
        <f t="shared" si="0"/>
        <v>1</v>
      </c>
      <c r="R23" s="1">
        <f t="shared" si="1"/>
        <v>0</v>
      </c>
      <c r="S23">
        <v>1</v>
      </c>
      <c r="T23">
        <f t="shared" si="2"/>
        <v>0</v>
      </c>
      <c r="U23">
        <f t="shared" si="3"/>
        <v>0</v>
      </c>
    </row>
    <row r="24" x14ac:dyDescent="0.35">
      <c r="A24" s="15" t="str">
        <v>23</v>
      </c>
      <c r="B24" s="5" t="str">
        <v>Arlette Contreras</v>
      </c>
      <c r="C24" s="1" t="str">
        <v>Grupo focal de reconocimiento</v>
      </c>
      <c r="D24" s="1" t="str">
        <v>Ni una menos</v>
      </c>
      <c r="E24" s="1" t="str">
        <v>Actores locales</v>
      </c>
      <c r="F24" s="1" t="str">
        <v>Distrito Judicial: Cusco</v>
      </c>
      <c r="G24" s="1" t="str">
        <v>APOYO</v>
      </c>
      <c r="H24" s="1" t="str">
        <v>Sí</v>
      </c>
      <c r="I24" s="2" t="str">
        <v>29-Apr</v>
      </c>
      <c r="J24" s="2" t="str">
        <v> 6-May</v>
      </c>
      <c r="K24" s="2" t="str">
        <v/>
      </c>
      <c r="L24" s="1" t="str">
        <v>Sin respuesta</v>
      </c>
      <c r="M24" s="2" t="str">
        <v/>
      </c>
      <c r="N24" s="1" t="str">
        <v/>
      </c>
      <c r="O24" s="1" t="str">
        <v>Grupo focal 1</v>
      </c>
      <c r="P24" s="1" t="str">
        <v/>
      </c>
      <c r="Q24" s="1">
        <f t="shared" si="0"/>
        <v>1</v>
      </c>
      <c r="R24" s="1">
        <f t="shared" si="1"/>
        <v>0</v>
      </c>
      <c r="S24">
        <v>1</v>
      </c>
      <c r="T24">
        <f t="shared" si="2"/>
        <v>0</v>
      </c>
      <c r="U24">
        <f t="shared" si="3"/>
        <v>0</v>
      </c>
    </row>
    <row r="25" x14ac:dyDescent="0.35">
      <c r="A25" s="15" t="str">
        <v>24</v>
      </c>
      <c r="B25" s="5" t="str">
        <v>Sandy Evangelista</v>
      </c>
      <c r="C25" s="1" t="str">
        <v>Grupo focal de reconocimiento</v>
      </c>
      <c r="D25" s="1" t="str">
        <v>Familias Unidas Por Justicia: Familiares de Víctimas de Feminicidio</v>
      </c>
      <c r="E25" s="1" t="str">
        <v>Actores locales</v>
      </c>
      <c r="F25" s="1" t="str">
        <v>Distrito Judicial: Amazonas</v>
      </c>
      <c r="G25" s="1" t="str">
        <v>APOYO</v>
      </c>
      <c r="H25" s="1" t="str">
        <v>Sí</v>
      </c>
      <c r="I25" s="2" t="str">
        <v>29-Apr</v>
      </c>
      <c r="J25" s="2" t="str">
        <v/>
      </c>
      <c r="K25" s="2" t="str">
        <v/>
      </c>
      <c r="L25" s="1" t="str">
        <v>Aceptada</v>
      </c>
      <c r="M25" s="2" t="str">
        <v>20-May</v>
      </c>
      <c r="N25" s="1" t="str">
        <v>Sí</v>
      </c>
      <c r="O25" s="1" t="str">
        <v>Grupo focal 2</v>
      </c>
      <c r="P25" s="1" t="str">
        <v/>
      </c>
      <c r="Q25" s="1">
        <f t="shared" si="0"/>
        <v>1</v>
      </c>
      <c r="R25" s="1">
        <f t="shared" si="1"/>
        <v>0</v>
      </c>
      <c r="S25">
        <v>1</v>
      </c>
      <c r="T25">
        <f t="shared" si="2"/>
        <v>1</v>
      </c>
      <c r="U25">
        <f t="shared" si="3"/>
        <v>1</v>
      </c>
    </row>
    <row r="26" x14ac:dyDescent="0.35">
      <c r="A26" s="15" t="str">
        <v>25</v>
      </c>
      <c r="B26" s="5" t="str">
        <v>Victoria Pomalaya Trillo </v>
      </c>
      <c r="C26" s="1" t="str">
        <v>Grupo focal de reconocimiento</v>
      </c>
      <c r="D26" s="1" t="str">
        <v>Ministerio Público (Fiscalía)</v>
      </c>
      <c r="E26" s="1" t="str">
        <v>Funcionarios del Sistema</v>
      </c>
      <c r="F26" s="1" t="str">
        <v>Distrito Judicial: Ayacucho</v>
      </c>
      <c r="G26" s="1" t="str">
        <v>IJM</v>
      </c>
      <c r="H26" s="1" t="str">
        <v>Sí</v>
      </c>
      <c r="I26" s="2" t="str">
        <v> 4/27/2026</v>
      </c>
      <c r="J26" s="2" t="str">
        <v> 6-May</v>
      </c>
      <c r="K26" s="2" t="str">
        <v/>
      </c>
      <c r="L26" s="1" t="str">
        <v>Aceptada</v>
      </c>
      <c r="M26" s="2" t="str">
        <v>11-May</v>
      </c>
      <c r="N26" s="1" t="str">
        <v>Sí</v>
      </c>
      <c r="O26" s="1" t="str">
        <v>Grupo focal 1</v>
      </c>
      <c r="P26" s="1" t="str">
        <v/>
      </c>
      <c r="Q26" s="1">
        <f t="shared" si="0"/>
        <v>1</v>
      </c>
      <c r="R26" s="1">
        <f t="shared" si="1"/>
        <v>0</v>
      </c>
      <c r="S26">
        <v>1</v>
      </c>
      <c r="T26">
        <f t="shared" si="2"/>
        <v>1</v>
      </c>
      <c r="U26">
        <f t="shared" si="3"/>
        <v>1</v>
      </c>
    </row>
    <row r="27" x14ac:dyDescent="0.35">
      <c r="A27" s="15" t="str">
        <v>26</v>
      </c>
      <c r="B27" s="5" t="str">
        <v>Ulises Requejo</v>
      </c>
      <c r="C27" s="1" t="str">
        <v>Grupo focal de reconocimiento</v>
      </c>
      <c r="D27" s="1" t="str">
        <v>Ministerio Público (Fiscalía)</v>
      </c>
      <c r="E27" s="1" t="str">
        <v>Funcionarios del Sistema</v>
      </c>
      <c r="F27" s="1" t="str">
        <v>Distrito Judicial: Ayacucho</v>
      </c>
      <c r="G27" s="1" t="str">
        <v/>
      </c>
      <c r="H27" s="1" t="str">
        <v>Sí</v>
      </c>
      <c r="I27" s="2" t="str">
        <v>  5/7/2026</v>
      </c>
      <c r="J27" s="2" t="str">
        <v> 8-May</v>
      </c>
      <c r="K27" s="2" t="str">
        <v/>
      </c>
      <c r="L27" s="1" t="str">
        <v>Aceptada</v>
      </c>
      <c r="M27" s="2" t="str">
        <v>20-May</v>
      </c>
      <c r="N27" s="1" t="str">
        <v/>
      </c>
      <c r="O27" s="1" t="str">
        <v>Grupo focal 2</v>
      </c>
      <c r="P27" s="1" t="str">
        <v/>
      </c>
      <c r="Q27" s="1">
        <f t="shared" si="0"/>
        <v>1</v>
      </c>
      <c r="R27" s="1">
        <f t="shared" si="1"/>
        <v>0</v>
      </c>
      <c r="S27">
        <v>1</v>
      </c>
      <c r="T27">
        <f t="shared" si="2"/>
        <v>0</v>
      </c>
      <c r="U27">
        <f t="shared" si="3"/>
        <v>1</v>
      </c>
    </row>
    <row r="28" x14ac:dyDescent="0.35">
      <c r="A28" s="15" t="str">
        <v>27</v>
      </c>
      <c r="B28" s="5" t="str">
        <v>Norma Rojas </v>
      </c>
      <c r="C28" s="1" t="str">
        <v>Grupo focal de reconocimiento</v>
      </c>
      <c r="D28" s="1" t="str">
        <v>Ministerio del Interior</v>
      </c>
      <c r="E28" s="1" t="str">
        <v>Funcionarios del Sistema</v>
      </c>
      <c r="F28" s="1" t="str">
        <v>Distrito Judicial: Apurímac</v>
      </c>
      <c r="G28" s="1" t="str">
        <v>IJM</v>
      </c>
      <c r="H28" s="1" t="str">
        <v>Sí</v>
      </c>
      <c r="I28" s="2" t="str">
        <v> 4/27/2026</v>
      </c>
      <c r="J28" s="2" t="str">
        <v/>
      </c>
      <c r="K28" s="2" t="str">
        <v/>
      </c>
      <c r="L28" s="1" t="str">
        <v>Rechazada</v>
      </c>
      <c r="M28" s="2" t="str">
        <v/>
      </c>
      <c r="N28" s="1" t="str">
        <v/>
      </c>
      <c r="O28" s="1" t="str">
        <v>Grupo focal 2</v>
      </c>
      <c r="P28" s="1" t="str">
        <v/>
      </c>
      <c r="Q28" s="1">
        <f t="shared" si="0"/>
        <v>1</v>
      </c>
      <c r="R28" s="1">
        <f t="shared" si="1"/>
        <v>0</v>
      </c>
      <c r="S28">
        <v>1</v>
      </c>
      <c r="T28">
        <f t="shared" si="2"/>
        <v>0</v>
      </c>
      <c r="U28">
        <f t="shared" si="3"/>
        <v>0</v>
      </c>
    </row>
    <row r="29" x14ac:dyDescent="0.35">
      <c r="A29" s="15" t="str">
        <v>28</v>
      </c>
      <c r="B29" s="5" t="str">
        <v>Angel Grimaldo Palacios Trujillo</v>
      </c>
      <c r="C29" s="1" t="str">
        <v>Grupo focal de reconocimiento</v>
      </c>
      <c r="D29" s="1" t="str">
        <v>Centros de Emergencia Mujer</v>
      </c>
      <c r="E29" s="1" t="str">
        <v>Acompañantes</v>
      </c>
      <c r="F29" s="1" t="str">
        <v>Distrito Judicial: Ucayali</v>
      </c>
      <c r="G29" s="1" t="str">
        <v>IJM</v>
      </c>
      <c r="H29" s="1" t="str">
        <v>Sí</v>
      </c>
      <c r="I29" s="2" t="str">
        <v> 4/27/2026</v>
      </c>
      <c r="J29" s="2" t="str">
        <v> 6-May</v>
      </c>
      <c r="K29" s="2" t="str">
        <v/>
      </c>
      <c r="L29" s="1" t="str">
        <v>Sin respuesta</v>
      </c>
      <c r="M29" s="2" t="str">
        <v/>
      </c>
      <c r="N29" s="1" t="str">
        <v/>
      </c>
      <c r="O29" s="1" t="str">
        <v>Grupo focal 1</v>
      </c>
      <c r="P29" s="1" t="str">
        <v/>
      </c>
      <c r="Q29" s="1">
        <f t="shared" si="0"/>
        <v>1</v>
      </c>
      <c r="R29" s="1">
        <f t="shared" si="1"/>
        <v>0</v>
      </c>
      <c r="S29">
        <v>1</v>
      </c>
      <c r="T29">
        <f t="shared" si="2"/>
        <v>0</v>
      </c>
      <c r="U29">
        <f t="shared" si="3"/>
        <v>0</v>
      </c>
    </row>
    <row r="30" x14ac:dyDescent="0.35">
      <c r="A30" s="15" t="str">
        <v>29</v>
      </c>
      <c r="B30" s="5" t="str">
        <v>Heydy Taype Pérez</v>
      </c>
      <c r="C30" s="1" t="str">
        <v>Grupo focal de reconocimiento</v>
      </c>
      <c r="D30" s="1" t="str">
        <v>Centros de Emergencia Mujer</v>
      </c>
      <c r="E30" s="1" t="str">
        <v>Acompañantes</v>
      </c>
      <c r="F30" s="1" t="str">
        <v>Distrito Judicial: Huánuco</v>
      </c>
      <c r="G30" s="1" t="str">
        <v>IJM</v>
      </c>
      <c r="H30" s="1" t="str">
        <v>No</v>
      </c>
      <c r="I30" s="2" t="str">
        <v> 6-May</v>
      </c>
      <c r="J30" s="2" t="str">
        <v> 8-May</v>
      </c>
      <c r="K30" s="2" t="str">
        <v/>
      </c>
      <c r="L30" s="1" t="str">
        <v>Sin respuesta</v>
      </c>
      <c r="M30" s="2" t="str">
        <v/>
      </c>
      <c r="N30" s="1" t="str">
        <v/>
      </c>
      <c r="O30" s="1" t="str">
        <v>Grupo focal 2</v>
      </c>
      <c r="P30" s="1" t="str">
        <v/>
      </c>
      <c r="Q30" s="1">
        <f t="shared" si="0"/>
        <v>0</v>
      </c>
      <c r="R30" s="1">
        <f t="shared" si="1"/>
        <v>0</v>
      </c>
      <c r="S30">
        <v>1</v>
      </c>
      <c r="T30">
        <f t="shared" si="2"/>
        <v>0</v>
      </c>
      <c r="U30">
        <f t="shared" si="3"/>
        <v>0</v>
      </c>
    </row>
    <row r="31" x14ac:dyDescent="0.35">
      <c r="A31" s="15" t="str">
        <v>30</v>
      </c>
      <c r="B31" s="5" t="str">
        <v>Alicia Soledad Cusquisibán Sánchez</v>
      </c>
      <c r="C31" s="1" t="str">
        <v>Grupo focal de reconocimiento</v>
      </c>
      <c r="D31" s="1" t="str">
        <v>Centros de Emergencia Mujer</v>
      </c>
      <c r="E31" s="1" t="str">
        <v>Acompañantes</v>
      </c>
      <c r="F31" s="1" t="str">
        <v>Distrito Judicial: Cajamarca</v>
      </c>
      <c r="G31" s="1" t="str">
        <v>IJM</v>
      </c>
      <c r="H31" s="1" t="str">
        <v>No</v>
      </c>
      <c r="I31" s="2" t="str">
        <v> 6-May</v>
      </c>
      <c r="J31" s="2" t="str">
        <v> 8-May</v>
      </c>
      <c r="K31" s="2" t="str">
        <v/>
      </c>
      <c r="L31" s="1" t="str">
        <v>Sin respuesta</v>
      </c>
      <c r="M31" s="2" t="str">
        <v/>
      </c>
      <c r="N31" s="1" t="str">
        <v/>
      </c>
      <c r="O31" s="1" t="str">
        <v>Grupo focal 1</v>
      </c>
      <c r="P31" s="1" t="str">
        <v/>
      </c>
      <c r="Q31" s="1">
        <f t="shared" si="0"/>
        <v>0</v>
      </c>
      <c r="R31" s="1">
        <f t="shared" si="1"/>
        <v>0</v>
      </c>
      <c r="S31">
        <v>1</v>
      </c>
      <c r="T31">
        <f t="shared" si="2"/>
        <v>0</v>
      </c>
      <c r="U31">
        <f t="shared" si="3"/>
        <v>0</v>
      </c>
    </row>
    <row r="32" x14ac:dyDescent="0.35">
      <c r="A32" s="15" t="str">
        <v>31</v>
      </c>
      <c r="B32" s="5" t="str">
        <v>Blanca Marianela Benites Avalos</v>
      </c>
      <c r="C32" s="1" t="str">
        <v>Grupo focal de reconocimiento</v>
      </c>
      <c r="D32" s="1" t="str">
        <v>Centros de Emergencia Mujer</v>
      </c>
      <c r="E32" s="1" t="str">
        <v>Acompañantes</v>
      </c>
      <c r="F32" s="1" t="str">
        <v>Distrito Judicial: Cajamarca</v>
      </c>
      <c r="G32" s="1" t="str">
        <v>IJM</v>
      </c>
      <c r="H32" s="1" t="str">
        <v>Sí</v>
      </c>
      <c r="I32" s="2" t="str">
        <v> 6-May</v>
      </c>
      <c r="J32" s="2" t="str">
        <v/>
      </c>
      <c r="K32" s="2" t="str">
        <v/>
      </c>
      <c r="L32" s="1" t="str">
        <v>Sin respuesta</v>
      </c>
      <c r="M32" s="2" t="str">
        <v/>
      </c>
      <c r="N32" s="1" t="str">
        <v/>
      </c>
      <c r="O32" s="1" t="str">
        <v>Grupo focal 2</v>
      </c>
      <c r="P32" s="1" t="str">
        <v/>
      </c>
      <c r="Q32" s="1">
        <f t="shared" si="0"/>
        <v>1</v>
      </c>
      <c r="R32" s="1">
        <f t="shared" si="1"/>
        <v>0</v>
      </c>
      <c r="S32">
        <v>1</v>
      </c>
      <c r="T32">
        <f t="shared" si="2"/>
        <v>0</v>
      </c>
      <c r="U32">
        <f t="shared" si="3"/>
        <v>0</v>
      </c>
    </row>
    <row r="33" x14ac:dyDescent="0.35">
      <c r="A33" s="15" t="str">
        <v>32</v>
      </c>
      <c r="B33" s="23" t="str">
        <v>Jose Miguel Chavez Montero</v>
      </c>
      <c r="C33" t="str">
        <v>Grupo focal de reconocimiento</v>
      </c>
      <c r="D33" t="str">
        <v>Centros de Emergencia Mujer</v>
      </c>
      <c r="E33" t="str">
        <v>Acompañantes</v>
      </c>
      <c r="F33" t="str">
        <v>Distrito Judicial: Ucayali</v>
      </c>
      <c r="G33" t="str">
        <v/>
      </c>
      <c r="H33" t="str">
        <v>Sí</v>
      </c>
      <c r="I33" s="2" t="str">
        <v> 6-May</v>
      </c>
      <c r="J33" s="2" t="str">
        <v> 8-May</v>
      </c>
      <c r="K33" s="2" t="str">
        <v/>
      </c>
      <c r="L33" s="1" t="str">
        <v>En coordinación</v>
      </c>
      <c r="M33" s="2" t="str">
        <v/>
      </c>
      <c r="N33" s="1" t="str">
        <v/>
      </c>
      <c r="O33" s="1" t="str">
        <v/>
      </c>
      <c r="P33" s="1" t="str">
        <v/>
      </c>
      <c r="Q33" s="1">
        <f t="shared" si="0"/>
        <v>1</v>
      </c>
      <c r="R33" s="1">
        <f t="shared" si="1"/>
        <v>1</v>
      </c>
      <c r="S33">
        <v>1</v>
      </c>
      <c r="T33">
        <f t="shared" si="2"/>
        <v>0</v>
      </c>
      <c r="U33">
        <f t="shared" si="3"/>
        <v>0</v>
      </c>
    </row>
    <row r="34" x14ac:dyDescent="0.35">
      <c r="A34" s="15" t="str">
        <v>33</v>
      </c>
      <c r="B34" s="23" t="str">
        <v>Hellen Victoria Ku Yanasupo</v>
      </c>
      <c r="C34" t="str">
        <v>Grupo focal de reconocimiento</v>
      </c>
      <c r="D34" t="str">
        <v>Centros de Emergencia Mujer</v>
      </c>
      <c r="E34" t="str">
        <v>Acompañantes</v>
      </c>
      <c r="F34" t="str">
        <v>Distrito Judicial: Lima</v>
      </c>
      <c r="G34" t="str">
        <v>IJM</v>
      </c>
      <c r="H34" t="str">
        <v>Sí</v>
      </c>
      <c r="I34" s="2" t="str">
        <v> 4/27/2026</v>
      </c>
      <c r="J34" s="2" t="str">
        <v> 6-May</v>
      </c>
      <c r="K34" s="2" t="str">
        <v/>
      </c>
      <c r="L34" s="1" t="str">
        <v>Sin respuesta</v>
      </c>
      <c r="M34" s="2" t="str">
        <v/>
      </c>
      <c r="N34" s="1" t="str">
        <v/>
      </c>
      <c r="O34" s="1" t="str">
        <v>Grupo focal 1</v>
      </c>
      <c r="P34" s="1" t="str">
        <v/>
      </c>
      <c r="Q34" s="1">
        <f t="shared" si="0"/>
        <v>1</v>
      </c>
      <c r="R34" s="1">
        <f t="shared" si="1"/>
        <v>0</v>
      </c>
      <c r="S34">
        <v>1</v>
      </c>
      <c r="T34">
        <f t="shared" si="2"/>
        <v>0</v>
      </c>
      <c r="U34">
        <f t="shared" si="3"/>
        <v>0</v>
      </c>
    </row>
    <row r="35" x14ac:dyDescent="0.35">
      <c r="A35" s="15" t="str">
        <v>34</v>
      </c>
      <c r="B35" s="23" t="str">
        <v>Zoila Cabanillas</v>
      </c>
      <c r="C35" t="str">
        <v>Grupo focal de reconocimiento</v>
      </c>
      <c r="D35" t="str">
        <v>Wami Ñan</v>
      </c>
      <c r="E35" t="str">
        <v>Acompañantes</v>
      </c>
      <c r="F35" t="str">
        <v>Distrito Judicial: Lima</v>
      </c>
      <c r="G35" t="str">
        <v>IJM</v>
      </c>
      <c r="H35" t="str">
        <v>Sí</v>
      </c>
      <c r="I35" s="2" t="str">
        <v> 4/27/2026</v>
      </c>
      <c r="J35" s="2" t="str">
        <v> 6-May</v>
      </c>
      <c r="K35" s="2" t="str">
        <v/>
      </c>
      <c r="L35" s="1" t="str">
        <v>Aceptada</v>
      </c>
      <c r="M35" s="2" t="str">
        <v>20-May</v>
      </c>
      <c r="N35" s="1" t="str">
        <v>Sí</v>
      </c>
      <c r="O35" s="1" t="str">
        <v>Grupo focal 2</v>
      </c>
      <c r="P35" s="1" t="str">
        <v/>
      </c>
      <c r="Q35" s="1">
        <f t="shared" si="0"/>
        <v>1</v>
      </c>
      <c r="R35" s="1">
        <f t="shared" si="1"/>
        <v>0</v>
      </c>
      <c r="S35">
        <v>1</v>
      </c>
      <c r="T35">
        <f t="shared" si="2"/>
        <v>1</v>
      </c>
      <c r="U35">
        <f t="shared" si="3"/>
        <v>1</v>
      </c>
    </row>
    <row r="36" x14ac:dyDescent="0.35">
      <c r="A36" s="15" t="str">
        <v>35</v>
      </c>
      <c r="B36" s="23" t="str">
        <v>Santos Vanessa Díaz Angulo de Loayza</v>
      </c>
      <c r="C36" t="str">
        <v/>
      </c>
      <c r="D36" t="str">
        <v>Wami Ñan</v>
      </c>
      <c r="E36" t="str">
        <v>Acompañantes</v>
      </c>
      <c r="F36" t="str">
        <v>Distrito Judicial: Loreto</v>
      </c>
      <c r="G36" t="str">
        <v/>
      </c>
      <c r="H36" t="str">
        <v>Sí</v>
      </c>
      <c r="I36" s="2" t="str">
        <v/>
      </c>
      <c r="J36" s="2" t="str">
        <v/>
      </c>
      <c r="K36" s="2" t="str">
        <v/>
      </c>
      <c r="L36" s="1" t="str">
        <v>Aceptada</v>
      </c>
      <c r="M36" s="2" t="str">
        <v>20-May</v>
      </c>
      <c r="N36" s="1" t="str">
        <v>Sí</v>
      </c>
      <c r="O36" s="1" t="str">
        <v>Grupo focal 2</v>
      </c>
      <c r="P36" s="1" t="str">
        <v/>
      </c>
      <c r="Q36" s="1">
        <f t="shared" si="0"/>
        <v>1</v>
      </c>
      <c r="R36" s="1">
        <f t="shared" si="1"/>
        <v>0</v>
      </c>
      <c r="S36">
        <v>1</v>
      </c>
      <c r="T36">
        <f t="shared" si="2"/>
        <v>1</v>
      </c>
      <c r="U36">
        <f t="shared" si="3"/>
        <v>1</v>
      </c>
    </row>
    <row r="37" x14ac:dyDescent="0.35">
      <c r="A37" s="15" t="str">
        <v>36</v>
      </c>
      <c r="B37" s="23" t="str">
        <v>Ever Nuñez</v>
      </c>
      <c r="C37" t="str">
        <v>Grupo focal de reconocimiento</v>
      </c>
      <c r="D37" t="str">
        <v>Red Nacional de Promoción de la Mujer – RNPM</v>
      </c>
      <c r="E37" t="str">
        <v>Acompañantes</v>
      </c>
      <c r="F37" t="str">
        <v>Distrito Judicial: Sullana</v>
      </c>
      <c r="G37" t="str">
        <v>APOYO</v>
      </c>
      <c r="H37" t="str">
        <v>Sí</v>
      </c>
      <c r="I37" s="2" t="str">
        <v>29-Apr</v>
      </c>
      <c r="J37" s="2" t="str">
        <v> 6-May</v>
      </c>
      <c r="K37" s="2" t="str">
        <v> 8-May</v>
      </c>
      <c r="L37" s="1" t="str">
        <v>En coordinación</v>
      </c>
      <c r="M37" s="2" t="str">
        <v>11-May</v>
      </c>
      <c r="N37" s="1" t="str">
        <v/>
      </c>
      <c r="O37" s="1" t="str">
        <v>Grupo focal 1</v>
      </c>
      <c r="P37" s="1" t="str">
        <v/>
      </c>
      <c r="Q37" s="1">
        <f t="shared" si="0"/>
        <v>1</v>
      </c>
      <c r="R37" s="1">
        <f t="shared" si="1"/>
        <v>1</v>
      </c>
      <c r="S37">
        <v>1</v>
      </c>
      <c r="T37">
        <f t="shared" si="2"/>
        <v>0</v>
      </c>
      <c r="U37">
        <f t="shared" si="3"/>
        <v>0</v>
      </c>
    </row>
    <row r="38" x14ac:dyDescent="0.35">
      <c r="A38" s="15" t="str">
        <v>37</v>
      </c>
      <c r="B38" s="23" t="str">
        <v>Tania Pariona Tarqui</v>
      </c>
      <c r="C38" t="str">
        <v>Grupo focal de reconocimiento</v>
      </c>
      <c r="D38" t="str">
        <v>Coordinadora Nacional de Derechos Humanos (CNDDHH)</v>
      </c>
      <c r="E38" t="str">
        <v>Acompañantes</v>
      </c>
      <c r="F38" t="str">
        <v>Distrito Judicial: Huánuco</v>
      </c>
      <c r="G38" t="str">
        <v>APOYO</v>
      </c>
      <c r="H38" t="str">
        <v>Sí</v>
      </c>
      <c r="I38" s="2" t="str">
        <v>29-Apr</v>
      </c>
      <c r="J38" s="2" t="str">
        <v> 6-May</v>
      </c>
      <c r="K38" s="2" t="str">
        <v/>
      </c>
      <c r="L38" s="1" t="str">
        <v>Aceptada</v>
      </c>
      <c r="M38" s="2" t="str">
        <v>20-May</v>
      </c>
      <c r="N38" s="1" t="str">
        <v>Sí</v>
      </c>
      <c r="O38" s="1" t="str">
        <v>Grupo focal 2</v>
      </c>
      <c r="P38" s="1" t="str">
        <v/>
      </c>
      <c r="Q38" s="1">
        <f t="shared" si="0"/>
        <v>1</v>
      </c>
      <c r="R38" s="1">
        <f t="shared" si="1"/>
        <v>0</v>
      </c>
      <c r="S38">
        <v>1</v>
      </c>
      <c r="T38">
        <f t="shared" si="2"/>
        <v>1</v>
      </c>
      <c r="U38">
        <f t="shared" si="3"/>
        <v>1</v>
      </c>
    </row>
    <row r="39" x14ac:dyDescent="0.35">
      <c r="A39" s="15" t="str">
        <v>38</v>
      </c>
      <c r="B39" s="23" t="str">
        <v>Sonia Condoria Mitma</v>
      </c>
      <c r="C39" t="str">
        <v>Grupo focal de reconocimiento</v>
      </c>
      <c r="D39" t="str">
        <v>Orientadoras Judiciales</v>
      </c>
      <c r="E39" t="str">
        <v>Acompañantes</v>
      </c>
      <c r="F39" t="str">
        <v>Distrito Judicial: Ayacucho</v>
      </c>
      <c r="G39" t="str">
        <v>APOYO</v>
      </c>
      <c r="H39" t="str">
        <v>Sí</v>
      </c>
      <c r="I39" s="2" t="str">
        <v>29-Apr</v>
      </c>
      <c r="J39" s="2" t="str">
        <v/>
      </c>
      <c r="K39" s="2" t="str">
        <v/>
      </c>
      <c r="L39" s="1" t="str">
        <v>Aceptada</v>
      </c>
      <c r="M39" s="2" t="str">
        <v>11-May</v>
      </c>
      <c r="N39" s="1" t="str">
        <v>Sí</v>
      </c>
      <c r="O39" s="1" t="str">
        <v>Grupo focal 1</v>
      </c>
      <c r="P39" s="1" t="str">
        <v/>
      </c>
      <c r="Q39" s="1">
        <f t="shared" si="0"/>
        <v>1</v>
      </c>
      <c r="R39" s="1">
        <f t="shared" si="1"/>
        <v>0</v>
      </c>
      <c r="S39">
        <v>1</v>
      </c>
      <c r="T39">
        <f t="shared" si="2"/>
        <v>1</v>
      </c>
      <c r="U39">
        <f t="shared" si="3"/>
        <v>1</v>
      </c>
    </row>
    <row r="40" x14ac:dyDescent="0.35">
      <c r="A40" s="15" t="str">
        <v>39</v>
      </c>
      <c r="B40" s="23" t="str">
        <v>Carmen Rosa Villela Vargas</v>
      </c>
      <c r="C40" t="str">
        <v>Grupo focal de reconocimiento</v>
      </c>
      <c r="D40" t="str">
        <v>Orientadoras Judiciales</v>
      </c>
      <c r="E40" t="str">
        <v>Acompañantes</v>
      </c>
      <c r="F40" t="str">
        <v>Distrito Judicial: Lima</v>
      </c>
      <c r="G40" t="str">
        <v>APOYO</v>
      </c>
      <c r="H40" t="str">
        <v>Sí</v>
      </c>
      <c r="I40" s="2" t="str">
        <v>29-Apr</v>
      </c>
      <c r="J40" s="2" t="str">
        <v> 6-May</v>
      </c>
      <c r="K40" s="2" t="str">
        <v> 8-May</v>
      </c>
      <c r="L40" s="1" t="str">
        <v>Sin respuesta</v>
      </c>
      <c r="M40" s="2" t="str">
        <v/>
      </c>
      <c r="N40" s="1" t="str">
        <v/>
      </c>
      <c r="O40" s="1" t="str">
        <v>Grupo focal 2</v>
      </c>
      <c r="P40" s="1" t="str">
        <v/>
      </c>
      <c r="Q40" s="1">
        <f t="shared" si="0"/>
        <v>1</v>
      </c>
      <c r="R40" s="1">
        <f t="shared" si="1"/>
        <v>0</v>
      </c>
      <c r="S40">
        <v>1</v>
      </c>
      <c r="T40">
        <f t="shared" si="2"/>
        <v>0</v>
      </c>
      <c r="U40">
        <f t="shared" si="3"/>
        <v>0</v>
      </c>
    </row>
    <row r="41" x14ac:dyDescent="0.35">
      <c r="A41" s="15" t="str">
        <v>40</v>
      </c>
      <c r="B41" s="23" t="str">
        <v>Eutropia Ayllon León de Lima Norte</v>
      </c>
      <c r="C41" t="str">
        <v>Grupo focal de reconocimiento</v>
      </c>
      <c r="D41" t="str">
        <v>Orientadoras Judiciales</v>
      </c>
      <c r="E41" t="str">
        <v>Acompañantes</v>
      </c>
      <c r="F41" t="str">
        <v>Distrito Judicial: Lima Norte</v>
      </c>
      <c r="G41" t="str">
        <v>APOYO</v>
      </c>
      <c r="H41" t="str">
        <v>Sí</v>
      </c>
      <c r="I41" s="2" t="str">
        <v> 6-May</v>
      </c>
      <c r="J41" s="2" t="str">
        <v/>
      </c>
      <c r="K41" s="2" t="str">
        <v/>
      </c>
      <c r="L41" s="1" t="str">
        <v>Aceptada</v>
      </c>
      <c r="M41" s="2" t="str">
        <v>11-May</v>
      </c>
      <c r="N41" s="1" t="str">
        <v>Sí</v>
      </c>
      <c r="O41" s="1" t="str">
        <v>Grupo focal 1</v>
      </c>
      <c r="P41" s="1" t="str">
        <v/>
      </c>
      <c r="Q41" s="1">
        <f t="shared" si="0"/>
        <v>1</v>
      </c>
      <c r="R41" s="1">
        <f t="shared" si="1"/>
        <v>0</v>
      </c>
      <c r="S41">
        <v>1</v>
      </c>
      <c r="T41">
        <f t="shared" si="2"/>
        <v>1</v>
      </c>
      <c r="U41">
        <f t="shared" si="3"/>
        <v>1</v>
      </c>
    </row>
    <row r="42" x14ac:dyDescent="0.35">
      <c r="A42" s="21" t="str">
        <v>41</v>
      </c>
      <c r="B42" s="23" t="str">
        <v>Irma Milagritos Llontop Vilchez</v>
      </c>
      <c r="C42" t="str">
        <v>Grupo focal de reconocimiento</v>
      </c>
      <c r="D42" t="str">
        <v>Defensa Pública</v>
      </c>
      <c r="E42" t="str">
        <v>Acompañantes</v>
      </c>
      <c r="F42" t="str">
        <v>Nacional</v>
      </c>
      <c r="G42" t="str">
        <v>IJM</v>
      </c>
      <c r="H42" t="str">
        <v>Sí</v>
      </c>
      <c r="I42" s="2" t="str">
        <v> 4/27/2026</v>
      </c>
      <c r="J42" s="2" t="str">
        <v>13-May</v>
      </c>
      <c r="K42" s="2" t="str">
        <v/>
      </c>
      <c r="L42" s="1" t="str">
        <v>Aceptada</v>
      </c>
      <c r="M42" s="2" t="str">
        <v>20-May</v>
      </c>
      <c r="N42" s="1" t="str">
        <v>Sí</v>
      </c>
      <c r="O42" s="1" t="str">
        <v>Grupo focal 2</v>
      </c>
      <c r="P42" s="1" t="str">
        <v/>
      </c>
      <c r="Q42" s="1">
        <f t="shared" si="0"/>
        <v>1</v>
      </c>
      <c r="R42" s="1">
        <f t="shared" si="1"/>
        <v>0</v>
      </c>
      <c r="S42">
        <v>1</v>
      </c>
      <c r="T42">
        <f t="shared" si="2"/>
        <v>1</v>
      </c>
      <c r="U42">
        <f t="shared" si="3"/>
        <v>1</v>
      </c>
    </row>
    <row r="43" x14ac:dyDescent="0.35">
      <c r="A43" s="21" t="str">
        <v>42</v>
      </c>
      <c r="B43" s="23" t="str">
        <v>Estela Lozano Reyes</v>
      </c>
      <c r="C43" t="str">
        <v>Grupo focal de reconocimiento</v>
      </c>
      <c r="D43" t="str">
        <v>Defensoría del Pueblo</v>
      </c>
      <c r="E43" t="str">
        <v>Acompañantes</v>
      </c>
      <c r="F43" t="str">
        <v>Nacional</v>
      </c>
      <c r="G43" t="str">
        <v>IJM</v>
      </c>
      <c r="H43" t="str">
        <v>Sí</v>
      </c>
      <c r="I43" s="2" t="str">
        <v>27-Apr</v>
      </c>
      <c r="J43" s="2" t="str">
        <v> 6-May</v>
      </c>
      <c r="K43" s="2" t="str">
        <v>14-May</v>
      </c>
      <c r="L43" s="1" t="str">
        <v>En coordinación</v>
      </c>
      <c r="M43" s="2" t="str">
        <v>11-May</v>
      </c>
      <c r="N43" s="1" t="str">
        <v/>
      </c>
      <c r="O43" s="1" t="str">
        <v>Grupo focal 1</v>
      </c>
      <c r="P43" s="1" t="str">
        <v/>
      </c>
      <c r="Q43" s="1">
        <f t="shared" si="0"/>
        <v>1</v>
      </c>
      <c r="R43" s="1">
        <f t="shared" si="1"/>
        <v>1</v>
      </c>
      <c r="S43">
        <v>1</v>
      </c>
      <c r="T43">
        <f t="shared" si="2"/>
        <v>0</v>
      </c>
      <c r="U43">
        <f t="shared" si="3"/>
        <v>0</v>
      </c>
    </row>
    <row r="44" x14ac:dyDescent="0.35">
      <c r="A44" s="21" t="str">
        <v>43</v>
      </c>
      <c r="B44" s="23" t="str">
        <v>Elga Prado</v>
      </c>
      <c r="C44" t="str">
        <v>Grupo focal de reconocimiento</v>
      </c>
      <c r="D44" t="str">
        <v>Manuela Ramos</v>
      </c>
      <c r="E44" t="str">
        <v>Actores locales</v>
      </c>
      <c r="F44" t="str">
        <v>Nacional</v>
      </c>
      <c r="G44" t="str">
        <v>IJM</v>
      </c>
      <c r="H44" t="str">
        <v>Sí</v>
      </c>
      <c r="I44" s="2" t="str">
        <v>  5/5/2026</v>
      </c>
      <c r="J44" s="2" t="str">
        <v>14-May</v>
      </c>
      <c r="K44" s="2" t="str">
        <v/>
      </c>
      <c r="L44" s="1" t="str">
        <v>En coordinación</v>
      </c>
      <c r="M44" s="2" t="str">
        <v>11-May</v>
      </c>
      <c r="N44" s="1" t="str">
        <v/>
      </c>
      <c r="O44" s="1" t="str">
        <v>Grupo focal 1</v>
      </c>
      <c r="P44" s="1" t="str">
        <v/>
      </c>
      <c r="Q44" s="1">
        <f t="shared" si="0"/>
        <v>1</v>
      </c>
      <c r="R44" s="1">
        <f t="shared" si="1"/>
        <v>1</v>
      </c>
      <c r="S44">
        <v>1</v>
      </c>
      <c r="T44">
        <f t="shared" si="2"/>
        <v>0</v>
      </c>
      <c r="U44">
        <f t="shared" si="3"/>
        <v>0</v>
      </c>
    </row>
    <row r="45" x14ac:dyDescent="0.35">
      <c r="A45" s="21" t="str">
        <v>44</v>
      </c>
      <c r="B45" s="23" t="str">
        <v>Fabiana Rodari </v>
      </c>
      <c r="C45" t="str">
        <v>Grupo focal de reconocimiento</v>
      </c>
      <c r="D45" t="str">
        <v>Apurímac ETS</v>
      </c>
      <c r="E45" t="str">
        <v>Acompañantes</v>
      </c>
      <c r="F45" t="str">
        <v>Distrito Judicial: Apurímac</v>
      </c>
      <c r="G45" t="str">
        <v>IJM</v>
      </c>
      <c r="H45" t="str">
        <v>Sí</v>
      </c>
      <c r="I45" s="2" t="str">
        <v> 5-May</v>
      </c>
      <c r="J45" s="2" t="str">
        <v/>
      </c>
      <c r="K45" s="2" t="str">
        <v/>
      </c>
      <c r="L45" s="1" t="str">
        <v>Aceptada</v>
      </c>
      <c r="M45" s="2" t="str">
        <v>11-May</v>
      </c>
      <c r="N45" s="1" t="str">
        <v>Sí</v>
      </c>
      <c r="O45" s="1" t="str">
        <v>Grupo focal 1</v>
      </c>
      <c r="P45" s="1" t="str">
        <v/>
      </c>
      <c r="Q45" s="1">
        <f t="shared" si="0"/>
        <v>1</v>
      </c>
      <c r="R45" s="1">
        <f t="shared" si="1"/>
        <v>0</v>
      </c>
      <c r="S45">
        <v>1</v>
      </c>
      <c r="T45">
        <f t="shared" si="2"/>
        <v>1</v>
      </c>
      <c r="U45">
        <f t="shared" si="3"/>
        <v>1</v>
      </c>
    </row>
    <row r="46" x14ac:dyDescent="0.35">
      <c r="A46" s="21" t="str">
        <v>45</v>
      </c>
      <c r="B46" s="23" t="str">
        <v>Víctor Canales</v>
      </c>
      <c r="C46" t="str">
        <v>Grupo focal de reconocimiento</v>
      </c>
      <c r="D46" t="str">
        <v>Warmi Wasi</v>
      </c>
      <c r="E46" t="str">
        <v>Actores locales</v>
      </c>
      <c r="F46" t="str">
        <v>Nacional</v>
      </c>
      <c r="G46" t="str">
        <v>IJM</v>
      </c>
      <c r="H46" t="str">
        <v>Sí</v>
      </c>
      <c r="I46" s="2" t="str">
        <v/>
      </c>
      <c r="J46" s="2" t="str">
        <v/>
      </c>
      <c r="K46" s="2" t="str">
        <v/>
      </c>
      <c r="L46" s="1" t="str">
        <v>Aceptada</v>
      </c>
      <c r="M46" s="2" t="str">
        <v>20-May</v>
      </c>
      <c r="N46" s="1" t="str">
        <v>Sí</v>
      </c>
      <c r="O46" s="1" t="str">
        <v>Grupo focal 2</v>
      </c>
      <c r="P46" s="1" t="str">
        <v/>
      </c>
      <c r="Q46" s="1">
        <f t="shared" si="0"/>
        <v>1</v>
      </c>
      <c r="R46" s="1">
        <f t="shared" si="1"/>
        <v>0</v>
      </c>
      <c r="S46">
        <v>1</v>
      </c>
      <c r="T46">
        <f t="shared" si="2"/>
        <v>1</v>
      </c>
      <c r="U46">
        <f t="shared" si="3"/>
        <v>1</v>
      </c>
    </row>
    <row r="47" x14ac:dyDescent="0.35">
      <c r="A47" s="21" t="str">
        <v>46</v>
      </c>
      <c r="B47" s="23" t="str">
        <v>Patricia Nieto</v>
      </c>
      <c r="C47" t="str">
        <v>Grupo focal de reconocimiento</v>
      </c>
      <c r="D47" t="str">
        <v>ONG Buckner</v>
      </c>
      <c r="E47" t="str">
        <v>Actores locales</v>
      </c>
      <c r="F47" t="str">
        <v>Nacional</v>
      </c>
      <c r="G47" t="str">
        <v>IJM</v>
      </c>
      <c r="H47" t="str">
        <v>Sí</v>
      </c>
      <c r="I47" s="2" t="str">
        <v> 8-May</v>
      </c>
      <c r="J47" s="2" t="str">
        <v>14-May</v>
      </c>
      <c r="K47" s="2" t="str">
        <v/>
      </c>
      <c r="L47" s="1" t="str">
        <v>Aceptada</v>
      </c>
      <c r="M47" s="2" t="str">
        <v>20-May</v>
      </c>
      <c r="N47" s="1" t="str">
        <v>Sí</v>
      </c>
      <c r="O47" s="1" t="str">
        <v>Grupo focal 2</v>
      </c>
      <c r="P47" s="1" t="str">
        <v/>
      </c>
      <c r="Q47" s="1">
        <f t="shared" si="0"/>
        <v>1</v>
      </c>
      <c r="R47" s="1">
        <f t="shared" si="1"/>
        <v>0</v>
      </c>
      <c r="S47">
        <v>1</v>
      </c>
      <c r="T47">
        <f t="shared" si="2"/>
        <v>1</v>
      </c>
      <c r="U47">
        <f t="shared" si="3"/>
        <v>1</v>
      </c>
    </row>
    <row r="48" x14ac:dyDescent="0.35">
      <c r="A48" s="21" t="str">
        <v>47</v>
      </c>
      <c r="B48" s="23" t="str">
        <v>Liz Meléndez López</v>
      </c>
      <c r="C48" t="str">
        <v>Grupo focal de reconocimiento</v>
      </c>
      <c r="D48" t="str">
        <v>Centro de la Mujer Peruana Flora Tristán</v>
      </c>
      <c r="E48" t="str">
        <v>Acompañantes</v>
      </c>
      <c r="F48" t="str">
        <v>Distrito Judicial: Lima Norte</v>
      </c>
      <c r="G48" t="str">
        <v>IJM</v>
      </c>
      <c r="H48" t="str">
        <v>Sí</v>
      </c>
      <c r="I48" s="2" t="str">
        <v>15-May</v>
      </c>
      <c r="J48" s="2" t="str">
        <v/>
      </c>
      <c r="K48" s="2" t="str">
        <v/>
      </c>
      <c r="L48" s="1" t="str">
        <v/>
      </c>
      <c r="M48" s="2" t="str">
        <v/>
      </c>
      <c r="N48" s="1" t="str">
        <v/>
      </c>
      <c r="O48" s="1" t="str">
        <v>Grupo focal 2</v>
      </c>
      <c r="P48" s="1" t="str">
        <v/>
      </c>
      <c r="Q48" s="1">
        <f t="shared" si="0"/>
        <v>1</v>
      </c>
      <c r="R48" s="1">
        <f t="shared" si="1"/>
        <v>0</v>
      </c>
      <c r="S48">
        <v>1</v>
      </c>
      <c r="T48">
        <f t="shared" si="2"/>
        <v>0</v>
      </c>
      <c r="U48">
        <f t="shared" si="3"/>
        <v>0</v>
      </c>
    </row>
    <row r="49" x14ac:dyDescent="0.35">
      <c r="A49" s="21" t="str">
        <v>48</v>
      </c>
      <c r="B49" s="23" t="str">
        <v>María Pía Molero</v>
      </c>
      <c r="C49" t="str">
        <v>Grupo focal de reconocimiento</v>
      </c>
      <c r="D49" t="str">
        <v>ONU Mujer</v>
      </c>
      <c r="E49" t="str">
        <v>Multilaterales</v>
      </c>
      <c r="F49" t="str">
        <v>Distrito Judicial: Huánuco</v>
      </c>
      <c r="G49" t="str">
        <v>IJM</v>
      </c>
      <c r="H49" t="str">
        <v>Sí</v>
      </c>
      <c r="I49" s="2" t="str">
        <v>15-May</v>
      </c>
      <c r="J49" s="2" t="str">
        <v/>
      </c>
      <c r="K49" s="2" t="str">
        <v/>
      </c>
      <c r="L49" s="1" t="str">
        <v/>
      </c>
      <c r="M49" s="2" t="str">
        <v/>
      </c>
      <c r="N49" s="1" t="str">
        <v/>
      </c>
      <c r="O49" s="1" t="str">
        <v>Grupo focal 2</v>
      </c>
      <c r="P49" s="1" t="str">
        <v/>
      </c>
      <c r="Q49" s="1">
        <f t="shared" si="0"/>
        <v>1</v>
      </c>
      <c r="R49" s="1">
        <f t="shared" si="1"/>
        <v>0</v>
      </c>
      <c r="S49">
        <v>1</v>
      </c>
      <c r="T49">
        <f t="shared" si="2"/>
        <v>0</v>
      </c>
      <c r="U49">
        <f t="shared" si="3"/>
        <v>0</v>
      </c>
    </row>
    <row r="50" x14ac:dyDescent="0.35">
      <c r="A50" s="21" t="str">
        <v>49</v>
      </c>
      <c r="B50" s="23" t="str">
        <v>Susana Osorio</v>
      </c>
      <c r="C50" t="str">
        <v>Grupo focal de reconocimiento</v>
      </c>
      <c r="D50" t="str">
        <v>Save the children </v>
      </c>
      <c r="E50" t="str">
        <v>Multilaterales</v>
      </c>
      <c r="F50" t="str">
        <v>Nacional</v>
      </c>
      <c r="G50" t="str">
        <v>IJM</v>
      </c>
      <c r="H50" t="str">
        <v>Sí</v>
      </c>
      <c r="I50" s="2" t="str">
        <v>15-May</v>
      </c>
      <c r="J50" s="2" t="str">
        <v/>
      </c>
      <c r="K50" s="2" t="str">
        <v/>
      </c>
      <c r="L50" s="1" t="str">
        <v/>
      </c>
      <c r="M50" s="2" t="str">
        <v/>
      </c>
      <c r="N50" s="1" t="str">
        <v/>
      </c>
      <c r="O50" s="1" t="str">
        <v>Grupo focal 2</v>
      </c>
      <c r="P50" s="1" t="str">
        <v/>
      </c>
      <c r="Q50" s="1">
        <f t="shared" si="0"/>
        <v>1</v>
      </c>
      <c r="R50" s="1">
        <f t="shared" si="1"/>
        <v>0</v>
      </c>
      <c r="S50">
        <v>1</v>
      </c>
      <c r="T50">
        <f t="shared" si="2"/>
        <v>0</v>
      </c>
      <c r="U50">
        <f t="shared" si="3"/>
        <v>0</v>
      </c>
    </row>
    <row r="51" x14ac:dyDescent="0.35">
      <c r="A51" s="21" t="str">
        <v>50</v>
      </c>
      <c r="B51" s="23" t="str">
        <v>Diana Rodriguez / Antonella Rojas</v>
      </c>
      <c r="C51" t="str">
        <v>Grupo focal de reconocimiento</v>
      </c>
      <c r="D51" t="str">
        <v>Save the children </v>
      </c>
      <c r="E51" t="str">
        <v>Multilaterales</v>
      </c>
      <c r="F51" t="str">
        <v>Nacional</v>
      </c>
      <c r="G51" t="str">
        <v/>
      </c>
      <c r="H51" t="str">
        <v>Sí</v>
      </c>
      <c r="I51" s="2" t="str">
        <v>15-May</v>
      </c>
      <c r="J51" s="2" t="str">
        <v>18-May</v>
      </c>
      <c r="K51" s="2" t="str">
        <v/>
      </c>
      <c r="L51" s="1" t="str">
        <v>Aceptada</v>
      </c>
      <c r="M51" s="2" t="str">
        <v>20-May</v>
      </c>
      <c r="N51" s="1" t="str">
        <v/>
      </c>
      <c r="O51" s="1" t="str">
        <v>Grupo focal 2</v>
      </c>
      <c r="P51" s="1" t="str">
        <v/>
      </c>
      <c r="Q51" s="1">
        <f t="shared" si="0"/>
        <v>1</v>
      </c>
      <c r="R51" s="1">
        <f t="shared" si="1"/>
        <v>0</v>
      </c>
      <c r="S51">
        <v>1</v>
      </c>
      <c r="T51">
        <f t="shared" si="2"/>
        <v>0</v>
      </c>
      <c r="U51">
        <f t="shared" si="3"/>
        <v>1</v>
      </c>
    </row>
    <row r="52" x14ac:dyDescent="0.35">
      <c r="A52" s="21" t="str">
        <v>51</v>
      </c>
      <c r="B52" s="23" t="str">
        <v>Gianina Marquez Olivera</v>
      </c>
      <c r="C52" t="str">
        <v>Grupo focal de reconocimiento</v>
      </c>
      <c r="D52" t="str">
        <v>Quinta Ola</v>
      </c>
      <c r="E52" t="str">
        <v>Acompañantes</v>
      </c>
      <c r="F52" t="str">
        <v>Nacional</v>
      </c>
      <c r="G52" t="str">
        <v>IJM</v>
      </c>
      <c r="H52" t="str">
        <v>Sí</v>
      </c>
      <c r="I52" s="2" t="str">
        <v>15-May</v>
      </c>
      <c r="J52" s="2" t="str">
        <v/>
      </c>
      <c r="K52" s="2" t="str">
        <v/>
      </c>
      <c r="L52" s="1" t="str">
        <v>Aceptada</v>
      </c>
      <c r="M52" s="2" t="str">
        <v>20-May</v>
      </c>
      <c r="N52" s="1" t="str">
        <v/>
      </c>
      <c r="O52" s="1" t="str">
        <v>Grupo focal 2</v>
      </c>
      <c r="P52" s="1" t="str">
        <v/>
      </c>
      <c r="Q52" s="1">
        <f t="shared" si="0"/>
        <v>1</v>
      </c>
      <c r="R52" s="1">
        <f t="shared" si="1"/>
        <v>0</v>
      </c>
      <c r="S52">
        <v>1</v>
      </c>
      <c r="T52">
        <f t="shared" si="2"/>
        <v>0</v>
      </c>
      <c r="U52">
        <f t="shared" si="3"/>
        <v>1</v>
      </c>
    </row>
    <row r="53" x14ac:dyDescent="0.35">
      <c r="A53" s="21" t="str">
        <v>52</v>
      </c>
      <c r="B53" s="23" t="str">
        <v>Jimena Chavez</v>
      </c>
      <c r="C53" t="str">
        <v>Grupo focal de reconocimiento</v>
      </c>
      <c r="D53" t="str">
        <v>DVV International</v>
      </c>
      <c r="E53" t="str">
        <v>Actores locales</v>
      </c>
      <c r="F53" t="str">
        <v>Nacional</v>
      </c>
      <c r="G53" t="str">
        <v>IJM</v>
      </c>
      <c r="H53" t="str">
        <v/>
      </c>
      <c r="I53" s="2" t="str">
        <v>15-May</v>
      </c>
      <c r="J53" s="2" t="str">
        <v/>
      </c>
      <c r="K53" s="2" t="str">
        <v/>
      </c>
      <c r="L53" s="1" t="str">
        <v/>
      </c>
      <c r="M53" s="2" t="str">
        <v/>
      </c>
      <c r="N53" s="1" t="str">
        <v/>
      </c>
      <c r="O53" s="1" t="str">
        <v>Grupo focal 2</v>
      </c>
      <c r="P53" s="1" t="str">
        <v/>
      </c>
      <c r="Q53" s="1">
        <f t="shared" si="0"/>
        <v>0</v>
      </c>
      <c r="R53" s="1">
        <f t="shared" si="1"/>
        <v>0</v>
      </c>
      <c r="S53">
        <v>1</v>
      </c>
      <c r="T53">
        <f t="shared" si="2"/>
        <v>0</v>
      </c>
      <c r="U53">
        <f t="shared" si="3"/>
        <v>0</v>
      </c>
    </row>
    <row r="54" x14ac:dyDescent="0.35">
      <c r="A54" s="21" t="str">
        <v>53</v>
      </c>
      <c r="B54" s="23" t="str">
        <v>Susana Gonzalez</v>
      </c>
      <c r="C54" t="str">
        <v>Grupo focal de reconocimiento</v>
      </c>
      <c r="D54" t="str">
        <v>Asociación de mujeres de Gamarra</v>
      </c>
      <c r="E54" t="str">
        <v>Acompañantes</v>
      </c>
      <c r="F54" t="str">
        <v>Distrito Judicial: Lima Este</v>
      </c>
      <c r="G54" t="str">
        <v>IJM</v>
      </c>
      <c r="H54" t="str">
        <v>Sí</v>
      </c>
      <c r="I54" s="2" t="str">
        <v>15-May</v>
      </c>
      <c r="J54" s="2" t="str">
        <v/>
      </c>
      <c r="K54" s="2" t="str">
        <v/>
      </c>
      <c r="L54" s="1" t="str">
        <v/>
      </c>
      <c r="M54" s="2" t="str">
        <v/>
      </c>
      <c r="N54" s="1" t="str">
        <v/>
      </c>
      <c r="O54" s="1" t="str">
        <v>Grupo focal 2</v>
      </c>
      <c r="P54" s="1" t="str">
        <v/>
      </c>
      <c r="Q54" s="1">
        <f t="shared" si="0"/>
        <v>1</v>
      </c>
      <c r="R54" s="1">
        <f t="shared" si="1"/>
        <v>0</v>
      </c>
      <c r="S54">
        <v>1</v>
      </c>
      <c r="T54">
        <f t="shared" si="2"/>
        <v>0</v>
      </c>
      <c r="U54">
        <f t="shared" si="3"/>
        <v>0</v>
      </c>
    </row>
    <row r="55" x14ac:dyDescent="0.35">
      <c r="A55" s="21" t="str">
        <v>54</v>
      </c>
      <c r="B55" s="23" t="str">
        <v>Luisa Martinez</v>
      </c>
      <c r="C55" t="str">
        <v>Grupo focal de reconocimiento</v>
      </c>
      <c r="D55" t="str">
        <v>UNICEF</v>
      </c>
      <c r="E55" t="str">
        <v>Multilaterales</v>
      </c>
      <c r="F55" t="str">
        <v>Nacional</v>
      </c>
      <c r="G55" t="str">
        <v>IJM</v>
      </c>
      <c r="H55" t="str">
        <v>Sí</v>
      </c>
      <c r="I55" s="2" t="str">
        <v>15-May</v>
      </c>
      <c r="J55" s="2" t="str">
        <v/>
      </c>
      <c r="K55" s="2" t="str">
        <v/>
      </c>
      <c r="L55" s="1" t="str">
        <v/>
      </c>
      <c r="M55" s="2" t="str">
        <v/>
      </c>
      <c r="N55" s="1" t="str">
        <v/>
      </c>
      <c r="O55" s="1" t="str">
        <v>Grupo focal 2</v>
      </c>
      <c r="P55" s="1" t="str">
        <v/>
      </c>
      <c r="Q55" s="1">
        <f t="shared" si="0"/>
        <v>1</v>
      </c>
      <c r="R55" s="1">
        <f t="shared" si="1"/>
        <v>0</v>
      </c>
      <c r="S55">
        <v>1</v>
      </c>
      <c r="T55">
        <f t="shared" si="2"/>
        <v>0</v>
      </c>
      <c r="U55">
        <f t="shared" si="3"/>
        <v>0</v>
      </c>
    </row>
    <row r="56" x14ac:dyDescent="0.35">
      <c r="A56" s="21" t="str">
        <v>55</v>
      </c>
      <c r="B56" s="23" t="str">
        <v>Angela Dominguez</v>
      </c>
      <c r="C56" t="str">
        <v>Grupo focal de reconocimiento</v>
      </c>
      <c r="D56" t="str">
        <v>CEM</v>
      </c>
      <c r="E56" t="str">
        <v>Acompañantes</v>
      </c>
      <c r="F56" t="str">
        <v>Distrito Judicial: La Libertad</v>
      </c>
      <c r="G56" t="str">
        <v>APOYO</v>
      </c>
      <c r="H56" t="str">
        <v>Sí</v>
      </c>
      <c r="I56" s="2" t="str">
        <v>11-May</v>
      </c>
      <c r="J56" s="2" t="str">
        <v/>
      </c>
      <c r="K56" s="2" t="str">
        <v/>
      </c>
      <c r="L56" s="1" t="str">
        <v>Aceptada</v>
      </c>
      <c r="M56" s="2" t="str">
        <v>11-May</v>
      </c>
      <c r="N56" s="1" t="str">
        <v>Sí</v>
      </c>
      <c r="O56" s="1" t="str">
        <v>Grupo focal 1</v>
      </c>
      <c r="P56" s="1" t="str">
        <v/>
      </c>
      <c r="Q56" s="1">
        <f t="shared" si="0"/>
        <v>1</v>
      </c>
      <c r="R56" s="1">
        <f t="shared" si="1"/>
        <v>0</v>
      </c>
      <c r="S56">
        <v>1</v>
      </c>
      <c r="T56">
        <f t="shared" si="2"/>
        <v>1</v>
      </c>
      <c r="U56">
        <f t="shared" si="3"/>
        <v>1</v>
      </c>
    </row>
    <row r="57" x14ac:dyDescent="0.35">
      <c r="A57" s="21" t="str">
        <v>56</v>
      </c>
      <c r="B57" s="23" t="str">
        <v>Beatriz Cordova</v>
      </c>
      <c r="C57" t="str">
        <v>Grupo focal de reconocimiento</v>
      </c>
      <c r="D57" t="str">
        <v>Quinta Ola</v>
      </c>
      <c r="E57" t="str">
        <v>Acompañantes</v>
      </c>
      <c r="F57" t="str">
        <v>Nacional</v>
      </c>
      <c r="G57" t="str">
        <v>APOYO</v>
      </c>
      <c r="H57" t="str">
        <v>Sí</v>
      </c>
      <c r="I57" s="2" t="str">
        <v>11-May</v>
      </c>
      <c r="J57" s="2" t="str">
        <v/>
      </c>
      <c r="K57" s="2" t="str">
        <v/>
      </c>
      <c r="L57" s="1" t="str">
        <v>Aceptada</v>
      </c>
      <c r="M57" s="2" t="str">
        <v>11-May</v>
      </c>
      <c r="N57" s="1" t="str">
        <v>Sí</v>
      </c>
      <c r="O57" s="1" t="str">
        <v>Grupo focal 1</v>
      </c>
      <c r="P57" s="1" t="str">
        <v/>
      </c>
      <c r="Q57" s="1">
        <f t="shared" si="0"/>
        <v>1</v>
      </c>
      <c r="R57" s="1">
        <f t="shared" si="1"/>
        <v>0</v>
      </c>
      <c r="S57">
        <v>1</v>
      </c>
      <c r="T57">
        <f t="shared" si="2"/>
        <v>1</v>
      </c>
      <c r="U57">
        <f t="shared" si="3"/>
        <v>1</v>
      </c>
    </row>
    <row r="58" x14ac:dyDescent="0.35">
      <c r="A58" s="21" t="str">
        <v>57</v>
      </c>
      <c r="B58" s="23" t="str">
        <v>Virginia Rose Losada</v>
      </c>
      <c r="C58" t="str">
        <v>Grupo focal de reconocimiento</v>
      </c>
      <c r="D58" t="str">
        <v>OIT</v>
      </c>
      <c r="E58" t="str">
        <v>Multilaterales</v>
      </c>
      <c r="F58" t="str">
        <v>Nacional</v>
      </c>
      <c r="G58" t="str">
        <v>APOYO</v>
      </c>
      <c r="H58" t="str">
        <v>Sí</v>
      </c>
      <c r="I58" s="2" t="str">
        <v>15-May</v>
      </c>
      <c r="J58" s="2" t="str">
        <v/>
      </c>
      <c r="K58" s="2" t="str">
        <v/>
      </c>
      <c r="L58" s="1" t="str">
        <v/>
      </c>
      <c r="M58" s="2" t="str">
        <v/>
      </c>
      <c r="N58" s="1" t="str">
        <v/>
      </c>
      <c r="O58" s="1" t="str">
        <v/>
      </c>
      <c r="P58" s="1" t="str">
        <v/>
      </c>
      <c r="Q58" s="1">
        <f t="shared" si="0"/>
        <v>1</v>
      </c>
      <c r="R58" s="1">
        <f t="shared" si="1"/>
        <v>0</v>
      </c>
      <c r="S58">
        <v>1</v>
      </c>
      <c r="T58">
        <f t="shared" si="2"/>
        <v>0</v>
      </c>
      <c r="U58">
        <f t="shared" si="3"/>
        <v>0</v>
      </c>
    </row>
    <row r="59" x14ac:dyDescent="0.35">
      <c r="A59" s="21" t="str">
        <v>58</v>
      </c>
      <c r="B59" s="23" t="str">
        <v>Corali Ormeño Michelena</v>
      </c>
      <c r="C59" t="str">
        <v>Grupo focal de reconocimiento</v>
      </c>
      <c r="D59" t="str">
        <v>CARE ONG</v>
      </c>
      <c r="E59" t="str">
        <v>Multilaterales</v>
      </c>
      <c r="F59" t="str">
        <v>Nacional</v>
      </c>
      <c r="G59" t="str">
        <v>APOYO</v>
      </c>
      <c r="H59" t="str">
        <v>Sí</v>
      </c>
      <c r="I59" s="2" t="str">
        <v>15-May</v>
      </c>
      <c r="J59" s="2" t="str">
        <v/>
      </c>
      <c r="K59" s="2" t="str">
        <v/>
      </c>
      <c r="L59" s="1" t="str">
        <v/>
      </c>
      <c r="M59" s="2" t="str">
        <v/>
      </c>
      <c r="N59" s="1" t="str">
        <v/>
      </c>
      <c r="O59" s="1" t="str">
        <v/>
      </c>
      <c r="P59" s="1" t="str">
        <v/>
      </c>
      <c r="Q59" s="1">
        <f t="shared" si="0"/>
        <v>1</v>
      </c>
      <c r="R59" s="1">
        <f t="shared" si="1"/>
        <v>0</v>
      </c>
      <c r="S59">
        <v>1</v>
      </c>
      <c r="T59">
        <f t="shared" si="2"/>
        <v>0</v>
      </c>
      <c r="U59">
        <f t="shared" si="3"/>
        <v>0</v>
      </c>
    </row>
    <row r="60" x14ac:dyDescent="0.35">
      <c r="A60" s="21" t="str">
        <v>59</v>
      </c>
      <c r="B60" s="23" t="str">
        <v>Giannina Castro Gamarra</v>
      </c>
      <c r="C60" t="str">
        <v>Grupo focal de reconocimiento</v>
      </c>
      <c r="D60" t="str">
        <v>AMEP</v>
      </c>
      <c r="E60" t="str">
        <v>Actores locales</v>
      </c>
      <c r="F60" t="str">
        <v>Distrito Judicial: Lima</v>
      </c>
      <c r="G60" t="str">
        <v>APOYO</v>
      </c>
      <c r="H60" t="str">
        <v>Sí</v>
      </c>
      <c r="I60" s="2" t="str">
        <v>15-May</v>
      </c>
      <c r="J60" s="2" t="str">
        <v/>
      </c>
      <c r="K60" s="2" t="str">
        <v/>
      </c>
      <c r="L60" s="1" t="str">
        <v/>
      </c>
      <c r="M60" s="2" t="str">
        <v/>
      </c>
      <c r="N60" s="1" t="str">
        <v/>
      </c>
      <c r="O60" s="1" t="str">
        <v/>
      </c>
      <c r="P60" s="1" t="str">
        <v/>
      </c>
      <c r="Q60" s="1">
        <f t="shared" si="0"/>
        <v>1</v>
      </c>
      <c r="R60" s="1">
        <f t="shared" si="1"/>
        <v>0</v>
      </c>
      <c r="S60">
        <v>1</v>
      </c>
      <c r="T60">
        <f t="shared" si="2"/>
        <v>0</v>
      </c>
      <c r="U60">
        <f t="shared" si="3"/>
        <v>0</v>
      </c>
    </row>
    <row r="61" x14ac:dyDescent="0.35">
      <c r="A61" s="21" t="str">
        <v>60</v>
      </c>
      <c r="B61" s="23" t="str">
        <v>Carmen Arróspide Poblete</v>
      </c>
      <c r="C61" t="str">
        <v>Grupo focal de reconocimiento</v>
      </c>
      <c r="D61" t="str">
        <v>RENAMEE</v>
      </c>
      <c r="E61" t="str">
        <v>Actores locales</v>
      </c>
      <c r="F61" t="str">
        <v>Distrito Judicial: Cusco</v>
      </c>
      <c r="G61" t="str">
        <v>APOYO</v>
      </c>
      <c r="H61" t="str">
        <v>Sí</v>
      </c>
      <c r="I61" s="2" t="str">
        <v>15-May</v>
      </c>
      <c r="J61" s="2" t="str">
        <v/>
      </c>
      <c r="K61" s="2" t="str">
        <v/>
      </c>
      <c r="L61" s="1" t="str">
        <v/>
      </c>
      <c r="M61" s="2" t="str">
        <v/>
      </c>
      <c r="N61" s="1" t="str">
        <v/>
      </c>
      <c r="O61" s="1" t="str">
        <v/>
      </c>
      <c r="P61" s="1" t="str">
        <v/>
      </c>
      <c r="Q61" s="1">
        <f t="shared" si="0"/>
        <v>1</v>
      </c>
      <c r="R61" s="1">
        <f t="shared" si="1"/>
        <v>0</v>
      </c>
      <c r="S61">
        <v>1</v>
      </c>
      <c r="T61">
        <f t="shared" si="2"/>
        <v>0</v>
      </c>
      <c r="U61">
        <f t="shared" si="3"/>
        <v>0</v>
      </c>
    </row>
    <row r="62" x14ac:dyDescent="0.35">
      <c r="A62" s="21" t="str">
        <v>61</v>
      </c>
      <c r="B62" s="23" t="str">
        <v>Carolina Vera Torres</v>
      </c>
      <c r="C62" t="str">
        <v>Grupo focal de reconocimiento</v>
      </c>
      <c r="D62" t="str">
        <v>Docente de la PUCP en temas de Género</v>
      </c>
      <c r="E62" t="str">
        <v>Actores locales</v>
      </c>
      <c r="F62" t="str">
        <v>Distrito Judicial: Lima</v>
      </c>
      <c r="G62" t="str">
        <v>APOYO</v>
      </c>
      <c r="H62" t="str">
        <v>Sí</v>
      </c>
      <c r="I62" s="2" t="str">
        <v>15-May</v>
      </c>
      <c r="J62" s="2" t="str">
        <v/>
      </c>
      <c r="K62" s="2" t="str">
        <v/>
      </c>
      <c r="L62" s="1" t="str">
        <v/>
      </c>
      <c r="M62" s="2" t="str">
        <v/>
      </c>
      <c r="N62" s="1" t="str">
        <v/>
      </c>
      <c r="O62" s="1" t="str">
        <v/>
      </c>
      <c r="P62" s="1" t="str">
        <v/>
      </c>
      <c r="Q62" s="1">
        <f t="shared" si="0"/>
        <v>1</v>
      </c>
      <c r="R62" s="1">
        <f t="shared" si="1"/>
        <v>0</v>
      </c>
      <c r="S62">
        <v>1</v>
      </c>
      <c r="T62">
        <f t="shared" si="2"/>
        <v>0</v>
      </c>
      <c r="U62">
        <f t="shared" si="3"/>
        <v>0</v>
      </c>
    </row>
    <row r="63" x14ac:dyDescent="0.35">
      <c r="A63" s="21" t="str">
        <v>62</v>
      </c>
      <c r="B63" s="23" t="str">
        <v>Elena Reyes</v>
      </c>
      <c r="C63" t="str">
        <v>Grupo focal de reconocimiento</v>
      </c>
      <c r="D63" t="str">
        <v>Especialista en Género</v>
      </c>
      <c r="E63" t="str">
        <v>Actores locales</v>
      </c>
      <c r="F63" t="str">
        <v>Distrito Judicial: Lima</v>
      </c>
      <c r="G63" t="str">
        <v>APOYO</v>
      </c>
      <c r="H63" t="str">
        <v>Sí</v>
      </c>
      <c r="I63" s="2" t="str">
        <v>15-May</v>
      </c>
      <c r="J63" s="2" t="str">
        <v/>
      </c>
      <c r="K63" s="2" t="str">
        <v/>
      </c>
      <c r="L63" s="1" t="str">
        <v/>
      </c>
      <c r="M63" s="2" t="str">
        <v/>
      </c>
      <c r="N63" s="1" t="str">
        <v/>
      </c>
      <c r="O63" s="1" t="str">
        <v/>
      </c>
      <c r="P63" s="1" t="str">
        <v/>
      </c>
      <c r="Q63" s="1">
        <f t="shared" si="0"/>
        <v>1</v>
      </c>
      <c r="R63" s="1">
        <f t="shared" si="1"/>
        <v>0</v>
      </c>
      <c r="S63">
        <v>1</v>
      </c>
      <c r="T63">
        <f t="shared" si="2"/>
        <v>0</v>
      </c>
      <c r="U63">
        <f t="shared" si="3"/>
        <v>0</v>
      </c>
    </row>
    <row r="64" x14ac:dyDescent="0.35">
      <c r="A64" s="21" t="str">
        <v>63</v>
      </c>
      <c r="B64" s="23" t="str">
        <v>Keyland Allca Chacaliaza</v>
      </c>
      <c r="C64" t="str">
        <v>Grupo focal de reconocimiento</v>
      </c>
      <c r="D64" t="str">
        <v>Lideranda ORG</v>
      </c>
      <c r="E64" t="str">
        <v>Acompañantes</v>
      </c>
      <c r="F64" t="str">
        <v>Distrito Judicial: Lima</v>
      </c>
      <c r="G64" t="str">
        <v>APOYO</v>
      </c>
      <c r="H64" t="str">
        <v>Sí</v>
      </c>
      <c r="I64" s="2" t="str">
        <v>15-May</v>
      </c>
      <c r="J64" s="2" t="str">
        <v/>
      </c>
      <c r="K64" s="2" t="str">
        <v/>
      </c>
      <c r="L64" s="1" t="str">
        <v/>
      </c>
      <c r="M64" s="2" t="str">
        <v/>
      </c>
      <c r="N64" s="1" t="str">
        <v/>
      </c>
      <c r="O64" s="1" t="str">
        <v/>
      </c>
      <c r="P64" s="1" t="str">
        <v/>
      </c>
      <c r="Q64" s="1">
        <f t="shared" si="0"/>
        <v>1</v>
      </c>
      <c r="R64" s="1">
        <f t="shared" si="1"/>
        <v>0</v>
      </c>
      <c r="S64">
        <v>1</v>
      </c>
      <c r="T64">
        <f t="shared" si="2"/>
        <v>0</v>
      </c>
      <c r="U64">
        <f t="shared" si="3"/>
        <v>0</v>
      </c>
    </row>
    <row r="65" x14ac:dyDescent="0.35">
      <c r="A65" s="21" t="str">
        <v>64</v>
      </c>
      <c r="B65" s="23" t="str">
        <v>Magaly Ávila</v>
      </c>
      <c r="C65" t="str">
        <v>Grupo focal de reconocimiento</v>
      </c>
      <c r="D65" t="str">
        <v>Proetica</v>
      </c>
      <c r="E65" t="str">
        <v>Actores locales</v>
      </c>
      <c r="F65" t="str">
        <v>Nacional</v>
      </c>
      <c r="G65" t="str">
        <v>APOYO</v>
      </c>
      <c r="H65" t="str">
        <v>Sí</v>
      </c>
      <c r="I65" s="2" t="str">
        <v>15-May</v>
      </c>
      <c r="J65" s="2" t="str">
        <v/>
      </c>
      <c r="K65" s="2" t="str">
        <v/>
      </c>
      <c r="L65" s="1" t="str">
        <v/>
      </c>
      <c r="M65" s="2" t="str">
        <v/>
      </c>
      <c r="N65" s="1" t="str">
        <v/>
      </c>
      <c r="O65" s="1" t="str">
        <v/>
      </c>
      <c r="P65" s="1" t="str">
        <v/>
      </c>
      <c r="Q65" s="1">
        <f t="shared" si="0"/>
        <v>1</v>
      </c>
      <c r="R65" s="1">
        <f t="shared" si="1"/>
        <v>0</v>
      </c>
      <c r="S65">
        <v>1</v>
      </c>
      <c r="T65">
        <f t="shared" si="2"/>
        <v>0</v>
      </c>
      <c r="U65">
        <f t="shared" si="3"/>
        <v>0</v>
      </c>
    </row>
    <row r="66" x14ac:dyDescent="0.35">
      <c r="A66" s="21" t="str">
        <v>65</v>
      </c>
      <c r="B66" s="23" t="str">
        <v>María Alejandra Saravia Pinazo</v>
      </c>
      <c r="C66" t="str">
        <v/>
      </c>
      <c r="D66" t="str">
        <v>Proetica</v>
      </c>
      <c r="E66" t="str">
        <v/>
      </c>
      <c r="F66" t="str">
        <v>Distrito Judicial: Lima</v>
      </c>
      <c r="G66" t="str">
        <v/>
      </c>
      <c r="H66" t="str">
        <v>Sí</v>
      </c>
      <c r="I66" s="2" t="str">
        <v/>
      </c>
      <c r="J66" s="2" t="str">
        <v/>
      </c>
      <c r="K66" s="2" t="str">
        <v/>
      </c>
      <c r="L66" s="1" t="str">
        <v>Aceptada</v>
      </c>
      <c r="M66" s="2" t="str">
        <v>20-May</v>
      </c>
      <c r="N66" s="1" t="str">
        <v>Sí</v>
      </c>
      <c r="O66" s="1" t="str">
        <v>Grupo focal 2</v>
      </c>
      <c r="P66" s="1" t="str">
        <v/>
      </c>
      <c r="Q66" s="1">
        <f t="shared" si="0"/>
        <v>1</v>
      </c>
      <c r="R66" s="1">
        <f t="shared" si="1"/>
        <v>0</v>
      </c>
      <c r="S66">
        <v>1</v>
      </c>
      <c r="T66">
        <f t="shared" si="2"/>
        <v>1</v>
      </c>
      <c r="U66">
        <f t="shared" si="3"/>
        <v>1</v>
      </c>
    </row>
    <row r="67" x14ac:dyDescent="0.35">
      <c r="A67" s="21" t="str">
        <v>66</v>
      </c>
      <c r="B67" s="23" t="str">
        <v>Adhely Bellido Castro</v>
      </c>
      <c r="C67" t="str">
        <v>Grupo focal de reconocimiento</v>
      </c>
      <c r="D67" t="str">
        <v>RED NACIONAL DE JÓVENES PARLAMENTARIOS</v>
      </c>
      <c r="E67" t="str">
        <v>Acompañantes</v>
      </c>
      <c r="F67" t="str">
        <v>Nacional</v>
      </c>
      <c r="G67" t="str">
        <v>APOYO</v>
      </c>
      <c r="H67" t="str">
        <v>Sí</v>
      </c>
      <c r="I67" s="2" t="str">
        <v>15-May</v>
      </c>
      <c r="J67" s="2" t="str">
        <v/>
      </c>
      <c r="K67" s="2" t="str">
        <v/>
      </c>
      <c r="L67" s="1" t="str">
        <v/>
      </c>
      <c r="M67" s="2" t="str">
        <v/>
      </c>
      <c r="N67" s="1" t="str">
        <v/>
      </c>
      <c r="O67" s="1" t="str">
        <v/>
      </c>
      <c r="P67" s="1" t="str">
        <v/>
      </c>
      <c r="Q67" s="1">
        <f t="shared" ref="Q67:Q130" si="4">IF(H67="Sí",1,0)</f>
        <v>1</v>
      </c>
      <c r="R67" s="1">
        <f t="shared" ref="R67:R130" si="5">IF(L67="En coordinación",1,0)</f>
        <v>0</v>
      </c>
      <c r="T67">
        <f t="shared" ref="T67:T130" si="6">IF(N67="Sí",1,0)</f>
        <v>0</v>
      </c>
      <c r="U67">
        <f t="shared" ref="U67:U130" si="7">IF(L67="Aceptada",1,0)</f>
        <v>0</v>
      </c>
    </row>
    <row r="68" x14ac:dyDescent="0.35">
      <c r="A68" s="21" t="str">
        <v>67</v>
      </c>
      <c r="B68" s="23" t="str">
        <v>Lourdes Maritza Jesús Soplin Servan</v>
      </c>
      <c r="C68" t="str">
        <v>Grupo focal de reconocimiento</v>
      </c>
      <c r="D68" t="str">
        <v>Taller de Estudios Parlamentarios - TAEP</v>
      </c>
      <c r="E68" t="str">
        <v>Actores locales</v>
      </c>
      <c r="F68" t="str">
        <v>Nacional</v>
      </c>
      <c r="G68" t="str">
        <v>APOYO</v>
      </c>
      <c r="H68" t="str">
        <v>Sí</v>
      </c>
      <c r="I68" s="2" t="str">
        <v>15-May</v>
      </c>
      <c r="J68" s="2" t="str">
        <v/>
      </c>
      <c r="K68" s="2" t="str">
        <v/>
      </c>
      <c r="L68" s="1" t="str">
        <v/>
      </c>
      <c r="M68" s="2" t="str">
        <v/>
      </c>
      <c r="N68" s="1" t="str">
        <v/>
      </c>
      <c r="O68" s="1" t="str">
        <v/>
      </c>
      <c r="P68" s="1" t="str">
        <v/>
      </c>
      <c r="Q68" s="1">
        <f t="shared" si="4"/>
        <v>1</v>
      </c>
      <c r="R68" s="1">
        <f t="shared" si="5"/>
        <v>0</v>
      </c>
      <c r="T68">
        <f t="shared" si="6"/>
        <v>0</v>
      </c>
      <c r="U68">
        <f t="shared" si="7"/>
        <v>0</v>
      </c>
    </row>
    <row r="69" x14ac:dyDescent="0.35">
      <c r="A69" s="21" t="str">
        <v>68</v>
      </c>
      <c r="B69" s="23" t="str">
        <v>Carmen Espinoza</v>
      </c>
      <c r="C69" t="str">
        <v>Grupo focal de reconocimiento</v>
      </c>
      <c r="D69" t="str">
        <v>Manuela Ramos</v>
      </c>
      <c r="E69" t="str">
        <v>Actores locales</v>
      </c>
      <c r="F69" t="str">
        <v>Nacional</v>
      </c>
      <c r="G69" t="str">
        <v>APOYO</v>
      </c>
      <c r="H69" t="str">
        <v>Sí</v>
      </c>
      <c r="I69" s="2" t="str">
        <v>15-May</v>
      </c>
      <c r="J69" s="2" t="str">
        <v/>
      </c>
      <c r="K69" s="2" t="str">
        <v/>
      </c>
      <c r="L69" s="1" t="str">
        <v/>
      </c>
      <c r="M69" s="2" t="str">
        <v/>
      </c>
      <c r="N69" s="1" t="str">
        <v/>
      </c>
      <c r="O69" s="1" t="str">
        <v/>
      </c>
      <c r="P69" s="1" t="str">
        <v/>
      </c>
      <c r="Q69" s="1">
        <f t="shared" si="4"/>
        <v>1</v>
      </c>
      <c r="R69" s="1">
        <f t="shared" si="5"/>
        <v>0</v>
      </c>
      <c r="T69">
        <f t="shared" si="6"/>
        <v>0</v>
      </c>
      <c r="U69">
        <f t="shared" si="7"/>
        <v>0</v>
      </c>
    </row>
    <row r="70" x14ac:dyDescent="0.35">
      <c r="A70" s="21" t="str">
        <v/>
      </c>
      <c r="B70" s="23" t="str">
        <v/>
      </c>
      <c r="C70" t="str">
        <v/>
      </c>
      <c r="D70" t="str">
        <v/>
      </c>
      <c r="E70" t="str">
        <v/>
      </c>
      <c r="F70" t="str">
        <v/>
      </c>
      <c r="G70" t="str">
        <v/>
      </c>
      <c r="H70" t="str">
        <v/>
      </c>
      <c r="I70" s="2" t="str">
        <v/>
      </c>
      <c r="J70" s="2" t="str">
        <v/>
      </c>
      <c r="K70" s="2" t="str">
        <v/>
      </c>
      <c r="L70" s="1" t="str">
        <v/>
      </c>
      <c r="M70" s="2" t="str">
        <v/>
      </c>
      <c r="N70" s="1" t="str">
        <v/>
      </c>
      <c r="O70" s="1" t="str">
        <v/>
      </c>
      <c r="P70" s="1" t="str">
        <v/>
      </c>
      <c r="Q70" s="1">
        <f t="shared" si="4"/>
        <v>0</v>
      </c>
      <c r="R70" s="1">
        <f t="shared" si="5"/>
        <v>0</v>
      </c>
      <c r="T70">
        <f t="shared" si="6"/>
        <v>0</v>
      </c>
      <c r="U70">
        <f t="shared" si="7"/>
        <v>0</v>
      </c>
    </row>
    <row r="71" x14ac:dyDescent="0.35">
      <c r="A71" s="21" t="str">
        <v/>
      </c>
      <c r="B71" s="23" t="str">
        <v/>
      </c>
      <c r="C71" t="str">
        <v/>
      </c>
      <c r="D71" t="str">
        <v/>
      </c>
      <c r="E71" t="str">
        <v/>
      </c>
      <c r="F71" t="str">
        <v/>
      </c>
      <c r="G71" t="str">
        <v/>
      </c>
      <c r="H71" t="str">
        <v/>
      </c>
      <c r="I71" s="2" t="str">
        <v/>
      </c>
      <c r="J71" s="2" t="str">
        <v/>
      </c>
      <c r="K71" s="2" t="str">
        <v/>
      </c>
      <c r="L71" s="1" t="str">
        <v/>
      </c>
      <c r="M71" s="2" t="str">
        <v/>
      </c>
      <c r="N71" s="1" t="str">
        <v/>
      </c>
      <c r="O71" s="1" t="str">
        <v/>
      </c>
      <c r="P71" s="1" t="str">
        <v/>
      </c>
      <c r="Q71" s="1">
        <f t="shared" si="4"/>
        <v>0</v>
      </c>
      <c r="R71" s="1">
        <f t="shared" si="5"/>
        <v>0</v>
      </c>
      <c r="T71">
        <f t="shared" si="6"/>
        <v>0</v>
      </c>
      <c r="U71">
        <f t="shared" si="7"/>
        <v>0</v>
      </c>
    </row>
    <row r="72" x14ac:dyDescent="0.35">
      <c r="A72" s="21" t="str">
        <v/>
      </c>
      <c r="B72" s="23" t="str">
        <v/>
      </c>
      <c r="C72" t="str">
        <v/>
      </c>
      <c r="D72" t="str">
        <v/>
      </c>
      <c r="E72" t="str">
        <v/>
      </c>
      <c r="F72" t="str">
        <v/>
      </c>
      <c r="G72" t="str">
        <v/>
      </c>
      <c r="H72" t="str">
        <v/>
      </c>
      <c r="I72" s="2" t="str">
        <v/>
      </c>
      <c r="J72" s="2" t="str">
        <v/>
      </c>
      <c r="K72" s="2" t="str">
        <v/>
      </c>
      <c r="L72" s="1" t="str">
        <v/>
      </c>
      <c r="M72" s="2" t="str">
        <v/>
      </c>
      <c r="N72" s="1" t="str">
        <v/>
      </c>
      <c r="O72" s="1" t="str">
        <v/>
      </c>
      <c r="P72" s="1" t="str">
        <v/>
      </c>
      <c r="Q72" s="1">
        <f t="shared" si="4"/>
        <v>0</v>
      </c>
      <c r="R72" s="1">
        <f t="shared" si="5"/>
        <v>0</v>
      </c>
      <c r="T72">
        <f t="shared" si="6"/>
        <v>0</v>
      </c>
      <c r="U72">
        <f t="shared" si="7"/>
        <v>0</v>
      </c>
    </row>
    <row r="73" x14ac:dyDescent="0.35">
      <c r="A73" s="21" t="str">
        <v/>
      </c>
      <c r="B73" s="23" t="str">
        <v/>
      </c>
      <c r="C73" t="str">
        <v/>
      </c>
      <c r="D73" t="str">
        <v/>
      </c>
      <c r="E73" t="str">
        <v/>
      </c>
      <c r="F73" t="str">
        <v/>
      </c>
      <c r="G73" t="str">
        <v/>
      </c>
      <c r="H73" t="str">
        <v/>
      </c>
      <c r="I73" s="2" t="str">
        <v/>
      </c>
      <c r="J73" s="2" t="str">
        <v/>
      </c>
      <c r="K73" s="2" t="str">
        <v/>
      </c>
      <c r="L73" s="1" t="str">
        <v/>
      </c>
      <c r="M73" s="2" t="str">
        <v/>
      </c>
      <c r="N73" s="1" t="str">
        <v/>
      </c>
      <c r="O73" s="1" t="str">
        <v/>
      </c>
      <c r="P73" s="1" t="str">
        <v/>
      </c>
      <c r="Q73" s="1">
        <f t="shared" si="4"/>
        <v>0</v>
      </c>
      <c r="R73" s="1">
        <f t="shared" si="5"/>
        <v>0</v>
      </c>
      <c r="T73">
        <f t="shared" si="6"/>
        <v>0</v>
      </c>
      <c r="U73">
        <f t="shared" si="7"/>
        <v>0</v>
      </c>
    </row>
    <row r="74" x14ac:dyDescent="0.35">
      <c r="A74" s="21" t="str">
        <v/>
      </c>
      <c r="B74" s="23" t="str">
        <v/>
      </c>
      <c r="C74" t="str">
        <v/>
      </c>
      <c r="D74" t="str">
        <v/>
      </c>
      <c r="E74" t="str">
        <v/>
      </c>
      <c r="F74" t="str">
        <v/>
      </c>
      <c r="G74" t="str">
        <v/>
      </c>
      <c r="H74" t="str">
        <v/>
      </c>
      <c r="I74" s="2" t="str">
        <v/>
      </c>
      <c r="J74" s="2" t="str">
        <v/>
      </c>
      <c r="K74" s="2" t="str">
        <v/>
      </c>
      <c r="L74" s="1" t="str">
        <v/>
      </c>
      <c r="M74" s="2" t="str">
        <v/>
      </c>
      <c r="N74" s="1" t="str">
        <v/>
      </c>
      <c r="O74" s="1" t="str">
        <v/>
      </c>
      <c r="P74" s="1" t="str">
        <v/>
      </c>
      <c r="Q74" s="1">
        <f t="shared" si="4"/>
        <v>0</v>
      </c>
      <c r="R74" s="1">
        <f t="shared" si="5"/>
        <v>0</v>
      </c>
      <c r="T74">
        <f t="shared" si="6"/>
        <v>0</v>
      </c>
      <c r="U74">
        <f t="shared" si="7"/>
        <v>0</v>
      </c>
    </row>
    <row r="75" x14ac:dyDescent="0.35">
      <c r="A75" s="21" t="str">
        <v/>
      </c>
      <c r="B75" s="23" t="str">
        <v/>
      </c>
      <c r="C75" t="str">
        <v/>
      </c>
      <c r="D75" t="str">
        <v/>
      </c>
      <c r="E75" t="str">
        <v/>
      </c>
      <c r="F75" t="str">
        <v/>
      </c>
      <c r="G75" t="str">
        <v/>
      </c>
      <c r="H75" t="str">
        <v/>
      </c>
      <c r="I75" s="2" t="str">
        <v/>
      </c>
      <c r="J75" s="2" t="str">
        <v/>
      </c>
      <c r="K75" s="2" t="str">
        <v/>
      </c>
      <c r="L75" s="1" t="str">
        <v/>
      </c>
      <c r="M75" s="2" t="str">
        <v/>
      </c>
      <c r="N75" s="1" t="str">
        <v/>
      </c>
      <c r="O75" s="1" t="str">
        <v/>
      </c>
      <c r="P75" s="1" t="str">
        <v/>
      </c>
      <c r="Q75" s="1">
        <f t="shared" si="4"/>
        <v>0</v>
      </c>
      <c r="R75" s="1">
        <f t="shared" si="5"/>
        <v>0</v>
      </c>
      <c r="T75">
        <f t="shared" si="6"/>
        <v>0</v>
      </c>
      <c r="U75">
        <f t="shared" si="7"/>
        <v>0</v>
      </c>
    </row>
    <row r="76" x14ac:dyDescent="0.35">
      <c r="A76" s="21" t="str">
        <v/>
      </c>
      <c r="B76" s="23" t="str">
        <v/>
      </c>
      <c r="C76" t="str">
        <v/>
      </c>
      <c r="D76" t="str">
        <v/>
      </c>
      <c r="E76" t="str">
        <v/>
      </c>
      <c r="F76" t="str">
        <v/>
      </c>
      <c r="G76" t="str">
        <v/>
      </c>
      <c r="H76" t="str">
        <v/>
      </c>
      <c r="I76" s="2" t="str">
        <v/>
      </c>
      <c r="J76" s="2" t="str">
        <v/>
      </c>
      <c r="K76" s="2" t="str">
        <v/>
      </c>
      <c r="L76" s="1" t="str">
        <v/>
      </c>
      <c r="M76" s="2" t="str">
        <v/>
      </c>
      <c r="N76" s="1" t="str">
        <v/>
      </c>
      <c r="O76" s="1" t="str">
        <v/>
      </c>
      <c r="P76" s="1" t="str">
        <v/>
      </c>
      <c r="Q76" s="1">
        <f t="shared" si="4"/>
        <v>0</v>
      </c>
      <c r="R76" s="1">
        <f t="shared" si="5"/>
        <v>0</v>
      </c>
      <c r="T76">
        <f t="shared" si="6"/>
        <v>0</v>
      </c>
      <c r="U76">
        <f t="shared" si="7"/>
        <v>0</v>
      </c>
    </row>
    <row r="77" x14ac:dyDescent="0.35">
      <c r="A77" s="21" t="str">
        <v/>
      </c>
      <c r="B77" s="23" t="str">
        <v/>
      </c>
      <c r="C77" t="str">
        <v/>
      </c>
      <c r="D77" t="str">
        <v/>
      </c>
      <c r="E77" t="str">
        <v/>
      </c>
      <c r="F77" t="str">
        <v/>
      </c>
      <c r="G77" t="str">
        <v/>
      </c>
      <c r="H77" t="str">
        <v/>
      </c>
      <c r="I77" s="2" t="str">
        <v/>
      </c>
      <c r="J77" s="2" t="str">
        <v/>
      </c>
      <c r="K77" s="2" t="str">
        <v/>
      </c>
      <c r="L77" s="1" t="str">
        <v/>
      </c>
      <c r="M77" s="2" t="str">
        <v/>
      </c>
      <c r="N77" s="1" t="str">
        <v/>
      </c>
      <c r="O77" s="1" t="str">
        <v/>
      </c>
      <c r="P77" s="1" t="str">
        <v/>
      </c>
      <c r="Q77" s="1">
        <f t="shared" si="4"/>
        <v>0</v>
      </c>
      <c r="R77" s="1">
        <f t="shared" si="5"/>
        <v>0</v>
      </c>
      <c r="T77">
        <f t="shared" si="6"/>
        <v>0</v>
      </c>
      <c r="U77">
        <f t="shared" si="7"/>
        <v>0</v>
      </c>
    </row>
    <row r="78" x14ac:dyDescent="0.35">
      <c r="A78" s="21" t="str">
        <v/>
      </c>
      <c r="B78" s="23" t="str">
        <v/>
      </c>
      <c r="C78" t="str">
        <v/>
      </c>
      <c r="D78" t="str">
        <v/>
      </c>
      <c r="E78" t="str">
        <v/>
      </c>
      <c r="F78" t="str">
        <v/>
      </c>
      <c r="G78" t="str">
        <v/>
      </c>
      <c r="H78" t="str">
        <v/>
      </c>
      <c r="I78" s="2" t="str">
        <v/>
      </c>
      <c r="J78" s="2" t="str">
        <v/>
      </c>
      <c r="K78" s="2" t="str">
        <v/>
      </c>
      <c r="L78" s="1" t="str">
        <v/>
      </c>
      <c r="M78" s="2" t="str">
        <v/>
      </c>
      <c r="N78" s="1" t="str">
        <v/>
      </c>
      <c r="O78" s="1" t="str">
        <v/>
      </c>
      <c r="P78" s="1" t="str">
        <v/>
      </c>
      <c r="Q78" s="1">
        <f t="shared" si="4"/>
        <v>0</v>
      </c>
      <c r="R78" s="1">
        <f t="shared" si="5"/>
        <v>0</v>
      </c>
      <c r="T78">
        <f t="shared" si="6"/>
        <v>0</v>
      </c>
      <c r="U78">
        <f t="shared" si="7"/>
        <v>0</v>
      </c>
    </row>
    <row r="79" x14ac:dyDescent="0.35">
      <c r="A79" s="21" t="str">
        <v/>
      </c>
      <c r="B79" s="23" t="str">
        <v/>
      </c>
      <c r="C79" t="str">
        <v/>
      </c>
      <c r="D79" t="str">
        <v/>
      </c>
      <c r="E79" t="str">
        <v/>
      </c>
      <c r="F79" t="str">
        <v/>
      </c>
      <c r="G79" t="str">
        <v/>
      </c>
      <c r="H79" t="str">
        <v/>
      </c>
      <c r="I79" s="2" t="str">
        <v/>
      </c>
      <c r="J79" s="2" t="str">
        <v/>
      </c>
      <c r="K79" s="2" t="str">
        <v/>
      </c>
      <c r="L79" s="1" t="str">
        <v/>
      </c>
      <c r="M79" s="2" t="str">
        <v/>
      </c>
      <c r="N79" s="1" t="str">
        <v/>
      </c>
      <c r="O79" s="1" t="str">
        <v/>
      </c>
      <c r="P79" s="1" t="str">
        <v/>
      </c>
      <c r="Q79" s="1">
        <f t="shared" si="4"/>
        <v>0</v>
      </c>
      <c r="R79" s="1">
        <f t="shared" si="5"/>
        <v>0</v>
      </c>
      <c r="T79">
        <f t="shared" si="6"/>
        <v>0</v>
      </c>
      <c r="U79">
        <f t="shared" si="7"/>
        <v>0</v>
      </c>
    </row>
    <row r="80" x14ac:dyDescent="0.35">
      <c r="A80" s="21" t="str">
        <v/>
      </c>
      <c r="B80" s="23" t="str">
        <v/>
      </c>
      <c r="C80" t="str">
        <v/>
      </c>
      <c r="D80" t="str">
        <v/>
      </c>
      <c r="E80" t="str">
        <v/>
      </c>
      <c r="F80" t="str">
        <v/>
      </c>
      <c r="G80" t="str">
        <v/>
      </c>
      <c r="H80" t="str">
        <v/>
      </c>
      <c r="I80" s="2" t="str">
        <v/>
      </c>
      <c r="J80" s="2" t="str">
        <v/>
      </c>
      <c r="K80" s="2" t="str">
        <v/>
      </c>
      <c r="L80" s="1" t="str">
        <v/>
      </c>
      <c r="M80" s="2" t="str">
        <v/>
      </c>
      <c r="N80" s="1" t="str">
        <v/>
      </c>
      <c r="O80" s="1" t="str">
        <v/>
      </c>
      <c r="P80" s="1" t="str">
        <v/>
      </c>
      <c r="Q80" s="1">
        <f t="shared" si="4"/>
        <v>0</v>
      </c>
      <c r="R80" s="1">
        <f t="shared" si="5"/>
        <v>0</v>
      </c>
      <c r="T80">
        <f t="shared" si="6"/>
        <v>0</v>
      </c>
      <c r="U80">
        <f t="shared" si="7"/>
        <v>0</v>
      </c>
    </row>
    <row r="81" x14ac:dyDescent="0.35">
      <c r="A81" s="21" t="str">
        <v/>
      </c>
      <c r="B81" s="23" t="str">
        <v/>
      </c>
      <c r="C81" t="str">
        <v/>
      </c>
      <c r="D81" t="str">
        <v/>
      </c>
      <c r="E81" t="str">
        <v/>
      </c>
      <c r="F81" t="str">
        <v/>
      </c>
      <c r="G81" t="str">
        <v/>
      </c>
      <c r="H81" t="str">
        <v/>
      </c>
      <c r="I81" s="2" t="str">
        <v/>
      </c>
      <c r="J81" s="2" t="str">
        <v/>
      </c>
      <c r="K81" s="2" t="str">
        <v/>
      </c>
      <c r="L81" s="1" t="str">
        <v/>
      </c>
      <c r="M81" s="2" t="str">
        <v/>
      </c>
      <c r="N81" s="1" t="str">
        <v/>
      </c>
      <c r="O81" s="1" t="str">
        <v/>
      </c>
      <c r="P81" s="1" t="str">
        <v/>
      </c>
      <c r="Q81" s="1">
        <f t="shared" si="4"/>
        <v>0</v>
      </c>
      <c r="R81" s="1">
        <f t="shared" si="5"/>
        <v>0</v>
      </c>
      <c r="T81">
        <f t="shared" si="6"/>
        <v>0</v>
      </c>
      <c r="U81">
        <f t="shared" si="7"/>
        <v>0</v>
      </c>
    </row>
    <row r="82" x14ac:dyDescent="0.35">
      <c r="A82" s="21" t="str">
        <v/>
      </c>
      <c r="B82" s="23" t="str">
        <v/>
      </c>
      <c r="C82" t="str">
        <v/>
      </c>
      <c r="D82" t="str">
        <v/>
      </c>
      <c r="E82" t="str">
        <v/>
      </c>
      <c r="F82" t="str">
        <v/>
      </c>
      <c r="G82" t="str">
        <v/>
      </c>
      <c r="H82" t="str">
        <v/>
      </c>
      <c r="I82" s="2" t="str">
        <v/>
      </c>
      <c r="J82" s="2" t="str">
        <v/>
      </c>
      <c r="K82" s="2" t="str">
        <v/>
      </c>
      <c r="L82" s="1" t="str">
        <v/>
      </c>
      <c r="M82" s="2" t="str">
        <v/>
      </c>
      <c r="N82" s="1" t="str">
        <v/>
      </c>
      <c r="O82" s="1" t="str">
        <v/>
      </c>
      <c r="P82" s="1" t="str">
        <v/>
      </c>
      <c r="Q82" s="1">
        <f t="shared" si="4"/>
        <v>0</v>
      </c>
      <c r="R82" s="1">
        <f t="shared" si="5"/>
        <v>0</v>
      </c>
      <c r="T82">
        <f t="shared" si="6"/>
        <v>0</v>
      </c>
      <c r="U82">
        <f t="shared" si="7"/>
        <v>0</v>
      </c>
    </row>
    <row r="83" x14ac:dyDescent="0.35">
      <c r="A83" s="21" t="str">
        <v/>
      </c>
      <c r="B83" s="23" t="str">
        <v/>
      </c>
      <c r="C83" t="str">
        <v/>
      </c>
      <c r="D83" t="str">
        <v/>
      </c>
      <c r="E83" t="str">
        <v/>
      </c>
      <c r="F83" t="str">
        <v/>
      </c>
      <c r="G83" t="str">
        <v/>
      </c>
      <c r="H83" t="str">
        <v/>
      </c>
      <c r="I83" s="2" t="str">
        <v/>
      </c>
      <c r="J83" s="2" t="str">
        <v/>
      </c>
      <c r="K83" s="2" t="str">
        <v/>
      </c>
      <c r="L83" s="1" t="str">
        <v/>
      </c>
      <c r="M83" s="2" t="str">
        <v/>
      </c>
      <c r="N83" s="1" t="str">
        <v/>
      </c>
      <c r="O83" s="1" t="str">
        <v/>
      </c>
      <c r="P83" s="1" t="str">
        <v/>
      </c>
      <c r="Q83" s="1">
        <f t="shared" si="4"/>
        <v>0</v>
      </c>
      <c r="R83" s="1">
        <f t="shared" si="5"/>
        <v>0</v>
      </c>
      <c r="T83">
        <f t="shared" si="6"/>
        <v>0</v>
      </c>
      <c r="U83">
        <f t="shared" si="7"/>
        <v>0</v>
      </c>
    </row>
    <row r="84" x14ac:dyDescent="0.35">
      <c r="A84" s="21" t="str">
        <v/>
      </c>
      <c r="B84" s="23" t="str">
        <v/>
      </c>
      <c r="C84" t="str">
        <v/>
      </c>
      <c r="D84" t="str">
        <v/>
      </c>
      <c r="E84" t="str">
        <v/>
      </c>
      <c r="F84" t="str">
        <v/>
      </c>
      <c r="G84" t="str">
        <v/>
      </c>
      <c r="H84" t="str">
        <v/>
      </c>
      <c r="I84" s="2" t="str">
        <v/>
      </c>
      <c r="J84" s="2" t="str">
        <v/>
      </c>
      <c r="K84" s="2" t="str">
        <v/>
      </c>
      <c r="L84" s="1" t="str">
        <v/>
      </c>
      <c r="M84" s="2" t="str">
        <v/>
      </c>
      <c r="N84" s="1" t="str">
        <v/>
      </c>
      <c r="O84" s="1" t="str">
        <v/>
      </c>
      <c r="P84" s="1" t="str">
        <v/>
      </c>
      <c r="Q84" s="1">
        <f t="shared" si="4"/>
        <v>0</v>
      </c>
      <c r="R84" s="1">
        <f t="shared" si="5"/>
        <v>0</v>
      </c>
      <c r="T84">
        <f t="shared" si="6"/>
        <v>0</v>
      </c>
      <c r="U84">
        <f t="shared" si="7"/>
        <v>0</v>
      </c>
    </row>
    <row r="85" x14ac:dyDescent="0.35">
      <c r="A85" s="21" t="str">
        <v/>
      </c>
      <c r="B85" s="23" t="str">
        <v/>
      </c>
      <c r="C85" t="str">
        <v/>
      </c>
      <c r="D85" t="str">
        <v/>
      </c>
      <c r="E85" t="str">
        <v/>
      </c>
      <c r="F85" t="str">
        <v/>
      </c>
      <c r="G85" t="str">
        <v/>
      </c>
      <c r="H85" t="str">
        <v/>
      </c>
      <c r="I85" s="2" t="str">
        <v/>
      </c>
      <c r="J85" s="2" t="str">
        <v/>
      </c>
      <c r="K85" s="2" t="str">
        <v/>
      </c>
      <c r="L85" s="1" t="str">
        <v/>
      </c>
      <c r="M85" s="2" t="str">
        <v/>
      </c>
      <c r="N85" s="1" t="str">
        <v/>
      </c>
      <c r="O85" s="1" t="str">
        <v/>
      </c>
      <c r="P85" s="1" t="str">
        <v/>
      </c>
      <c r="Q85" s="1">
        <f t="shared" si="4"/>
        <v>0</v>
      </c>
      <c r="R85" s="1">
        <f t="shared" si="5"/>
        <v>0</v>
      </c>
      <c r="T85">
        <f t="shared" si="6"/>
        <v>0</v>
      </c>
      <c r="U85">
        <f t="shared" si="7"/>
        <v>0</v>
      </c>
    </row>
    <row r="86" x14ac:dyDescent="0.35">
      <c r="A86" s="21" t="str">
        <v/>
      </c>
      <c r="B86" s="23" t="str">
        <v/>
      </c>
      <c r="C86" t="str">
        <v/>
      </c>
      <c r="D86" t="str">
        <v/>
      </c>
      <c r="E86" t="str">
        <v/>
      </c>
      <c r="F86" t="str">
        <v/>
      </c>
      <c r="G86" t="str">
        <v/>
      </c>
      <c r="H86" t="str">
        <v/>
      </c>
      <c r="I86" s="2" t="str">
        <v/>
      </c>
      <c r="J86" s="2" t="str">
        <v/>
      </c>
      <c r="K86" s="2" t="str">
        <v/>
      </c>
      <c r="L86" s="1" t="str">
        <v/>
      </c>
      <c r="M86" s="2" t="str">
        <v/>
      </c>
      <c r="N86" s="1" t="str">
        <v/>
      </c>
      <c r="O86" s="1" t="str">
        <v/>
      </c>
      <c r="P86" s="1" t="str">
        <v/>
      </c>
      <c r="Q86" s="1">
        <f t="shared" si="4"/>
        <v>0</v>
      </c>
      <c r="R86" s="1">
        <f t="shared" si="5"/>
        <v>0</v>
      </c>
      <c r="T86">
        <f t="shared" si="6"/>
        <v>0</v>
      </c>
      <c r="U86">
        <f t="shared" si="7"/>
        <v>0</v>
      </c>
    </row>
    <row r="87" x14ac:dyDescent="0.35">
      <c r="A87" s="21" t="str">
        <v/>
      </c>
      <c r="B87" s="23" t="str">
        <v/>
      </c>
      <c r="C87" t="str">
        <v/>
      </c>
      <c r="D87" t="str">
        <v/>
      </c>
      <c r="E87" t="str">
        <v/>
      </c>
      <c r="F87" t="str">
        <v/>
      </c>
      <c r="G87" t="str">
        <v/>
      </c>
      <c r="H87" t="str">
        <v/>
      </c>
      <c r="I87" s="2" t="str">
        <v/>
      </c>
      <c r="J87" s="2" t="str">
        <v/>
      </c>
      <c r="K87" s="2" t="str">
        <v/>
      </c>
      <c r="L87" s="1" t="str">
        <v/>
      </c>
      <c r="M87" s="2" t="str">
        <v/>
      </c>
      <c r="N87" s="1" t="str">
        <v/>
      </c>
      <c r="O87" s="1" t="str">
        <v/>
      </c>
      <c r="P87" s="1" t="str">
        <v/>
      </c>
      <c r="Q87" s="1">
        <f t="shared" si="4"/>
        <v>0</v>
      </c>
      <c r="R87" s="1">
        <f t="shared" si="5"/>
        <v>0</v>
      </c>
      <c r="T87">
        <f t="shared" si="6"/>
        <v>0</v>
      </c>
      <c r="U87">
        <f t="shared" si="7"/>
        <v>0</v>
      </c>
    </row>
    <row r="88" x14ac:dyDescent="0.35">
      <c r="A88" s="21" t="str">
        <v/>
      </c>
      <c r="B88" s="23" t="str">
        <v/>
      </c>
      <c r="C88" t="str">
        <v/>
      </c>
      <c r="D88" t="str">
        <v/>
      </c>
      <c r="E88" t="str">
        <v/>
      </c>
      <c r="F88" t="str">
        <v/>
      </c>
      <c r="G88" t="str">
        <v/>
      </c>
      <c r="H88" t="str">
        <v/>
      </c>
      <c r="I88" s="2" t="str">
        <v/>
      </c>
      <c r="J88" s="2" t="str">
        <v/>
      </c>
      <c r="K88" s="2" t="str">
        <v/>
      </c>
      <c r="L88" s="1" t="str">
        <v/>
      </c>
      <c r="M88" s="2" t="str">
        <v/>
      </c>
      <c r="N88" s="1" t="str">
        <v/>
      </c>
      <c r="O88" s="1" t="str">
        <v/>
      </c>
      <c r="P88" s="1" t="str">
        <v/>
      </c>
      <c r="Q88" s="1">
        <f t="shared" si="4"/>
        <v>0</v>
      </c>
      <c r="R88" s="1">
        <f t="shared" si="5"/>
        <v>0</v>
      </c>
      <c r="T88">
        <f t="shared" si="6"/>
        <v>0</v>
      </c>
      <c r="U88">
        <f t="shared" si="7"/>
        <v>0</v>
      </c>
    </row>
    <row r="89" x14ac:dyDescent="0.35">
      <c r="A89" s="21" t="str">
        <v/>
      </c>
      <c r="B89" s="23" t="str">
        <v/>
      </c>
      <c r="C89" t="str">
        <v/>
      </c>
      <c r="D89" t="str">
        <v/>
      </c>
      <c r="E89" t="str">
        <v/>
      </c>
      <c r="F89" t="str">
        <v/>
      </c>
      <c r="G89" t="str">
        <v/>
      </c>
      <c r="H89" t="str">
        <v/>
      </c>
      <c r="I89" s="2" t="str">
        <v/>
      </c>
      <c r="J89" s="2" t="str">
        <v/>
      </c>
      <c r="K89" s="2" t="str">
        <v/>
      </c>
      <c r="L89" s="1" t="str">
        <v/>
      </c>
      <c r="M89" s="2" t="str">
        <v/>
      </c>
      <c r="N89" s="1" t="str">
        <v/>
      </c>
      <c r="O89" s="1" t="str">
        <v/>
      </c>
      <c r="P89" s="1" t="str">
        <v/>
      </c>
      <c r="Q89" s="1">
        <f t="shared" si="4"/>
        <v>0</v>
      </c>
      <c r="R89" s="1">
        <f t="shared" si="5"/>
        <v>0</v>
      </c>
      <c r="T89">
        <f t="shared" si="6"/>
        <v>0</v>
      </c>
      <c r="U89">
        <f t="shared" si="7"/>
        <v>0</v>
      </c>
    </row>
    <row r="90" x14ac:dyDescent="0.35">
      <c r="A90" s="21" t="str">
        <v/>
      </c>
      <c r="B90" s="23" t="str">
        <v/>
      </c>
      <c r="C90" t="str">
        <v/>
      </c>
      <c r="D90" t="str">
        <v/>
      </c>
      <c r="E90" t="str">
        <v/>
      </c>
      <c r="F90" t="str">
        <v/>
      </c>
      <c r="G90" t="str">
        <v/>
      </c>
      <c r="H90" t="str">
        <v/>
      </c>
      <c r="I90" s="2" t="str">
        <v/>
      </c>
      <c r="J90" s="2" t="str">
        <v/>
      </c>
      <c r="K90" s="2" t="str">
        <v/>
      </c>
      <c r="L90" s="1" t="str">
        <v/>
      </c>
      <c r="M90" s="2" t="str">
        <v/>
      </c>
      <c r="N90" s="1" t="str">
        <v/>
      </c>
      <c r="O90" s="1" t="str">
        <v/>
      </c>
      <c r="P90" s="1" t="str">
        <v/>
      </c>
      <c r="Q90" s="1">
        <f t="shared" si="4"/>
        <v>0</v>
      </c>
      <c r="R90" s="1">
        <f t="shared" si="5"/>
        <v>0</v>
      </c>
      <c r="T90">
        <f t="shared" si="6"/>
        <v>0</v>
      </c>
      <c r="U90">
        <f t="shared" si="7"/>
        <v>0</v>
      </c>
    </row>
    <row r="91" x14ac:dyDescent="0.35">
      <c r="A91" s="21" t="str">
        <v/>
      </c>
      <c r="B91" s="23" t="str">
        <v/>
      </c>
      <c r="C91" t="str">
        <v/>
      </c>
      <c r="D91" t="str">
        <v/>
      </c>
      <c r="E91" t="str">
        <v/>
      </c>
      <c r="F91" t="str">
        <v/>
      </c>
      <c r="G91" t="str">
        <v/>
      </c>
      <c r="H91" t="str">
        <v/>
      </c>
      <c r="I91" s="2" t="str">
        <v/>
      </c>
      <c r="J91" s="2" t="str">
        <v/>
      </c>
      <c r="K91" s="2" t="str">
        <v/>
      </c>
      <c r="L91" s="1" t="str">
        <v/>
      </c>
      <c r="M91" s="2" t="str">
        <v/>
      </c>
      <c r="N91" s="1" t="str">
        <v/>
      </c>
      <c r="O91" s="1" t="str">
        <v/>
      </c>
      <c r="P91" s="1" t="str">
        <v/>
      </c>
      <c r="Q91" s="1">
        <f t="shared" si="4"/>
        <v>0</v>
      </c>
      <c r="R91" s="1">
        <f t="shared" si="5"/>
        <v>0</v>
      </c>
      <c r="T91">
        <f t="shared" si="6"/>
        <v>0</v>
      </c>
      <c r="U91">
        <f t="shared" si="7"/>
        <v>0</v>
      </c>
    </row>
    <row r="92" x14ac:dyDescent="0.35">
      <c r="A92" s="21" t="str">
        <v/>
      </c>
      <c r="B92" s="23" t="str">
        <v/>
      </c>
      <c r="C92" t="str">
        <v/>
      </c>
      <c r="D92" t="str">
        <v/>
      </c>
      <c r="E92" t="str">
        <v/>
      </c>
      <c r="F92" t="str">
        <v/>
      </c>
      <c r="G92" t="str">
        <v/>
      </c>
      <c r="H92" t="str">
        <v/>
      </c>
      <c r="I92" s="2" t="str">
        <v/>
      </c>
      <c r="J92" s="2" t="str">
        <v/>
      </c>
      <c r="K92" s="2" t="str">
        <v/>
      </c>
      <c r="L92" s="1" t="str">
        <v/>
      </c>
      <c r="M92" s="2" t="str">
        <v/>
      </c>
      <c r="N92" s="1" t="str">
        <v/>
      </c>
      <c r="O92" s="1" t="str">
        <v/>
      </c>
      <c r="P92" s="1" t="str">
        <v/>
      </c>
      <c r="Q92" s="1">
        <f t="shared" si="4"/>
        <v>0</v>
      </c>
      <c r="R92" s="1">
        <f t="shared" si="5"/>
        <v>0</v>
      </c>
      <c r="T92">
        <f t="shared" si="6"/>
        <v>0</v>
      </c>
      <c r="U92">
        <f t="shared" si="7"/>
        <v>0</v>
      </c>
    </row>
    <row r="93" x14ac:dyDescent="0.35">
      <c r="A93" s="21" t="str">
        <v/>
      </c>
      <c r="B93" s="23" t="str">
        <v/>
      </c>
      <c r="C93" t="str">
        <v/>
      </c>
      <c r="D93" t="str">
        <v/>
      </c>
      <c r="E93" t="str">
        <v/>
      </c>
      <c r="F93" t="str">
        <v/>
      </c>
      <c r="G93" t="str">
        <v/>
      </c>
      <c r="H93" t="str">
        <v/>
      </c>
      <c r="I93" s="2" t="str">
        <v/>
      </c>
      <c r="J93" s="2" t="str">
        <v/>
      </c>
      <c r="K93" s="2" t="str">
        <v/>
      </c>
      <c r="L93" s="1" t="str">
        <v/>
      </c>
      <c r="M93" s="2" t="str">
        <v/>
      </c>
      <c r="N93" s="1" t="str">
        <v/>
      </c>
      <c r="O93" s="1" t="str">
        <v/>
      </c>
      <c r="P93" s="1" t="str">
        <v/>
      </c>
      <c r="Q93" s="1">
        <f t="shared" si="4"/>
        <v>0</v>
      </c>
      <c r="R93" s="1">
        <f t="shared" si="5"/>
        <v>0</v>
      </c>
      <c r="T93">
        <f t="shared" si="6"/>
        <v>0</v>
      </c>
      <c r="U93">
        <f t="shared" si="7"/>
        <v>0</v>
      </c>
    </row>
    <row r="94" x14ac:dyDescent="0.35">
      <c r="A94" s="21" t="str">
        <v/>
      </c>
      <c r="B94" s="23" t="str">
        <v/>
      </c>
      <c r="C94" t="str">
        <v/>
      </c>
      <c r="D94" t="str">
        <v/>
      </c>
      <c r="E94" t="str">
        <v/>
      </c>
      <c r="F94" t="str">
        <v/>
      </c>
      <c r="G94" t="str">
        <v/>
      </c>
      <c r="H94" t="str">
        <v/>
      </c>
      <c r="I94" s="2" t="str">
        <v/>
      </c>
      <c r="J94" s="2" t="str">
        <v/>
      </c>
      <c r="K94" s="2" t="str">
        <v/>
      </c>
      <c r="L94" s="1" t="str">
        <v/>
      </c>
      <c r="M94" s="2" t="str">
        <v/>
      </c>
      <c r="N94" s="1" t="str">
        <v/>
      </c>
      <c r="O94" s="1" t="str">
        <v/>
      </c>
      <c r="P94" s="1" t="str">
        <v/>
      </c>
      <c r="Q94" s="1">
        <f t="shared" si="4"/>
        <v>0</v>
      </c>
      <c r="R94" s="1">
        <f t="shared" si="5"/>
        <v>0</v>
      </c>
      <c r="T94">
        <f t="shared" si="6"/>
        <v>0</v>
      </c>
      <c r="U94">
        <f t="shared" si="7"/>
        <v>0</v>
      </c>
    </row>
    <row r="95" x14ac:dyDescent="0.35">
      <c r="A95" s="21" t="str">
        <v/>
      </c>
      <c r="B95" s="23" t="str">
        <v/>
      </c>
      <c r="C95" t="str">
        <v/>
      </c>
      <c r="D95" t="str">
        <v/>
      </c>
      <c r="E95" t="str">
        <v/>
      </c>
      <c r="F95" t="str">
        <v/>
      </c>
      <c r="G95" t="str">
        <v/>
      </c>
      <c r="H95" t="str">
        <v/>
      </c>
      <c r="I95" s="2" t="str">
        <v/>
      </c>
      <c r="J95" s="2" t="str">
        <v/>
      </c>
      <c r="K95" s="2" t="str">
        <v/>
      </c>
      <c r="L95" s="1" t="str">
        <v/>
      </c>
      <c r="M95" s="2" t="str">
        <v/>
      </c>
      <c r="N95" s="1" t="str">
        <v/>
      </c>
      <c r="O95" s="1" t="str">
        <v/>
      </c>
      <c r="P95" s="1" t="str">
        <v/>
      </c>
      <c r="Q95" s="1">
        <f t="shared" si="4"/>
        <v>0</v>
      </c>
      <c r="R95" s="1">
        <f t="shared" si="5"/>
        <v>0</v>
      </c>
      <c r="T95">
        <f t="shared" si="6"/>
        <v>0</v>
      </c>
      <c r="U95">
        <f t="shared" si="7"/>
        <v>0</v>
      </c>
    </row>
    <row r="96" x14ac:dyDescent="0.35">
      <c r="A96" s="21" t="str">
        <v/>
      </c>
      <c r="B96" s="23" t="str">
        <v/>
      </c>
      <c r="C96" t="str">
        <v/>
      </c>
      <c r="D96" t="str">
        <v/>
      </c>
      <c r="E96" t="str">
        <v/>
      </c>
      <c r="F96" t="str">
        <v/>
      </c>
      <c r="G96" t="str">
        <v/>
      </c>
      <c r="H96" t="str">
        <v/>
      </c>
      <c r="I96" s="2" t="str">
        <v/>
      </c>
      <c r="J96" s="2" t="str">
        <v/>
      </c>
      <c r="K96" s="2" t="str">
        <v/>
      </c>
      <c r="L96" s="1" t="str">
        <v/>
      </c>
      <c r="M96" s="2" t="str">
        <v/>
      </c>
      <c r="N96" s="1" t="str">
        <v/>
      </c>
      <c r="O96" s="1" t="str">
        <v/>
      </c>
      <c r="P96" s="1" t="str">
        <v/>
      </c>
      <c r="Q96" s="1">
        <f t="shared" si="4"/>
        <v>0</v>
      </c>
      <c r="R96" s="1">
        <f t="shared" si="5"/>
        <v>0</v>
      </c>
      <c r="T96">
        <f t="shared" si="6"/>
        <v>0</v>
      </c>
      <c r="U96">
        <f t="shared" si="7"/>
        <v>0</v>
      </c>
    </row>
    <row r="97" x14ac:dyDescent="0.35">
      <c r="A97" s="21" t="str">
        <v/>
      </c>
      <c r="B97" s="23" t="str">
        <v/>
      </c>
      <c r="C97" t="str">
        <v/>
      </c>
      <c r="D97" t="str">
        <v/>
      </c>
      <c r="E97" t="str">
        <v/>
      </c>
      <c r="F97" t="str">
        <v/>
      </c>
      <c r="G97" t="str">
        <v/>
      </c>
      <c r="H97" t="str">
        <v/>
      </c>
      <c r="I97" s="2" t="str">
        <v/>
      </c>
      <c r="J97" s="2" t="str">
        <v/>
      </c>
      <c r="K97" s="2" t="str">
        <v/>
      </c>
      <c r="L97" s="1" t="str">
        <v/>
      </c>
      <c r="M97" s="2" t="str">
        <v/>
      </c>
      <c r="N97" s="1" t="str">
        <v/>
      </c>
      <c r="O97" s="1" t="str">
        <v/>
      </c>
      <c r="P97" s="1" t="str">
        <v/>
      </c>
      <c r="Q97" s="1">
        <f t="shared" si="4"/>
        <v>0</v>
      </c>
      <c r="R97" s="1">
        <f t="shared" si="5"/>
        <v>0</v>
      </c>
      <c r="T97">
        <f t="shared" si="6"/>
        <v>0</v>
      </c>
      <c r="U97">
        <f t="shared" si="7"/>
        <v>0</v>
      </c>
    </row>
    <row r="98" x14ac:dyDescent="0.35">
      <c r="A98" s="21" t="str">
        <v/>
      </c>
      <c r="B98" s="23" t="str">
        <v/>
      </c>
      <c r="C98" t="str">
        <v/>
      </c>
      <c r="D98" t="str">
        <v/>
      </c>
      <c r="E98" t="str">
        <v/>
      </c>
      <c r="F98" t="str">
        <v/>
      </c>
      <c r="G98" t="str">
        <v/>
      </c>
      <c r="H98" t="str">
        <v/>
      </c>
      <c r="I98" s="2" t="str">
        <v/>
      </c>
      <c r="J98" s="2" t="str">
        <v/>
      </c>
      <c r="K98" s="2" t="str">
        <v/>
      </c>
      <c r="L98" s="1" t="str">
        <v/>
      </c>
      <c r="M98" s="2" t="str">
        <v/>
      </c>
      <c r="N98" s="1" t="str">
        <v/>
      </c>
      <c r="O98" s="1" t="str">
        <v/>
      </c>
      <c r="P98" s="1" t="str">
        <v/>
      </c>
      <c r="Q98" s="1">
        <f t="shared" si="4"/>
        <v>0</v>
      </c>
      <c r="R98" s="1">
        <f t="shared" si="5"/>
        <v>0</v>
      </c>
      <c r="T98">
        <f t="shared" si="6"/>
        <v>0</v>
      </c>
      <c r="U98">
        <f t="shared" si="7"/>
        <v>0</v>
      </c>
    </row>
    <row r="99" x14ac:dyDescent="0.35">
      <c r="A99" s="21" t="str">
        <v/>
      </c>
      <c r="B99" s="23" t="str">
        <v/>
      </c>
      <c r="C99" t="str">
        <v/>
      </c>
      <c r="D99" t="str">
        <v/>
      </c>
      <c r="E99" t="str">
        <v/>
      </c>
      <c r="F99" t="str">
        <v/>
      </c>
      <c r="G99" t="str">
        <v/>
      </c>
      <c r="H99" t="str">
        <v/>
      </c>
      <c r="I99" s="2" t="str">
        <v/>
      </c>
      <c r="J99" s="2" t="str">
        <v/>
      </c>
      <c r="K99" s="2" t="str">
        <v/>
      </c>
      <c r="L99" s="1" t="str">
        <v/>
      </c>
      <c r="M99" s="2" t="str">
        <v/>
      </c>
      <c r="N99" s="1" t="str">
        <v/>
      </c>
      <c r="O99" s="1" t="str">
        <v/>
      </c>
      <c r="P99" s="1" t="str">
        <v/>
      </c>
      <c r="Q99" s="1">
        <f t="shared" si="4"/>
        <v>0</v>
      </c>
      <c r="R99" s="1">
        <f t="shared" si="5"/>
        <v>0</v>
      </c>
      <c r="T99">
        <f t="shared" si="6"/>
        <v>0</v>
      </c>
      <c r="U99">
        <f t="shared" si="7"/>
        <v>0</v>
      </c>
    </row>
    <row r="100" x14ac:dyDescent="0.35">
      <c r="A100" s="21" t="str">
        <v/>
      </c>
      <c r="B100" s="23" t="str">
        <v/>
      </c>
      <c r="C100" t="str">
        <v/>
      </c>
      <c r="D100" t="str">
        <v/>
      </c>
      <c r="E100" t="str">
        <v/>
      </c>
      <c r="F100" t="str">
        <v/>
      </c>
      <c r="G100" t="str">
        <v/>
      </c>
      <c r="H100" t="str">
        <v/>
      </c>
      <c r="I100" s="2" t="str">
        <v/>
      </c>
      <c r="J100" s="2" t="str">
        <v/>
      </c>
      <c r="K100" s="2" t="str">
        <v/>
      </c>
      <c r="L100" s="1" t="str">
        <v/>
      </c>
      <c r="M100" s="2" t="str">
        <v/>
      </c>
      <c r="N100" s="1" t="str">
        <v/>
      </c>
      <c r="O100" s="1" t="str">
        <v/>
      </c>
      <c r="P100" s="1" t="str">
        <v/>
      </c>
      <c r="Q100" s="1">
        <f t="shared" si="4"/>
        <v>0</v>
      </c>
      <c r="R100" s="1">
        <f t="shared" si="5"/>
        <v>0</v>
      </c>
      <c r="T100">
        <f t="shared" si="6"/>
        <v>0</v>
      </c>
      <c r="U100">
        <f t="shared" si="7"/>
        <v>0</v>
      </c>
    </row>
    <row r="101" x14ac:dyDescent="0.35">
      <c r="A101" s="21" t="str">
        <v/>
      </c>
      <c r="B101" s="23" t="str">
        <v/>
      </c>
      <c r="C101" t="str">
        <v/>
      </c>
      <c r="D101" t="str">
        <v/>
      </c>
      <c r="E101" t="str">
        <v/>
      </c>
      <c r="F101" t="str">
        <v/>
      </c>
      <c r="G101" t="str">
        <v/>
      </c>
      <c r="H101" t="str">
        <v/>
      </c>
      <c r="I101" s="2" t="str">
        <v/>
      </c>
      <c r="J101" s="2" t="str">
        <v/>
      </c>
      <c r="K101" s="2" t="str">
        <v/>
      </c>
      <c r="L101" s="1" t="str">
        <v/>
      </c>
      <c r="M101" s="2" t="str">
        <v/>
      </c>
      <c r="N101" s="1" t="str">
        <v/>
      </c>
      <c r="O101" s="1" t="str">
        <v/>
      </c>
      <c r="P101" s="1" t="str">
        <v/>
      </c>
      <c r="Q101" s="1">
        <f t="shared" si="4"/>
        <v>0</v>
      </c>
      <c r="R101" s="1">
        <f t="shared" si="5"/>
        <v>0</v>
      </c>
      <c r="T101">
        <f t="shared" si="6"/>
        <v>0</v>
      </c>
      <c r="U101">
        <f t="shared" si="7"/>
        <v>0</v>
      </c>
    </row>
    <row r="102" x14ac:dyDescent="0.35">
      <c r="A102" s="21" t="str">
        <v/>
      </c>
      <c r="B102" s="23" t="str">
        <v/>
      </c>
      <c r="C102" t="str">
        <v/>
      </c>
      <c r="D102" t="str">
        <v/>
      </c>
      <c r="E102" t="str">
        <v/>
      </c>
      <c r="F102" t="str">
        <v/>
      </c>
      <c r="G102" t="str">
        <v/>
      </c>
      <c r="H102" t="str">
        <v/>
      </c>
      <c r="I102" s="2" t="str">
        <v/>
      </c>
      <c r="J102" s="2" t="str">
        <v/>
      </c>
      <c r="K102" s="2" t="str">
        <v/>
      </c>
      <c r="L102" s="1" t="str">
        <v/>
      </c>
      <c r="M102" s="2" t="str">
        <v/>
      </c>
      <c r="N102" s="1" t="str">
        <v/>
      </c>
      <c r="O102" s="1" t="str">
        <v/>
      </c>
      <c r="P102" s="1" t="str">
        <v/>
      </c>
      <c r="Q102" s="1">
        <f t="shared" si="4"/>
        <v>0</v>
      </c>
      <c r="R102" s="1">
        <f t="shared" si="5"/>
        <v>0</v>
      </c>
      <c r="T102">
        <f t="shared" si="6"/>
        <v>0</v>
      </c>
      <c r="U102">
        <f t="shared" si="7"/>
        <v>0</v>
      </c>
    </row>
    <row r="103" x14ac:dyDescent="0.35">
      <c r="A103" s="21" t="str">
        <v/>
      </c>
      <c r="B103" s="23" t="str">
        <v/>
      </c>
      <c r="C103" t="str">
        <v/>
      </c>
      <c r="D103" t="str">
        <v/>
      </c>
      <c r="E103" t="str">
        <v/>
      </c>
      <c r="F103" t="str">
        <v/>
      </c>
      <c r="G103" t="str">
        <v/>
      </c>
      <c r="H103" t="str">
        <v/>
      </c>
      <c r="I103" s="2" t="str">
        <v/>
      </c>
      <c r="J103" s="2" t="str">
        <v/>
      </c>
      <c r="K103" s="2" t="str">
        <v/>
      </c>
      <c r="L103" s="1" t="str">
        <v/>
      </c>
      <c r="M103" s="2" t="str">
        <v/>
      </c>
      <c r="N103" s="1" t="str">
        <v/>
      </c>
      <c r="O103" s="1" t="str">
        <v/>
      </c>
      <c r="P103" s="1" t="str">
        <v/>
      </c>
      <c r="Q103" s="1">
        <f t="shared" si="4"/>
        <v>0</v>
      </c>
      <c r="R103" s="1">
        <f t="shared" si="5"/>
        <v>0</v>
      </c>
      <c r="T103">
        <f t="shared" si="6"/>
        <v>0</v>
      </c>
      <c r="U103">
        <f t="shared" si="7"/>
        <v>0</v>
      </c>
    </row>
    <row r="104" x14ac:dyDescent="0.35">
      <c r="A104" s="21" t="str">
        <v/>
      </c>
      <c r="B104" s="23" t="str">
        <v/>
      </c>
      <c r="C104" t="str">
        <v/>
      </c>
      <c r="D104" t="str">
        <v/>
      </c>
      <c r="E104" t="str">
        <v/>
      </c>
      <c r="F104" t="str">
        <v/>
      </c>
      <c r="G104" t="str">
        <v/>
      </c>
      <c r="H104" t="str">
        <v/>
      </c>
      <c r="I104" s="2" t="str">
        <v/>
      </c>
      <c r="J104" s="2" t="str">
        <v/>
      </c>
      <c r="K104" s="2" t="str">
        <v/>
      </c>
      <c r="L104" s="1" t="str">
        <v/>
      </c>
      <c r="M104" s="2" t="str">
        <v/>
      </c>
      <c r="N104" s="1" t="str">
        <v/>
      </c>
      <c r="O104" s="1" t="str">
        <v/>
      </c>
      <c r="P104" s="1" t="str">
        <v/>
      </c>
      <c r="Q104" s="1">
        <f t="shared" si="4"/>
        <v>0</v>
      </c>
      <c r="R104" s="1">
        <f t="shared" si="5"/>
        <v>0</v>
      </c>
      <c r="T104">
        <f t="shared" si="6"/>
        <v>0</v>
      </c>
      <c r="U104">
        <f t="shared" si="7"/>
        <v>0</v>
      </c>
    </row>
    <row r="105" x14ac:dyDescent="0.35">
      <c r="A105" s="21" t="str">
        <v/>
      </c>
      <c r="B105" s="23" t="str">
        <v/>
      </c>
      <c r="C105" t="str">
        <v/>
      </c>
      <c r="D105" t="str">
        <v/>
      </c>
      <c r="E105" t="str">
        <v/>
      </c>
      <c r="F105" t="str">
        <v/>
      </c>
      <c r="G105" t="str">
        <v/>
      </c>
      <c r="H105" t="str">
        <v/>
      </c>
      <c r="I105" s="2" t="str">
        <v/>
      </c>
      <c r="J105" s="2" t="str">
        <v/>
      </c>
      <c r="K105" s="2" t="str">
        <v/>
      </c>
      <c r="L105" s="1" t="str">
        <v/>
      </c>
      <c r="M105" s="2" t="str">
        <v/>
      </c>
      <c r="N105" s="1" t="str">
        <v/>
      </c>
      <c r="O105" s="1" t="str">
        <v/>
      </c>
      <c r="P105" s="1" t="str">
        <v/>
      </c>
      <c r="Q105" s="1">
        <f t="shared" si="4"/>
        <v>0</v>
      </c>
      <c r="R105" s="1">
        <f t="shared" si="5"/>
        <v>0</v>
      </c>
      <c r="T105">
        <f t="shared" si="6"/>
        <v>0</v>
      </c>
      <c r="U105">
        <f t="shared" si="7"/>
        <v>0</v>
      </c>
    </row>
    <row r="106" x14ac:dyDescent="0.35">
      <c r="A106" s="21" t="str">
        <v/>
      </c>
      <c r="B106" s="23" t="str">
        <v/>
      </c>
      <c r="C106" t="str">
        <v/>
      </c>
      <c r="D106" t="str">
        <v/>
      </c>
      <c r="E106" t="str">
        <v/>
      </c>
      <c r="F106" t="str">
        <v/>
      </c>
      <c r="G106" t="str">
        <v/>
      </c>
      <c r="H106" t="str">
        <v/>
      </c>
      <c r="I106" s="2" t="str">
        <v/>
      </c>
      <c r="J106" s="2" t="str">
        <v/>
      </c>
      <c r="K106" s="2" t="str">
        <v/>
      </c>
      <c r="L106" s="1" t="str">
        <v/>
      </c>
      <c r="M106" s="2" t="str">
        <v/>
      </c>
      <c r="N106" s="1" t="str">
        <v/>
      </c>
      <c r="O106" s="1" t="str">
        <v/>
      </c>
      <c r="P106" s="1" t="str">
        <v/>
      </c>
      <c r="Q106" s="1">
        <f t="shared" si="4"/>
        <v>0</v>
      </c>
      <c r="R106" s="1">
        <f t="shared" si="5"/>
        <v>0</v>
      </c>
      <c r="T106">
        <f t="shared" si="6"/>
        <v>0</v>
      </c>
      <c r="U106">
        <f t="shared" si="7"/>
        <v>0</v>
      </c>
    </row>
    <row r="107" x14ac:dyDescent="0.35">
      <c r="A107" s="21" t="str">
        <v/>
      </c>
      <c r="B107" s="23" t="str">
        <v/>
      </c>
      <c r="C107" t="str">
        <v/>
      </c>
      <c r="D107" t="str">
        <v/>
      </c>
      <c r="E107" t="str">
        <v/>
      </c>
      <c r="F107" t="str">
        <v/>
      </c>
      <c r="G107" t="str">
        <v/>
      </c>
      <c r="H107" t="str">
        <v/>
      </c>
      <c r="I107" s="2" t="str">
        <v/>
      </c>
      <c r="J107" s="2" t="str">
        <v/>
      </c>
      <c r="K107" s="2" t="str">
        <v/>
      </c>
      <c r="L107" s="1" t="str">
        <v/>
      </c>
      <c r="M107" s="2" t="str">
        <v/>
      </c>
      <c r="N107" s="1" t="str">
        <v/>
      </c>
      <c r="O107" s="1" t="str">
        <v/>
      </c>
      <c r="P107" s="1" t="str">
        <v/>
      </c>
      <c r="Q107" s="1">
        <f t="shared" si="4"/>
        <v>0</v>
      </c>
      <c r="R107" s="1">
        <f t="shared" si="5"/>
        <v>0</v>
      </c>
      <c r="T107">
        <f t="shared" si="6"/>
        <v>0</v>
      </c>
      <c r="U107">
        <f t="shared" si="7"/>
        <v>0</v>
      </c>
    </row>
    <row r="108" x14ac:dyDescent="0.35">
      <c r="A108" s="21" t="str">
        <v/>
      </c>
      <c r="B108" s="23" t="str">
        <v/>
      </c>
      <c r="C108" t="str">
        <v/>
      </c>
      <c r="D108" t="str">
        <v/>
      </c>
      <c r="E108" t="str">
        <v/>
      </c>
      <c r="F108" t="str">
        <v/>
      </c>
      <c r="G108" t="str">
        <v/>
      </c>
      <c r="H108" t="str">
        <v/>
      </c>
      <c r="I108" s="2" t="str">
        <v/>
      </c>
      <c r="J108" s="2" t="str">
        <v/>
      </c>
      <c r="K108" s="2" t="str">
        <v/>
      </c>
      <c r="L108" s="1" t="str">
        <v/>
      </c>
      <c r="M108" s="2" t="str">
        <v/>
      </c>
      <c r="N108" s="1" t="str">
        <v/>
      </c>
      <c r="O108" s="1" t="str">
        <v/>
      </c>
      <c r="P108" s="1" t="str">
        <v/>
      </c>
      <c r="Q108" s="1">
        <f t="shared" si="4"/>
        <v>0</v>
      </c>
      <c r="R108" s="1">
        <f t="shared" si="5"/>
        <v>0</v>
      </c>
      <c r="T108">
        <f t="shared" si="6"/>
        <v>0</v>
      </c>
      <c r="U108">
        <f t="shared" si="7"/>
        <v>0</v>
      </c>
    </row>
    <row r="109" x14ac:dyDescent="0.35">
      <c r="A109" s="21" t="str">
        <v/>
      </c>
      <c r="B109" s="23" t="str">
        <v/>
      </c>
      <c r="C109" t="str">
        <v/>
      </c>
      <c r="D109" t="str">
        <v/>
      </c>
      <c r="E109" t="str">
        <v/>
      </c>
      <c r="F109" t="str">
        <v/>
      </c>
      <c r="G109" t="str">
        <v/>
      </c>
      <c r="H109" t="str">
        <v/>
      </c>
      <c r="I109" s="2" t="str">
        <v/>
      </c>
      <c r="J109" s="2" t="str">
        <v/>
      </c>
      <c r="K109" s="2" t="str">
        <v/>
      </c>
      <c r="L109" s="1" t="str">
        <v/>
      </c>
      <c r="M109" s="2" t="str">
        <v/>
      </c>
      <c r="N109" s="1" t="str">
        <v/>
      </c>
      <c r="O109" s="1" t="str">
        <v/>
      </c>
      <c r="P109" s="1" t="str">
        <v/>
      </c>
      <c r="Q109" s="1">
        <f t="shared" si="4"/>
        <v>0</v>
      </c>
      <c r="R109" s="1">
        <f t="shared" si="5"/>
        <v>0</v>
      </c>
      <c r="T109">
        <f t="shared" si="6"/>
        <v>0</v>
      </c>
      <c r="U109">
        <f t="shared" si="7"/>
        <v>0</v>
      </c>
    </row>
    <row r="110" x14ac:dyDescent="0.35">
      <c r="A110" s="21" t="str">
        <v/>
      </c>
      <c r="B110" s="23" t="str">
        <v/>
      </c>
      <c r="C110" t="str">
        <v/>
      </c>
      <c r="D110" t="str">
        <v/>
      </c>
      <c r="E110" t="str">
        <v/>
      </c>
      <c r="F110" t="str">
        <v/>
      </c>
      <c r="G110" t="str">
        <v/>
      </c>
      <c r="H110" t="str">
        <v/>
      </c>
      <c r="I110" s="2" t="str">
        <v/>
      </c>
      <c r="J110" s="2" t="str">
        <v/>
      </c>
      <c r="K110" s="2" t="str">
        <v/>
      </c>
      <c r="L110" s="1" t="str">
        <v/>
      </c>
      <c r="M110" s="2" t="str">
        <v/>
      </c>
      <c r="N110" s="1" t="str">
        <v/>
      </c>
      <c r="O110" s="1" t="str">
        <v/>
      </c>
      <c r="P110" s="1" t="str">
        <v/>
      </c>
      <c r="Q110" s="1">
        <f t="shared" si="4"/>
        <v>0</v>
      </c>
      <c r="R110" s="1">
        <f t="shared" si="5"/>
        <v>0</v>
      </c>
      <c r="T110">
        <f t="shared" si="6"/>
        <v>0</v>
      </c>
      <c r="U110">
        <f t="shared" si="7"/>
        <v>0</v>
      </c>
    </row>
    <row r="111" x14ac:dyDescent="0.35">
      <c r="A111" s="21" t="str">
        <v/>
      </c>
      <c r="B111" s="23" t="str">
        <v/>
      </c>
      <c r="C111" t="str">
        <v/>
      </c>
      <c r="D111" t="str">
        <v/>
      </c>
      <c r="E111" t="str">
        <v/>
      </c>
      <c r="F111" t="str">
        <v/>
      </c>
      <c r="G111" t="str">
        <v/>
      </c>
      <c r="H111" t="str">
        <v/>
      </c>
      <c r="I111" s="2" t="str">
        <v/>
      </c>
      <c r="J111" s="2" t="str">
        <v/>
      </c>
      <c r="K111" s="2" t="str">
        <v/>
      </c>
      <c r="L111" s="1" t="str">
        <v/>
      </c>
      <c r="M111" s="2" t="str">
        <v/>
      </c>
      <c r="N111" s="1" t="str">
        <v/>
      </c>
      <c r="O111" s="1" t="str">
        <v/>
      </c>
      <c r="P111" s="1" t="str">
        <v/>
      </c>
      <c r="Q111" s="1">
        <f t="shared" si="4"/>
        <v>0</v>
      </c>
      <c r="R111" s="1">
        <f t="shared" si="5"/>
        <v>0</v>
      </c>
      <c r="T111">
        <f t="shared" si="6"/>
        <v>0</v>
      </c>
      <c r="U111">
        <f t="shared" si="7"/>
        <v>0</v>
      </c>
    </row>
    <row r="112" x14ac:dyDescent="0.35">
      <c r="A112" s="21" t="str">
        <v/>
      </c>
      <c r="B112" s="23" t="str">
        <v/>
      </c>
      <c r="C112" t="str">
        <v/>
      </c>
      <c r="D112" t="str">
        <v/>
      </c>
      <c r="E112" t="str">
        <v/>
      </c>
      <c r="F112" t="str">
        <v/>
      </c>
      <c r="G112" t="str">
        <v/>
      </c>
      <c r="H112" t="str">
        <v/>
      </c>
      <c r="I112" s="2" t="str">
        <v/>
      </c>
      <c r="J112" s="2" t="str">
        <v/>
      </c>
      <c r="K112" s="2" t="str">
        <v/>
      </c>
      <c r="L112" s="1" t="str">
        <v/>
      </c>
      <c r="M112" s="2" t="str">
        <v/>
      </c>
      <c r="N112" s="1" t="str">
        <v/>
      </c>
      <c r="O112" s="1" t="str">
        <v/>
      </c>
      <c r="P112" s="1" t="str">
        <v/>
      </c>
      <c r="Q112" s="1">
        <f t="shared" si="4"/>
        <v>0</v>
      </c>
      <c r="R112" s="1">
        <f t="shared" si="5"/>
        <v>0</v>
      </c>
      <c r="T112">
        <f t="shared" si="6"/>
        <v>0</v>
      </c>
      <c r="U112">
        <f t="shared" si="7"/>
        <v>0</v>
      </c>
    </row>
    <row r="113" x14ac:dyDescent="0.35">
      <c r="A113" s="21" t="str">
        <v/>
      </c>
      <c r="B113" s="23" t="str">
        <v/>
      </c>
      <c r="C113" t="str">
        <v/>
      </c>
      <c r="D113" t="str">
        <v/>
      </c>
      <c r="E113" t="str">
        <v/>
      </c>
      <c r="F113" t="str">
        <v/>
      </c>
      <c r="G113" t="str">
        <v/>
      </c>
      <c r="H113" t="str">
        <v/>
      </c>
      <c r="I113" s="2" t="str">
        <v/>
      </c>
      <c r="J113" s="2" t="str">
        <v/>
      </c>
      <c r="K113" s="2" t="str">
        <v/>
      </c>
      <c r="L113" s="1" t="str">
        <v/>
      </c>
      <c r="M113" s="2" t="str">
        <v/>
      </c>
      <c r="N113" s="1" t="str">
        <v/>
      </c>
      <c r="O113" s="1" t="str">
        <v/>
      </c>
      <c r="P113" s="1" t="str">
        <v/>
      </c>
      <c r="Q113" s="1">
        <f t="shared" si="4"/>
        <v>0</v>
      </c>
      <c r="R113" s="1">
        <f t="shared" si="5"/>
        <v>0</v>
      </c>
      <c r="T113">
        <f t="shared" si="6"/>
        <v>0</v>
      </c>
      <c r="U113">
        <f t="shared" si="7"/>
        <v>0</v>
      </c>
    </row>
    <row r="114" x14ac:dyDescent="0.35">
      <c r="A114" s="21" t="str">
        <v/>
      </c>
      <c r="B114" s="23" t="str">
        <v/>
      </c>
      <c r="C114" t="str">
        <v/>
      </c>
      <c r="D114" t="str">
        <v/>
      </c>
      <c r="E114" t="str">
        <v/>
      </c>
      <c r="F114" t="str">
        <v/>
      </c>
      <c r="G114" t="str">
        <v/>
      </c>
      <c r="H114" t="str">
        <v/>
      </c>
      <c r="I114" s="2" t="str">
        <v/>
      </c>
      <c r="J114" s="2" t="str">
        <v/>
      </c>
      <c r="K114" s="2" t="str">
        <v/>
      </c>
      <c r="L114" s="1" t="str">
        <v/>
      </c>
      <c r="M114" s="2" t="str">
        <v/>
      </c>
      <c r="N114" s="1" t="str">
        <v/>
      </c>
      <c r="O114" s="1" t="str">
        <v/>
      </c>
      <c r="P114" s="1" t="str">
        <v/>
      </c>
      <c r="Q114" s="1">
        <f t="shared" si="4"/>
        <v>0</v>
      </c>
      <c r="R114" s="1">
        <f t="shared" si="5"/>
        <v>0</v>
      </c>
      <c r="T114">
        <f t="shared" si="6"/>
        <v>0</v>
      </c>
      <c r="U114">
        <f t="shared" si="7"/>
        <v>0</v>
      </c>
    </row>
    <row r="115" x14ac:dyDescent="0.35">
      <c r="A115" s="21" t="str">
        <v/>
      </c>
      <c r="B115" s="23" t="str">
        <v/>
      </c>
      <c r="C115" t="str">
        <v/>
      </c>
      <c r="D115" t="str">
        <v/>
      </c>
      <c r="E115" t="str">
        <v/>
      </c>
      <c r="F115" t="str">
        <v/>
      </c>
      <c r="G115" t="str">
        <v/>
      </c>
      <c r="H115" t="str">
        <v/>
      </c>
      <c r="I115" s="2" t="str">
        <v/>
      </c>
      <c r="J115" s="2" t="str">
        <v/>
      </c>
      <c r="K115" s="2" t="str">
        <v/>
      </c>
      <c r="L115" s="1" t="str">
        <v/>
      </c>
      <c r="M115" s="2" t="str">
        <v/>
      </c>
      <c r="N115" s="1" t="str">
        <v/>
      </c>
      <c r="O115" s="1" t="str">
        <v/>
      </c>
      <c r="P115" s="1" t="str">
        <v/>
      </c>
      <c r="Q115" s="1">
        <f t="shared" si="4"/>
        <v>0</v>
      </c>
      <c r="R115" s="1">
        <f t="shared" si="5"/>
        <v>0</v>
      </c>
      <c r="T115">
        <f t="shared" si="6"/>
        <v>0</v>
      </c>
      <c r="U115">
        <f t="shared" si="7"/>
        <v>0</v>
      </c>
    </row>
    <row r="116" x14ac:dyDescent="0.35">
      <c r="A116" s="21" t="str">
        <v/>
      </c>
      <c r="B116" s="23" t="str">
        <v/>
      </c>
      <c r="C116" t="str">
        <v/>
      </c>
      <c r="D116" t="str">
        <v/>
      </c>
      <c r="E116" t="str">
        <v/>
      </c>
      <c r="F116" t="str">
        <v/>
      </c>
      <c r="G116" t="str">
        <v/>
      </c>
      <c r="H116" t="str">
        <v/>
      </c>
      <c r="I116" s="2" t="str">
        <v/>
      </c>
      <c r="J116" s="2" t="str">
        <v/>
      </c>
      <c r="K116" s="2" t="str">
        <v/>
      </c>
      <c r="L116" s="1" t="str">
        <v/>
      </c>
      <c r="M116" s="2" t="str">
        <v/>
      </c>
      <c r="N116" s="1" t="str">
        <v/>
      </c>
      <c r="O116" s="1" t="str">
        <v/>
      </c>
      <c r="P116" s="1" t="str">
        <v/>
      </c>
      <c r="Q116" s="1">
        <f t="shared" si="4"/>
        <v>0</v>
      </c>
      <c r="R116" s="1">
        <f t="shared" si="5"/>
        <v>0</v>
      </c>
      <c r="T116">
        <f t="shared" si="6"/>
        <v>0</v>
      </c>
      <c r="U116">
        <f t="shared" si="7"/>
        <v>0</v>
      </c>
    </row>
    <row r="117" x14ac:dyDescent="0.35">
      <c r="A117" s="21" t="str">
        <v/>
      </c>
      <c r="B117" s="23" t="str">
        <v/>
      </c>
      <c r="C117" t="str">
        <v/>
      </c>
      <c r="D117" t="str">
        <v/>
      </c>
      <c r="E117" t="str">
        <v/>
      </c>
      <c r="F117" t="str">
        <v/>
      </c>
      <c r="G117" t="str">
        <v/>
      </c>
      <c r="H117" t="str">
        <v/>
      </c>
      <c r="I117" s="2" t="str">
        <v/>
      </c>
      <c r="J117" s="2" t="str">
        <v/>
      </c>
      <c r="K117" s="2" t="str">
        <v/>
      </c>
      <c r="L117" s="1" t="str">
        <v/>
      </c>
      <c r="M117" s="2" t="str">
        <v/>
      </c>
      <c r="N117" s="1" t="str">
        <v/>
      </c>
      <c r="O117" s="1" t="str">
        <v/>
      </c>
      <c r="P117" s="1" t="str">
        <v/>
      </c>
      <c r="Q117" s="1">
        <f t="shared" si="4"/>
        <v>0</v>
      </c>
      <c r="R117" s="1">
        <f t="shared" si="5"/>
        <v>0</v>
      </c>
      <c r="T117">
        <f t="shared" si="6"/>
        <v>0</v>
      </c>
      <c r="U117">
        <f t="shared" si="7"/>
        <v>0</v>
      </c>
    </row>
    <row r="118" x14ac:dyDescent="0.35">
      <c r="A118" s="21" t="str">
        <v/>
      </c>
      <c r="B118" s="23" t="str">
        <v/>
      </c>
      <c r="C118" t="str">
        <v/>
      </c>
      <c r="D118" t="str">
        <v/>
      </c>
      <c r="E118" t="str">
        <v/>
      </c>
      <c r="F118" t="str">
        <v/>
      </c>
      <c r="G118" t="str">
        <v/>
      </c>
      <c r="H118" t="str">
        <v/>
      </c>
      <c r="I118" s="2" t="str">
        <v/>
      </c>
      <c r="J118" s="2" t="str">
        <v/>
      </c>
      <c r="K118" s="2" t="str">
        <v/>
      </c>
      <c r="L118" s="1" t="str">
        <v/>
      </c>
      <c r="M118" s="2" t="str">
        <v/>
      </c>
      <c r="N118" s="1" t="str">
        <v/>
      </c>
      <c r="O118" s="1" t="str">
        <v/>
      </c>
      <c r="P118" s="1" t="str">
        <v/>
      </c>
      <c r="Q118" s="1">
        <f t="shared" si="4"/>
        <v>0</v>
      </c>
      <c r="R118" s="1">
        <f t="shared" si="5"/>
        <v>0</v>
      </c>
      <c r="T118">
        <f t="shared" si="6"/>
        <v>0</v>
      </c>
      <c r="U118">
        <f t="shared" si="7"/>
        <v>0</v>
      </c>
    </row>
    <row r="119" x14ac:dyDescent="0.35">
      <c r="A119" s="21" t="str">
        <v/>
      </c>
      <c r="B119" s="23" t="str">
        <v/>
      </c>
      <c r="C119" t="str">
        <v/>
      </c>
      <c r="D119" t="str">
        <v/>
      </c>
      <c r="E119" t="str">
        <v/>
      </c>
      <c r="F119" t="str">
        <v/>
      </c>
      <c r="G119" t="str">
        <v/>
      </c>
      <c r="H119" t="str">
        <v/>
      </c>
      <c r="I119" s="2" t="str">
        <v/>
      </c>
      <c r="J119" s="2" t="str">
        <v/>
      </c>
      <c r="K119" s="2" t="str">
        <v/>
      </c>
      <c r="L119" s="1" t="str">
        <v/>
      </c>
      <c r="M119" s="2" t="str">
        <v/>
      </c>
      <c r="N119" s="1" t="str">
        <v/>
      </c>
      <c r="O119" s="1" t="str">
        <v/>
      </c>
      <c r="P119" s="1" t="str">
        <v/>
      </c>
      <c r="Q119" s="1">
        <f t="shared" si="4"/>
        <v>0</v>
      </c>
      <c r="R119" s="1">
        <f t="shared" si="5"/>
        <v>0</v>
      </c>
      <c r="T119">
        <f t="shared" si="6"/>
        <v>0</v>
      </c>
      <c r="U119">
        <f t="shared" si="7"/>
        <v>0</v>
      </c>
    </row>
    <row r="120" x14ac:dyDescent="0.35">
      <c r="A120" s="21" t="str">
        <v/>
      </c>
      <c r="B120" s="23" t="str">
        <v/>
      </c>
      <c r="C120" t="str">
        <v/>
      </c>
      <c r="D120" t="str">
        <v/>
      </c>
      <c r="E120" t="str">
        <v/>
      </c>
      <c r="F120" t="str">
        <v/>
      </c>
      <c r="G120" t="str">
        <v/>
      </c>
      <c r="H120" t="str">
        <v/>
      </c>
      <c r="I120" s="2" t="str">
        <v/>
      </c>
      <c r="J120" s="2" t="str">
        <v/>
      </c>
      <c r="K120" s="2" t="str">
        <v/>
      </c>
      <c r="L120" s="1" t="str">
        <v/>
      </c>
      <c r="M120" s="2" t="str">
        <v/>
      </c>
      <c r="N120" s="1" t="str">
        <v/>
      </c>
      <c r="O120" s="1" t="str">
        <v/>
      </c>
      <c r="P120" s="1" t="str">
        <v/>
      </c>
      <c r="Q120" s="1">
        <f t="shared" si="4"/>
        <v>0</v>
      </c>
      <c r="R120" s="1">
        <f t="shared" si="5"/>
        <v>0</v>
      </c>
      <c r="T120">
        <f t="shared" si="6"/>
        <v>0</v>
      </c>
      <c r="U120">
        <f t="shared" si="7"/>
        <v>0</v>
      </c>
    </row>
    <row r="121" x14ac:dyDescent="0.35">
      <c r="A121" s="21" t="str">
        <v/>
      </c>
      <c r="B121" s="23" t="str">
        <v/>
      </c>
      <c r="C121" t="str">
        <v/>
      </c>
      <c r="D121" t="str">
        <v/>
      </c>
      <c r="E121" t="str">
        <v/>
      </c>
      <c r="F121" t="str">
        <v/>
      </c>
      <c r="G121" t="str">
        <v/>
      </c>
      <c r="H121" t="str">
        <v/>
      </c>
      <c r="I121" s="2" t="str">
        <v/>
      </c>
      <c r="J121" s="2" t="str">
        <v/>
      </c>
      <c r="K121" s="2" t="str">
        <v/>
      </c>
      <c r="L121" s="1" t="str">
        <v/>
      </c>
      <c r="M121" s="2" t="str">
        <v/>
      </c>
      <c r="N121" s="1" t="str">
        <v/>
      </c>
      <c r="O121" s="1" t="str">
        <v/>
      </c>
      <c r="P121" s="1" t="str">
        <v/>
      </c>
      <c r="Q121" s="1">
        <f t="shared" si="4"/>
        <v>0</v>
      </c>
      <c r="R121" s="1">
        <f t="shared" si="5"/>
        <v>0</v>
      </c>
      <c r="T121">
        <f t="shared" si="6"/>
        <v>0</v>
      </c>
      <c r="U121">
        <f t="shared" si="7"/>
        <v>0</v>
      </c>
    </row>
    <row r="122" x14ac:dyDescent="0.35">
      <c r="A122" s="21" t="str">
        <v/>
      </c>
      <c r="B122" s="23" t="str">
        <v/>
      </c>
      <c r="C122" t="str">
        <v/>
      </c>
      <c r="D122" t="str">
        <v/>
      </c>
      <c r="E122" t="str">
        <v/>
      </c>
      <c r="F122" t="str">
        <v/>
      </c>
      <c r="G122" t="str">
        <v/>
      </c>
      <c r="H122" t="str">
        <v/>
      </c>
      <c r="I122" s="2" t="str">
        <v/>
      </c>
      <c r="J122" s="2" t="str">
        <v/>
      </c>
      <c r="K122" s="2" t="str">
        <v/>
      </c>
      <c r="L122" s="1" t="str">
        <v/>
      </c>
      <c r="M122" s="2" t="str">
        <v/>
      </c>
      <c r="N122" s="1" t="str">
        <v/>
      </c>
      <c r="O122" s="1" t="str">
        <v/>
      </c>
      <c r="P122" s="1" t="str">
        <v/>
      </c>
      <c r="Q122" s="1">
        <f t="shared" si="4"/>
        <v>0</v>
      </c>
      <c r="R122" s="1">
        <f t="shared" si="5"/>
        <v>0</v>
      </c>
      <c r="T122">
        <f t="shared" si="6"/>
        <v>0</v>
      </c>
      <c r="U122">
        <f t="shared" si="7"/>
        <v>0</v>
      </c>
    </row>
    <row r="123" x14ac:dyDescent="0.35">
      <c r="A123" s="21" t="str">
        <v/>
      </c>
      <c r="B123" s="23" t="str">
        <v/>
      </c>
      <c r="C123" t="str">
        <v/>
      </c>
      <c r="D123" t="str">
        <v/>
      </c>
      <c r="E123" t="str">
        <v/>
      </c>
      <c r="F123" t="str">
        <v/>
      </c>
      <c r="G123" t="str">
        <v/>
      </c>
      <c r="H123" t="str">
        <v/>
      </c>
      <c r="I123" s="2" t="str">
        <v/>
      </c>
      <c r="J123" s="2" t="str">
        <v/>
      </c>
      <c r="K123" s="2" t="str">
        <v/>
      </c>
      <c r="L123" s="1" t="str">
        <v/>
      </c>
      <c r="M123" s="2" t="str">
        <v/>
      </c>
      <c r="N123" s="1" t="str">
        <v/>
      </c>
      <c r="O123" s="1" t="str">
        <v/>
      </c>
      <c r="P123" s="1" t="str">
        <v/>
      </c>
      <c r="Q123" s="1">
        <f t="shared" si="4"/>
        <v>0</v>
      </c>
      <c r="R123" s="1">
        <f t="shared" si="5"/>
        <v>0</v>
      </c>
      <c r="T123">
        <f t="shared" si="6"/>
        <v>0</v>
      </c>
      <c r="U123">
        <f t="shared" si="7"/>
        <v>0</v>
      </c>
    </row>
    <row r="124" x14ac:dyDescent="0.35">
      <c r="A124" s="21" t="str">
        <v/>
      </c>
      <c r="B124" s="23" t="str">
        <v/>
      </c>
      <c r="C124" t="str">
        <v/>
      </c>
      <c r="D124" t="str">
        <v/>
      </c>
      <c r="E124" t="str">
        <v/>
      </c>
      <c r="F124" t="str">
        <v/>
      </c>
      <c r="G124" t="str">
        <v/>
      </c>
      <c r="H124" t="str">
        <v/>
      </c>
      <c r="I124" s="2" t="str">
        <v/>
      </c>
      <c r="J124" s="2" t="str">
        <v/>
      </c>
      <c r="K124" s="2" t="str">
        <v/>
      </c>
      <c r="L124" s="1" t="str">
        <v/>
      </c>
      <c r="M124" s="2" t="str">
        <v/>
      </c>
      <c r="N124" s="1" t="str">
        <v/>
      </c>
      <c r="O124" s="1" t="str">
        <v/>
      </c>
      <c r="P124" s="1" t="str">
        <v/>
      </c>
      <c r="Q124" s="1">
        <f t="shared" si="4"/>
        <v>0</v>
      </c>
      <c r="R124" s="1">
        <f t="shared" si="5"/>
        <v>0</v>
      </c>
      <c r="T124">
        <f t="shared" si="6"/>
        <v>0</v>
      </c>
      <c r="U124">
        <f t="shared" si="7"/>
        <v>0</v>
      </c>
    </row>
    <row r="125" x14ac:dyDescent="0.35">
      <c r="A125" s="21" t="str">
        <v/>
      </c>
      <c r="B125" s="23" t="str">
        <v/>
      </c>
      <c r="C125" t="str">
        <v/>
      </c>
      <c r="D125" t="str">
        <v/>
      </c>
      <c r="E125" t="str">
        <v/>
      </c>
      <c r="F125" t="str">
        <v/>
      </c>
      <c r="G125" t="str">
        <v/>
      </c>
      <c r="H125" t="str">
        <v/>
      </c>
      <c r="I125" s="2" t="str">
        <v/>
      </c>
      <c r="J125" s="2" t="str">
        <v/>
      </c>
      <c r="K125" s="2" t="str">
        <v/>
      </c>
      <c r="L125" s="1" t="str">
        <v/>
      </c>
      <c r="M125" s="2" t="str">
        <v/>
      </c>
      <c r="N125" s="1" t="str">
        <v/>
      </c>
      <c r="O125" s="1" t="str">
        <v/>
      </c>
      <c r="P125" s="1" t="str">
        <v/>
      </c>
      <c r="Q125" s="1">
        <f t="shared" si="4"/>
        <v>0</v>
      </c>
      <c r="R125" s="1">
        <f t="shared" si="5"/>
        <v>0</v>
      </c>
      <c r="T125">
        <f t="shared" si="6"/>
        <v>0</v>
      </c>
      <c r="U125">
        <f t="shared" si="7"/>
        <v>0</v>
      </c>
    </row>
    <row r="126" x14ac:dyDescent="0.35">
      <c r="A126" s="21" t="str">
        <v/>
      </c>
      <c r="B126" s="23" t="str">
        <v/>
      </c>
      <c r="C126" t="str">
        <v/>
      </c>
      <c r="D126" t="str">
        <v/>
      </c>
      <c r="E126" t="str">
        <v/>
      </c>
      <c r="F126" t="str">
        <v/>
      </c>
      <c r="G126" t="str">
        <v/>
      </c>
      <c r="H126" t="str">
        <v/>
      </c>
      <c r="I126" s="2" t="str">
        <v/>
      </c>
      <c r="J126" s="2" t="str">
        <v/>
      </c>
      <c r="K126" s="2" t="str">
        <v/>
      </c>
      <c r="L126" s="1" t="str">
        <v/>
      </c>
      <c r="M126" s="2" t="str">
        <v/>
      </c>
      <c r="N126" s="1" t="str">
        <v/>
      </c>
      <c r="O126" s="1" t="str">
        <v/>
      </c>
      <c r="P126" s="1" t="str">
        <v/>
      </c>
      <c r="Q126" s="1">
        <f t="shared" si="4"/>
        <v>0</v>
      </c>
      <c r="R126" s="1">
        <f t="shared" si="5"/>
        <v>0</v>
      </c>
      <c r="T126">
        <f t="shared" si="6"/>
        <v>0</v>
      </c>
      <c r="U126">
        <f t="shared" si="7"/>
        <v>0</v>
      </c>
    </row>
    <row r="127" x14ac:dyDescent="0.35">
      <c r="A127" s="21" t="str">
        <v/>
      </c>
      <c r="B127" s="23" t="str">
        <v/>
      </c>
      <c r="C127" t="str">
        <v/>
      </c>
      <c r="D127" t="str">
        <v/>
      </c>
      <c r="E127" t="str">
        <v/>
      </c>
      <c r="F127" t="str">
        <v/>
      </c>
      <c r="G127" t="str">
        <v/>
      </c>
      <c r="H127" t="str">
        <v/>
      </c>
      <c r="I127" s="2" t="str">
        <v/>
      </c>
      <c r="J127" s="2" t="str">
        <v/>
      </c>
      <c r="K127" s="2" t="str">
        <v/>
      </c>
      <c r="L127" s="1" t="str">
        <v/>
      </c>
      <c r="M127" s="2" t="str">
        <v/>
      </c>
      <c r="N127" s="1" t="str">
        <v/>
      </c>
      <c r="O127" s="1" t="str">
        <v/>
      </c>
      <c r="P127" s="1" t="str">
        <v/>
      </c>
      <c r="Q127" s="1">
        <f t="shared" si="4"/>
        <v>0</v>
      </c>
      <c r="R127" s="1">
        <f t="shared" si="5"/>
        <v>0</v>
      </c>
      <c r="T127">
        <f t="shared" si="6"/>
        <v>0</v>
      </c>
      <c r="U127">
        <f t="shared" si="7"/>
        <v>0</v>
      </c>
    </row>
    <row r="128" x14ac:dyDescent="0.35">
      <c r="A128" s="21" t="str">
        <v/>
      </c>
      <c r="B128" s="23" t="str">
        <v/>
      </c>
      <c r="C128" t="str">
        <v/>
      </c>
      <c r="D128" t="str">
        <v/>
      </c>
      <c r="E128" t="str">
        <v/>
      </c>
      <c r="F128" t="str">
        <v/>
      </c>
      <c r="G128" t="str">
        <v/>
      </c>
      <c r="H128" t="str">
        <v/>
      </c>
      <c r="I128" s="2" t="str">
        <v/>
      </c>
      <c r="J128" s="2" t="str">
        <v/>
      </c>
      <c r="K128" s="2" t="str">
        <v/>
      </c>
      <c r="L128" s="1" t="str">
        <v/>
      </c>
      <c r="M128" s="2" t="str">
        <v/>
      </c>
      <c r="N128" s="1" t="str">
        <v/>
      </c>
      <c r="O128" s="1" t="str">
        <v/>
      </c>
      <c r="P128" s="1" t="str">
        <v/>
      </c>
      <c r="Q128" s="1">
        <f t="shared" si="4"/>
        <v>0</v>
      </c>
      <c r="R128" s="1">
        <f t="shared" si="5"/>
        <v>0</v>
      </c>
      <c r="T128">
        <f t="shared" si="6"/>
        <v>0</v>
      </c>
      <c r="U128">
        <f t="shared" si="7"/>
        <v>0</v>
      </c>
    </row>
    <row r="129" x14ac:dyDescent="0.35">
      <c r="A129" s="21" t="str">
        <v/>
      </c>
      <c r="B129" s="23" t="str">
        <v/>
      </c>
      <c r="C129" t="str">
        <v/>
      </c>
      <c r="D129" t="str">
        <v/>
      </c>
      <c r="E129" t="str">
        <v/>
      </c>
      <c r="F129" t="str">
        <v/>
      </c>
      <c r="G129" t="str">
        <v/>
      </c>
      <c r="H129" t="str">
        <v/>
      </c>
      <c r="I129" s="2" t="str">
        <v/>
      </c>
      <c r="J129" s="2" t="str">
        <v/>
      </c>
      <c r="K129" s="2" t="str">
        <v/>
      </c>
      <c r="L129" s="1" t="str">
        <v/>
      </c>
      <c r="M129" s="2" t="str">
        <v/>
      </c>
      <c r="N129" s="1" t="str">
        <v/>
      </c>
      <c r="O129" s="1" t="str">
        <v/>
      </c>
      <c r="P129" s="1" t="str">
        <v/>
      </c>
      <c r="Q129" s="1">
        <f t="shared" si="4"/>
        <v>0</v>
      </c>
      <c r="R129" s="1">
        <f t="shared" si="5"/>
        <v>0</v>
      </c>
      <c r="T129">
        <f t="shared" si="6"/>
        <v>0</v>
      </c>
      <c r="U129">
        <f t="shared" si="7"/>
        <v>0</v>
      </c>
    </row>
    <row r="130" x14ac:dyDescent="0.35">
      <c r="A130" s="21" t="str">
        <v/>
      </c>
      <c r="B130" s="23" t="str">
        <v/>
      </c>
      <c r="C130" t="str">
        <v/>
      </c>
      <c r="D130" t="str">
        <v/>
      </c>
      <c r="E130" t="str">
        <v/>
      </c>
      <c r="F130" t="str">
        <v/>
      </c>
      <c r="G130" t="str">
        <v/>
      </c>
      <c r="H130" t="str">
        <v/>
      </c>
      <c r="I130" s="2" t="str">
        <v/>
      </c>
      <c r="J130" s="2" t="str">
        <v/>
      </c>
      <c r="K130" s="2" t="str">
        <v/>
      </c>
      <c r="L130" s="1" t="str">
        <v/>
      </c>
      <c r="M130" s="2" t="str">
        <v/>
      </c>
      <c r="N130" s="1" t="str">
        <v/>
      </c>
      <c r="O130" s="1" t="str">
        <v/>
      </c>
      <c r="P130" s="1" t="str">
        <v/>
      </c>
      <c r="Q130" s="1">
        <f t="shared" si="4"/>
        <v>0</v>
      </c>
      <c r="R130" s="1">
        <f t="shared" si="5"/>
        <v>0</v>
      </c>
      <c r="T130">
        <f t="shared" si="6"/>
        <v>0</v>
      </c>
      <c r="U130">
        <f t="shared" si="7"/>
        <v>0</v>
      </c>
    </row>
    <row r="131" x14ac:dyDescent="0.35">
      <c r="A131" s="21" t="str">
        <v/>
      </c>
      <c r="B131" s="23" t="str">
        <v/>
      </c>
      <c r="C131" t="str">
        <v/>
      </c>
      <c r="D131" t="str">
        <v/>
      </c>
      <c r="E131" t="str">
        <v/>
      </c>
      <c r="F131" t="str">
        <v/>
      </c>
      <c r="G131" t="str">
        <v/>
      </c>
      <c r="H131" t="str">
        <v/>
      </c>
      <c r="I131" s="2" t="str">
        <v/>
      </c>
      <c r="J131" s="2" t="str">
        <v/>
      </c>
      <c r="K131" s="2" t="str">
        <v/>
      </c>
      <c r="L131" s="1" t="str">
        <v/>
      </c>
      <c r="M131" s="2" t="str">
        <v/>
      </c>
      <c r="N131" s="1" t="str">
        <v/>
      </c>
      <c r="O131" s="1" t="str">
        <v/>
      </c>
      <c r="P131" s="1" t="str">
        <v/>
      </c>
      <c r="Q131" s="1">
        <f t="shared" ref="Q131:Q194" si="8">IF(H131="Sí",1,0)</f>
        <v>0</v>
      </c>
      <c r="R131" s="1">
        <f t="shared" ref="R131:R194" si="9">IF(L131="En coordinación",1,0)</f>
        <v>0</v>
      </c>
      <c r="T131">
        <f t="shared" ref="T131:T194" si="10">IF(N131="Sí",1,0)</f>
        <v>0</v>
      </c>
      <c r="U131">
        <f t="shared" ref="U131:U194" si="11">IF(L131="Aceptada",1,0)</f>
        <v>0</v>
      </c>
    </row>
    <row r="132" x14ac:dyDescent="0.35">
      <c r="A132" s="21" t="str">
        <v/>
      </c>
      <c r="B132" s="23" t="str">
        <v/>
      </c>
      <c r="C132" t="str">
        <v/>
      </c>
      <c r="D132" t="str">
        <v/>
      </c>
      <c r="E132" t="str">
        <v/>
      </c>
      <c r="F132" t="str">
        <v/>
      </c>
      <c r="G132" t="str">
        <v/>
      </c>
      <c r="H132" t="str">
        <v/>
      </c>
      <c r="I132" s="2" t="str">
        <v/>
      </c>
      <c r="J132" s="2" t="str">
        <v/>
      </c>
      <c r="K132" s="2" t="str">
        <v/>
      </c>
      <c r="L132" s="1" t="str">
        <v/>
      </c>
      <c r="M132" s="2" t="str">
        <v/>
      </c>
      <c r="N132" s="1" t="str">
        <v/>
      </c>
      <c r="O132" s="1" t="str">
        <v/>
      </c>
      <c r="P132" s="1" t="str">
        <v/>
      </c>
      <c r="Q132" s="1">
        <f t="shared" si="8"/>
        <v>0</v>
      </c>
      <c r="R132" s="1">
        <f t="shared" si="9"/>
        <v>0</v>
      </c>
      <c r="T132">
        <f t="shared" si="10"/>
        <v>0</v>
      </c>
      <c r="U132">
        <f t="shared" si="11"/>
        <v>0</v>
      </c>
    </row>
    <row r="133" x14ac:dyDescent="0.35">
      <c r="A133" s="21" t="str">
        <v/>
      </c>
      <c r="B133" s="23" t="str">
        <v/>
      </c>
      <c r="C133" t="str">
        <v/>
      </c>
      <c r="D133" t="str">
        <v/>
      </c>
      <c r="E133" t="str">
        <v/>
      </c>
      <c r="F133" t="str">
        <v/>
      </c>
      <c r="G133" t="str">
        <v/>
      </c>
      <c r="H133" t="str">
        <v/>
      </c>
      <c r="I133" s="2" t="str">
        <v/>
      </c>
      <c r="J133" s="2" t="str">
        <v/>
      </c>
      <c r="K133" s="2" t="str">
        <v/>
      </c>
      <c r="L133" s="1" t="str">
        <v/>
      </c>
      <c r="M133" s="2" t="str">
        <v/>
      </c>
      <c r="N133" s="1" t="str">
        <v/>
      </c>
      <c r="O133" s="1" t="str">
        <v/>
      </c>
      <c r="P133" s="1" t="str">
        <v/>
      </c>
      <c r="Q133" s="1">
        <f t="shared" si="8"/>
        <v>0</v>
      </c>
      <c r="R133" s="1">
        <f t="shared" si="9"/>
        <v>0</v>
      </c>
      <c r="T133">
        <f t="shared" si="10"/>
        <v>0</v>
      </c>
      <c r="U133">
        <f t="shared" si="11"/>
        <v>0</v>
      </c>
    </row>
    <row r="134" x14ac:dyDescent="0.35">
      <c r="A134" s="21" t="str">
        <v/>
      </c>
      <c r="B134" s="23" t="str">
        <v/>
      </c>
      <c r="C134" t="str">
        <v/>
      </c>
      <c r="D134" t="str">
        <v/>
      </c>
      <c r="E134" t="str">
        <v/>
      </c>
      <c r="F134" t="str">
        <v/>
      </c>
      <c r="G134" t="str">
        <v/>
      </c>
      <c r="H134" t="str">
        <v/>
      </c>
      <c r="I134" s="2" t="str">
        <v/>
      </c>
      <c r="J134" s="2" t="str">
        <v/>
      </c>
      <c r="K134" s="2" t="str">
        <v/>
      </c>
      <c r="L134" s="1" t="str">
        <v/>
      </c>
      <c r="M134" s="2" t="str">
        <v/>
      </c>
      <c r="N134" s="1" t="str">
        <v/>
      </c>
      <c r="O134" s="1" t="str">
        <v/>
      </c>
      <c r="P134" s="1" t="str">
        <v/>
      </c>
      <c r="Q134" s="1">
        <f t="shared" si="8"/>
        <v>0</v>
      </c>
      <c r="R134" s="1">
        <f t="shared" si="9"/>
        <v>0</v>
      </c>
      <c r="T134">
        <f t="shared" si="10"/>
        <v>0</v>
      </c>
      <c r="U134">
        <f t="shared" si="11"/>
        <v>0</v>
      </c>
    </row>
    <row r="135" x14ac:dyDescent="0.35">
      <c r="A135" s="21" t="str">
        <v/>
      </c>
      <c r="B135" s="23" t="str">
        <v/>
      </c>
      <c r="C135" t="str">
        <v/>
      </c>
      <c r="D135" t="str">
        <v/>
      </c>
      <c r="E135" t="str">
        <v/>
      </c>
      <c r="F135" t="str">
        <v/>
      </c>
      <c r="G135" t="str">
        <v/>
      </c>
      <c r="H135" t="str">
        <v/>
      </c>
      <c r="I135" s="2" t="str">
        <v/>
      </c>
      <c r="J135" s="2" t="str">
        <v/>
      </c>
      <c r="K135" s="2" t="str">
        <v/>
      </c>
      <c r="L135" s="1" t="str">
        <v/>
      </c>
      <c r="M135" s="2" t="str">
        <v/>
      </c>
      <c r="N135" s="1" t="str">
        <v/>
      </c>
      <c r="O135" s="1" t="str">
        <v/>
      </c>
      <c r="P135" s="1" t="str">
        <v/>
      </c>
      <c r="Q135" s="1">
        <f t="shared" si="8"/>
        <v>0</v>
      </c>
      <c r="R135" s="1">
        <f t="shared" si="9"/>
        <v>0</v>
      </c>
      <c r="T135">
        <f t="shared" si="10"/>
        <v>0</v>
      </c>
      <c r="U135">
        <f t="shared" si="11"/>
        <v>0</v>
      </c>
    </row>
    <row r="136" x14ac:dyDescent="0.35">
      <c r="A136" s="21" t="str">
        <v/>
      </c>
      <c r="B136" s="23" t="str">
        <v/>
      </c>
      <c r="C136" t="str">
        <v/>
      </c>
      <c r="D136" t="str">
        <v/>
      </c>
      <c r="E136" t="str">
        <v/>
      </c>
      <c r="F136" t="str">
        <v/>
      </c>
      <c r="G136" t="str">
        <v/>
      </c>
      <c r="H136" t="str">
        <v/>
      </c>
      <c r="I136" s="2" t="str">
        <v/>
      </c>
      <c r="J136" s="2" t="str">
        <v/>
      </c>
      <c r="K136" s="2" t="str">
        <v/>
      </c>
      <c r="L136" s="1" t="str">
        <v/>
      </c>
      <c r="M136" s="2" t="str">
        <v/>
      </c>
      <c r="N136" s="1" t="str">
        <v/>
      </c>
      <c r="O136" s="1" t="str">
        <v/>
      </c>
      <c r="P136" s="1" t="str">
        <v/>
      </c>
      <c r="Q136" s="1">
        <f t="shared" si="8"/>
        <v>0</v>
      </c>
      <c r="R136" s="1">
        <f t="shared" si="9"/>
        <v>0</v>
      </c>
      <c r="T136">
        <f t="shared" si="10"/>
        <v>0</v>
      </c>
      <c r="U136">
        <f t="shared" si="11"/>
        <v>0</v>
      </c>
    </row>
    <row r="137" x14ac:dyDescent="0.35">
      <c r="A137" s="21" t="str">
        <v/>
      </c>
      <c r="B137" s="23" t="str">
        <v/>
      </c>
      <c r="C137" t="str">
        <v/>
      </c>
      <c r="D137" t="str">
        <v/>
      </c>
      <c r="E137" t="str">
        <v/>
      </c>
      <c r="F137" t="str">
        <v/>
      </c>
      <c r="G137" t="str">
        <v/>
      </c>
      <c r="H137" t="str">
        <v/>
      </c>
      <c r="I137" s="2" t="str">
        <v/>
      </c>
      <c r="J137" s="2" t="str">
        <v/>
      </c>
      <c r="K137" s="2" t="str">
        <v/>
      </c>
      <c r="L137" s="1" t="str">
        <v/>
      </c>
      <c r="M137" s="2" t="str">
        <v/>
      </c>
      <c r="N137" s="1" t="str">
        <v/>
      </c>
      <c r="O137" s="1" t="str">
        <v/>
      </c>
      <c r="P137" s="1" t="str">
        <v/>
      </c>
      <c r="Q137" s="1">
        <f t="shared" si="8"/>
        <v>0</v>
      </c>
      <c r="R137" s="1">
        <f t="shared" si="9"/>
        <v>0</v>
      </c>
      <c r="T137">
        <f t="shared" si="10"/>
        <v>0</v>
      </c>
      <c r="U137">
        <f t="shared" si="11"/>
        <v>0</v>
      </c>
    </row>
    <row r="138" x14ac:dyDescent="0.35">
      <c r="A138" s="21" t="str">
        <v/>
      </c>
      <c r="B138" s="23" t="str">
        <v/>
      </c>
      <c r="C138" t="str">
        <v/>
      </c>
      <c r="D138" t="str">
        <v/>
      </c>
      <c r="E138" t="str">
        <v/>
      </c>
      <c r="F138" t="str">
        <v/>
      </c>
      <c r="G138" t="str">
        <v/>
      </c>
      <c r="H138" t="str">
        <v/>
      </c>
      <c r="I138" s="2" t="str">
        <v/>
      </c>
      <c r="J138" s="2" t="str">
        <v/>
      </c>
      <c r="K138" s="2" t="str">
        <v/>
      </c>
      <c r="L138" s="1" t="str">
        <v/>
      </c>
      <c r="M138" s="2" t="str">
        <v/>
      </c>
      <c r="N138" s="1" t="str">
        <v/>
      </c>
      <c r="O138" s="1" t="str">
        <v/>
      </c>
      <c r="P138" s="1" t="str">
        <v/>
      </c>
      <c r="Q138" s="1">
        <f t="shared" si="8"/>
        <v>0</v>
      </c>
      <c r="R138" s="1">
        <f t="shared" si="9"/>
        <v>0</v>
      </c>
      <c r="T138">
        <f t="shared" si="10"/>
        <v>0</v>
      </c>
      <c r="U138">
        <f t="shared" si="11"/>
        <v>0</v>
      </c>
    </row>
    <row r="139" x14ac:dyDescent="0.35">
      <c r="A139" s="21" t="str">
        <v/>
      </c>
      <c r="B139" s="23" t="str">
        <v/>
      </c>
      <c r="C139" t="str">
        <v/>
      </c>
      <c r="D139" t="str">
        <v/>
      </c>
      <c r="E139" t="str">
        <v/>
      </c>
      <c r="F139" t="str">
        <v/>
      </c>
      <c r="G139" t="str">
        <v/>
      </c>
      <c r="H139" t="str">
        <v/>
      </c>
      <c r="I139" s="2" t="str">
        <v/>
      </c>
      <c r="J139" s="2" t="str">
        <v/>
      </c>
      <c r="K139" s="2" t="str">
        <v/>
      </c>
      <c r="L139" s="1" t="str">
        <v/>
      </c>
      <c r="M139" s="2" t="str">
        <v/>
      </c>
      <c r="N139" s="1" t="str">
        <v/>
      </c>
      <c r="O139" s="1" t="str">
        <v/>
      </c>
      <c r="P139" s="1" t="str">
        <v/>
      </c>
      <c r="Q139" s="1">
        <f t="shared" si="8"/>
        <v>0</v>
      </c>
      <c r="R139" s="1">
        <f t="shared" si="9"/>
        <v>0</v>
      </c>
      <c r="T139">
        <f t="shared" si="10"/>
        <v>0</v>
      </c>
      <c r="U139">
        <f t="shared" si="11"/>
        <v>0</v>
      </c>
    </row>
    <row r="140" x14ac:dyDescent="0.35">
      <c r="A140" s="21" t="str">
        <v/>
      </c>
      <c r="B140" s="23" t="str">
        <v/>
      </c>
      <c r="C140" t="str">
        <v/>
      </c>
      <c r="D140" t="str">
        <v/>
      </c>
      <c r="E140" t="str">
        <v/>
      </c>
      <c r="F140" t="str">
        <v/>
      </c>
      <c r="G140" t="str">
        <v/>
      </c>
      <c r="H140" t="str">
        <v/>
      </c>
      <c r="I140" s="2" t="str">
        <v/>
      </c>
      <c r="J140" s="2" t="str">
        <v/>
      </c>
      <c r="K140" s="2" t="str">
        <v/>
      </c>
      <c r="L140" s="1" t="str">
        <v/>
      </c>
      <c r="M140" s="2" t="str">
        <v/>
      </c>
      <c r="N140" s="1" t="str">
        <v/>
      </c>
      <c r="O140" s="1" t="str">
        <v/>
      </c>
      <c r="P140" s="1" t="str">
        <v/>
      </c>
      <c r="Q140" s="1">
        <f t="shared" si="8"/>
        <v>0</v>
      </c>
      <c r="R140" s="1">
        <f t="shared" si="9"/>
        <v>0</v>
      </c>
      <c r="T140">
        <f t="shared" si="10"/>
        <v>0</v>
      </c>
      <c r="U140">
        <f t="shared" si="11"/>
        <v>0</v>
      </c>
    </row>
    <row r="141" x14ac:dyDescent="0.35">
      <c r="A141" s="21" t="str">
        <v/>
      </c>
      <c r="B141" s="23" t="str">
        <v/>
      </c>
      <c r="C141" t="str">
        <v/>
      </c>
      <c r="D141" t="str">
        <v/>
      </c>
      <c r="E141" t="str">
        <v/>
      </c>
      <c r="F141" t="str">
        <v/>
      </c>
      <c r="G141" t="str">
        <v/>
      </c>
      <c r="H141" t="str">
        <v/>
      </c>
      <c r="I141" s="2" t="str">
        <v/>
      </c>
      <c r="J141" s="2" t="str">
        <v/>
      </c>
      <c r="K141" s="2" t="str">
        <v/>
      </c>
      <c r="L141" s="1" t="str">
        <v/>
      </c>
      <c r="M141" s="2" t="str">
        <v/>
      </c>
      <c r="N141" s="1" t="str">
        <v/>
      </c>
      <c r="O141" s="1" t="str">
        <v/>
      </c>
      <c r="P141" s="1" t="str">
        <v/>
      </c>
      <c r="Q141" s="1">
        <f t="shared" si="8"/>
        <v>0</v>
      </c>
      <c r="R141" s="1">
        <f t="shared" si="9"/>
        <v>0</v>
      </c>
      <c r="T141">
        <f t="shared" si="10"/>
        <v>0</v>
      </c>
      <c r="U141">
        <f t="shared" si="11"/>
        <v>0</v>
      </c>
    </row>
    <row r="142" x14ac:dyDescent="0.35">
      <c r="A142" s="21" t="str">
        <v/>
      </c>
      <c r="B142" s="23" t="str">
        <v/>
      </c>
      <c r="C142" t="str">
        <v/>
      </c>
      <c r="D142" t="str">
        <v/>
      </c>
      <c r="E142" t="str">
        <v/>
      </c>
      <c r="F142" t="str">
        <v/>
      </c>
      <c r="G142" t="str">
        <v/>
      </c>
      <c r="H142" t="str">
        <v/>
      </c>
      <c r="I142" s="2" t="str">
        <v/>
      </c>
      <c r="J142" s="2" t="str">
        <v/>
      </c>
      <c r="K142" s="2" t="str">
        <v/>
      </c>
      <c r="L142" s="1" t="str">
        <v/>
      </c>
      <c r="M142" s="2" t="str">
        <v/>
      </c>
      <c r="N142" s="1" t="str">
        <v/>
      </c>
      <c r="O142" s="1" t="str">
        <v/>
      </c>
      <c r="P142" s="1" t="str">
        <v/>
      </c>
      <c r="Q142" s="1">
        <f t="shared" si="8"/>
        <v>0</v>
      </c>
      <c r="R142" s="1">
        <f t="shared" si="9"/>
        <v>0</v>
      </c>
      <c r="T142">
        <f t="shared" si="10"/>
        <v>0</v>
      </c>
      <c r="U142">
        <f t="shared" si="11"/>
        <v>0</v>
      </c>
    </row>
    <row r="143" x14ac:dyDescent="0.35">
      <c r="A143" s="21" t="str">
        <v/>
      </c>
      <c r="B143" s="23" t="str">
        <v/>
      </c>
      <c r="C143" t="str">
        <v/>
      </c>
      <c r="D143" t="str">
        <v/>
      </c>
      <c r="E143" t="str">
        <v/>
      </c>
      <c r="F143" t="str">
        <v/>
      </c>
      <c r="G143" t="str">
        <v/>
      </c>
      <c r="H143" t="str">
        <v/>
      </c>
      <c r="I143" s="2" t="str">
        <v/>
      </c>
      <c r="J143" s="2" t="str">
        <v/>
      </c>
      <c r="K143" s="2" t="str">
        <v/>
      </c>
      <c r="L143" s="1" t="str">
        <v/>
      </c>
      <c r="M143" s="2" t="str">
        <v/>
      </c>
      <c r="N143" s="1" t="str">
        <v/>
      </c>
      <c r="O143" s="1" t="str">
        <v/>
      </c>
      <c r="P143" s="1" t="str">
        <v/>
      </c>
      <c r="Q143" s="1">
        <f t="shared" si="8"/>
        <v>0</v>
      </c>
      <c r="R143" s="1">
        <f t="shared" si="9"/>
        <v>0</v>
      </c>
      <c r="T143">
        <f t="shared" si="10"/>
        <v>0</v>
      </c>
      <c r="U143">
        <f t="shared" si="11"/>
        <v>0</v>
      </c>
    </row>
    <row r="144" x14ac:dyDescent="0.35">
      <c r="A144" s="21" t="str">
        <v/>
      </c>
      <c r="B144" s="23" t="str">
        <v/>
      </c>
      <c r="C144" t="str">
        <v/>
      </c>
      <c r="D144" t="str">
        <v/>
      </c>
      <c r="E144" t="str">
        <v/>
      </c>
      <c r="F144" t="str">
        <v/>
      </c>
      <c r="G144" t="str">
        <v/>
      </c>
      <c r="H144" t="str">
        <v/>
      </c>
      <c r="I144" s="2" t="str">
        <v/>
      </c>
      <c r="J144" s="2" t="str">
        <v/>
      </c>
      <c r="K144" s="2" t="str">
        <v/>
      </c>
      <c r="L144" s="1" t="str">
        <v/>
      </c>
      <c r="M144" s="2" t="str">
        <v/>
      </c>
      <c r="N144" s="1" t="str">
        <v/>
      </c>
      <c r="O144" s="1" t="str">
        <v/>
      </c>
      <c r="P144" s="1" t="str">
        <v/>
      </c>
      <c r="Q144" s="1">
        <f t="shared" si="8"/>
        <v>0</v>
      </c>
      <c r="R144" s="1">
        <f t="shared" si="9"/>
        <v>0</v>
      </c>
      <c r="T144">
        <f t="shared" si="10"/>
        <v>0</v>
      </c>
      <c r="U144">
        <f t="shared" si="11"/>
        <v>0</v>
      </c>
    </row>
    <row r="145" x14ac:dyDescent="0.35">
      <c r="A145" s="21" t="str">
        <v/>
      </c>
      <c r="B145" s="23" t="str">
        <v/>
      </c>
      <c r="C145" t="str">
        <v/>
      </c>
      <c r="D145" t="str">
        <v/>
      </c>
      <c r="E145" t="str">
        <v/>
      </c>
      <c r="F145" t="str">
        <v/>
      </c>
      <c r="G145" t="str">
        <v/>
      </c>
      <c r="H145" t="str">
        <v/>
      </c>
      <c r="I145" s="2" t="str">
        <v/>
      </c>
      <c r="J145" s="2" t="str">
        <v/>
      </c>
      <c r="K145" s="2" t="str">
        <v/>
      </c>
      <c r="L145" s="1" t="str">
        <v/>
      </c>
      <c r="M145" s="2" t="str">
        <v/>
      </c>
      <c r="N145" s="1" t="str">
        <v/>
      </c>
      <c r="O145" s="1" t="str">
        <v/>
      </c>
      <c r="P145" s="1" t="str">
        <v/>
      </c>
      <c r="Q145" s="1">
        <f t="shared" si="8"/>
        <v>0</v>
      </c>
      <c r="R145" s="1">
        <f t="shared" si="9"/>
        <v>0</v>
      </c>
      <c r="T145">
        <f t="shared" si="10"/>
        <v>0</v>
      </c>
      <c r="U145">
        <f t="shared" si="11"/>
        <v>0</v>
      </c>
    </row>
    <row r="146" x14ac:dyDescent="0.35">
      <c r="A146" s="21" t="str">
        <v/>
      </c>
      <c r="B146" s="23" t="str">
        <v/>
      </c>
      <c r="C146" t="str">
        <v/>
      </c>
      <c r="D146" t="str">
        <v/>
      </c>
      <c r="E146" t="str">
        <v/>
      </c>
      <c r="F146" t="str">
        <v/>
      </c>
      <c r="G146" t="str">
        <v/>
      </c>
      <c r="H146" t="str">
        <v/>
      </c>
      <c r="I146" s="2" t="str">
        <v/>
      </c>
      <c r="J146" s="2" t="str">
        <v/>
      </c>
      <c r="K146" s="2" t="str">
        <v/>
      </c>
      <c r="L146" s="1" t="str">
        <v/>
      </c>
      <c r="M146" s="2" t="str">
        <v/>
      </c>
      <c r="N146" s="1" t="str">
        <v/>
      </c>
      <c r="O146" s="1" t="str">
        <v/>
      </c>
      <c r="P146" s="1" t="str">
        <v/>
      </c>
      <c r="Q146" s="1">
        <f t="shared" si="8"/>
        <v>0</v>
      </c>
      <c r="R146" s="1">
        <f t="shared" si="9"/>
        <v>0</v>
      </c>
      <c r="T146">
        <f t="shared" si="10"/>
        <v>0</v>
      </c>
      <c r="U146">
        <f t="shared" si="11"/>
        <v>0</v>
      </c>
    </row>
    <row r="147" x14ac:dyDescent="0.35">
      <c r="A147" s="21" t="str">
        <v/>
      </c>
      <c r="B147" s="23" t="str">
        <v/>
      </c>
      <c r="C147" t="str">
        <v/>
      </c>
      <c r="D147" t="str">
        <v/>
      </c>
      <c r="E147" t="str">
        <v/>
      </c>
      <c r="F147" t="str">
        <v/>
      </c>
      <c r="G147" t="str">
        <v/>
      </c>
      <c r="H147" t="str">
        <v/>
      </c>
      <c r="I147" s="2" t="str">
        <v/>
      </c>
      <c r="J147" s="2" t="str">
        <v/>
      </c>
      <c r="K147" s="2" t="str">
        <v/>
      </c>
      <c r="L147" s="1" t="str">
        <v/>
      </c>
      <c r="M147" s="2" t="str">
        <v/>
      </c>
      <c r="N147" s="1" t="str">
        <v/>
      </c>
      <c r="O147" s="1" t="str">
        <v/>
      </c>
      <c r="P147" s="1" t="str">
        <v/>
      </c>
      <c r="Q147" s="1">
        <f t="shared" si="8"/>
        <v>0</v>
      </c>
      <c r="R147" s="1">
        <f t="shared" si="9"/>
        <v>0</v>
      </c>
      <c r="T147">
        <f t="shared" si="10"/>
        <v>0</v>
      </c>
      <c r="U147">
        <f t="shared" si="11"/>
        <v>0</v>
      </c>
    </row>
    <row r="148" x14ac:dyDescent="0.35">
      <c r="A148" s="21" t="str">
        <v/>
      </c>
      <c r="B148" s="23" t="str">
        <v/>
      </c>
      <c r="C148" t="str">
        <v/>
      </c>
      <c r="D148" t="str">
        <v/>
      </c>
      <c r="E148" t="str">
        <v/>
      </c>
      <c r="F148" t="str">
        <v/>
      </c>
      <c r="G148" t="str">
        <v/>
      </c>
      <c r="H148" t="str">
        <v/>
      </c>
      <c r="I148" s="2" t="str">
        <v/>
      </c>
      <c r="J148" s="2" t="str">
        <v/>
      </c>
      <c r="K148" s="2" t="str">
        <v/>
      </c>
      <c r="L148" s="1" t="str">
        <v/>
      </c>
      <c r="M148" s="2" t="str">
        <v/>
      </c>
      <c r="N148" s="1" t="str">
        <v/>
      </c>
      <c r="O148" s="1" t="str">
        <v/>
      </c>
      <c r="P148" s="1" t="str">
        <v/>
      </c>
      <c r="Q148" s="1">
        <f t="shared" si="8"/>
        <v>0</v>
      </c>
      <c r="R148" s="1">
        <f t="shared" si="9"/>
        <v>0</v>
      </c>
      <c r="T148">
        <f t="shared" si="10"/>
        <v>0</v>
      </c>
      <c r="U148">
        <f t="shared" si="11"/>
        <v>0</v>
      </c>
    </row>
    <row r="149" x14ac:dyDescent="0.35">
      <c r="A149" s="21" t="str">
        <v/>
      </c>
      <c r="B149" s="23" t="str">
        <v/>
      </c>
      <c r="C149" t="str">
        <v/>
      </c>
      <c r="D149" t="str">
        <v/>
      </c>
      <c r="E149" t="str">
        <v/>
      </c>
      <c r="F149" t="str">
        <v/>
      </c>
      <c r="G149" t="str">
        <v/>
      </c>
      <c r="H149" t="str">
        <v/>
      </c>
      <c r="I149" s="2" t="str">
        <v/>
      </c>
      <c r="J149" s="2" t="str">
        <v/>
      </c>
      <c r="K149" s="2" t="str">
        <v/>
      </c>
      <c r="L149" s="1" t="str">
        <v/>
      </c>
      <c r="M149" s="2" t="str">
        <v/>
      </c>
      <c r="N149" s="1" t="str">
        <v/>
      </c>
      <c r="O149" s="1" t="str">
        <v/>
      </c>
      <c r="P149" s="1" t="str">
        <v/>
      </c>
      <c r="Q149" s="1">
        <f t="shared" si="8"/>
        <v>0</v>
      </c>
      <c r="R149" s="1">
        <f t="shared" si="9"/>
        <v>0</v>
      </c>
      <c r="T149">
        <f t="shared" si="10"/>
        <v>0</v>
      </c>
      <c r="U149">
        <f t="shared" si="11"/>
        <v>0</v>
      </c>
    </row>
    <row r="150" x14ac:dyDescent="0.35">
      <c r="A150" s="21" t="str">
        <v/>
      </c>
      <c r="B150" s="23" t="str">
        <v/>
      </c>
      <c r="C150" t="str">
        <v/>
      </c>
      <c r="D150" t="str">
        <v/>
      </c>
      <c r="E150" t="str">
        <v/>
      </c>
      <c r="F150" t="str">
        <v/>
      </c>
      <c r="G150" t="str">
        <v/>
      </c>
      <c r="H150" t="str">
        <v/>
      </c>
      <c r="I150" s="2" t="str">
        <v/>
      </c>
      <c r="J150" s="2" t="str">
        <v/>
      </c>
      <c r="K150" s="2" t="str">
        <v/>
      </c>
      <c r="L150" s="1" t="str">
        <v/>
      </c>
      <c r="M150" s="2" t="str">
        <v/>
      </c>
      <c r="N150" s="1" t="str">
        <v/>
      </c>
      <c r="O150" s="1" t="str">
        <v/>
      </c>
      <c r="P150" s="1" t="str">
        <v/>
      </c>
      <c r="Q150" s="1">
        <f t="shared" si="8"/>
        <v>0</v>
      </c>
      <c r="R150" s="1">
        <f t="shared" si="9"/>
        <v>0</v>
      </c>
      <c r="T150">
        <f t="shared" si="10"/>
        <v>0</v>
      </c>
      <c r="U150">
        <f t="shared" si="11"/>
        <v>0</v>
      </c>
    </row>
    <row r="151" x14ac:dyDescent="0.35">
      <c r="A151" s="21" t="str">
        <v/>
      </c>
      <c r="B151" s="23" t="str">
        <v/>
      </c>
      <c r="C151" t="str">
        <v/>
      </c>
      <c r="D151" t="str">
        <v/>
      </c>
      <c r="E151" t="str">
        <v/>
      </c>
      <c r="F151" t="str">
        <v/>
      </c>
      <c r="G151" t="str">
        <v/>
      </c>
      <c r="H151" t="str">
        <v/>
      </c>
      <c r="I151" s="2" t="str">
        <v/>
      </c>
      <c r="J151" s="2" t="str">
        <v/>
      </c>
      <c r="K151" s="2" t="str">
        <v/>
      </c>
      <c r="L151" s="1" t="str">
        <v/>
      </c>
      <c r="M151" s="2" t="str">
        <v/>
      </c>
      <c r="N151" s="1" t="str">
        <v/>
      </c>
      <c r="O151" s="1" t="str">
        <v/>
      </c>
      <c r="P151" s="1" t="str">
        <v/>
      </c>
      <c r="Q151" s="1">
        <f t="shared" si="8"/>
        <v>0</v>
      </c>
      <c r="R151" s="1">
        <f t="shared" si="9"/>
        <v>0</v>
      </c>
      <c r="T151">
        <f t="shared" si="10"/>
        <v>0</v>
      </c>
      <c r="U151">
        <f t="shared" si="11"/>
        <v>0</v>
      </c>
    </row>
    <row r="152" x14ac:dyDescent="0.35">
      <c r="A152" s="21" t="str">
        <v/>
      </c>
      <c r="B152" s="23" t="str">
        <v/>
      </c>
      <c r="C152" t="str">
        <v/>
      </c>
      <c r="D152" t="str">
        <v/>
      </c>
      <c r="E152" t="str">
        <v/>
      </c>
      <c r="F152" t="str">
        <v/>
      </c>
      <c r="G152" t="str">
        <v/>
      </c>
      <c r="H152" t="str">
        <v/>
      </c>
      <c r="I152" s="2" t="str">
        <v/>
      </c>
      <c r="J152" s="2" t="str">
        <v/>
      </c>
      <c r="K152" s="2" t="str">
        <v/>
      </c>
      <c r="L152" s="1" t="str">
        <v/>
      </c>
      <c r="M152" s="2" t="str">
        <v/>
      </c>
      <c r="N152" s="1" t="str">
        <v/>
      </c>
      <c r="O152" s="1" t="str">
        <v/>
      </c>
      <c r="P152" s="1" t="str">
        <v/>
      </c>
      <c r="Q152" s="1">
        <f t="shared" si="8"/>
        <v>0</v>
      </c>
      <c r="R152" s="1">
        <f t="shared" si="9"/>
        <v>0</v>
      </c>
      <c r="T152">
        <f t="shared" si="10"/>
        <v>0</v>
      </c>
      <c r="U152">
        <f t="shared" si="11"/>
        <v>0</v>
      </c>
    </row>
    <row r="153" x14ac:dyDescent="0.35">
      <c r="A153" s="21" t="str">
        <v/>
      </c>
      <c r="B153" s="23" t="str">
        <v/>
      </c>
      <c r="C153" t="str">
        <v/>
      </c>
      <c r="D153" t="str">
        <v/>
      </c>
      <c r="E153" t="str">
        <v/>
      </c>
      <c r="F153" t="str">
        <v/>
      </c>
      <c r="G153" t="str">
        <v/>
      </c>
      <c r="H153" t="str">
        <v/>
      </c>
      <c r="I153" s="2" t="str">
        <v/>
      </c>
      <c r="J153" s="2" t="str">
        <v/>
      </c>
      <c r="K153" s="2" t="str">
        <v/>
      </c>
      <c r="L153" s="1" t="str">
        <v/>
      </c>
      <c r="M153" s="2" t="str">
        <v/>
      </c>
      <c r="N153" s="1" t="str">
        <v/>
      </c>
      <c r="O153" s="1" t="str">
        <v/>
      </c>
      <c r="P153" s="1" t="str">
        <v/>
      </c>
      <c r="Q153" s="1">
        <f t="shared" si="8"/>
        <v>0</v>
      </c>
      <c r="R153" s="1">
        <f t="shared" si="9"/>
        <v>0</v>
      </c>
      <c r="T153">
        <f t="shared" si="10"/>
        <v>0</v>
      </c>
      <c r="U153">
        <f t="shared" si="11"/>
        <v>0</v>
      </c>
    </row>
    <row r="154" x14ac:dyDescent="0.35">
      <c r="A154" s="21" t="str">
        <v/>
      </c>
      <c r="B154" s="23" t="str">
        <v/>
      </c>
      <c r="C154" t="str">
        <v/>
      </c>
      <c r="D154" t="str">
        <v/>
      </c>
      <c r="E154" t="str">
        <v/>
      </c>
      <c r="F154" t="str">
        <v/>
      </c>
      <c r="G154" t="str">
        <v/>
      </c>
      <c r="H154" t="str">
        <v/>
      </c>
      <c r="I154" s="2" t="str">
        <v/>
      </c>
      <c r="J154" s="2" t="str">
        <v/>
      </c>
      <c r="K154" s="2" t="str">
        <v/>
      </c>
      <c r="L154" s="1" t="str">
        <v/>
      </c>
      <c r="M154" s="2" t="str">
        <v/>
      </c>
      <c r="N154" s="1" t="str">
        <v/>
      </c>
      <c r="O154" s="1" t="str">
        <v/>
      </c>
      <c r="P154" s="1" t="str">
        <v/>
      </c>
      <c r="Q154" s="1">
        <f t="shared" si="8"/>
        <v>0</v>
      </c>
      <c r="R154" s="1">
        <f t="shared" si="9"/>
        <v>0</v>
      </c>
      <c r="T154">
        <f t="shared" si="10"/>
        <v>0</v>
      </c>
      <c r="U154">
        <f t="shared" si="11"/>
        <v>0</v>
      </c>
    </row>
    <row r="155" x14ac:dyDescent="0.35">
      <c r="A155" s="21" t="str">
        <v/>
      </c>
      <c r="B155" s="23" t="str">
        <v/>
      </c>
      <c r="C155" t="str">
        <v/>
      </c>
      <c r="D155" t="str">
        <v/>
      </c>
      <c r="E155" t="str">
        <v/>
      </c>
      <c r="F155" t="str">
        <v/>
      </c>
      <c r="G155" t="str">
        <v/>
      </c>
      <c r="H155" t="str">
        <v/>
      </c>
      <c r="I155" s="2" t="str">
        <v/>
      </c>
      <c r="J155" s="2" t="str">
        <v/>
      </c>
      <c r="K155" s="2" t="str">
        <v/>
      </c>
      <c r="L155" s="1" t="str">
        <v/>
      </c>
      <c r="M155" s="2" t="str">
        <v/>
      </c>
      <c r="N155" s="1" t="str">
        <v/>
      </c>
      <c r="O155" s="1" t="str">
        <v/>
      </c>
      <c r="P155" s="1" t="str">
        <v/>
      </c>
      <c r="Q155" s="1">
        <f t="shared" si="8"/>
        <v>0</v>
      </c>
      <c r="R155" s="1">
        <f t="shared" si="9"/>
        <v>0</v>
      </c>
      <c r="T155">
        <f t="shared" si="10"/>
        <v>0</v>
      </c>
      <c r="U155">
        <f t="shared" si="11"/>
        <v>0</v>
      </c>
    </row>
    <row r="156" x14ac:dyDescent="0.35">
      <c r="A156" s="21" t="str">
        <v/>
      </c>
      <c r="B156" s="23" t="str">
        <v/>
      </c>
      <c r="C156" t="str">
        <v/>
      </c>
      <c r="D156" t="str">
        <v/>
      </c>
      <c r="E156" t="str">
        <v/>
      </c>
      <c r="F156" t="str">
        <v/>
      </c>
      <c r="G156" t="str">
        <v/>
      </c>
      <c r="H156" t="str">
        <v/>
      </c>
      <c r="I156" s="2" t="str">
        <v/>
      </c>
      <c r="J156" s="2" t="str">
        <v/>
      </c>
      <c r="K156" s="2" t="str">
        <v/>
      </c>
      <c r="L156" s="1" t="str">
        <v/>
      </c>
      <c r="M156" s="2" t="str">
        <v/>
      </c>
      <c r="N156" s="1" t="str">
        <v/>
      </c>
      <c r="O156" s="1" t="str">
        <v/>
      </c>
      <c r="P156" s="1" t="str">
        <v/>
      </c>
      <c r="Q156" s="1">
        <f t="shared" si="8"/>
        <v>0</v>
      </c>
      <c r="R156" s="1">
        <f t="shared" si="9"/>
        <v>0</v>
      </c>
      <c r="T156">
        <f t="shared" si="10"/>
        <v>0</v>
      </c>
      <c r="U156">
        <f t="shared" si="11"/>
        <v>0</v>
      </c>
    </row>
    <row r="157" x14ac:dyDescent="0.35">
      <c r="A157" s="21" t="str">
        <v/>
      </c>
      <c r="B157" s="23" t="str">
        <v/>
      </c>
      <c r="C157" t="str">
        <v/>
      </c>
      <c r="D157" t="str">
        <v/>
      </c>
      <c r="E157" t="str">
        <v/>
      </c>
      <c r="F157" t="str">
        <v/>
      </c>
      <c r="G157" t="str">
        <v/>
      </c>
      <c r="H157" t="str">
        <v/>
      </c>
      <c r="I157" s="2" t="str">
        <v/>
      </c>
      <c r="J157" s="2" t="str">
        <v/>
      </c>
      <c r="K157" s="2" t="str">
        <v/>
      </c>
      <c r="L157" s="1" t="str">
        <v/>
      </c>
      <c r="M157" s="2" t="str">
        <v/>
      </c>
      <c r="N157" s="1" t="str">
        <v/>
      </c>
      <c r="O157" s="1" t="str">
        <v/>
      </c>
      <c r="P157" s="1" t="str">
        <v/>
      </c>
      <c r="Q157" s="1">
        <f t="shared" si="8"/>
        <v>0</v>
      </c>
      <c r="R157" s="1">
        <f t="shared" si="9"/>
        <v>0</v>
      </c>
      <c r="T157">
        <f t="shared" si="10"/>
        <v>0</v>
      </c>
      <c r="U157">
        <f t="shared" si="11"/>
        <v>0</v>
      </c>
    </row>
    <row r="158" x14ac:dyDescent="0.35">
      <c r="A158" s="21" t="str">
        <v/>
      </c>
      <c r="B158" s="23" t="str">
        <v/>
      </c>
      <c r="C158" t="str">
        <v/>
      </c>
      <c r="D158" t="str">
        <v/>
      </c>
      <c r="E158" t="str">
        <v/>
      </c>
      <c r="F158" t="str">
        <v/>
      </c>
      <c r="G158" t="str">
        <v/>
      </c>
      <c r="H158" t="str">
        <v/>
      </c>
      <c r="I158" s="2" t="str">
        <v/>
      </c>
      <c r="J158" s="2" t="str">
        <v/>
      </c>
      <c r="K158" s="2" t="str">
        <v/>
      </c>
      <c r="L158" s="1" t="str">
        <v/>
      </c>
      <c r="M158" s="2" t="str">
        <v/>
      </c>
      <c r="N158" s="1" t="str">
        <v/>
      </c>
      <c r="O158" s="1" t="str">
        <v/>
      </c>
      <c r="P158" s="1" t="str">
        <v/>
      </c>
      <c r="Q158" s="1">
        <f t="shared" si="8"/>
        <v>0</v>
      </c>
      <c r="R158" s="1">
        <f t="shared" si="9"/>
        <v>0</v>
      </c>
      <c r="T158">
        <f t="shared" si="10"/>
        <v>0</v>
      </c>
      <c r="U158">
        <f t="shared" si="11"/>
        <v>0</v>
      </c>
    </row>
    <row r="159" x14ac:dyDescent="0.35">
      <c r="A159" s="21" t="str">
        <v/>
      </c>
      <c r="B159" s="23" t="str">
        <v/>
      </c>
      <c r="C159" t="str">
        <v/>
      </c>
      <c r="D159" t="str">
        <v/>
      </c>
      <c r="E159" t="str">
        <v/>
      </c>
      <c r="F159" t="str">
        <v/>
      </c>
      <c r="G159" t="str">
        <v/>
      </c>
      <c r="H159" t="str">
        <v/>
      </c>
      <c r="I159" s="2" t="str">
        <v/>
      </c>
      <c r="J159" s="2" t="str">
        <v/>
      </c>
      <c r="K159" s="2" t="str">
        <v/>
      </c>
      <c r="L159" s="1" t="str">
        <v/>
      </c>
      <c r="M159" s="2" t="str">
        <v/>
      </c>
      <c r="N159" s="1" t="str">
        <v/>
      </c>
      <c r="O159" s="1" t="str">
        <v/>
      </c>
      <c r="P159" s="1" t="str">
        <v/>
      </c>
      <c r="Q159" s="1">
        <f t="shared" si="8"/>
        <v>0</v>
      </c>
      <c r="R159" s="1">
        <f t="shared" si="9"/>
        <v>0</v>
      </c>
      <c r="T159">
        <f t="shared" si="10"/>
        <v>0</v>
      </c>
      <c r="U159">
        <f t="shared" si="11"/>
        <v>0</v>
      </c>
    </row>
    <row r="160" x14ac:dyDescent="0.35">
      <c r="A160" s="21" t="str">
        <v/>
      </c>
      <c r="B160" s="23" t="str">
        <v/>
      </c>
      <c r="C160" t="str">
        <v/>
      </c>
      <c r="D160" t="str">
        <v/>
      </c>
      <c r="E160" t="str">
        <v/>
      </c>
      <c r="F160" t="str">
        <v/>
      </c>
      <c r="G160" t="str">
        <v/>
      </c>
      <c r="H160" t="str">
        <v/>
      </c>
      <c r="I160" s="2" t="str">
        <v/>
      </c>
      <c r="J160" s="2" t="str">
        <v/>
      </c>
      <c r="K160" s="2" t="str">
        <v/>
      </c>
      <c r="L160" s="1" t="str">
        <v/>
      </c>
      <c r="M160" s="2" t="str">
        <v/>
      </c>
      <c r="N160" s="1" t="str">
        <v/>
      </c>
      <c r="O160" s="1" t="str">
        <v/>
      </c>
      <c r="P160" s="1" t="str">
        <v/>
      </c>
      <c r="Q160" s="1">
        <f t="shared" si="8"/>
        <v>0</v>
      </c>
      <c r="R160" s="1">
        <f t="shared" si="9"/>
        <v>0</v>
      </c>
      <c r="T160">
        <f t="shared" si="10"/>
        <v>0</v>
      </c>
      <c r="U160">
        <f t="shared" si="11"/>
        <v>0</v>
      </c>
    </row>
    <row r="161" x14ac:dyDescent="0.35">
      <c r="A161" s="21" t="str">
        <v/>
      </c>
      <c r="B161" s="23" t="str">
        <v/>
      </c>
      <c r="C161" t="str">
        <v/>
      </c>
      <c r="D161" t="str">
        <v/>
      </c>
      <c r="E161" t="str">
        <v/>
      </c>
      <c r="F161" t="str">
        <v/>
      </c>
      <c r="G161" t="str">
        <v/>
      </c>
      <c r="H161" t="str">
        <v/>
      </c>
      <c r="I161" s="2" t="str">
        <v/>
      </c>
      <c r="J161" s="2" t="str">
        <v/>
      </c>
      <c r="K161" s="2" t="str">
        <v/>
      </c>
      <c r="L161" s="1" t="str">
        <v/>
      </c>
      <c r="M161" s="2" t="str">
        <v/>
      </c>
      <c r="N161" s="1" t="str">
        <v/>
      </c>
      <c r="O161" s="1" t="str">
        <v/>
      </c>
      <c r="P161" s="1" t="str">
        <v/>
      </c>
      <c r="Q161" s="1">
        <f t="shared" si="8"/>
        <v>0</v>
      </c>
      <c r="R161" s="1">
        <f t="shared" si="9"/>
        <v>0</v>
      </c>
      <c r="T161">
        <f t="shared" si="10"/>
        <v>0</v>
      </c>
      <c r="U161">
        <f t="shared" si="11"/>
        <v>0</v>
      </c>
    </row>
    <row r="162" x14ac:dyDescent="0.35">
      <c r="A162" s="21" t="str">
        <v/>
      </c>
      <c r="B162" s="23" t="str">
        <v/>
      </c>
      <c r="C162" t="str">
        <v/>
      </c>
      <c r="D162" t="str">
        <v/>
      </c>
      <c r="E162" t="str">
        <v/>
      </c>
      <c r="F162" t="str">
        <v/>
      </c>
      <c r="G162" t="str">
        <v/>
      </c>
      <c r="H162" t="str">
        <v/>
      </c>
      <c r="I162" s="2" t="str">
        <v/>
      </c>
      <c r="J162" s="2" t="str">
        <v/>
      </c>
      <c r="K162" s="2" t="str">
        <v/>
      </c>
      <c r="L162" s="1" t="str">
        <v/>
      </c>
      <c r="M162" s="2" t="str">
        <v/>
      </c>
      <c r="N162" s="1" t="str">
        <v/>
      </c>
      <c r="O162" s="1" t="str">
        <v/>
      </c>
      <c r="P162" s="1" t="str">
        <v/>
      </c>
      <c r="Q162" s="1">
        <f t="shared" si="8"/>
        <v>0</v>
      </c>
      <c r="R162" s="1">
        <f t="shared" si="9"/>
        <v>0</v>
      </c>
      <c r="T162">
        <f t="shared" si="10"/>
        <v>0</v>
      </c>
      <c r="U162">
        <f t="shared" si="11"/>
        <v>0</v>
      </c>
    </row>
    <row r="163" x14ac:dyDescent="0.35">
      <c r="A163" s="21" t="str">
        <v/>
      </c>
      <c r="B163" s="23" t="str">
        <v/>
      </c>
      <c r="C163" t="str">
        <v/>
      </c>
      <c r="D163" t="str">
        <v/>
      </c>
      <c r="E163" t="str">
        <v/>
      </c>
      <c r="F163" t="str">
        <v/>
      </c>
      <c r="G163" t="str">
        <v/>
      </c>
      <c r="H163" t="str">
        <v/>
      </c>
      <c r="I163" s="2" t="str">
        <v/>
      </c>
      <c r="J163" s="2" t="str">
        <v/>
      </c>
      <c r="K163" s="2" t="str">
        <v/>
      </c>
      <c r="L163" s="1" t="str">
        <v/>
      </c>
      <c r="M163" s="2" t="str">
        <v/>
      </c>
      <c r="N163" s="1" t="str">
        <v/>
      </c>
      <c r="O163" s="1" t="str">
        <v/>
      </c>
      <c r="P163" s="1" t="str">
        <v/>
      </c>
      <c r="Q163" s="1">
        <f t="shared" si="8"/>
        <v>0</v>
      </c>
      <c r="R163" s="1">
        <f t="shared" si="9"/>
        <v>0</v>
      </c>
      <c r="T163">
        <f t="shared" si="10"/>
        <v>0</v>
      </c>
      <c r="U163">
        <f t="shared" si="11"/>
        <v>0</v>
      </c>
    </row>
    <row r="164" x14ac:dyDescent="0.35">
      <c r="A164" s="21" t="str">
        <v/>
      </c>
      <c r="B164" s="23" t="str">
        <v/>
      </c>
      <c r="C164" t="str">
        <v/>
      </c>
      <c r="D164" t="str">
        <v/>
      </c>
      <c r="E164" t="str">
        <v/>
      </c>
      <c r="F164" t="str">
        <v/>
      </c>
      <c r="G164" t="str">
        <v/>
      </c>
      <c r="H164" t="str">
        <v/>
      </c>
      <c r="I164" s="2" t="str">
        <v/>
      </c>
      <c r="J164" s="2" t="str">
        <v/>
      </c>
      <c r="K164" s="2" t="str">
        <v/>
      </c>
      <c r="L164" s="1" t="str">
        <v/>
      </c>
      <c r="M164" s="2" t="str">
        <v/>
      </c>
      <c r="N164" s="1" t="str">
        <v/>
      </c>
      <c r="O164" s="1" t="str">
        <v/>
      </c>
      <c r="P164" s="1" t="str">
        <v/>
      </c>
      <c r="Q164" s="1">
        <f t="shared" si="8"/>
        <v>0</v>
      </c>
      <c r="R164" s="1">
        <f t="shared" si="9"/>
        <v>0</v>
      </c>
      <c r="T164">
        <f t="shared" si="10"/>
        <v>0</v>
      </c>
      <c r="U164">
        <f t="shared" si="11"/>
        <v>0</v>
      </c>
    </row>
    <row r="165" x14ac:dyDescent="0.35">
      <c r="A165" s="21" t="str">
        <v/>
      </c>
      <c r="B165" s="23" t="str">
        <v/>
      </c>
      <c r="C165" t="str">
        <v/>
      </c>
      <c r="D165" t="str">
        <v/>
      </c>
      <c r="E165" t="str">
        <v/>
      </c>
      <c r="F165" t="str">
        <v/>
      </c>
      <c r="G165" t="str">
        <v/>
      </c>
      <c r="H165" t="str">
        <v/>
      </c>
      <c r="I165" s="2" t="str">
        <v/>
      </c>
      <c r="J165" s="2" t="str">
        <v/>
      </c>
      <c r="K165" s="2" t="str">
        <v/>
      </c>
      <c r="L165" s="1" t="str">
        <v/>
      </c>
      <c r="M165" s="2" t="str">
        <v/>
      </c>
      <c r="N165" s="1" t="str">
        <v/>
      </c>
      <c r="O165" s="1" t="str">
        <v/>
      </c>
      <c r="P165" s="1" t="str">
        <v/>
      </c>
      <c r="Q165" s="1">
        <f t="shared" si="8"/>
        <v>0</v>
      </c>
      <c r="R165" s="1">
        <f t="shared" si="9"/>
        <v>0</v>
      </c>
      <c r="T165">
        <f t="shared" si="10"/>
        <v>0</v>
      </c>
      <c r="U165">
        <f t="shared" si="11"/>
        <v>0</v>
      </c>
    </row>
    <row r="166" x14ac:dyDescent="0.35">
      <c r="A166" s="21" t="str">
        <v/>
      </c>
      <c r="B166" s="23" t="str">
        <v/>
      </c>
      <c r="C166" t="str">
        <v/>
      </c>
      <c r="D166" t="str">
        <v/>
      </c>
      <c r="E166" t="str">
        <v/>
      </c>
      <c r="F166" t="str">
        <v/>
      </c>
      <c r="G166" t="str">
        <v/>
      </c>
      <c r="H166" t="str">
        <v/>
      </c>
      <c r="I166" s="2" t="str">
        <v/>
      </c>
      <c r="J166" s="2" t="str">
        <v/>
      </c>
      <c r="K166" s="2" t="str">
        <v/>
      </c>
      <c r="L166" s="1" t="str">
        <v/>
      </c>
      <c r="M166" s="2" t="str">
        <v/>
      </c>
      <c r="N166" s="1" t="str">
        <v/>
      </c>
      <c r="O166" s="1" t="str">
        <v/>
      </c>
      <c r="P166" s="1" t="str">
        <v/>
      </c>
      <c r="Q166" s="1">
        <f t="shared" si="8"/>
        <v>0</v>
      </c>
      <c r="R166" s="1">
        <f t="shared" si="9"/>
        <v>0</v>
      </c>
      <c r="T166">
        <f t="shared" si="10"/>
        <v>0</v>
      </c>
      <c r="U166">
        <f t="shared" si="11"/>
        <v>0</v>
      </c>
    </row>
    <row r="167" x14ac:dyDescent="0.35">
      <c r="A167" s="21" t="str">
        <v/>
      </c>
      <c r="B167" s="23" t="str">
        <v/>
      </c>
      <c r="C167" t="str">
        <v/>
      </c>
      <c r="D167" t="str">
        <v/>
      </c>
      <c r="E167" t="str">
        <v/>
      </c>
      <c r="F167" t="str">
        <v/>
      </c>
      <c r="G167" t="str">
        <v/>
      </c>
      <c r="H167" t="str">
        <v/>
      </c>
      <c r="I167" s="2" t="str">
        <v/>
      </c>
      <c r="J167" s="2" t="str">
        <v/>
      </c>
      <c r="K167" s="2" t="str">
        <v/>
      </c>
      <c r="L167" s="1" t="str">
        <v/>
      </c>
      <c r="M167" s="2" t="str">
        <v/>
      </c>
      <c r="N167" s="1" t="str">
        <v/>
      </c>
      <c r="O167" s="1" t="str">
        <v/>
      </c>
      <c r="P167" s="1" t="str">
        <v/>
      </c>
      <c r="Q167" s="1">
        <f t="shared" si="8"/>
        <v>0</v>
      </c>
      <c r="R167" s="1">
        <f t="shared" si="9"/>
        <v>0</v>
      </c>
      <c r="T167">
        <f t="shared" si="10"/>
        <v>0</v>
      </c>
      <c r="U167">
        <f t="shared" si="11"/>
        <v>0</v>
      </c>
    </row>
    <row r="168" x14ac:dyDescent="0.35">
      <c r="A168" s="21" t="str">
        <v/>
      </c>
      <c r="B168" s="23" t="str">
        <v/>
      </c>
      <c r="C168" t="str">
        <v/>
      </c>
      <c r="D168" t="str">
        <v/>
      </c>
      <c r="E168" t="str">
        <v/>
      </c>
      <c r="F168" t="str">
        <v/>
      </c>
      <c r="G168" t="str">
        <v/>
      </c>
      <c r="H168" t="str">
        <v/>
      </c>
      <c r="I168" s="2" t="str">
        <v/>
      </c>
      <c r="J168" s="2" t="str">
        <v/>
      </c>
      <c r="K168" s="2" t="str">
        <v/>
      </c>
      <c r="L168" s="1" t="str">
        <v/>
      </c>
      <c r="M168" s="2" t="str">
        <v/>
      </c>
      <c r="N168" s="1" t="str">
        <v/>
      </c>
      <c r="O168" s="1" t="str">
        <v/>
      </c>
      <c r="P168" s="1" t="str">
        <v/>
      </c>
      <c r="Q168" s="1">
        <f t="shared" si="8"/>
        <v>0</v>
      </c>
      <c r="R168" s="1">
        <f t="shared" si="9"/>
        <v>0</v>
      </c>
      <c r="T168">
        <f t="shared" si="10"/>
        <v>0</v>
      </c>
      <c r="U168">
        <f t="shared" si="11"/>
        <v>0</v>
      </c>
    </row>
    <row r="169" x14ac:dyDescent="0.35">
      <c r="A169" s="21" t="str">
        <v/>
      </c>
      <c r="B169" s="23" t="str">
        <v/>
      </c>
      <c r="C169" t="str">
        <v/>
      </c>
      <c r="D169" t="str">
        <v/>
      </c>
      <c r="E169" t="str">
        <v/>
      </c>
      <c r="F169" t="str">
        <v/>
      </c>
      <c r="G169" t="str">
        <v/>
      </c>
      <c r="H169" t="str">
        <v/>
      </c>
      <c r="I169" s="2" t="str">
        <v/>
      </c>
      <c r="J169" s="2" t="str">
        <v/>
      </c>
      <c r="K169" s="2" t="str">
        <v/>
      </c>
      <c r="L169" s="1" t="str">
        <v/>
      </c>
      <c r="M169" s="2" t="str">
        <v/>
      </c>
      <c r="N169" s="1" t="str">
        <v/>
      </c>
      <c r="O169" s="1" t="str">
        <v/>
      </c>
      <c r="P169" s="1" t="str">
        <v/>
      </c>
      <c r="Q169" s="1">
        <f t="shared" si="8"/>
        <v>0</v>
      </c>
      <c r="R169" s="1">
        <f t="shared" si="9"/>
        <v>0</v>
      </c>
      <c r="T169">
        <f t="shared" si="10"/>
        <v>0</v>
      </c>
      <c r="U169">
        <f t="shared" si="11"/>
        <v>0</v>
      </c>
    </row>
    <row r="170" x14ac:dyDescent="0.35">
      <c r="A170" s="21" t="str">
        <v/>
      </c>
      <c r="B170" s="23" t="str">
        <v/>
      </c>
      <c r="C170" t="str">
        <v/>
      </c>
      <c r="D170" t="str">
        <v/>
      </c>
      <c r="E170" t="str">
        <v/>
      </c>
      <c r="F170" t="str">
        <v/>
      </c>
      <c r="G170" t="str">
        <v/>
      </c>
      <c r="H170" t="str">
        <v/>
      </c>
      <c r="I170" s="2" t="str">
        <v/>
      </c>
      <c r="J170" s="2" t="str">
        <v/>
      </c>
      <c r="K170" s="2" t="str">
        <v/>
      </c>
      <c r="L170" s="1" t="str">
        <v/>
      </c>
      <c r="M170" s="2" t="str">
        <v/>
      </c>
      <c r="N170" s="1" t="str">
        <v/>
      </c>
      <c r="O170" s="1" t="str">
        <v/>
      </c>
      <c r="P170" s="1" t="str">
        <v/>
      </c>
      <c r="Q170" s="1">
        <f t="shared" si="8"/>
        <v>0</v>
      </c>
      <c r="R170" s="1">
        <f t="shared" si="9"/>
        <v>0</v>
      </c>
      <c r="T170">
        <f t="shared" si="10"/>
        <v>0</v>
      </c>
      <c r="U170">
        <f t="shared" si="11"/>
        <v>0</v>
      </c>
    </row>
    <row r="171" x14ac:dyDescent="0.35">
      <c r="A171" s="21" t="str">
        <v/>
      </c>
      <c r="B171" s="23" t="str">
        <v/>
      </c>
      <c r="C171" t="str">
        <v/>
      </c>
      <c r="D171" t="str">
        <v/>
      </c>
      <c r="E171" t="str">
        <v/>
      </c>
      <c r="F171" t="str">
        <v/>
      </c>
      <c r="G171" t="str">
        <v/>
      </c>
      <c r="H171" t="str">
        <v/>
      </c>
      <c r="I171" s="2" t="str">
        <v/>
      </c>
      <c r="J171" s="2" t="str">
        <v/>
      </c>
      <c r="K171" s="2" t="str">
        <v/>
      </c>
      <c r="L171" s="1" t="str">
        <v/>
      </c>
      <c r="M171" s="2" t="str">
        <v/>
      </c>
      <c r="N171" s="1" t="str">
        <v/>
      </c>
      <c r="O171" s="1" t="str">
        <v/>
      </c>
      <c r="P171" s="1" t="str">
        <v/>
      </c>
      <c r="Q171" s="1">
        <f t="shared" si="8"/>
        <v>0</v>
      </c>
      <c r="R171" s="1">
        <f t="shared" si="9"/>
        <v>0</v>
      </c>
      <c r="T171">
        <f t="shared" si="10"/>
        <v>0</v>
      </c>
      <c r="U171">
        <f t="shared" si="11"/>
        <v>0</v>
      </c>
    </row>
    <row r="172" x14ac:dyDescent="0.35">
      <c r="A172" s="21" t="str">
        <v/>
      </c>
      <c r="B172" s="23" t="str">
        <v/>
      </c>
      <c r="C172" t="str">
        <v/>
      </c>
      <c r="D172" t="str">
        <v/>
      </c>
      <c r="E172" t="str">
        <v/>
      </c>
      <c r="F172" t="str">
        <v/>
      </c>
      <c r="G172" t="str">
        <v/>
      </c>
      <c r="H172" t="str">
        <v/>
      </c>
      <c r="I172" s="2" t="str">
        <v/>
      </c>
      <c r="J172" s="2" t="str">
        <v/>
      </c>
      <c r="K172" s="2" t="str">
        <v/>
      </c>
      <c r="L172" s="1" t="str">
        <v/>
      </c>
      <c r="M172" s="2" t="str">
        <v/>
      </c>
      <c r="N172" s="1" t="str">
        <v/>
      </c>
      <c r="O172" s="1" t="str">
        <v/>
      </c>
      <c r="P172" s="1" t="str">
        <v/>
      </c>
      <c r="Q172" s="1">
        <f t="shared" si="8"/>
        <v>0</v>
      </c>
      <c r="R172" s="1">
        <f t="shared" si="9"/>
        <v>0</v>
      </c>
      <c r="T172">
        <f t="shared" si="10"/>
        <v>0</v>
      </c>
      <c r="U172">
        <f t="shared" si="11"/>
        <v>0</v>
      </c>
    </row>
    <row r="173" x14ac:dyDescent="0.35">
      <c r="A173" s="21" t="str">
        <v/>
      </c>
      <c r="B173" s="23" t="str">
        <v/>
      </c>
      <c r="C173" t="str">
        <v/>
      </c>
      <c r="D173" t="str">
        <v/>
      </c>
      <c r="E173" t="str">
        <v/>
      </c>
      <c r="F173" t="str">
        <v/>
      </c>
      <c r="G173" t="str">
        <v/>
      </c>
      <c r="H173" t="str">
        <v/>
      </c>
      <c r="I173" s="2" t="str">
        <v/>
      </c>
      <c r="J173" s="2" t="str">
        <v/>
      </c>
      <c r="K173" s="2" t="str">
        <v/>
      </c>
      <c r="L173" s="1" t="str">
        <v/>
      </c>
      <c r="M173" s="2" t="str">
        <v/>
      </c>
      <c r="N173" s="1" t="str">
        <v/>
      </c>
      <c r="O173" s="1" t="str">
        <v/>
      </c>
      <c r="P173" s="1" t="str">
        <v/>
      </c>
      <c r="Q173" s="1">
        <f t="shared" si="8"/>
        <v>0</v>
      </c>
      <c r="R173" s="1">
        <f t="shared" si="9"/>
        <v>0</v>
      </c>
      <c r="T173">
        <f t="shared" si="10"/>
        <v>0</v>
      </c>
      <c r="U173">
        <f t="shared" si="11"/>
        <v>0</v>
      </c>
    </row>
    <row r="174" x14ac:dyDescent="0.35">
      <c r="A174" s="21" t="str">
        <v/>
      </c>
      <c r="B174" s="23" t="str">
        <v/>
      </c>
      <c r="C174" t="str">
        <v/>
      </c>
      <c r="D174" t="str">
        <v/>
      </c>
      <c r="E174" t="str">
        <v/>
      </c>
      <c r="F174" t="str">
        <v/>
      </c>
      <c r="G174" t="str">
        <v/>
      </c>
      <c r="H174" t="str">
        <v/>
      </c>
      <c r="I174" s="2" t="str">
        <v/>
      </c>
      <c r="J174" s="2" t="str">
        <v/>
      </c>
      <c r="K174" s="2" t="str">
        <v/>
      </c>
      <c r="L174" s="1" t="str">
        <v/>
      </c>
      <c r="M174" s="2" t="str">
        <v/>
      </c>
      <c r="N174" s="1" t="str">
        <v/>
      </c>
      <c r="O174" s="1" t="str">
        <v/>
      </c>
      <c r="P174" s="1" t="str">
        <v/>
      </c>
      <c r="Q174" s="1">
        <f t="shared" si="8"/>
        <v>0</v>
      </c>
      <c r="R174" s="1">
        <f t="shared" si="9"/>
        <v>0</v>
      </c>
      <c r="T174">
        <f t="shared" si="10"/>
        <v>0</v>
      </c>
      <c r="U174">
        <f t="shared" si="11"/>
        <v>0</v>
      </c>
    </row>
    <row r="175" x14ac:dyDescent="0.35">
      <c r="A175" s="21" t="str">
        <v/>
      </c>
      <c r="B175" s="23" t="str">
        <v/>
      </c>
      <c r="C175" t="str">
        <v/>
      </c>
      <c r="D175" t="str">
        <v/>
      </c>
      <c r="E175" t="str">
        <v/>
      </c>
      <c r="F175" t="str">
        <v/>
      </c>
      <c r="G175" t="str">
        <v/>
      </c>
      <c r="H175" t="str">
        <v/>
      </c>
      <c r="I175" s="2" t="str">
        <v/>
      </c>
      <c r="J175" s="2" t="str">
        <v/>
      </c>
      <c r="K175" s="2" t="str">
        <v/>
      </c>
      <c r="L175" s="1" t="str">
        <v/>
      </c>
      <c r="M175" s="2" t="str">
        <v/>
      </c>
      <c r="N175" s="1" t="str">
        <v/>
      </c>
      <c r="O175" s="1" t="str">
        <v/>
      </c>
      <c r="P175" s="1" t="str">
        <v/>
      </c>
      <c r="Q175" s="1">
        <f t="shared" si="8"/>
        <v>0</v>
      </c>
      <c r="R175" s="1">
        <f t="shared" si="9"/>
        <v>0</v>
      </c>
      <c r="T175">
        <f t="shared" si="10"/>
        <v>0</v>
      </c>
      <c r="U175">
        <f t="shared" si="11"/>
        <v>0</v>
      </c>
    </row>
    <row r="176" x14ac:dyDescent="0.35">
      <c r="A176" s="21" t="str">
        <v/>
      </c>
      <c r="B176" s="23" t="str">
        <v/>
      </c>
      <c r="C176" t="str">
        <v/>
      </c>
      <c r="D176" t="str">
        <v/>
      </c>
      <c r="E176" t="str">
        <v/>
      </c>
      <c r="F176" t="str">
        <v/>
      </c>
      <c r="G176" t="str">
        <v/>
      </c>
      <c r="H176" t="str">
        <v/>
      </c>
      <c r="I176" s="2" t="str">
        <v/>
      </c>
      <c r="J176" s="2" t="str">
        <v/>
      </c>
      <c r="K176" s="2" t="str">
        <v/>
      </c>
      <c r="L176" s="1" t="str">
        <v/>
      </c>
      <c r="M176" s="2" t="str">
        <v/>
      </c>
      <c r="N176" s="1" t="str">
        <v/>
      </c>
      <c r="O176" s="1" t="str">
        <v/>
      </c>
      <c r="P176" s="1" t="str">
        <v/>
      </c>
      <c r="Q176" s="1">
        <f t="shared" si="8"/>
        <v>0</v>
      </c>
      <c r="R176" s="1">
        <f t="shared" si="9"/>
        <v>0</v>
      </c>
      <c r="T176">
        <f t="shared" si="10"/>
        <v>0</v>
      </c>
      <c r="U176">
        <f t="shared" si="11"/>
        <v>0</v>
      </c>
    </row>
    <row r="177" x14ac:dyDescent="0.35">
      <c r="A177" s="21" t="str">
        <v/>
      </c>
      <c r="B177" s="23" t="str">
        <v/>
      </c>
      <c r="C177" t="str">
        <v/>
      </c>
      <c r="D177" t="str">
        <v/>
      </c>
      <c r="E177" t="str">
        <v/>
      </c>
      <c r="F177" t="str">
        <v/>
      </c>
      <c r="G177" t="str">
        <v/>
      </c>
      <c r="H177" t="str">
        <v/>
      </c>
      <c r="I177" s="2" t="str">
        <v/>
      </c>
      <c r="J177" s="2" t="str">
        <v/>
      </c>
      <c r="K177" s="2" t="str">
        <v/>
      </c>
      <c r="L177" s="1" t="str">
        <v/>
      </c>
      <c r="M177" s="2" t="str">
        <v/>
      </c>
      <c r="N177" s="1" t="str">
        <v/>
      </c>
      <c r="O177" s="1" t="str">
        <v/>
      </c>
      <c r="P177" s="1" t="str">
        <v/>
      </c>
      <c r="Q177" s="1">
        <f t="shared" si="8"/>
        <v>0</v>
      </c>
      <c r="R177" s="1">
        <f t="shared" si="9"/>
        <v>0</v>
      </c>
      <c r="T177">
        <f t="shared" si="10"/>
        <v>0</v>
      </c>
      <c r="U177">
        <f t="shared" si="11"/>
        <v>0</v>
      </c>
    </row>
    <row r="178" x14ac:dyDescent="0.35">
      <c r="A178" s="21" t="str">
        <v/>
      </c>
      <c r="B178" s="23" t="str">
        <v/>
      </c>
      <c r="C178" t="str">
        <v/>
      </c>
      <c r="D178" t="str">
        <v/>
      </c>
      <c r="E178" t="str">
        <v/>
      </c>
      <c r="F178" t="str">
        <v/>
      </c>
      <c r="G178" t="str">
        <v/>
      </c>
      <c r="H178" t="str">
        <v/>
      </c>
      <c r="I178" s="2" t="str">
        <v/>
      </c>
      <c r="J178" s="2" t="str">
        <v/>
      </c>
      <c r="K178" s="2" t="str">
        <v/>
      </c>
      <c r="L178" s="1" t="str">
        <v/>
      </c>
      <c r="M178" s="2" t="str">
        <v/>
      </c>
      <c r="N178" s="1" t="str">
        <v/>
      </c>
      <c r="O178" s="1" t="str">
        <v/>
      </c>
      <c r="P178" s="1" t="str">
        <v/>
      </c>
      <c r="Q178" s="1">
        <f t="shared" si="8"/>
        <v>0</v>
      </c>
      <c r="R178" s="1">
        <f t="shared" si="9"/>
        <v>0</v>
      </c>
      <c r="T178">
        <f t="shared" si="10"/>
        <v>0</v>
      </c>
      <c r="U178">
        <f t="shared" si="11"/>
        <v>0</v>
      </c>
    </row>
    <row r="179" x14ac:dyDescent="0.35">
      <c r="A179" s="21" t="str">
        <v/>
      </c>
      <c r="B179" s="23" t="str">
        <v/>
      </c>
      <c r="C179" t="str">
        <v/>
      </c>
      <c r="D179" t="str">
        <v/>
      </c>
      <c r="E179" t="str">
        <v/>
      </c>
      <c r="F179" t="str">
        <v/>
      </c>
      <c r="G179" t="str">
        <v/>
      </c>
      <c r="H179" t="str">
        <v/>
      </c>
      <c r="I179" s="2" t="str">
        <v/>
      </c>
      <c r="J179" s="2" t="str">
        <v/>
      </c>
      <c r="K179" s="2" t="str">
        <v/>
      </c>
      <c r="L179" s="1" t="str">
        <v/>
      </c>
      <c r="M179" s="2" t="str">
        <v/>
      </c>
      <c r="N179" s="1" t="str">
        <v/>
      </c>
      <c r="O179" s="1" t="str">
        <v/>
      </c>
      <c r="P179" s="1" t="str">
        <v/>
      </c>
      <c r="Q179" s="1">
        <f t="shared" si="8"/>
        <v>0</v>
      </c>
      <c r="R179" s="1">
        <f t="shared" si="9"/>
        <v>0</v>
      </c>
      <c r="T179">
        <f t="shared" si="10"/>
        <v>0</v>
      </c>
      <c r="U179">
        <f t="shared" si="11"/>
        <v>0</v>
      </c>
    </row>
    <row r="180" x14ac:dyDescent="0.35">
      <c r="A180" s="21" t="str">
        <v/>
      </c>
      <c r="B180" s="23" t="str">
        <v/>
      </c>
      <c r="C180" t="str">
        <v/>
      </c>
      <c r="D180" t="str">
        <v/>
      </c>
      <c r="E180" t="str">
        <v/>
      </c>
      <c r="F180" t="str">
        <v/>
      </c>
      <c r="G180" t="str">
        <v/>
      </c>
      <c r="H180" t="str">
        <v/>
      </c>
      <c r="I180" s="2" t="str">
        <v/>
      </c>
      <c r="J180" s="2" t="str">
        <v/>
      </c>
      <c r="K180" s="2" t="str">
        <v/>
      </c>
      <c r="L180" s="1" t="str">
        <v/>
      </c>
      <c r="M180" s="2" t="str">
        <v/>
      </c>
      <c r="N180" s="1" t="str">
        <v/>
      </c>
      <c r="O180" s="1" t="str">
        <v/>
      </c>
      <c r="P180" s="1" t="str">
        <v/>
      </c>
      <c r="Q180" s="1">
        <f t="shared" si="8"/>
        <v>0</v>
      </c>
      <c r="R180" s="1">
        <f t="shared" si="9"/>
        <v>0</v>
      </c>
      <c r="T180">
        <f t="shared" si="10"/>
        <v>0</v>
      </c>
      <c r="U180">
        <f t="shared" si="11"/>
        <v>0</v>
      </c>
    </row>
    <row r="181" x14ac:dyDescent="0.35">
      <c r="A181" s="21" t="str">
        <v/>
      </c>
      <c r="B181" s="23" t="str">
        <v/>
      </c>
      <c r="C181" t="str">
        <v/>
      </c>
      <c r="D181" t="str">
        <v/>
      </c>
      <c r="E181" t="str">
        <v/>
      </c>
      <c r="F181" t="str">
        <v/>
      </c>
      <c r="G181" t="str">
        <v/>
      </c>
      <c r="H181" t="str">
        <v/>
      </c>
      <c r="I181" s="2" t="str">
        <v/>
      </c>
      <c r="J181" s="2" t="str">
        <v/>
      </c>
      <c r="K181" s="2" t="str">
        <v/>
      </c>
      <c r="L181" s="1" t="str">
        <v/>
      </c>
      <c r="M181" s="2" t="str">
        <v/>
      </c>
      <c r="N181" s="1" t="str">
        <v/>
      </c>
      <c r="O181" s="1" t="str">
        <v/>
      </c>
      <c r="P181" s="1" t="str">
        <v/>
      </c>
      <c r="Q181" s="1">
        <f t="shared" si="8"/>
        <v>0</v>
      </c>
      <c r="R181" s="1">
        <f t="shared" si="9"/>
        <v>0</v>
      </c>
      <c r="T181">
        <f t="shared" si="10"/>
        <v>0</v>
      </c>
      <c r="U181">
        <f t="shared" si="11"/>
        <v>0</v>
      </c>
    </row>
    <row r="182" x14ac:dyDescent="0.35">
      <c r="A182" s="21" t="str">
        <v/>
      </c>
      <c r="B182" s="23" t="str">
        <v/>
      </c>
      <c r="C182" t="str">
        <v/>
      </c>
      <c r="D182" t="str">
        <v/>
      </c>
      <c r="E182" t="str">
        <v/>
      </c>
      <c r="F182" t="str">
        <v/>
      </c>
      <c r="G182" t="str">
        <v/>
      </c>
      <c r="H182" t="str">
        <v/>
      </c>
      <c r="I182" s="2" t="str">
        <v/>
      </c>
      <c r="J182" s="2" t="str">
        <v/>
      </c>
      <c r="K182" s="2" t="str">
        <v/>
      </c>
      <c r="L182" s="1" t="str">
        <v/>
      </c>
      <c r="M182" s="2" t="str">
        <v/>
      </c>
      <c r="N182" s="1" t="str">
        <v/>
      </c>
      <c r="O182" s="1" t="str">
        <v/>
      </c>
      <c r="P182" s="1" t="str">
        <v/>
      </c>
      <c r="Q182" s="1">
        <f t="shared" si="8"/>
        <v>0</v>
      </c>
      <c r="R182" s="1">
        <f t="shared" si="9"/>
        <v>0</v>
      </c>
      <c r="T182">
        <f t="shared" si="10"/>
        <v>0</v>
      </c>
      <c r="U182">
        <f t="shared" si="11"/>
        <v>0</v>
      </c>
    </row>
    <row r="183" x14ac:dyDescent="0.35">
      <c r="A183" s="21" t="str">
        <v/>
      </c>
      <c r="B183" s="23" t="str">
        <v/>
      </c>
      <c r="C183" t="str">
        <v/>
      </c>
      <c r="D183" t="str">
        <v/>
      </c>
      <c r="E183" t="str">
        <v/>
      </c>
      <c r="F183" t="str">
        <v/>
      </c>
      <c r="G183" t="str">
        <v/>
      </c>
      <c r="H183" t="str">
        <v/>
      </c>
      <c r="I183" s="2" t="str">
        <v/>
      </c>
      <c r="J183" s="2" t="str">
        <v/>
      </c>
      <c r="K183" s="2" t="str">
        <v/>
      </c>
      <c r="L183" s="1" t="str">
        <v/>
      </c>
      <c r="M183" s="2" t="str">
        <v/>
      </c>
      <c r="N183" s="1" t="str">
        <v/>
      </c>
      <c r="O183" s="1" t="str">
        <v/>
      </c>
      <c r="P183" s="1" t="str">
        <v/>
      </c>
      <c r="Q183" s="1">
        <f t="shared" si="8"/>
        <v>0</v>
      </c>
      <c r="R183" s="1">
        <f t="shared" si="9"/>
        <v>0</v>
      </c>
      <c r="T183">
        <f t="shared" si="10"/>
        <v>0</v>
      </c>
      <c r="U183">
        <f t="shared" si="11"/>
        <v>0</v>
      </c>
    </row>
    <row r="184" x14ac:dyDescent="0.35">
      <c r="A184" s="21" t="str">
        <v/>
      </c>
      <c r="B184" s="23" t="str">
        <v/>
      </c>
      <c r="C184" t="str">
        <v/>
      </c>
      <c r="D184" t="str">
        <v/>
      </c>
      <c r="E184" t="str">
        <v/>
      </c>
      <c r="F184" t="str">
        <v/>
      </c>
      <c r="G184" t="str">
        <v/>
      </c>
      <c r="H184" t="str">
        <v/>
      </c>
      <c r="I184" s="2" t="str">
        <v/>
      </c>
      <c r="J184" s="2" t="str">
        <v/>
      </c>
      <c r="K184" s="2" t="str">
        <v/>
      </c>
      <c r="L184" s="1" t="str">
        <v/>
      </c>
      <c r="M184" s="2" t="str">
        <v/>
      </c>
      <c r="N184" s="1" t="str">
        <v/>
      </c>
      <c r="O184" s="1" t="str">
        <v/>
      </c>
      <c r="P184" s="1" t="str">
        <v/>
      </c>
      <c r="Q184" s="1">
        <f t="shared" si="8"/>
        <v>0</v>
      </c>
      <c r="R184" s="1">
        <f t="shared" si="9"/>
        <v>0</v>
      </c>
      <c r="T184">
        <f t="shared" si="10"/>
        <v>0</v>
      </c>
      <c r="U184">
        <f t="shared" si="11"/>
        <v>0</v>
      </c>
    </row>
    <row r="185" x14ac:dyDescent="0.35">
      <c r="A185" s="21" t="str">
        <v/>
      </c>
      <c r="B185" s="23" t="str">
        <v/>
      </c>
      <c r="C185" t="str">
        <v/>
      </c>
      <c r="D185" t="str">
        <v/>
      </c>
      <c r="E185" t="str">
        <v/>
      </c>
      <c r="F185" t="str">
        <v/>
      </c>
      <c r="G185" t="str">
        <v/>
      </c>
      <c r="H185" t="str">
        <v/>
      </c>
      <c r="I185" s="2" t="str">
        <v/>
      </c>
      <c r="J185" s="2" t="str">
        <v/>
      </c>
      <c r="K185" s="2" t="str">
        <v/>
      </c>
      <c r="L185" s="1" t="str">
        <v/>
      </c>
      <c r="M185" s="2" t="str">
        <v/>
      </c>
      <c r="N185" s="1" t="str">
        <v/>
      </c>
      <c r="O185" s="1" t="str">
        <v/>
      </c>
      <c r="P185" s="1" t="str">
        <v/>
      </c>
      <c r="Q185" s="1">
        <f t="shared" si="8"/>
        <v>0</v>
      </c>
      <c r="R185" s="1">
        <f t="shared" si="9"/>
        <v>0</v>
      </c>
      <c r="T185">
        <f t="shared" si="10"/>
        <v>0</v>
      </c>
      <c r="U185">
        <f t="shared" si="11"/>
        <v>0</v>
      </c>
    </row>
    <row r="186" x14ac:dyDescent="0.35">
      <c r="A186" s="21" t="str">
        <v/>
      </c>
      <c r="B186" s="23" t="str">
        <v/>
      </c>
      <c r="C186" t="str">
        <v/>
      </c>
      <c r="D186" t="str">
        <v/>
      </c>
      <c r="E186" t="str">
        <v/>
      </c>
      <c r="F186" t="str">
        <v/>
      </c>
      <c r="G186" t="str">
        <v/>
      </c>
      <c r="H186" t="str">
        <v/>
      </c>
      <c r="I186" s="2" t="str">
        <v/>
      </c>
      <c r="J186" s="2" t="str">
        <v/>
      </c>
      <c r="K186" s="2" t="str">
        <v/>
      </c>
      <c r="L186" s="1" t="str">
        <v/>
      </c>
      <c r="M186" s="2" t="str">
        <v/>
      </c>
      <c r="N186" s="1" t="str">
        <v/>
      </c>
      <c r="O186" s="1" t="str">
        <v/>
      </c>
      <c r="P186" s="1" t="str">
        <v/>
      </c>
      <c r="Q186" s="1">
        <f t="shared" si="8"/>
        <v>0</v>
      </c>
      <c r="R186" s="1">
        <f t="shared" si="9"/>
        <v>0</v>
      </c>
      <c r="T186">
        <f t="shared" si="10"/>
        <v>0</v>
      </c>
      <c r="U186">
        <f t="shared" si="11"/>
        <v>0</v>
      </c>
    </row>
    <row r="187" x14ac:dyDescent="0.35">
      <c r="A187" s="21" t="str">
        <v/>
      </c>
      <c r="B187" s="23" t="str">
        <v/>
      </c>
      <c r="C187" t="str">
        <v/>
      </c>
      <c r="D187" t="str">
        <v/>
      </c>
      <c r="E187" t="str">
        <v/>
      </c>
      <c r="F187" t="str">
        <v/>
      </c>
      <c r="G187" t="str">
        <v/>
      </c>
      <c r="H187" t="str">
        <v/>
      </c>
      <c r="I187" s="2" t="str">
        <v/>
      </c>
      <c r="J187" s="2" t="str">
        <v/>
      </c>
      <c r="K187" s="2" t="str">
        <v/>
      </c>
      <c r="L187" s="1" t="str">
        <v/>
      </c>
      <c r="M187" s="2" t="str">
        <v/>
      </c>
      <c r="N187" s="1" t="str">
        <v/>
      </c>
      <c r="O187" s="1" t="str">
        <v/>
      </c>
      <c r="P187" s="1" t="str">
        <v/>
      </c>
      <c r="Q187" s="1">
        <f t="shared" si="8"/>
        <v>0</v>
      </c>
      <c r="R187" s="1">
        <f t="shared" si="9"/>
        <v>0</v>
      </c>
      <c r="T187">
        <f t="shared" si="10"/>
        <v>0</v>
      </c>
      <c r="U187">
        <f t="shared" si="11"/>
        <v>0</v>
      </c>
    </row>
    <row r="188" x14ac:dyDescent="0.35">
      <c r="A188" s="21" t="str">
        <v/>
      </c>
      <c r="B188" s="23" t="str">
        <v/>
      </c>
      <c r="C188" t="str">
        <v/>
      </c>
      <c r="D188" t="str">
        <v/>
      </c>
      <c r="E188" t="str">
        <v/>
      </c>
      <c r="F188" t="str">
        <v/>
      </c>
      <c r="G188" t="str">
        <v/>
      </c>
      <c r="H188" t="str">
        <v/>
      </c>
      <c r="I188" s="2" t="str">
        <v/>
      </c>
      <c r="J188" s="2" t="str">
        <v/>
      </c>
      <c r="K188" s="2" t="str">
        <v/>
      </c>
      <c r="L188" s="1" t="str">
        <v/>
      </c>
      <c r="M188" s="2" t="str">
        <v/>
      </c>
      <c r="N188" s="1" t="str">
        <v/>
      </c>
      <c r="O188" s="1" t="str">
        <v/>
      </c>
      <c r="P188" s="1" t="str">
        <v/>
      </c>
      <c r="Q188" s="1">
        <f t="shared" si="8"/>
        <v>0</v>
      </c>
      <c r="R188" s="1">
        <f t="shared" si="9"/>
        <v>0</v>
      </c>
      <c r="T188">
        <f t="shared" si="10"/>
        <v>0</v>
      </c>
      <c r="U188">
        <f t="shared" si="11"/>
        <v>0</v>
      </c>
    </row>
    <row r="189" x14ac:dyDescent="0.35">
      <c r="A189" s="21" t="str">
        <v/>
      </c>
      <c r="B189" s="23" t="str">
        <v/>
      </c>
      <c r="C189" t="str">
        <v/>
      </c>
      <c r="D189" t="str">
        <v/>
      </c>
      <c r="E189" t="str">
        <v/>
      </c>
      <c r="F189" t="str">
        <v/>
      </c>
      <c r="G189" t="str">
        <v/>
      </c>
      <c r="H189" t="str">
        <v/>
      </c>
      <c r="I189" s="2" t="str">
        <v/>
      </c>
      <c r="J189" s="2" t="str">
        <v/>
      </c>
      <c r="K189" s="2" t="str">
        <v/>
      </c>
      <c r="L189" s="1" t="str">
        <v/>
      </c>
      <c r="M189" s="2" t="str">
        <v/>
      </c>
      <c r="N189" s="1" t="str">
        <v/>
      </c>
      <c r="O189" s="1" t="str">
        <v/>
      </c>
      <c r="P189" s="1" t="str">
        <v/>
      </c>
      <c r="Q189" s="1">
        <f t="shared" si="8"/>
        <v>0</v>
      </c>
      <c r="R189" s="1">
        <f t="shared" si="9"/>
        <v>0</v>
      </c>
      <c r="T189">
        <f t="shared" si="10"/>
        <v>0</v>
      </c>
      <c r="U189">
        <f t="shared" si="11"/>
        <v>0</v>
      </c>
    </row>
    <row r="190" x14ac:dyDescent="0.35">
      <c r="A190" s="21" t="str">
        <v/>
      </c>
      <c r="B190" s="23" t="str">
        <v/>
      </c>
      <c r="C190" t="str">
        <v/>
      </c>
      <c r="D190" t="str">
        <v/>
      </c>
      <c r="E190" t="str">
        <v/>
      </c>
      <c r="F190" t="str">
        <v/>
      </c>
      <c r="G190" t="str">
        <v/>
      </c>
      <c r="H190" t="str">
        <v/>
      </c>
      <c r="I190" s="2" t="str">
        <v/>
      </c>
      <c r="J190" s="2" t="str">
        <v/>
      </c>
      <c r="K190" s="2" t="str">
        <v/>
      </c>
      <c r="L190" s="1" t="str">
        <v/>
      </c>
      <c r="M190" s="2" t="str">
        <v/>
      </c>
      <c r="N190" s="1" t="str">
        <v/>
      </c>
      <c r="O190" s="1" t="str">
        <v/>
      </c>
      <c r="P190" s="1" t="str">
        <v/>
      </c>
      <c r="Q190" s="1">
        <f t="shared" si="8"/>
        <v>0</v>
      </c>
      <c r="R190" s="1">
        <f t="shared" si="9"/>
        <v>0</v>
      </c>
      <c r="T190">
        <f t="shared" si="10"/>
        <v>0</v>
      </c>
      <c r="U190">
        <f t="shared" si="11"/>
        <v>0</v>
      </c>
    </row>
    <row r="191" x14ac:dyDescent="0.35">
      <c r="A191" s="21" t="str">
        <v/>
      </c>
      <c r="B191" s="23" t="str">
        <v/>
      </c>
      <c r="C191" t="str">
        <v/>
      </c>
      <c r="D191" t="str">
        <v/>
      </c>
      <c r="E191" t="str">
        <v/>
      </c>
      <c r="F191" t="str">
        <v/>
      </c>
      <c r="G191" t="str">
        <v/>
      </c>
      <c r="H191" t="str">
        <v/>
      </c>
      <c r="I191" s="2" t="str">
        <v/>
      </c>
      <c r="J191" s="2" t="str">
        <v/>
      </c>
      <c r="K191" s="2" t="str">
        <v/>
      </c>
      <c r="L191" s="1" t="str">
        <v/>
      </c>
      <c r="M191" s="2" t="str">
        <v/>
      </c>
      <c r="N191" s="1" t="str">
        <v/>
      </c>
      <c r="O191" s="1" t="str">
        <v/>
      </c>
      <c r="P191" s="1" t="str">
        <v/>
      </c>
      <c r="Q191" s="1">
        <f t="shared" si="8"/>
        <v>0</v>
      </c>
      <c r="R191" s="1">
        <f t="shared" si="9"/>
        <v>0</v>
      </c>
      <c r="T191">
        <f t="shared" si="10"/>
        <v>0</v>
      </c>
      <c r="U191">
        <f t="shared" si="11"/>
        <v>0</v>
      </c>
    </row>
    <row r="192" x14ac:dyDescent="0.35">
      <c r="A192" s="21" t="str">
        <v/>
      </c>
      <c r="B192" s="23" t="str">
        <v/>
      </c>
      <c r="C192" t="str">
        <v/>
      </c>
      <c r="D192" t="str">
        <v/>
      </c>
      <c r="E192" t="str">
        <v/>
      </c>
      <c r="F192" t="str">
        <v/>
      </c>
      <c r="G192" t="str">
        <v/>
      </c>
      <c r="H192" t="str">
        <v/>
      </c>
      <c r="I192" s="2" t="str">
        <v/>
      </c>
      <c r="J192" s="2" t="str">
        <v/>
      </c>
      <c r="K192" s="2" t="str">
        <v/>
      </c>
      <c r="L192" s="1" t="str">
        <v/>
      </c>
      <c r="M192" s="2" t="str">
        <v/>
      </c>
      <c r="N192" s="1" t="str">
        <v/>
      </c>
      <c r="O192" s="1" t="str">
        <v/>
      </c>
      <c r="P192" s="1" t="str">
        <v/>
      </c>
      <c r="Q192" s="1">
        <f t="shared" si="8"/>
        <v>0</v>
      </c>
      <c r="R192" s="1">
        <f t="shared" si="9"/>
        <v>0</v>
      </c>
      <c r="T192">
        <f t="shared" si="10"/>
        <v>0</v>
      </c>
      <c r="U192">
        <f t="shared" si="11"/>
        <v>0</v>
      </c>
    </row>
    <row r="193" x14ac:dyDescent="0.35">
      <c r="A193" s="21" t="str">
        <v/>
      </c>
      <c r="B193" s="23" t="str">
        <v/>
      </c>
      <c r="C193" t="str">
        <v/>
      </c>
      <c r="D193" t="str">
        <v/>
      </c>
      <c r="E193" t="str">
        <v/>
      </c>
      <c r="F193" t="str">
        <v/>
      </c>
      <c r="G193" t="str">
        <v/>
      </c>
      <c r="H193" t="str">
        <v/>
      </c>
      <c r="I193" s="2" t="str">
        <v/>
      </c>
      <c r="J193" s="2" t="str">
        <v/>
      </c>
      <c r="K193" s="2" t="str">
        <v/>
      </c>
      <c r="L193" s="1" t="str">
        <v/>
      </c>
      <c r="M193" s="2" t="str">
        <v/>
      </c>
      <c r="N193" s="1" t="str">
        <v/>
      </c>
      <c r="O193" s="1" t="str">
        <v/>
      </c>
      <c r="P193" s="1" t="str">
        <v/>
      </c>
      <c r="Q193" s="1">
        <f t="shared" si="8"/>
        <v>0</v>
      </c>
      <c r="R193" s="1">
        <f t="shared" si="9"/>
        <v>0</v>
      </c>
      <c r="T193">
        <f t="shared" si="10"/>
        <v>0</v>
      </c>
      <c r="U193">
        <f t="shared" si="11"/>
        <v>0</v>
      </c>
    </row>
    <row r="194" x14ac:dyDescent="0.35">
      <c r="A194" s="21" t="str">
        <v/>
      </c>
      <c r="B194" s="23" t="str">
        <v/>
      </c>
      <c r="C194" t="str">
        <v/>
      </c>
      <c r="D194" t="str">
        <v/>
      </c>
      <c r="E194" t="str">
        <v/>
      </c>
      <c r="F194" t="str">
        <v/>
      </c>
      <c r="G194" t="str">
        <v/>
      </c>
      <c r="H194" t="str">
        <v/>
      </c>
      <c r="I194" s="2" t="str">
        <v/>
      </c>
      <c r="J194" s="2" t="str">
        <v/>
      </c>
      <c r="K194" s="2" t="str">
        <v/>
      </c>
      <c r="L194" s="1" t="str">
        <v/>
      </c>
      <c r="M194" s="2" t="str">
        <v/>
      </c>
      <c r="N194" s="1" t="str">
        <v/>
      </c>
      <c r="O194" s="1" t="str">
        <v/>
      </c>
      <c r="P194" s="1" t="str">
        <v/>
      </c>
      <c r="Q194" s="1">
        <f t="shared" si="8"/>
        <v>0</v>
      </c>
      <c r="R194" s="1">
        <f t="shared" si="9"/>
        <v>0</v>
      </c>
      <c r="T194">
        <f t="shared" si="10"/>
        <v>0</v>
      </c>
      <c r="U194">
        <f t="shared" si="11"/>
        <v>0</v>
      </c>
    </row>
    <row r="195" x14ac:dyDescent="0.35">
      <c r="A195" s="21" t="str">
        <v/>
      </c>
      <c r="B195" s="23" t="str">
        <v/>
      </c>
      <c r="C195" t="str">
        <v/>
      </c>
      <c r="D195" t="str">
        <v/>
      </c>
      <c r="E195" t="str">
        <v/>
      </c>
      <c r="F195" t="str">
        <v/>
      </c>
      <c r="G195" t="str">
        <v/>
      </c>
      <c r="H195" t="str">
        <v/>
      </c>
      <c r="I195" s="2" t="str">
        <v/>
      </c>
      <c r="J195" s="2" t="str">
        <v/>
      </c>
      <c r="K195" s="2" t="str">
        <v/>
      </c>
      <c r="L195" s="1" t="str">
        <v/>
      </c>
      <c r="M195" s="2" t="str">
        <v/>
      </c>
      <c r="N195" s="1" t="str">
        <v/>
      </c>
      <c r="O195" s="1" t="str">
        <v/>
      </c>
      <c r="P195" s="1" t="str">
        <v/>
      </c>
      <c r="Q195" s="1">
        <f t="shared" ref="Q195:Q258" si="12">IF(H195="Sí",1,0)</f>
        <v>0</v>
      </c>
      <c r="R195" s="1">
        <f t="shared" ref="R195:R258" si="13">IF(L195="En coordinación",1,0)</f>
        <v>0</v>
      </c>
      <c r="T195">
        <f t="shared" ref="T195:T258" si="14">IF(N195="Sí",1,0)</f>
        <v>0</v>
      </c>
      <c r="U195">
        <f t="shared" ref="U195:U258" si="15">IF(L195="Aceptada",1,0)</f>
        <v>0</v>
      </c>
    </row>
    <row r="196" x14ac:dyDescent="0.35">
      <c r="A196" s="21" t="str">
        <v/>
      </c>
      <c r="B196" s="23" t="str">
        <v/>
      </c>
      <c r="C196" t="str">
        <v/>
      </c>
      <c r="D196" t="str">
        <v/>
      </c>
      <c r="E196" t="str">
        <v/>
      </c>
      <c r="F196" t="str">
        <v/>
      </c>
      <c r="G196" t="str">
        <v/>
      </c>
      <c r="H196" t="str">
        <v/>
      </c>
      <c r="I196" s="2" t="str">
        <v/>
      </c>
      <c r="J196" s="2" t="str">
        <v/>
      </c>
      <c r="K196" s="2" t="str">
        <v/>
      </c>
      <c r="L196" s="1" t="str">
        <v/>
      </c>
      <c r="M196" s="2" t="str">
        <v/>
      </c>
      <c r="N196" s="1" t="str">
        <v/>
      </c>
      <c r="O196" s="1" t="str">
        <v/>
      </c>
      <c r="P196" s="1" t="str">
        <v/>
      </c>
      <c r="Q196" s="1">
        <f t="shared" si="12"/>
        <v>0</v>
      </c>
      <c r="R196" s="1">
        <f t="shared" si="13"/>
        <v>0</v>
      </c>
      <c r="T196">
        <f t="shared" si="14"/>
        <v>0</v>
      </c>
      <c r="U196">
        <f t="shared" si="15"/>
        <v>0</v>
      </c>
    </row>
    <row r="197" x14ac:dyDescent="0.35">
      <c r="A197" s="21" t="str">
        <v/>
      </c>
      <c r="B197" s="23" t="str">
        <v/>
      </c>
      <c r="C197" t="str">
        <v/>
      </c>
      <c r="D197" t="str">
        <v/>
      </c>
      <c r="E197" t="str">
        <v/>
      </c>
      <c r="F197" t="str">
        <v/>
      </c>
      <c r="G197" t="str">
        <v/>
      </c>
      <c r="H197" t="str">
        <v/>
      </c>
      <c r="I197" s="2" t="str">
        <v/>
      </c>
      <c r="J197" s="2" t="str">
        <v/>
      </c>
      <c r="K197" s="2" t="str">
        <v/>
      </c>
      <c r="L197" s="1" t="str">
        <v/>
      </c>
      <c r="M197" s="2" t="str">
        <v/>
      </c>
      <c r="N197" s="1" t="str">
        <v/>
      </c>
      <c r="O197" s="1" t="str">
        <v/>
      </c>
      <c r="P197" s="1" t="str">
        <v/>
      </c>
      <c r="Q197" s="1">
        <f t="shared" si="12"/>
        <v>0</v>
      </c>
      <c r="R197" s="1">
        <f t="shared" si="13"/>
        <v>0</v>
      </c>
      <c r="T197">
        <f t="shared" si="14"/>
        <v>0</v>
      </c>
      <c r="U197">
        <f t="shared" si="15"/>
        <v>0</v>
      </c>
    </row>
    <row r="198" x14ac:dyDescent="0.35">
      <c r="A198" s="21" t="str">
        <v/>
      </c>
      <c r="B198" s="23" t="str">
        <v/>
      </c>
      <c r="C198" t="str">
        <v/>
      </c>
      <c r="D198" t="str">
        <v/>
      </c>
      <c r="E198" t="str">
        <v/>
      </c>
      <c r="F198" t="str">
        <v/>
      </c>
      <c r="G198" t="str">
        <v/>
      </c>
      <c r="H198" t="str">
        <v/>
      </c>
      <c r="I198" s="2" t="str">
        <v/>
      </c>
      <c r="J198" s="2" t="str">
        <v/>
      </c>
      <c r="K198" s="2" t="str">
        <v/>
      </c>
      <c r="L198" s="1" t="str">
        <v/>
      </c>
      <c r="M198" s="2" t="str">
        <v/>
      </c>
      <c r="N198" s="1" t="str">
        <v/>
      </c>
      <c r="O198" s="1" t="str">
        <v/>
      </c>
      <c r="P198" s="1" t="str">
        <v/>
      </c>
      <c r="Q198" s="1">
        <f t="shared" si="12"/>
        <v>0</v>
      </c>
      <c r="R198" s="1">
        <f t="shared" si="13"/>
        <v>0</v>
      </c>
      <c r="T198">
        <f t="shared" si="14"/>
        <v>0</v>
      </c>
      <c r="U198">
        <f t="shared" si="15"/>
        <v>0</v>
      </c>
    </row>
    <row r="199" x14ac:dyDescent="0.35">
      <c r="A199" s="21" t="str">
        <v/>
      </c>
      <c r="B199" s="23" t="str">
        <v/>
      </c>
      <c r="C199" t="str">
        <v/>
      </c>
      <c r="D199" t="str">
        <v/>
      </c>
      <c r="E199" t="str">
        <v/>
      </c>
      <c r="F199" t="str">
        <v/>
      </c>
      <c r="G199" t="str">
        <v/>
      </c>
      <c r="H199" t="str">
        <v/>
      </c>
      <c r="I199" s="2" t="str">
        <v/>
      </c>
      <c r="J199" s="2" t="str">
        <v/>
      </c>
      <c r="K199" s="2" t="str">
        <v/>
      </c>
      <c r="L199" s="1" t="str">
        <v/>
      </c>
      <c r="M199" s="2" t="str">
        <v/>
      </c>
      <c r="N199" s="1" t="str">
        <v/>
      </c>
      <c r="O199" s="1" t="str">
        <v/>
      </c>
      <c r="P199" s="1" t="str">
        <v/>
      </c>
      <c r="Q199" s="1">
        <f t="shared" si="12"/>
        <v>0</v>
      </c>
      <c r="R199" s="1">
        <f t="shared" si="13"/>
        <v>0</v>
      </c>
      <c r="T199">
        <f t="shared" si="14"/>
        <v>0</v>
      </c>
      <c r="U199">
        <f t="shared" si="15"/>
        <v>0</v>
      </c>
    </row>
    <row r="200" x14ac:dyDescent="0.35">
      <c r="A200" s="21" t="str">
        <v/>
      </c>
      <c r="B200" s="23" t="str">
        <v/>
      </c>
      <c r="C200" t="str">
        <v/>
      </c>
      <c r="D200" t="str">
        <v/>
      </c>
      <c r="E200" t="str">
        <v/>
      </c>
      <c r="F200" t="str">
        <v/>
      </c>
      <c r="G200" t="str">
        <v/>
      </c>
      <c r="H200" t="str">
        <v/>
      </c>
      <c r="I200" s="2" t="str">
        <v/>
      </c>
      <c r="J200" s="2" t="str">
        <v/>
      </c>
      <c r="K200" s="2" t="str">
        <v/>
      </c>
      <c r="L200" s="1" t="str">
        <v/>
      </c>
      <c r="M200" s="2" t="str">
        <v/>
      </c>
      <c r="N200" s="1" t="str">
        <v/>
      </c>
      <c r="O200" s="1" t="str">
        <v/>
      </c>
      <c r="P200" s="1" t="str">
        <v/>
      </c>
      <c r="Q200" s="1">
        <f t="shared" si="12"/>
        <v>0</v>
      </c>
      <c r="R200" s="1">
        <f t="shared" si="13"/>
        <v>0</v>
      </c>
      <c r="T200">
        <f t="shared" si="14"/>
        <v>0</v>
      </c>
      <c r="U200">
        <f t="shared" si="15"/>
        <v>0</v>
      </c>
    </row>
    <row r="201" x14ac:dyDescent="0.35">
      <c r="A201" s="21" t="str">
        <v/>
      </c>
      <c r="B201" s="23" t="str">
        <v/>
      </c>
      <c r="C201" t="str">
        <v/>
      </c>
      <c r="D201" t="str">
        <v/>
      </c>
      <c r="E201" t="str">
        <v/>
      </c>
      <c r="F201" t="str">
        <v/>
      </c>
      <c r="G201" t="str">
        <v/>
      </c>
      <c r="H201" t="str">
        <v/>
      </c>
      <c r="I201" s="2" t="str">
        <v/>
      </c>
      <c r="J201" s="2" t="str">
        <v/>
      </c>
      <c r="K201" s="2" t="str">
        <v/>
      </c>
      <c r="L201" s="1" t="str">
        <v/>
      </c>
      <c r="M201" s="2" t="str">
        <v/>
      </c>
      <c r="N201" s="1" t="str">
        <v/>
      </c>
      <c r="O201" s="1" t="str">
        <v/>
      </c>
      <c r="P201" s="1" t="str">
        <v/>
      </c>
      <c r="Q201" s="1">
        <f t="shared" si="12"/>
        <v>0</v>
      </c>
      <c r="R201" s="1">
        <f t="shared" si="13"/>
        <v>0</v>
      </c>
      <c r="T201">
        <f t="shared" si="14"/>
        <v>0</v>
      </c>
      <c r="U201">
        <f t="shared" si="15"/>
        <v>0</v>
      </c>
    </row>
    <row r="202" x14ac:dyDescent="0.35">
      <c r="A202" s="21" t="str">
        <v/>
      </c>
      <c r="B202" s="23" t="str">
        <v/>
      </c>
      <c r="C202" t="str">
        <v/>
      </c>
      <c r="D202" t="str">
        <v/>
      </c>
      <c r="E202" t="str">
        <v/>
      </c>
      <c r="F202" t="str">
        <v/>
      </c>
      <c r="G202" t="str">
        <v/>
      </c>
      <c r="H202" t="str">
        <v/>
      </c>
      <c r="I202" s="2" t="str">
        <v/>
      </c>
      <c r="J202" s="2" t="str">
        <v/>
      </c>
      <c r="K202" s="2" t="str">
        <v/>
      </c>
      <c r="L202" s="1" t="str">
        <v/>
      </c>
      <c r="M202" s="2" t="str">
        <v/>
      </c>
      <c r="N202" s="1" t="str">
        <v/>
      </c>
      <c r="O202" s="1" t="str">
        <v/>
      </c>
      <c r="P202" s="1" t="str">
        <v/>
      </c>
      <c r="Q202" s="1">
        <f t="shared" si="12"/>
        <v>0</v>
      </c>
      <c r="R202" s="1">
        <f t="shared" si="13"/>
        <v>0</v>
      </c>
      <c r="T202">
        <f t="shared" si="14"/>
        <v>0</v>
      </c>
      <c r="U202">
        <f t="shared" si="15"/>
        <v>0</v>
      </c>
    </row>
    <row r="203" x14ac:dyDescent="0.35">
      <c r="A203" s="21" t="str">
        <v/>
      </c>
      <c r="B203" s="23" t="str">
        <v/>
      </c>
      <c r="C203" t="str">
        <v/>
      </c>
      <c r="D203" t="str">
        <v/>
      </c>
      <c r="E203" t="str">
        <v/>
      </c>
      <c r="F203" t="str">
        <v/>
      </c>
      <c r="G203" t="str">
        <v/>
      </c>
      <c r="H203" t="str">
        <v/>
      </c>
      <c r="I203" s="2" t="str">
        <v/>
      </c>
      <c r="J203" s="2" t="str">
        <v/>
      </c>
      <c r="K203" s="2" t="str">
        <v/>
      </c>
      <c r="L203" s="1" t="str">
        <v/>
      </c>
      <c r="M203" s="2" t="str">
        <v/>
      </c>
      <c r="N203" s="1" t="str">
        <v/>
      </c>
      <c r="O203" s="1" t="str">
        <v/>
      </c>
      <c r="P203" s="1" t="str">
        <v/>
      </c>
      <c r="Q203" s="1">
        <f t="shared" si="12"/>
        <v>0</v>
      </c>
      <c r="R203" s="1">
        <f t="shared" si="13"/>
        <v>0</v>
      </c>
      <c r="T203">
        <f t="shared" si="14"/>
        <v>0</v>
      </c>
      <c r="U203">
        <f t="shared" si="15"/>
        <v>0</v>
      </c>
    </row>
    <row r="204" x14ac:dyDescent="0.35">
      <c r="A204" s="21" t="str">
        <v/>
      </c>
      <c r="B204" s="23" t="str">
        <v/>
      </c>
      <c r="C204" t="str">
        <v/>
      </c>
      <c r="D204" t="str">
        <v/>
      </c>
      <c r="E204" t="str">
        <v/>
      </c>
      <c r="F204" t="str">
        <v/>
      </c>
      <c r="G204" t="str">
        <v/>
      </c>
      <c r="H204" t="str">
        <v/>
      </c>
      <c r="I204" s="2" t="str">
        <v/>
      </c>
      <c r="J204" s="2" t="str">
        <v/>
      </c>
      <c r="K204" s="2" t="str">
        <v/>
      </c>
      <c r="L204" s="1" t="str">
        <v/>
      </c>
      <c r="M204" s="2" t="str">
        <v/>
      </c>
      <c r="N204" s="1" t="str">
        <v/>
      </c>
      <c r="O204" s="1" t="str">
        <v/>
      </c>
      <c r="P204" s="1" t="str">
        <v/>
      </c>
      <c r="Q204" s="1">
        <f t="shared" si="12"/>
        <v>0</v>
      </c>
      <c r="R204" s="1">
        <f t="shared" si="13"/>
        <v>0</v>
      </c>
      <c r="T204">
        <f t="shared" si="14"/>
        <v>0</v>
      </c>
      <c r="U204">
        <f t="shared" si="15"/>
        <v>0</v>
      </c>
    </row>
    <row r="205" x14ac:dyDescent="0.35">
      <c r="A205" s="21" t="str">
        <v/>
      </c>
      <c r="B205" s="23" t="str">
        <v/>
      </c>
      <c r="C205" t="str">
        <v/>
      </c>
      <c r="D205" t="str">
        <v/>
      </c>
      <c r="E205" t="str">
        <v/>
      </c>
      <c r="F205" t="str">
        <v/>
      </c>
      <c r="G205" t="str">
        <v/>
      </c>
      <c r="H205" t="str">
        <v/>
      </c>
      <c r="I205" s="2" t="str">
        <v/>
      </c>
      <c r="J205" s="2" t="str">
        <v/>
      </c>
      <c r="K205" s="2" t="str">
        <v/>
      </c>
      <c r="L205" s="1" t="str">
        <v/>
      </c>
      <c r="M205" s="2" t="str">
        <v/>
      </c>
      <c r="N205" s="1" t="str">
        <v/>
      </c>
      <c r="O205" s="1" t="str">
        <v/>
      </c>
      <c r="P205" s="1" t="str">
        <v/>
      </c>
      <c r="Q205" s="1">
        <f t="shared" si="12"/>
        <v>0</v>
      </c>
      <c r="R205" s="1">
        <f t="shared" si="13"/>
        <v>0</v>
      </c>
      <c r="T205">
        <f t="shared" si="14"/>
        <v>0</v>
      </c>
      <c r="U205">
        <f t="shared" si="15"/>
        <v>0</v>
      </c>
    </row>
    <row r="206" x14ac:dyDescent="0.35">
      <c r="A206" s="21" t="str">
        <v/>
      </c>
      <c r="B206" s="23" t="str">
        <v/>
      </c>
      <c r="C206" t="str">
        <v/>
      </c>
      <c r="D206" t="str">
        <v/>
      </c>
      <c r="E206" t="str">
        <v/>
      </c>
      <c r="F206" t="str">
        <v/>
      </c>
      <c r="G206" t="str">
        <v/>
      </c>
      <c r="H206" t="str">
        <v/>
      </c>
      <c r="I206" s="2" t="str">
        <v/>
      </c>
      <c r="J206" s="2" t="str">
        <v/>
      </c>
      <c r="K206" s="2" t="str">
        <v/>
      </c>
      <c r="L206" s="1" t="str">
        <v/>
      </c>
      <c r="M206" s="2" t="str">
        <v/>
      </c>
      <c r="N206" s="1" t="str">
        <v/>
      </c>
      <c r="O206" s="1" t="str">
        <v/>
      </c>
      <c r="P206" s="1" t="str">
        <v/>
      </c>
      <c r="Q206" s="1">
        <f t="shared" si="12"/>
        <v>0</v>
      </c>
      <c r="R206" s="1">
        <f t="shared" si="13"/>
        <v>0</v>
      </c>
      <c r="T206">
        <f t="shared" si="14"/>
        <v>0</v>
      </c>
      <c r="U206">
        <f t="shared" si="15"/>
        <v>0</v>
      </c>
    </row>
    <row r="207" x14ac:dyDescent="0.35">
      <c r="A207" s="21" t="str">
        <v/>
      </c>
      <c r="B207" s="23" t="str">
        <v/>
      </c>
      <c r="C207" t="str">
        <v/>
      </c>
      <c r="D207" t="str">
        <v/>
      </c>
      <c r="E207" t="str">
        <v/>
      </c>
      <c r="F207" t="str">
        <v/>
      </c>
      <c r="G207" t="str">
        <v/>
      </c>
      <c r="H207" t="str">
        <v/>
      </c>
      <c r="I207" s="2" t="str">
        <v/>
      </c>
      <c r="J207" s="2" t="str">
        <v/>
      </c>
      <c r="K207" s="2" t="str">
        <v/>
      </c>
      <c r="L207" s="1" t="str">
        <v/>
      </c>
      <c r="M207" s="2" t="str">
        <v/>
      </c>
      <c r="N207" s="1" t="str">
        <v/>
      </c>
      <c r="O207" s="1" t="str">
        <v/>
      </c>
      <c r="P207" s="1" t="str">
        <v/>
      </c>
      <c r="Q207" s="1">
        <f t="shared" si="12"/>
        <v>0</v>
      </c>
      <c r="R207" s="1">
        <f t="shared" si="13"/>
        <v>0</v>
      </c>
      <c r="T207">
        <f t="shared" si="14"/>
        <v>0</v>
      </c>
      <c r="U207">
        <f t="shared" si="15"/>
        <v>0</v>
      </c>
    </row>
    <row r="208" x14ac:dyDescent="0.35">
      <c r="A208" s="21" t="str">
        <v/>
      </c>
      <c r="B208" s="23" t="str">
        <v/>
      </c>
      <c r="C208" t="str">
        <v/>
      </c>
      <c r="D208" t="str">
        <v/>
      </c>
      <c r="E208" t="str">
        <v/>
      </c>
      <c r="F208" t="str">
        <v/>
      </c>
      <c r="G208" t="str">
        <v/>
      </c>
      <c r="H208" t="str">
        <v/>
      </c>
      <c r="I208" s="2" t="str">
        <v/>
      </c>
      <c r="J208" s="2" t="str">
        <v/>
      </c>
      <c r="K208" s="2" t="str">
        <v/>
      </c>
      <c r="L208" s="1" t="str">
        <v/>
      </c>
      <c r="M208" s="2" t="str">
        <v/>
      </c>
      <c r="N208" s="1" t="str">
        <v/>
      </c>
      <c r="O208" s="1" t="str">
        <v/>
      </c>
      <c r="P208" s="1" t="str">
        <v/>
      </c>
      <c r="Q208" s="1">
        <f t="shared" si="12"/>
        <v>0</v>
      </c>
      <c r="R208" s="1">
        <f t="shared" si="13"/>
        <v>0</v>
      </c>
      <c r="T208">
        <f t="shared" si="14"/>
        <v>0</v>
      </c>
      <c r="U208">
        <f t="shared" si="15"/>
        <v>0</v>
      </c>
    </row>
    <row r="209" x14ac:dyDescent="0.35">
      <c r="A209" s="21" t="str">
        <v/>
      </c>
      <c r="B209" s="23" t="str">
        <v/>
      </c>
      <c r="C209" t="str">
        <v/>
      </c>
      <c r="D209" t="str">
        <v/>
      </c>
      <c r="E209" t="str">
        <v/>
      </c>
      <c r="F209" t="str">
        <v/>
      </c>
      <c r="G209" t="str">
        <v/>
      </c>
      <c r="H209" t="str">
        <v/>
      </c>
      <c r="I209" s="2" t="str">
        <v/>
      </c>
      <c r="J209" s="2" t="str">
        <v/>
      </c>
      <c r="K209" s="2" t="str">
        <v/>
      </c>
      <c r="L209" s="1" t="str">
        <v/>
      </c>
      <c r="M209" s="2" t="str">
        <v/>
      </c>
      <c r="N209" s="1" t="str">
        <v/>
      </c>
      <c r="O209" s="1" t="str">
        <v/>
      </c>
      <c r="P209" s="1" t="str">
        <v/>
      </c>
      <c r="Q209" s="1">
        <f t="shared" si="12"/>
        <v>0</v>
      </c>
      <c r="R209" s="1">
        <f t="shared" si="13"/>
        <v>0</v>
      </c>
      <c r="T209">
        <f t="shared" si="14"/>
        <v>0</v>
      </c>
      <c r="U209">
        <f t="shared" si="15"/>
        <v>0</v>
      </c>
    </row>
    <row r="210" x14ac:dyDescent="0.35">
      <c r="A210" s="21" t="str">
        <v/>
      </c>
      <c r="B210" s="23" t="str">
        <v/>
      </c>
      <c r="C210" t="str">
        <v/>
      </c>
      <c r="D210" t="str">
        <v/>
      </c>
      <c r="E210" t="str">
        <v/>
      </c>
      <c r="F210" t="str">
        <v/>
      </c>
      <c r="G210" t="str">
        <v/>
      </c>
      <c r="H210" t="str">
        <v/>
      </c>
      <c r="I210" s="2" t="str">
        <v/>
      </c>
      <c r="J210" s="2" t="str">
        <v/>
      </c>
      <c r="K210" s="2" t="str">
        <v/>
      </c>
      <c r="L210" s="1" t="str">
        <v/>
      </c>
      <c r="M210" s="2" t="str">
        <v/>
      </c>
      <c r="N210" s="1" t="str">
        <v/>
      </c>
      <c r="O210" s="1" t="str">
        <v/>
      </c>
      <c r="P210" s="1" t="str">
        <v/>
      </c>
      <c r="Q210" s="1">
        <f t="shared" si="12"/>
        <v>0</v>
      </c>
      <c r="R210" s="1">
        <f t="shared" si="13"/>
        <v>0</v>
      </c>
      <c r="T210">
        <f t="shared" si="14"/>
        <v>0</v>
      </c>
      <c r="U210">
        <f t="shared" si="15"/>
        <v>0</v>
      </c>
    </row>
    <row r="211" x14ac:dyDescent="0.35">
      <c r="A211" s="21" t="str">
        <v/>
      </c>
      <c r="B211" s="23" t="str">
        <v/>
      </c>
      <c r="C211" t="str">
        <v/>
      </c>
      <c r="D211" t="str">
        <v/>
      </c>
      <c r="E211" t="str">
        <v/>
      </c>
      <c r="F211" t="str">
        <v/>
      </c>
      <c r="G211" t="str">
        <v/>
      </c>
      <c r="H211" t="str">
        <v/>
      </c>
      <c r="I211" s="2" t="str">
        <v/>
      </c>
      <c r="J211" s="2" t="str">
        <v/>
      </c>
      <c r="K211" s="2" t="str">
        <v/>
      </c>
      <c r="L211" s="1" t="str">
        <v/>
      </c>
      <c r="M211" s="2" t="str">
        <v/>
      </c>
      <c r="N211" s="1" t="str">
        <v/>
      </c>
      <c r="O211" s="1" t="str">
        <v/>
      </c>
      <c r="P211" s="1" t="str">
        <v/>
      </c>
      <c r="Q211" s="1">
        <f t="shared" si="12"/>
        <v>0</v>
      </c>
      <c r="R211" s="1">
        <f t="shared" si="13"/>
        <v>0</v>
      </c>
      <c r="T211">
        <f t="shared" si="14"/>
        <v>0</v>
      </c>
      <c r="U211">
        <f t="shared" si="15"/>
        <v>0</v>
      </c>
    </row>
    <row r="212" x14ac:dyDescent="0.35">
      <c r="A212" s="21" t="str">
        <v/>
      </c>
      <c r="B212" s="23" t="str">
        <v/>
      </c>
      <c r="C212" t="str">
        <v/>
      </c>
      <c r="D212" t="str">
        <v/>
      </c>
      <c r="E212" t="str">
        <v/>
      </c>
      <c r="F212" t="str">
        <v/>
      </c>
      <c r="G212" t="str">
        <v/>
      </c>
      <c r="H212" t="str">
        <v/>
      </c>
      <c r="I212" s="2" t="str">
        <v/>
      </c>
      <c r="J212" s="2" t="str">
        <v/>
      </c>
      <c r="K212" s="2" t="str">
        <v/>
      </c>
      <c r="L212" s="1" t="str">
        <v/>
      </c>
      <c r="M212" s="2" t="str">
        <v/>
      </c>
      <c r="N212" s="1" t="str">
        <v/>
      </c>
      <c r="O212" s="1" t="str">
        <v/>
      </c>
      <c r="P212" s="1" t="str">
        <v/>
      </c>
      <c r="Q212" s="1">
        <f t="shared" si="12"/>
        <v>0</v>
      </c>
      <c r="R212" s="1">
        <f t="shared" si="13"/>
        <v>0</v>
      </c>
      <c r="T212">
        <f t="shared" si="14"/>
        <v>0</v>
      </c>
      <c r="U212">
        <f t="shared" si="15"/>
        <v>0</v>
      </c>
    </row>
    <row r="213" x14ac:dyDescent="0.35">
      <c r="A213" s="21" t="str">
        <v/>
      </c>
      <c r="B213" s="23" t="str">
        <v/>
      </c>
      <c r="C213" t="str">
        <v/>
      </c>
      <c r="D213" t="str">
        <v/>
      </c>
      <c r="E213" t="str">
        <v/>
      </c>
      <c r="F213" t="str">
        <v/>
      </c>
      <c r="G213" t="str">
        <v/>
      </c>
      <c r="H213" t="str">
        <v/>
      </c>
      <c r="I213" s="2" t="str">
        <v/>
      </c>
      <c r="J213" s="2" t="str">
        <v/>
      </c>
      <c r="K213" s="2" t="str">
        <v/>
      </c>
      <c r="L213" s="1" t="str">
        <v/>
      </c>
      <c r="M213" s="2" t="str">
        <v/>
      </c>
      <c r="N213" s="1" t="str">
        <v/>
      </c>
      <c r="O213" s="1" t="str">
        <v/>
      </c>
      <c r="P213" s="1" t="str">
        <v/>
      </c>
      <c r="Q213" s="1">
        <f t="shared" si="12"/>
        <v>0</v>
      </c>
      <c r="R213" s="1">
        <f t="shared" si="13"/>
        <v>0</v>
      </c>
      <c r="T213">
        <f t="shared" si="14"/>
        <v>0</v>
      </c>
      <c r="U213">
        <f t="shared" si="15"/>
        <v>0</v>
      </c>
    </row>
    <row r="214" x14ac:dyDescent="0.35">
      <c r="A214" s="21" t="str">
        <v/>
      </c>
      <c r="B214" s="23" t="str">
        <v/>
      </c>
      <c r="C214" t="str">
        <v/>
      </c>
      <c r="D214" t="str">
        <v/>
      </c>
      <c r="E214" t="str">
        <v/>
      </c>
      <c r="F214" t="str">
        <v/>
      </c>
      <c r="G214" t="str">
        <v/>
      </c>
      <c r="H214" t="str">
        <v/>
      </c>
      <c r="I214" s="2" t="str">
        <v/>
      </c>
      <c r="J214" s="2" t="str">
        <v/>
      </c>
      <c r="K214" s="2" t="str">
        <v/>
      </c>
      <c r="L214" s="1" t="str">
        <v/>
      </c>
      <c r="M214" s="2" t="str">
        <v/>
      </c>
      <c r="N214" s="1" t="str">
        <v/>
      </c>
      <c r="O214" s="1" t="str">
        <v/>
      </c>
      <c r="P214" s="1" t="str">
        <v/>
      </c>
      <c r="Q214" s="1">
        <f t="shared" si="12"/>
        <v>0</v>
      </c>
      <c r="R214" s="1">
        <f t="shared" si="13"/>
        <v>0</v>
      </c>
      <c r="T214">
        <f t="shared" si="14"/>
        <v>0</v>
      </c>
      <c r="U214">
        <f t="shared" si="15"/>
        <v>0</v>
      </c>
    </row>
    <row r="215" x14ac:dyDescent="0.35">
      <c r="A215" s="21" t="str">
        <v/>
      </c>
      <c r="B215" s="23" t="str">
        <v/>
      </c>
      <c r="C215" t="str">
        <v/>
      </c>
      <c r="D215" t="str">
        <v/>
      </c>
      <c r="E215" t="str">
        <v/>
      </c>
      <c r="F215" t="str">
        <v/>
      </c>
      <c r="G215" t="str">
        <v/>
      </c>
      <c r="H215" t="str">
        <v/>
      </c>
      <c r="I215" s="2" t="str">
        <v/>
      </c>
      <c r="J215" s="2" t="str">
        <v/>
      </c>
      <c r="K215" s="2" t="str">
        <v/>
      </c>
      <c r="L215" s="1" t="str">
        <v/>
      </c>
      <c r="M215" s="2" t="str">
        <v/>
      </c>
      <c r="N215" s="1" t="str">
        <v/>
      </c>
      <c r="O215" s="1" t="str">
        <v/>
      </c>
      <c r="P215" s="1" t="str">
        <v/>
      </c>
      <c r="Q215" s="1">
        <f t="shared" si="12"/>
        <v>0</v>
      </c>
      <c r="R215" s="1">
        <f t="shared" si="13"/>
        <v>0</v>
      </c>
      <c r="T215">
        <f t="shared" si="14"/>
        <v>0</v>
      </c>
      <c r="U215">
        <f t="shared" si="15"/>
        <v>0</v>
      </c>
    </row>
    <row r="216" x14ac:dyDescent="0.35">
      <c r="A216" s="21" t="str">
        <v/>
      </c>
      <c r="B216" s="23" t="str">
        <v/>
      </c>
      <c r="C216" t="str">
        <v/>
      </c>
      <c r="D216" t="str">
        <v/>
      </c>
      <c r="E216" t="str">
        <v/>
      </c>
      <c r="F216" t="str">
        <v/>
      </c>
      <c r="G216" t="str">
        <v/>
      </c>
      <c r="H216" t="str">
        <v/>
      </c>
      <c r="I216" s="2" t="str">
        <v/>
      </c>
      <c r="J216" s="2" t="str">
        <v/>
      </c>
      <c r="K216" s="2" t="str">
        <v/>
      </c>
      <c r="L216" s="1" t="str">
        <v/>
      </c>
      <c r="M216" s="2" t="str">
        <v/>
      </c>
      <c r="N216" s="1" t="str">
        <v/>
      </c>
      <c r="O216" s="1" t="str">
        <v/>
      </c>
      <c r="P216" s="1" t="str">
        <v/>
      </c>
      <c r="Q216" s="1">
        <f t="shared" si="12"/>
        <v>0</v>
      </c>
      <c r="R216" s="1">
        <f t="shared" si="13"/>
        <v>0</v>
      </c>
      <c r="T216">
        <f t="shared" si="14"/>
        <v>0</v>
      </c>
      <c r="U216">
        <f t="shared" si="15"/>
        <v>0</v>
      </c>
    </row>
    <row r="217" x14ac:dyDescent="0.35">
      <c r="A217" s="21" t="str">
        <v/>
      </c>
      <c r="B217" s="23" t="str">
        <v/>
      </c>
      <c r="C217" t="str">
        <v/>
      </c>
      <c r="D217" t="str">
        <v/>
      </c>
      <c r="E217" t="str">
        <v/>
      </c>
      <c r="F217" t="str">
        <v/>
      </c>
      <c r="G217" t="str">
        <v/>
      </c>
      <c r="H217" t="str">
        <v/>
      </c>
      <c r="I217" s="2" t="str">
        <v/>
      </c>
      <c r="J217" s="2" t="str">
        <v/>
      </c>
      <c r="K217" s="2" t="str">
        <v/>
      </c>
      <c r="L217" s="1" t="str">
        <v/>
      </c>
      <c r="M217" s="2" t="str">
        <v/>
      </c>
      <c r="N217" s="1" t="str">
        <v/>
      </c>
      <c r="O217" s="1" t="str">
        <v/>
      </c>
      <c r="P217" s="1" t="str">
        <v/>
      </c>
      <c r="Q217" s="1">
        <f t="shared" si="12"/>
        <v>0</v>
      </c>
      <c r="R217" s="1">
        <f t="shared" si="13"/>
        <v>0</v>
      </c>
      <c r="T217">
        <f t="shared" si="14"/>
        <v>0</v>
      </c>
      <c r="U217">
        <f t="shared" si="15"/>
        <v>0</v>
      </c>
    </row>
    <row r="218" x14ac:dyDescent="0.35">
      <c r="A218" s="21" t="str">
        <v/>
      </c>
      <c r="B218" s="23" t="str">
        <v/>
      </c>
      <c r="C218" t="str">
        <v/>
      </c>
      <c r="D218" t="str">
        <v/>
      </c>
      <c r="E218" t="str">
        <v/>
      </c>
      <c r="F218" t="str">
        <v/>
      </c>
      <c r="G218" t="str">
        <v/>
      </c>
      <c r="H218" t="str">
        <v/>
      </c>
      <c r="I218" s="2" t="str">
        <v/>
      </c>
      <c r="J218" s="2" t="str">
        <v/>
      </c>
      <c r="K218" s="2" t="str">
        <v/>
      </c>
      <c r="L218" s="1" t="str">
        <v/>
      </c>
      <c r="M218" s="2" t="str">
        <v/>
      </c>
      <c r="N218" s="1" t="str">
        <v/>
      </c>
      <c r="O218" s="1" t="str">
        <v/>
      </c>
      <c r="P218" s="1" t="str">
        <v/>
      </c>
      <c r="Q218" s="1">
        <f t="shared" si="12"/>
        <v>0</v>
      </c>
      <c r="R218" s="1">
        <f t="shared" si="13"/>
        <v>0</v>
      </c>
      <c r="T218">
        <f t="shared" si="14"/>
        <v>0</v>
      </c>
      <c r="U218">
        <f t="shared" si="15"/>
        <v>0</v>
      </c>
    </row>
    <row r="219" x14ac:dyDescent="0.35">
      <c r="A219" s="21" t="str">
        <v/>
      </c>
      <c r="B219" s="23" t="str">
        <v/>
      </c>
      <c r="C219" t="str">
        <v/>
      </c>
      <c r="D219" t="str">
        <v/>
      </c>
      <c r="E219" t="str">
        <v/>
      </c>
      <c r="F219" t="str">
        <v/>
      </c>
      <c r="G219" t="str">
        <v/>
      </c>
      <c r="H219" t="str">
        <v/>
      </c>
      <c r="I219" s="2" t="str">
        <v/>
      </c>
      <c r="J219" s="2" t="str">
        <v/>
      </c>
      <c r="K219" s="2" t="str">
        <v/>
      </c>
      <c r="L219" s="1" t="str">
        <v/>
      </c>
      <c r="M219" s="2" t="str">
        <v/>
      </c>
      <c r="N219" s="1" t="str">
        <v/>
      </c>
      <c r="O219" s="1" t="str">
        <v/>
      </c>
      <c r="P219" s="1" t="str">
        <v/>
      </c>
      <c r="Q219" s="1">
        <f t="shared" si="12"/>
        <v>0</v>
      </c>
      <c r="R219" s="1">
        <f t="shared" si="13"/>
        <v>0</v>
      </c>
      <c r="T219">
        <f t="shared" si="14"/>
        <v>0</v>
      </c>
      <c r="U219">
        <f t="shared" si="15"/>
        <v>0</v>
      </c>
    </row>
    <row r="220" x14ac:dyDescent="0.35">
      <c r="A220" s="21" t="str">
        <v/>
      </c>
      <c r="B220" s="23" t="str">
        <v/>
      </c>
      <c r="C220" t="str">
        <v/>
      </c>
      <c r="D220" t="str">
        <v/>
      </c>
      <c r="E220" t="str">
        <v/>
      </c>
      <c r="F220" t="str">
        <v/>
      </c>
      <c r="G220" t="str">
        <v/>
      </c>
      <c r="H220" t="str">
        <v/>
      </c>
      <c r="I220" s="2" t="str">
        <v/>
      </c>
      <c r="J220" s="2" t="str">
        <v/>
      </c>
      <c r="K220" s="2" t="str">
        <v/>
      </c>
      <c r="L220" s="1" t="str">
        <v/>
      </c>
      <c r="M220" s="2" t="str">
        <v/>
      </c>
      <c r="N220" s="1" t="str">
        <v/>
      </c>
      <c r="O220" s="1" t="str">
        <v/>
      </c>
      <c r="P220" s="1" t="str">
        <v/>
      </c>
      <c r="Q220" s="1">
        <f t="shared" si="12"/>
        <v>0</v>
      </c>
      <c r="R220" s="1">
        <f t="shared" si="13"/>
        <v>0</v>
      </c>
      <c r="T220">
        <f t="shared" si="14"/>
        <v>0</v>
      </c>
      <c r="U220">
        <f t="shared" si="15"/>
        <v>0</v>
      </c>
    </row>
    <row r="221" x14ac:dyDescent="0.35">
      <c r="A221" s="21" t="str">
        <v/>
      </c>
      <c r="B221" s="23" t="str">
        <v/>
      </c>
      <c r="C221" t="str">
        <v/>
      </c>
      <c r="D221" t="str">
        <v/>
      </c>
      <c r="E221" t="str">
        <v/>
      </c>
      <c r="F221" t="str">
        <v/>
      </c>
      <c r="G221" t="str">
        <v/>
      </c>
      <c r="H221" t="str">
        <v/>
      </c>
      <c r="I221" s="2" t="str">
        <v/>
      </c>
      <c r="J221" s="2" t="str">
        <v/>
      </c>
      <c r="K221" s="2" t="str">
        <v/>
      </c>
      <c r="L221" s="1" t="str">
        <v/>
      </c>
      <c r="M221" s="2" t="str">
        <v/>
      </c>
      <c r="N221" s="1" t="str">
        <v/>
      </c>
      <c r="O221" s="1" t="str">
        <v/>
      </c>
      <c r="P221" s="1" t="str">
        <v/>
      </c>
      <c r="Q221" s="1">
        <f t="shared" si="12"/>
        <v>0</v>
      </c>
      <c r="R221" s="1">
        <f t="shared" si="13"/>
        <v>0</v>
      </c>
      <c r="T221">
        <f t="shared" si="14"/>
        <v>0</v>
      </c>
      <c r="U221">
        <f t="shared" si="15"/>
        <v>0</v>
      </c>
    </row>
    <row r="222" x14ac:dyDescent="0.35">
      <c r="A222" s="21" t="str">
        <v/>
      </c>
      <c r="B222" s="23" t="str">
        <v/>
      </c>
      <c r="C222" t="str">
        <v/>
      </c>
      <c r="D222" t="str">
        <v/>
      </c>
      <c r="E222" t="str">
        <v/>
      </c>
      <c r="F222" t="str">
        <v/>
      </c>
      <c r="G222" t="str">
        <v/>
      </c>
      <c r="H222" t="str">
        <v/>
      </c>
      <c r="I222" s="2" t="str">
        <v/>
      </c>
      <c r="J222" s="2" t="str">
        <v/>
      </c>
      <c r="K222" s="2" t="str">
        <v/>
      </c>
      <c r="L222" s="1" t="str">
        <v/>
      </c>
      <c r="M222" s="2" t="str">
        <v/>
      </c>
      <c r="N222" s="1" t="str">
        <v/>
      </c>
      <c r="O222" s="1" t="str">
        <v/>
      </c>
      <c r="P222" s="1" t="str">
        <v/>
      </c>
      <c r="Q222" s="1">
        <f t="shared" si="12"/>
        <v>0</v>
      </c>
      <c r="R222" s="1">
        <f t="shared" si="13"/>
        <v>0</v>
      </c>
      <c r="T222">
        <f t="shared" si="14"/>
        <v>0</v>
      </c>
      <c r="U222">
        <f t="shared" si="15"/>
        <v>0</v>
      </c>
    </row>
    <row r="223" x14ac:dyDescent="0.35">
      <c r="A223" s="21" t="str">
        <v/>
      </c>
      <c r="B223" s="23" t="str">
        <v/>
      </c>
      <c r="C223" t="str">
        <v/>
      </c>
      <c r="D223" t="str">
        <v/>
      </c>
      <c r="E223" t="str">
        <v/>
      </c>
      <c r="F223" t="str">
        <v/>
      </c>
      <c r="G223" t="str">
        <v/>
      </c>
      <c r="H223" t="str">
        <v/>
      </c>
      <c r="I223" s="2" t="str">
        <v/>
      </c>
      <c r="J223" s="2" t="str">
        <v/>
      </c>
      <c r="K223" s="2" t="str">
        <v/>
      </c>
      <c r="L223" s="1" t="str">
        <v/>
      </c>
      <c r="M223" s="2" t="str">
        <v/>
      </c>
      <c r="N223" s="1" t="str">
        <v/>
      </c>
      <c r="O223" s="1" t="str">
        <v/>
      </c>
      <c r="P223" s="1" t="str">
        <v/>
      </c>
      <c r="Q223" s="1">
        <f t="shared" si="12"/>
        <v>0</v>
      </c>
      <c r="R223" s="1">
        <f t="shared" si="13"/>
        <v>0</v>
      </c>
      <c r="T223">
        <f t="shared" si="14"/>
        <v>0</v>
      </c>
      <c r="U223">
        <f t="shared" si="15"/>
        <v>0</v>
      </c>
    </row>
    <row r="224" x14ac:dyDescent="0.35">
      <c r="A224" s="21" t="str">
        <v/>
      </c>
      <c r="B224" s="23" t="str">
        <v/>
      </c>
      <c r="C224" t="str">
        <v/>
      </c>
      <c r="D224" t="str">
        <v/>
      </c>
      <c r="E224" t="str">
        <v/>
      </c>
      <c r="F224" t="str">
        <v/>
      </c>
      <c r="G224" t="str">
        <v/>
      </c>
      <c r="H224" t="str">
        <v/>
      </c>
      <c r="I224" s="2" t="str">
        <v/>
      </c>
      <c r="J224" s="2" t="str">
        <v/>
      </c>
      <c r="K224" s="2" t="str">
        <v/>
      </c>
      <c r="L224" s="1" t="str">
        <v/>
      </c>
      <c r="M224" s="2" t="str">
        <v/>
      </c>
      <c r="N224" s="1" t="str">
        <v/>
      </c>
      <c r="O224" s="1" t="str">
        <v/>
      </c>
      <c r="P224" s="1" t="str">
        <v/>
      </c>
      <c r="Q224" s="1">
        <f t="shared" si="12"/>
        <v>0</v>
      </c>
      <c r="R224" s="1">
        <f t="shared" si="13"/>
        <v>0</v>
      </c>
      <c r="T224">
        <f t="shared" si="14"/>
        <v>0</v>
      </c>
      <c r="U224">
        <f t="shared" si="15"/>
        <v>0</v>
      </c>
    </row>
    <row r="225" x14ac:dyDescent="0.35">
      <c r="A225" s="21" t="str">
        <v/>
      </c>
      <c r="B225" s="23" t="str">
        <v/>
      </c>
      <c r="C225" t="str">
        <v/>
      </c>
      <c r="D225" t="str">
        <v/>
      </c>
      <c r="E225" t="str">
        <v/>
      </c>
      <c r="F225" t="str">
        <v/>
      </c>
      <c r="G225" t="str">
        <v/>
      </c>
      <c r="H225" t="str">
        <v/>
      </c>
      <c r="I225" s="2" t="str">
        <v/>
      </c>
      <c r="J225" s="2" t="str">
        <v/>
      </c>
      <c r="K225" s="2" t="str">
        <v/>
      </c>
      <c r="L225" s="1" t="str">
        <v/>
      </c>
      <c r="M225" s="2" t="str">
        <v/>
      </c>
      <c r="N225" s="1" t="str">
        <v/>
      </c>
      <c r="O225" s="1" t="str">
        <v/>
      </c>
      <c r="P225" s="1" t="str">
        <v/>
      </c>
      <c r="Q225" s="1">
        <f t="shared" si="12"/>
        <v>0</v>
      </c>
      <c r="R225" s="1">
        <f t="shared" si="13"/>
        <v>0</v>
      </c>
      <c r="T225">
        <f t="shared" si="14"/>
        <v>0</v>
      </c>
      <c r="U225">
        <f t="shared" si="15"/>
        <v>0</v>
      </c>
    </row>
    <row r="226" x14ac:dyDescent="0.35">
      <c r="A226" s="21" t="str">
        <v/>
      </c>
      <c r="B226" s="23" t="str">
        <v/>
      </c>
      <c r="C226" t="str">
        <v/>
      </c>
      <c r="D226" t="str">
        <v/>
      </c>
      <c r="E226" t="str">
        <v/>
      </c>
      <c r="F226" t="str">
        <v/>
      </c>
      <c r="G226" t="str">
        <v/>
      </c>
      <c r="H226" t="str">
        <v/>
      </c>
      <c r="I226" s="2" t="str">
        <v/>
      </c>
      <c r="J226" s="2" t="str">
        <v/>
      </c>
      <c r="K226" s="2" t="str">
        <v/>
      </c>
      <c r="L226" s="1" t="str">
        <v/>
      </c>
      <c r="M226" s="2" t="str">
        <v/>
      </c>
      <c r="N226" s="1" t="str">
        <v/>
      </c>
      <c r="O226" s="1" t="str">
        <v/>
      </c>
      <c r="P226" s="1" t="str">
        <v/>
      </c>
      <c r="Q226" s="1">
        <f t="shared" si="12"/>
        <v>0</v>
      </c>
      <c r="R226" s="1">
        <f t="shared" si="13"/>
        <v>0</v>
      </c>
      <c r="T226">
        <f t="shared" si="14"/>
        <v>0</v>
      </c>
      <c r="U226">
        <f t="shared" si="15"/>
        <v>0</v>
      </c>
    </row>
    <row r="227" x14ac:dyDescent="0.35">
      <c r="A227" s="21" t="str">
        <v/>
      </c>
      <c r="B227" s="23" t="str">
        <v/>
      </c>
      <c r="C227" t="str">
        <v/>
      </c>
      <c r="D227" t="str">
        <v/>
      </c>
      <c r="E227" t="str">
        <v/>
      </c>
      <c r="F227" t="str">
        <v/>
      </c>
      <c r="G227" t="str">
        <v/>
      </c>
      <c r="H227" t="str">
        <v/>
      </c>
      <c r="I227" s="2" t="str">
        <v/>
      </c>
      <c r="J227" s="2" t="str">
        <v/>
      </c>
      <c r="K227" s="2" t="str">
        <v/>
      </c>
      <c r="L227" s="1" t="str">
        <v/>
      </c>
      <c r="M227" s="2" t="str">
        <v/>
      </c>
      <c r="N227" s="1" t="str">
        <v/>
      </c>
      <c r="O227" s="1" t="str">
        <v/>
      </c>
      <c r="P227" s="1" t="str">
        <v/>
      </c>
      <c r="Q227" s="1">
        <f t="shared" si="12"/>
        <v>0</v>
      </c>
      <c r="R227" s="1">
        <f t="shared" si="13"/>
        <v>0</v>
      </c>
      <c r="T227">
        <f t="shared" si="14"/>
        <v>0</v>
      </c>
      <c r="U227">
        <f t="shared" si="15"/>
        <v>0</v>
      </c>
    </row>
    <row r="228" x14ac:dyDescent="0.35">
      <c r="A228" s="21" t="str">
        <v/>
      </c>
      <c r="B228" s="23" t="str">
        <v/>
      </c>
      <c r="C228" t="str">
        <v/>
      </c>
      <c r="D228" t="str">
        <v/>
      </c>
      <c r="E228" t="str">
        <v/>
      </c>
      <c r="F228" t="str">
        <v/>
      </c>
      <c r="G228" t="str">
        <v/>
      </c>
      <c r="H228" t="str">
        <v/>
      </c>
      <c r="I228" s="2" t="str">
        <v/>
      </c>
      <c r="J228" s="2" t="str">
        <v/>
      </c>
      <c r="K228" s="2" t="str">
        <v/>
      </c>
      <c r="L228" s="1" t="str">
        <v/>
      </c>
      <c r="M228" s="2" t="str">
        <v/>
      </c>
      <c r="N228" s="1" t="str">
        <v/>
      </c>
      <c r="O228" s="1" t="str">
        <v/>
      </c>
      <c r="P228" s="1" t="str">
        <v/>
      </c>
      <c r="Q228" s="1">
        <f t="shared" si="12"/>
        <v>0</v>
      </c>
      <c r="R228" s="1">
        <f t="shared" si="13"/>
        <v>0</v>
      </c>
      <c r="T228">
        <f t="shared" si="14"/>
        <v>0</v>
      </c>
      <c r="U228">
        <f t="shared" si="15"/>
        <v>0</v>
      </c>
    </row>
    <row r="229" x14ac:dyDescent="0.35">
      <c r="A229" s="21" t="str">
        <v/>
      </c>
      <c r="B229" s="23" t="str">
        <v/>
      </c>
      <c r="C229" t="str">
        <v/>
      </c>
      <c r="D229" t="str">
        <v/>
      </c>
      <c r="E229" t="str">
        <v/>
      </c>
      <c r="F229" t="str">
        <v/>
      </c>
      <c r="G229" t="str">
        <v/>
      </c>
      <c r="H229" t="str">
        <v/>
      </c>
      <c r="I229" s="2" t="str">
        <v/>
      </c>
      <c r="J229" s="2" t="str">
        <v/>
      </c>
      <c r="K229" s="2" t="str">
        <v/>
      </c>
      <c r="L229" s="1" t="str">
        <v/>
      </c>
      <c r="M229" s="2" t="str">
        <v/>
      </c>
      <c r="N229" s="1" t="str">
        <v/>
      </c>
      <c r="O229" s="1" t="str">
        <v/>
      </c>
      <c r="P229" s="1" t="str">
        <v/>
      </c>
      <c r="Q229" s="1">
        <f t="shared" si="12"/>
        <v>0</v>
      </c>
      <c r="R229" s="1">
        <f t="shared" si="13"/>
        <v>0</v>
      </c>
      <c r="T229">
        <f t="shared" si="14"/>
        <v>0</v>
      </c>
      <c r="U229">
        <f t="shared" si="15"/>
        <v>0</v>
      </c>
    </row>
    <row r="230" x14ac:dyDescent="0.35">
      <c r="A230" s="21" t="str">
        <v/>
      </c>
      <c r="B230" s="23" t="str">
        <v/>
      </c>
      <c r="C230" t="str">
        <v/>
      </c>
      <c r="D230" t="str">
        <v/>
      </c>
      <c r="E230" t="str">
        <v/>
      </c>
      <c r="F230" t="str">
        <v/>
      </c>
      <c r="G230" t="str">
        <v/>
      </c>
      <c r="H230" t="str">
        <v/>
      </c>
      <c r="I230" s="2" t="str">
        <v/>
      </c>
      <c r="J230" s="2" t="str">
        <v/>
      </c>
      <c r="K230" s="2" t="str">
        <v/>
      </c>
      <c r="L230" s="1" t="str">
        <v/>
      </c>
      <c r="M230" s="2" t="str">
        <v/>
      </c>
      <c r="N230" s="1" t="str">
        <v/>
      </c>
      <c r="O230" s="1" t="str">
        <v/>
      </c>
      <c r="P230" s="1" t="str">
        <v/>
      </c>
      <c r="Q230" s="1">
        <f t="shared" si="12"/>
        <v>0</v>
      </c>
      <c r="R230" s="1">
        <f t="shared" si="13"/>
        <v>0</v>
      </c>
      <c r="T230">
        <f t="shared" si="14"/>
        <v>0</v>
      </c>
      <c r="U230">
        <f t="shared" si="15"/>
        <v>0</v>
      </c>
    </row>
    <row r="231" x14ac:dyDescent="0.35">
      <c r="A231" s="21" t="str">
        <v/>
      </c>
      <c r="B231" s="23" t="str">
        <v/>
      </c>
      <c r="C231" t="str">
        <v/>
      </c>
      <c r="D231" t="str">
        <v/>
      </c>
      <c r="E231" t="str">
        <v/>
      </c>
      <c r="F231" t="str">
        <v/>
      </c>
      <c r="G231" t="str">
        <v/>
      </c>
      <c r="H231" t="str">
        <v/>
      </c>
      <c r="I231" s="2" t="str">
        <v/>
      </c>
      <c r="J231" s="2" t="str">
        <v/>
      </c>
      <c r="K231" s="2" t="str">
        <v/>
      </c>
      <c r="L231" s="1" t="str">
        <v/>
      </c>
      <c r="M231" s="2" t="str">
        <v/>
      </c>
      <c r="N231" s="1" t="str">
        <v/>
      </c>
      <c r="O231" s="1" t="str">
        <v/>
      </c>
      <c r="P231" s="1" t="str">
        <v/>
      </c>
      <c r="Q231" s="1">
        <f t="shared" si="12"/>
        <v>0</v>
      </c>
      <c r="R231" s="1">
        <f t="shared" si="13"/>
        <v>0</v>
      </c>
      <c r="T231">
        <f t="shared" si="14"/>
        <v>0</v>
      </c>
      <c r="U231">
        <f t="shared" si="15"/>
        <v>0</v>
      </c>
    </row>
    <row r="232" x14ac:dyDescent="0.35">
      <c r="A232" s="21" t="str">
        <v/>
      </c>
      <c r="B232" s="23" t="str">
        <v/>
      </c>
      <c r="C232" t="str">
        <v/>
      </c>
      <c r="D232" t="str">
        <v/>
      </c>
      <c r="E232" t="str">
        <v/>
      </c>
      <c r="F232" t="str">
        <v/>
      </c>
      <c r="G232" t="str">
        <v/>
      </c>
      <c r="H232" t="str">
        <v/>
      </c>
      <c r="I232" s="2" t="str">
        <v/>
      </c>
      <c r="J232" s="2" t="str">
        <v/>
      </c>
      <c r="K232" s="2" t="str">
        <v/>
      </c>
      <c r="L232" s="1" t="str">
        <v/>
      </c>
      <c r="M232" s="2" t="str">
        <v/>
      </c>
      <c r="N232" s="1" t="str">
        <v/>
      </c>
      <c r="O232" s="1" t="str">
        <v/>
      </c>
      <c r="P232" s="1" t="str">
        <v/>
      </c>
      <c r="Q232" s="1">
        <f t="shared" si="12"/>
        <v>0</v>
      </c>
      <c r="R232" s="1">
        <f t="shared" si="13"/>
        <v>0</v>
      </c>
      <c r="T232">
        <f t="shared" si="14"/>
        <v>0</v>
      </c>
      <c r="U232">
        <f t="shared" si="15"/>
        <v>0</v>
      </c>
    </row>
    <row r="233" x14ac:dyDescent="0.35">
      <c r="A233" s="21" t="str">
        <v/>
      </c>
      <c r="B233" s="23" t="str">
        <v/>
      </c>
      <c r="C233" t="str">
        <v/>
      </c>
      <c r="D233" t="str">
        <v/>
      </c>
      <c r="E233" t="str">
        <v/>
      </c>
      <c r="F233" t="str">
        <v/>
      </c>
      <c r="G233" t="str">
        <v/>
      </c>
      <c r="H233" t="str">
        <v/>
      </c>
      <c r="I233" s="2" t="str">
        <v/>
      </c>
      <c r="J233" s="2" t="str">
        <v/>
      </c>
      <c r="K233" s="2" t="str">
        <v/>
      </c>
      <c r="L233" s="1" t="str">
        <v/>
      </c>
      <c r="M233" s="2" t="str">
        <v/>
      </c>
      <c r="N233" s="1" t="str">
        <v/>
      </c>
      <c r="O233" s="1" t="str">
        <v/>
      </c>
      <c r="P233" s="1" t="str">
        <v/>
      </c>
      <c r="Q233" s="1">
        <f t="shared" si="12"/>
        <v>0</v>
      </c>
      <c r="R233" s="1">
        <f t="shared" si="13"/>
        <v>0</v>
      </c>
      <c r="T233">
        <f t="shared" si="14"/>
        <v>0</v>
      </c>
      <c r="U233">
        <f t="shared" si="15"/>
        <v>0</v>
      </c>
    </row>
    <row r="234" x14ac:dyDescent="0.35">
      <c r="A234" s="21" t="str">
        <v/>
      </c>
      <c r="B234" s="23" t="str">
        <v/>
      </c>
      <c r="C234" t="str">
        <v/>
      </c>
      <c r="D234" t="str">
        <v/>
      </c>
      <c r="E234" t="str">
        <v/>
      </c>
      <c r="F234" t="str">
        <v/>
      </c>
      <c r="G234" t="str">
        <v/>
      </c>
      <c r="H234" t="str">
        <v/>
      </c>
      <c r="I234" s="2" t="str">
        <v/>
      </c>
      <c r="J234" s="2" t="str">
        <v/>
      </c>
      <c r="K234" s="2" t="str">
        <v/>
      </c>
      <c r="L234" s="1" t="str">
        <v/>
      </c>
      <c r="M234" s="2" t="str">
        <v/>
      </c>
      <c r="N234" s="1" t="str">
        <v/>
      </c>
      <c r="O234" s="1" t="str">
        <v/>
      </c>
      <c r="P234" s="1" t="str">
        <v/>
      </c>
      <c r="Q234" s="1">
        <f t="shared" si="12"/>
        <v>0</v>
      </c>
      <c r="R234" s="1">
        <f t="shared" si="13"/>
        <v>0</v>
      </c>
      <c r="T234">
        <f t="shared" si="14"/>
        <v>0</v>
      </c>
      <c r="U234">
        <f t="shared" si="15"/>
        <v>0</v>
      </c>
    </row>
    <row r="235" x14ac:dyDescent="0.35">
      <c r="A235" s="21" t="str">
        <v/>
      </c>
      <c r="B235" s="23" t="str">
        <v/>
      </c>
      <c r="C235" t="str">
        <v/>
      </c>
      <c r="D235" t="str">
        <v/>
      </c>
      <c r="E235" t="str">
        <v/>
      </c>
      <c r="F235" t="str">
        <v/>
      </c>
      <c r="G235" t="str">
        <v/>
      </c>
      <c r="H235" t="str">
        <v/>
      </c>
      <c r="I235" s="2" t="str">
        <v/>
      </c>
      <c r="J235" s="2" t="str">
        <v/>
      </c>
      <c r="K235" s="2" t="str">
        <v/>
      </c>
      <c r="L235" s="1" t="str">
        <v/>
      </c>
      <c r="M235" s="2" t="str">
        <v/>
      </c>
      <c r="N235" s="1" t="str">
        <v/>
      </c>
      <c r="O235" s="1" t="str">
        <v/>
      </c>
      <c r="P235" s="1" t="str">
        <v/>
      </c>
      <c r="Q235" s="1">
        <f t="shared" si="12"/>
        <v>0</v>
      </c>
      <c r="R235" s="1">
        <f t="shared" si="13"/>
        <v>0</v>
      </c>
      <c r="T235">
        <f t="shared" si="14"/>
        <v>0</v>
      </c>
      <c r="U235">
        <f t="shared" si="15"/>
        <v>0</v>
      </c>
    </row>
    <row r="236" x14ac:dyDescent="0.35">
      <c r="A236" s="21" t="str">
        <v/>
      </c>
      <c r="B236" s="23" t="str">
        <v/>
      </c>
      <c r="C236" t="str">
        <v/>
      </c>
      <c r="D236" t="str">
        <v/>
      </c>
      <c r="E236" t="str">
        <v/>
      </c>
      <c r="F236" t="str">
        <v/>
      </c>
      <c r="G236" t="str">
        <v/>
      </c>
      <c r="H236" t="str">
        <v/>
      </c>
      <c r="I236" s="2" t="str">
        <v/>
      </c>
      <c r="J236" s="2" t="str">
        <v/>
      </c>
      <c r="K236" s="2" t="str">
        <v/>
      </c>
      <c r="L236" s="1" t="str">
        <v/>
      </c>
      <c r="M236" s="2" t="str">
        <v/>
      </c>
      <c r="N236" s="1" t="str">
        <v/>
      </c>
      <c r="O236" s="1" t="str">
        <v/>
      </c>
      <c r="P236" s="1" t="str">
        <v/>
      </c>
      <c r="Q236" s="1">
        <f t="shared" si="12"/>
        <v>0</v>
      </c>
      <c r="R236" s="1">
        <f t="shared" si="13"/>
        <v>0</v>
      </c>
      <c r="T236">
        <f t="shared" si="14"/>
        <v>0</v>
      </c>
      <c r="U236">
        <f t="shared" si="15"/>
        <v>0</v>
      </c>
    </row>
    <row r="237" x14ac:dyDescent="0.35">
      <c r="A237" s="21" t="str">
        <v/>
      </c>
      <c r="B237" s="23" t="str">
        <v/>
      </c>
      <c r="C237" t="str">
        <v/>
      </c>
      <c r="D237" t="str">
        <v/>
      </c>
      <c r="E237" t="str">
        <v/>
      </c>
      <c r="F237" t="str">
        <v/>
      </c>
      <c r="G237" t="str">
        <v/>
      </c>
      <c r="H237" t="str">
        <v/>
      </c>
      <c r="I237" s="2" t="str">
        <v/>
      </c>
      <c r="J237" s="2" t="str">
        <v/>
      </c>
      <c r="K237" s="2" t="str">
        <v/>
      </c>
      <c r="L237" s="1" t="str">
        <v/>
      </c>
      <c r="M237" s="2" t="str">
        <v/>
      </c>
      <c r="N237" s="1" t="str">
        <v/>
      </c>
      <c r="O237" s="1" t="str">
        <v/>
      </c>
      <c r="P237" s="1" t="str">
        <v/>
      </c>
      <c r="Q237" s="1">
        <f t="shared" si="12"/>
        <v>0</v>
      </c>
      <c r="R237" s="1">
        <f t="shared" si="13"/>
        <v>0</v>
      </c>
      <c r="T237">
        <f t="shared" si="14"/>
        <v>0</v>
      </c>
      <c r="U237">
        <f t="shared" si="15"/>
        <v>0</v>
      </c>
    </row>
    <row r="238" x14ac:dyDescent="0.35">
      <c r="A238" s="21" t="str">
        <v/>
      </c>
      <c r="B238" s="23" t="str">
        <v/>
      </c>
      <c r="C238" t="str">
        <v/>
      </c>
      <c r="D238" t="str">
        <v/>
      </c>
      <c r="E238" t="str">
        <v/>
      </c>
      <c r="F238" t="str">
        <v/>
      </c>
      <c r="G238" t="str">
        <v/>
      </c>
      <c r="H238" t="str">
        <v/>
      </c>
      <c r="I238" s="2" t="str">
        <v/>
      </c>
      <c r="J238" s="2" t="str">
        <v/>
      </c>
      <c r="K238" s="2" t="str">
        <v/>
      </c>
      <c r="L238" s="1" t="str">
        <v/>
      </c>
      <c r="M238" s="2" t="str">
        <v/>
      </c>
      <c r="N238" s="1" t="str">
        <v/>
      </c>
      <c r="O238" s="1" t="str">
        <v/>
      </c>
      <c r="P238" s="1" t="str">
        <v/>
      </c>
      <c r="Q238" s="1">
        <f t="shared" si="12"/>
        <v>0</v>
      </c>
      <c r="R238" s="1">
        <f t="shared" si="13"/>
        <v>0</v>
      </c>
      <c r="T238">
        <f t="shared" si="14"/>
        <v>0</v>
      </c>
      <c r="U238">
        <f t="shared" si="15"/>
        <v>0</v>
      </c>
    </row>
    <row r="239" x14ac:dyDescent="0.35">
      <c r="A239" s="21" t="str">
        <v/>
      </c>
      <c r="B239" s="23" t="str">
        <v/>
      </c>
      <c r="C239" t="str">
        <v/>
      </c>
      <c r="D239" t="str">
        <v/>
      </c>
      <c r="E239" t="str">
        <v/>
      </c>
      <c r="F239" t="str">
        <v/>
      </c>
      <c r="G239" t="str">
        <v/>
      </c>
      <c r="H239" t="str">
        <v/>
      </c>
      <c r="I239" s="2" t="str">
        <v/>
      </c>
      <c r="J239" s="2" t="str">
        <v/>
      </c>
      <c r="K239" s="2" t="str">
        <v/>
      </c>
      <c r="L239" s="1" t="str">
        <v/>
      </c>
      <c r="M239" s="2" t="str">
        <v/>
      </c>
      <c r="N239" s="1" t="str">
        <v/>
      </c>
      <c r="O239" s="1" t="str">
        <v/>
      </c>
      <c r="P239" s="1" t="str">
        <v/>
      </c>
      <c r="Q239" s="1">
        <f t="shared" si="12"/>
        <v>0</v>
      </c>
      <c r="R239" s="1">
        <f t="shared" si="13"/>
        <v>0</v>
      </c>
      <c r="T239">
        <f t="shared" si="14"/>
        <v>0</v>
      </c>
      <c r="U239">
        <f t="shared" si="15"/>
        <v>0</v>
      </c>
    </row>
    <row r="240" x14ac:dyDescent="0.35">
      <c r="A240" s="21" t="str">
        <v/>
      </c>
      <c r="B240" s="23" t="str">
        <v/>
      </c>
      <c r="C240" t="str">
        <v/>
      </c>
      <c r="D240" t="str">
        <v/>
      </c>
      <c r="E240" t="str">
        <v/>
      </c>
      <c r="F240" t="str">
        <v/>
      </c>
      <c r="G240" t="str">
        <v/>
      </c>
      <c r="H240" t="str">
        <v/>
      </c>
      <c r="I240" s="2" t="str">
        <v/>
      </c>
      <c r="J240" s="2" t="str">
        <v/>
      </c>
      <c r="K240" s="2" t="str">
        <v/>
      </c>
      <c r="L240" s="1" t="str">
        <v/>
      </c>
      <c r="M240" s="2" t="str">
        <v/>
      </c>
      <c r="N240" s="1" t="str">
        <v/>
      </c>
      <c r="O240" s="1" t="str">
        <v/>
      </c>
      <c r="P240" s="1" t="str">
        <v/>
      </c>
      <c r="Q240" s="1">
        <f t="shared" si="12"/>
        <v>0</v>
      </c>
      <c r="R240" s="1">
        <f t="shared" si="13"/>
        <v>0</v>
      </c>
      <c r="T240">
        <f t="shared" si="14"/>
        <v>0</v>
      </c>
      <c r="U240">
        <f t="shared" si="15"/>
        <v>0</v>
      </c>
    </row>
    <row r="241" x14ac:dyDescent="0.35">
      <c r="A241" s="21" t="str">
        <v/>
      </c>
      <c r="B241" s="23" t="str">
        <v/>
      </c>
      <c r="C241" t="str">
        <v/>
      </c>
      <c r="D241" t="str">
        <v/>
      </c>
      <c r="E241" t="str">
        <v/>
      </c>
      <c r="F241" t="str">
        <v/>
      </c>
      <c r="G241" t="str">
        <v/>
      </c>
      <c r="H241" t="str">
        <v/>
      </c>
      <c r="I241" s="2" t="str">
        <v/>
      </c>
      <c r="J241" s="2" t="str">
        <v/>
      </c>
      <c r="K241" s="2" t="str">
        <v/>
      </c>
      <c r="L241" s="1" t="str">
        <v/>
      </c>
      <c r="M241" s="2" t="str">
        <v/>
      </c>
      <c r="N241" s="1" t="str">
        <v/>
      </c>
      <c r="O241" s="1" t="str">
        <v/>
      </c>
      <c r="P241" s="1" t="str">
        <v/>
      </c>
      <c r="Q241" s="1">
        <f t="shared" si="12"/>
        <v>0</v>
      </c>
      <c r="R241" s="1">
        <f t="shared" si="13"/>
        <v>0</v>
      </c>
      <c r="T241">
        <f t="shared" si="14"/>
        <v>0</v>
      </c>
      <c r="U241">
        <f t="shared" si="15"/>
        <v>0</v>
      </c>
    </row>
    <row r="242" x14ac:dyDescent="0.35">
      <c r="A242" s="21" t="str">
        <v/>
      </c>
      <c r="B242" s="23" t="str">
        <v/>
      </c>
      <c r="C242" t="str">
        <v/>
      </c>
      <c r="D242" t="str">
        <v/>
      </c>
      <c r="E242" t="str">
        <v/>
      </c>
      <c r="F242" t="str">
        <v/>
      </c>
      <c r="G242" t="str">
        <v/>
      </c>
      <c r="H242" t="str">
        <v/>
      </c>
      <c r="I242" s="2" t="str">
        <v/>
      </c>
      <c r="J242" s="2" t="str">
        <v/>
      </c>
      <c r="K242" s="2" t="str">
        <v/>
      </c>
      <c r="L242" s="1" t="str">
        <v/>
      </c>
      <c r="M242" s="2" t="str">
        <v/>
      </c>
      <c r="N242" s="1" t="str">
        <v/>
      </c>
      <c r="O242" s="1" t="str">
        <v/>
      </c>
      <c r="P242" s="1" t="str">
        <v/>
      </c>
      <c r="Q242" s="1">
        <f t="shared" si="12"/>
        <v>0</v>
      </c>
      <c r="R242" s="1">
        <f t="shared" si="13"/>
        <v>0</v>
      </c>
      <c r="T242">
        <f t="shared" si="14"/>
        <v>0</v>
      </c>
      <c r="U242">
        <f t="shared" si="15"/>
        <v>0</v>
      </c>
    </row>
    <row r="243" x14ac:dyDescent="0.35">
      <c r="A243" s="21" t="str">
        <v/>
      </c>
      <c r="B243" s="23" t="str">
        <v/>
      </c>
      <c r="C243" t="str">
        <v/>
      </c>
      <c r="D243" t="str">
        <v/>
      </c>
      <c r="E243" t="str">
        <v/>
      </c>
      <c r="F243" t="str">
        <v/>
      </c>
      <c r="G243" t="str">
        <v/>
      </c>
      <c r="H243" t="str">
        <v/>
      </c>
      <c r="I243" s="2" t="str">
        <v/>
      </c>
      <c r="J243" s="2" t="str">
        <v/>
      </c>
      <c r="K243" s="2" t="str">
        <v/>
      </c>
      <c r="L243" s="1" t="str">
        <v/>
      </c>
      <c r="M243" s="2" t="str">
        <v/>
      </c>
      <c r="N243" s="1" t="str">
        <v/>
      </c>
      <c r="O243" s="1" t="str">
        <v/>
      </c>
      <c r="P243" s="1" t="str">
        <v/>
      </c>
      <c r="Q243" s="1">
        <f t="shared" si="12"/>
        <v>0</v>
      </c>
      <c r="R243" s="1">
        <f t="shared" si="13"/>
        <v>0</v>
      </c>
      <c r="T243">
        <f t="shared" si="14"/>
        <v>0</v>
      </c>
      <c r="U243">
        <f t="shared" si="15"/>
        <v>0</v>
      </c>
    </row>
    <row r="244" x14ac:dyDescent="0.35">
      <c r="A244" s="21" t="str">
        <v/>
      </c>
      <c r="B244" s="23" t="str">
        <v/>
      </c>
      <c r="C244" t="str">
        <v/>
      </c>
      <c r="D244" t="str">
        <v/>
      </c>
      <c r="E244" t="str">
        <v/>
      </c>
      <c r="F244" t="str">
        <v/>
      </c>
      <c r="G244" t="str">
        <v/>
      </c>
      <c r="H244" t="str">
        <v/>
      </c>
      <c r="I244" s="2" t="str">
        <v/>
      </c>
      <c r="J244" s="2" t="str">
        <v/>
      </c>
      <c r="K244" s="2" t="str">
        <v/>
      </c>
      <c r="L244" s="1" t="str">
        <v/>
      </c>
      <c r="M244" s="2" t="str">
        <v/>
      </c>
      <c r="N244" s="1" t="str">
        <v/>
      </c>
      <c r="O244" s="1" t="str">
        <v/>
      </c>
      <c r="P244" s="1" t="str">
        <v/>
      </c>
      <c r="Q244" s="1">
        <f t="shared" si="12"/>
        <v>0</v>
      </c>
      <c r="R244" s="1">
        <f t="shared" si="13"/>
        <v>0</v>
      </c>
      <c r="T244">
        <f t="shared" si="14"/>
        <v>0</v>
      </c>
      <c r="U244">
        <f t="shared" si="15"/>
        <v>0</v>
      </c>
    </row>
    <row r="245" x14ac:dyDescent="0.35">
      <c r="A245" s="21" t="str">
        <v/>
      </c>
      <c r="B245" s="23" t="str">
        <v/>
      </c>
      <c r="C245" t="str">
        <v/>
      </c>
      <c r="D245" t="str">
        <v/>
      </c>
      <c r="E245" t="str">
        <v/>
      </c>
      <c r="F245" t="str">
        <v/>
      </c>
      <c r="G245" t="str">
        <v/>
      </c>
      <c r="H245" t="str">
        <v/>
      </c>
      <c r="I245" s="2" t="str">
        <v/>
      </c>
      <c r="J245" s="2" t="str">
        <v/>
      </c>
      <c r="K245" s="2" t="str">
        <v/>
      </c>
      <c r="L245" s="1" t="str">
        <v/>
      </c>
      <c r="M245" s="2" t="str">
        <v/>
      </c>
      <c r="N245" s="1" t="str">
        <v/>
      </c>
      <c r="O245" s="1" t="str">
        <v/>
      </c>
      <c r="P245" s="1" t="str">
        <v/>
      </c>
      <c r="Q245" s="1">
        <f t="shared" si="12"/>
        <v>0</v>
      </c>
      <c r="R245" s="1">
        <f t="shared" si="13"/>
        <v>0</v>
      </c>
      <c r="T245">
        <f t="shared" si="14"/>
        <v>0</v>
      </c>
      <c r="U245">
        <f t="shared" si="15"/>
        <v>0</v>
      </c>
    </row>
    <row r="246" x14ac:dyDescent="0.35">
      <c r="A246" s="21" t="str">
        <v/>
      </c>
      <c r="B246" s="23" t="str">
        <v/>
      </c>
      <c r="C246" t="str">
        <v/>
      </c>
      <c r="D246" t="str">
        <v/>
      </c>
      <c r="E246" t="str">
        <v/>
      </c>
      <c r="F246" t="str">
        <v/>
      </c>
      <c r="G246" t="str">
        <v/>
      </c>
      <c r="H246" t="str">
        <v/>
      </c>
      <c r="I246" s="2" t="str">
        <v/>
      </c>
      <c r="J246" s="2" t="str">
        <v/>
      </c>
      <c r="K246" s="2" t="str">
        <v/>
      </c>
      <c r="L246" s="1" t="str">
        <v/>
      </c>
      <c r="M246" s="2" t="str">
        <v/>
      </c>
      <c r="N246" s="1" t="str">
        <v/>
      </c>
      <c r="O246" s="1" t="str">
        <v/>
      </c>
      <c r="P246" s="1" t="str">
        <v/>
      </c>
      <c r="Q246" s="1">
        <f t="shared" si="12"/>
        <v>0</v>
      </c>
      <c r="R246" s="1">
        <f t="shared" si="13"/>
        <v>0</v>
      </c>
      <c r="T246">
        <f t="shared" si="14"/>
        <v>0</v>
      </c>
      <c r="U246">
        <f t="shared" si="15"/>
        <v>0</v>
      </c>
    </row>
    <row r="247" x14ac:dyDescent="0.35">
      <c r="A247" s="21" t="str">
        <v/>
      </c>
      <c r="B247" s="23" t="str">
        <v/>
      </c>
      <c r="C247" t="str">
        <v/>
      </c>
      <c r="D247" t="str">
        <v/>
      </c>
      <c r="E247" t="str">
        <v/>
      </c>
      <c r="F247" t="str">
        <v/>
      </c>
      <c r="G247" t="str">
        <v/>
      </c>
      <c r="H247" t="str">
        <v/>
      </c>
      <c r="I247" s="2" t="str">
        <v/>
      </c>
      <c r="J247" s="2" t="str">
        <v/>
      </c>
      <c r="K247" s="2" t="str">
        <v/>
      </c>
      <c r="L247" s="1" t="str">
        <v/>
      </c>
      <c r="M247" s="2" t="str">
        <v/>
      </c>
      <c r="N247" s="1" t="str">
        <v/>
      </c>
      <c r="O247" s="1" t="str">
        <v/>
      </c>
      <c r="P247" s="1" t="str">
        <v/>
      </c>
      <c r="Q247" s="1">
        <f t="shared" si="12"/>
        <v>0</v>
      </c>
      <c r="R247" s="1">
        <f t="shared" si="13"/>
        <v>0</v>
      </c>
      <c r="T247">
        <f t="shared" si="14"/>
        <v>0</v>
      </c>
      <c r="U247">
        <f t="shared" si="15"/>
        <v>0</v>
      </c>
    </row>
    <row r="248" x14ac:dyDescent="0.35">
      <c r="A248" s="21" t="str">
        <v/>
      </c>
      <c r="B248" s="23" t="str">
        <v/>
      </c>
      <c r="C248" t="str">
        <v/>
      </c>
      <c r="D248" t="str">
        <v/>
      </c>
      <c r="E248" t="str">
        <v/>
      </c>
      <c r="F248" t="str">
        <v/>
      </c>
      <c r="G248" t="str">
        <v/>
      </c>
      <c r="H248" t="str">
        <v/>
      </c>
      <c r="I248" s="2" t="str">
        <v/>
      </c>
      <c r="J248" s="2" t="str">
        <v/>
      </c>
      <c r="K248" s="2" t="str">
        <v/>
      </c>
      <c r="L248" s="1" t="str">
        <v/>
      </c>
      <c r="M248" s="2" t="str">
        <v/>
      </c>
      <c r="N248" s="1" t="str">
        <v/>
      </c>
      <c r="O248" s="1" t="str">
        <v/>
      </c>
      <c r="P248" s="1" t="str">
        <v/>
      </c>
      <c r="Q248" s="1">
        <f t="shared" si="12"/>
        <v>0</v>
      </c>
      <c r="R248" s="1">
        <f t="shared" si="13"/>
        <v>0</v>
      </c>
      <c r="T248">
        <f t="shared" si="14"/>
        <v>0</v>
      </c>
      <c r="U248">
        <f t="shared" si="15"/>
        <v>0</v>
      </c>
    </row>
    <row r="249" x14ac:dyDescent="0.35">
      <c r="A249" s="21" t="str">
        <v/>
      </c>
      <c r="B249" s="23" t="str">
        <v/>
      </c>
      <c r="C249" t="str">
        <v/>
      </c>
      <c r="D249" t="str">
        <v/>
      </c>
      <c r="E249" t="str">
        <v/>
      </c>
      <c r="F249" t="str">
        <v/>
      </c>
      <c r="G249" t="str">
        <v/>
      </c>
      <c r="H249" t="str">
        <v/>
      </c>
      <c r="I249" s="2" t="str">
        <v/>
      </c>
      <c r="J249" s="2" t="str">
        <v/>
      </c>
      <c r="K249" s="2" t="str">
        <v/>
      </c>
      <c r="L249" s="1" t="str">
        <v/>
      </c>
      <c r="M249" s="2" t="str">
        <v/>
      </c>
      <c r="N249" s="1" t="str">
        <v/>
      </c>
      <c r="O249" s="1" t="str">
        <v/>
      </c>
      <c r="P249" s="1" t="str">
        <v/>
      </c>
      <c r="Q249" s="1">
        <f t="shared" si="12"/>
        <v>0</v>
      </c>
      <c r="R249" s="1">
        <f t="shared" si="13"/>
        <v>0</v>
      </c>
      <c r="T249">
        <f t="shared" si="14"/>
        <v>0</v>
      </c>
      <c r="U249">
        <f t="shared" si="15"/>
        <v>0</v>
      </c>
    </row>
    <row r="250" x14ac:dyDescent="0.35">
      <c r="A250" s="21" t="str">
        <v/>
      </c>
      <c r="B250" s="23" t="str">
        <v/>
      </c>
      <c r="C250" t="str">
        <v/>
      </c>
      <c r="D250" t="str">
        <v/>
      </c>
      <c r="E250" t="str">
        <v/>
      </c>
      <c r="F250" t="str">
        <v/>
      </c>
      <c r="G250" t="str">
        <v/>
      </c>
      <c r="H250" t="str">
        <v/>
      </c>
      <c r="I250" s="2" t="str">
        <v/>
      </c>
      <c r="J250" s="2" t="str">
        <v/>
      </c>
      <c r="K250" s="2" t="str">
        <v/>
      </c>
      <c r="L250" s="1" t="str">
        <v/>
      </c>
      <c r="M250" s="2" t="str">
        <v/>
      </c>
      <c r="N250" s="1" t="str">
        <v/>
      </c>
      <c r="O250" s="1" t="str">
        <v/>
      </c>
      <c r="P250" s="1" t="str">
        <v/>
      </c>
      <c r="Q250" s="1">
        <f t="shared" si="12"/>
        <v>0</v>
      </c>
      <c r="R250" s="1">
        <f t="shared" si="13"/>
        <v>0</v>
      </c>
      <c r="T250">
        <f t="shared" si="14"/>
        <v>0</v>
      </c>
      <c r="U250">
        <f t="shared" si="15"/>
        <v>0</v>
      </c>
    </row>
    <row r="251" x14ac:dyDescent="0.35">
      <c r="A251" s="21" t="str">
        <v/>
      </c>
      <c r="B251" s="23" t="str">
        <v/>
      </c>
      <c r="C251" t="str">
        <v/>
      </c>
      <c r="D251" t="str">
        <v/>
      </c>
      <c r="E251" t="str">
        <v/>
      </c>
      <c r="F251" t="str">
        <v/>
      </c>
      <c r="G251" t="str">
        <v/>
      </c>
      <c r="H251" t="str">
        <v/>
      </c>
      <c r="I251" s="2" t="str">
        <v/>
      </c>
      <c r="J251" s="2" t="str">
        <v/>
      </c>
      <c r="K251" s="2" t="str">
        <v/>
      </c>
      <c r="L251" s="1" t="str">
        <v/>
      </c>
      <c r="M251" s="2" t="str">
        <v/>
      </c>
      <c r="N251" s="1" t="str">
        <v/>
      </c>
      <c r="O251" s="1" t="str">
        <v/>
      </c>
      <c r="P251" s="1" t="str">
        <v/>
      </c>
      <c r="Q251" s="1">
        <f t="shared" si="12"/>
        <v>0</v>
      </c>
      <c r="R251" s="1">
        <f t="shared" si="13"/>
        <v>0</v>
      </c>
      <c r="T251">
        <f t="shared" si="14"/>
        <v>0</v>
      </c>
      <c r="U251">
        <f t="shared" si="15"/>
        <v>0</v>
      </c>
    </row>
    <row r="252" x14ac:dyDescent="0.35">
      <c r="A252" s="21" t="str">
        <v/>
      </c>
      <c r="B252" s="23" t="str">
        <v/>
      </c>
      <c r="C252" t="str">
        <v/>
      </c>
      <c r="D252" t="str">
        <v/>
      </c>
      <c r="E252" t="str">
        <v/>
      </c>
      <c r="F252" t="str">
        <v/>
      </c>
      <c r="G252" t="str">
        <v/>
      </c>
      <c r="H252" t="str">
        <v/>
      </c>
      <c r="I252" s="2" t="str">
        <v/>
      </c>
      <c r="J252" s="2" t="str">
        <v/>
      </c>
      <c r="K252" s="2" t="str">
        <v/>
      </c>
      <c r="L252" s="1" t="str">
        <v/>
      </c>
      <c r="M252" s="2" t="str">
        <v/>
      </c>
      <c r="N252" s="1" t="str">
        <v/>
      </c>
      <c r="O252" s="1" t="str">
        <v/>
      </c>
      <c r="P252" s="1" t="str">
        <v/>
      </c>
      <c r="Q252" s="1">
        <f t="shared" si="12"/>
        <v>0</v>
      </c>
      <c r="R252" s="1">
        <f t="shared" si="13"/>
        <v>0</v>
      </c>
      <c r="T252">
        <f t="shared" si="14"/>
        <v>0</v>
      </c>
      <c r="U252">
        <f t="shared" si="15"/>
        <v>0</v>
      </c>
    </row>
    <row r="253" x14ac:dyDescent="0.35">
      <c r="A253" s="21" t="str">
        <v/>
      </c>
      <c r="B253" s="23" t="str">
        <v/>
      </c>
      <c r="C253" t="str">
        <v/>
      </c>
      <c r="D253" t="str">
        <v/>
      </c>
      <c r="E253" t="str">
        <v/>
      </c>
      <c r="F253" t="str">
        <v/>
      </c>
      <c r="G253" t="str">
        <v/>
      </c>
      <c r="H253" t="str">
        <v/>
      </c>
      <c r="I253" s="2" t="str">
        <v/>
      </c>
      <c r="J253" s="2" t="str">
        <v/>
      </c>
      <c r="K253" s="2" t="str">
        <v/>
      </c>
      <c r="L253" s="1" t="str">
        <v/>
      </c>
      <c r="M253" s="2" t="str">
        <v/>
      </c>
      <c r="N253" s="1" t="str">
        <v/>
      </c>
      <c r="O253" s="1" t="str">
        <v/>
      </c>
      <c r="P253" s="1" t="str">
        <v/>
      </c>
      <c r="Q253" s="1">
        <f t="shared" si="12"/>
        <v>0</v>
      </c>
      <c r="R253" s="1">
        <f t="shared" si="13"/>
        <v>0</v>
      </c>
      <c r="T253">
        <f t="shared" si="14"/>
        <v>0</v>
      </c>
      <c r="U253">
        <f t="shared" si="15"/>
        <v>0</v>
      </c>
    </row>
    <row r="254" x14ac:dyDescent="0.35">
      <c r="A254" s="21" t="str">
        <v/>
      </c>
      <c r="B254" s="23" t="str">
        <v/>
      </c>
      <c r="C254" t="str">
        <v/>
      </c>
      <c r="D254" t="str">
        <v/>
      </c>
      <c r="E254" t="str">
        <v/>
      </c>
      <c r="F254" t="str">
        <v/>
      </c>
      <c r="G254" t="str">
        <v/>
      </c>
      <c r="H254" t="str">
        <v/>
      </c>
      <c r="I254" s="2" t="str">
        <v/>
      </c>
      <c r="J254" s="2" t="str">
        <v/>
      </c>
      <c r="K254" s="2" t="str">
        <v/>
      </c>
      <c r="L254" s="1" t="str">
        <v/>
      </c>
      <c r="M254" s="2" t="str">
        <v/>
      </c>
      <c r="N254" s="1" t="str">
        <v/>
      </c>
      <c r="O254" s="1" t="str">
        <v/>
      </c>
      <c r="P254" s="1" t="str">
        <v/>
      </c>
      <c r="Q254" s="1">
        <f t="shared" si="12"/>
        <v>0</v>
      </c>
      <c r="R254" s="1">
        <f t="shared" si="13"/>
        <v>0</v>
      </c>
      <c r="T254">
        <f t="shared" si="14"/>
        <v>0</v>
      </c>
      <c r="U254">
        <f t="shared" si="15"/>
        <v>0</v>
      </c>
    </row>
    <row r="255" x14ac:dyDescent="0.35">
      <c r="A255" s="21" t="str">
        <v/>
      </c>
      <c r="B255" s="23" t="str">
        <v/>
      </c>
      <c r="C255" t="str">
        <v/>
      </c>
      <c r="D255" t="str">
        <v/>
      </c>
      <c r="E255" t="str">
        <v/>
      </c>
      <c r="F255" t="str">
        <v/>
      </c>
      <c r="G255" t="str">
        <v/>
      </c>
      <c r="H255" t="str">
        <v/>
      </c>
      <c r="I255" s="2" t="str">
        <v/>
      </c>
      <c r="J255" s="2" t="str">
        <v/>
      </c>
      <c r="K255" s="2" t="str">
        <v/>
      </c>
      <c r="L255" s="1" t="str">
        <v/>
      </c>
      <c r="M255" s="2" t="str">
        <v/>
      </c>
      <c r="N255" s="1" t="str">
        <v/>
      </c>
      <c r="O255" s="1" t="str">
        <v/>
      </c>
      <c r="P255" s="1" t="str">
        <v/>
      </c>
      <c r="Q255" s="1">
        <f t="shared" si="12"/>
        <v>0</v>
      </c>
      <c r="R255" s="1">
        <f t="shared" si="13"/>
        <v>0</v>
      </c>
      <c r="T255">
        <f t="shared" si="14"/>
        <v>0</v>
      </c>
      <c r="U255">
        <f t="shared" si="15"/>
        <v>0</v>
      </c>
    </row>
    <row r="256" x14ac:dyDescent="0.35">
      <c r="A256" s="21" t="str">
        <v/>
      </c>
      <c r="B256" s="23" t="str">
        <v/>
      </c>
      <c r="C256" t="str">
        <v/>
      </c>
      <c r="D256" t="str">
        <v/>
      </c>
      <c r="E256" t="str">
        <v/>
      </c>
      <c r="F256" t="str">
        <v/>
      </c>
      <c r="G256" t="str">
        <v/>
      </c>
      <c r="H256" t="str">
        <v/>
      </c>
      <c r="I256" s="2" t="str">
        <v/>
      </c>
      <c r="J256" s="2" t="str">
        <v/>
      </c>
      <c r="K256" s="2" t="str">
        <v/>
      </c>
      <c r="L256" s="1" t="str">
        <v/>
      </c>
      <c r="M256" s="2" t="str">
        <v/>
      </c>
      <c r="N256" s="1" t="str">
        <v/>
      </c>
      <c r="O256" s="1" t="str">
        <v/>
      </c>
      <c r="P256" s="1" t="str">
        <v/>
      </c>
      <c r="Q256" s="1">
        <f t="shared" si="12"/>
        <v>0</v>
      </c>
      <c r="R256" s="1">
        <f t="shared" si="13"/>
        <v>0</v>
      </c>
      <c r="T256">
        <f t="shared" si="14"/>
        <v>0</v>
      </c>
      <c r="U256">
        <f t="shared" si="15"/>
        <v>0</v>
      </c>
    </row>
    <row r="257" x14ac:dyDescent="0.35">
      <c r="A257" s="21" t="str">
        <v/>
      </c>
      <c r="B257" s="23" t="str">
        <v/>
      </c>
      <c r="C257" t="str">
        <v/>
      </c>
      <c r="D257" t="str">
        <v/>
      </c>
      <c r="E257" t="str">
        <v/>
      </c>
      <c r="F257" t="str">
        <v/>
      </c>
      <c r="G257" t="str">
        <v/>
      </c>
      <c r="H257" t="str">
        <v/>
      </c>
      <c r="I257" s="2" t="str">
        <v/>
      </c>
      <c r="J257" s="2" t="str">
        <v/>
      </c>
      <c r="K257" s="2" t="str">
        <v/>
      </c>
      <c r="L257" s="1" t="str">
        <v/>
      </c>
      <c r="M257" s="2" t="str">
        <v/>
      </c>
      <c r="N257" s="1" t="str">
        <v/>
      </c>
      <c r="O257" s="1" t="str">
        <v/>
      </c>
      <c r="P257" s="1" t="str">
        <v/>
      </c>
      <c r="Q257" s="1">
        <f t="shared" si="12"/>
        <v>0</v>
      </c>
      <c r="R257" s="1">
        <f t="shared" si="13"/>
        <v>0</v>
      </c>
      <c r="T257">
        <f t="shared" si="14"/>
        <v>0</v>
      </c>
      <c r="U257">
        <f t="shared" si="15"/>
        <v>0</v>
      </c>
    </row>
    <row r="258" x14ac:dyDescent="0.35">
      <c r="A258" s="21" t="str">
        <v/>
      </c>
      <c r="B258" s="23" t="str">
        <v/>
      </c>
      <c r="C258" t="str">
        <v/>
      </c>
      <c r="D258" t="str">
        <v/>
      </c>
      <c r="E258" t="str">
        <v/>
      </c>
      <c r="F258" t="str">
        <v/>
      </c>
      <c r="G258" t="str">
        <v/>
      </c>
      <c r="H258" t="str">
        <v/>
      </c>
      <c r="I258" s="2" t="str">
        <v/>
      </c>
      <c r="J258" s="2" t="str">
        <v/>
      </c>
      <c r="K258" s="2" t="str">
        <v/>
      </c>
      <c r="L258" s="1" t="str">
        <v/>
      </c>
      <c r="M258" s="2" t="str">
        <v/>
      </c>
      <c r="N258" s="1" t="str">
        <v/>
      </c>
      <c r="O258" s="1" t="str">
        <v/>
      </c>
      <c r="P258" s="1" t="str">
        <v/>
      </c>
      <c r="Q258" s="1">
        <f t="shared" si="12"/>
        <v>0</v>
      </c>
      <c r="R258" s="1">
        <f t="shared" si="13"/>
        <v>0</v>
      </c>
      <c r="T258">
        <f t="shared" si="14"/>
        <v>0</v>
      </c>
      <c r="U258">
        <f t="shared" si="15"/>
        <v>0</v>
      </c>
    </row>
    <row r="259" x14ac:dyDescent="0.35">
      <c r="A259" s="21" t="str">
        <v/>
      </c>
      <c r="B259" s="23" t="str">
        <v/>
      </c>
      <c r="C259" t="str">
        <v/>
      </c>
      <c r="D259" t="str">
        <v/>
      </c>
      <c r="E259" t="str">
        <v/>
      </c>
      <c r="F259" t="str">
        <v/>
      </c>
      <c r="G259" t="str">
        <v/>
      </c>
      <c r="H259" t="str">
        <v/>
      </c>
      <c r="I259" s="2" t="str">
        <v/>
      </c>
      <c r="J259" s="2" t="str">
        <v/>
      </c>
      <c r="K259" s="2" t="str">
        <v/>
      </c>
      <c r="L259" s="1" t="str">
        <v/>
      </c>
      <c r="M259" s="2" t="str">
        <v/>
      </c>
      <c r="N259" s="1" t="str">
        <v/>
      </c>
      <c r="O259" s="1" t="str">
        <v/>
      </c>
      <c r="P259" s="1" t="str">
        <v/>
      </c>
      <c r="Q259" s="1">
        <f t="shared" ref="Q259:Q322" si="16">IF(H259="Sí",1,0)</f>
        <v>0</v>
      </c>
      <c r="R259" s="1">
        <f t="shared" ref="R259:R322" si="17">IF(L259="En coordinación",1,0)</f>
        <v>0</v>
      </c>
      <c r="T259">
        <f t="shared" ref="T259:T322" si="18">IF(N259="Sí",1,0)</f>
        <v>0</v>
      </c>
      <c r="U259">
        <f t="shared" ref="U259:U322" si="19">IF(L259="Aceptada",1,0)</f>
        <v>0</v>
      </c>
    </row>
    <row r="260" x14ac:dyDescent="0.35">
      <c r="A260" s="21" t="str">
        <v/>
      </c>
      <c r="B260" s="23" t="str">
        <v/>
      </c>
      <c r="C260" t="str">
        <v/>
      </c>
      <c r="D260" t="str">
        <v/>
      </c>
      <c r="E260" t="str">
        <v/>
      </c>
      <c r="F260" t="str">
        <v/>
      </c>
      <c r="G260" t="str">
        <v/>
      </c>
      <c r="H260" t="str">
        <v/>
      </c>
      <c r="I260" s="2" t="str">
        <v/>
      </c>
      <c r="J260" s="2" t="str">
        <v/>
      </c>
      <c r="K260" s="2" t="str">
        <v/>
      </c>
      <c r="L260" s="1" t="str">
        <v/>
      </c>
      <c r="M260" s="2" t="str">
        <v/>
      </c>
      <c r="N260" s="1" t="str">
        <v/>
      </c>
      <c r="O260" s="1" t="str">
        <v/>
      </c>
      <c r="P260" s="1" t="str">
        <v/>
      </c>
      <c r="Q260" s="1">
        <f t="shared" si="16"/>
        <v>0</v>
      </c>
      <c r="R260" s="1">
        <f t="shared" si="17"/>
        <v>0</v>
      </c>
      <c r="T260">
        <f t="shared" si="18"/>
        <v>0</v>
      </c>
      <c r="U260">
        <f t="shared" si="19"/>
        <v>0</v>
      </c>
    </row>
    <row r="261" x14ac:dyDescent="0.35">
      <c r="A261" s="21" t="str">
        <v/>
      </c>
      <c r="B261" s="23" t="str">
        <v/>
      </c>
      <c r="C261" t="str">
        <v/>
      </c>
      <c r="D261" t="str">
        <v/>
      </c>
      <c r="E261" t="str">
        <v/>
      </c>
      <c r="F261" t="str">
        <v/>
      </c>
      <c r="G261" t="str">
        <v/>
      </c>
      <c r="H261" t="str">
        <v/>
      </c>
      <c r="I261" s="2" t="str">
        <v/>
      </c>
      <c r="J261" s="2" t="str">
        <v/>
      </c>
      <c r="K261" s="2" t="str">
        <v/>
      </c>
      <c r="L261" s="1" t="str">
        <v/>
      </c>
      <c r="M261" s="2" t="str">
        <v/>
      </c>
      <c r="N261" s="1" t="str">
        <v/>
      </c>
      <c r="O261" s="1" t="str">
        <v/>
      </c>
      <c r="P261" s="1" t="str">
        <v/>
      </c>
      <c r="Q261" s="1">
        <f t="shared" si="16"/>
        <v>0</v>
      </c>
      <c r="R261" s="1">
        <f t="shared" si="17"/>
        <v>0</v>
      </c>
      <c r="T261">
        <f t="shared" si="18"/>
        <v>0</v>
      </c>
      <c r="U261">
        <f t="shared" si="19"/>
        <v>0</v>
      </c>
    </row>
    <row r="262" x14ac:dyDescent="0.35">
      <c r="A262" s="21" t="str">
        <v/>
      </c>
      <c r="B262" s="23" t="str">
        <v/>
      </c>
      <c r="C262" t="str">
        <v/>
      </c>
      <c r="D262" t="str">
        <v/>
      </c>
      <c r="E262" t="str">
        <v/>
      </c>
      <c r="F262" t="str">
        <v/>
      </c>
      <c r="G262" t="str">
        <v/>
      </c>
      <c r="H262" t="str">
        <v/>
      </c>
      <c r="I262" s="2" t="str">
        <v/>
      </c>
      <c r="J262" s="2" t="str">
        <v/>
      </c>
      <c r="K262" s="2" t="str">
        <v/>
      </c>
      <c r="L262" s="1" t="str">
        <v/>
      </c>
      <c r="M262" s="2" t="str">
        <v/>
      </c>
      <c r="N262" s="1" t="str">
        <v/>
      </c>
      <c r="O262" s="1" t="str">
        <v/>
      </c>
      <c r="P262" s="1" t="str">
        <v/>
      </c>
      <c r="Q262" s="1">
        <f t="shared" si="16"/>
        <v>0</v>
      </c>
      <c r="R262" s="1">
        <f t="shared" si="17"/>
        <v>0</v>
      </c>
      <c r="T262">
        <f t="shared" si="18"/>
        <v>0</v>
      </c>
      <c r="U262">
        <f t="shared" si="19"/>
        <v>0</v>
      </c>
    </row>
    <row r="263" x14ac:dyDescent="0.35">
      <c r="A263" s="21" t="str">
        <v/>
      </c>
      <c r="B263" s="23" t="str">
        <v/>
      </c>
      <c r="C263" t="str">
        <v/>
      </c>
      <c r="D263" t="str">
        <v/>
      </c>
      <c r="E263" t="str">
        <v/>
      </c>
      <c r="F263" t="str">
        <v/>
      </c>
      <c r="G263" t="str">
        <v/>
      </c>
      <c r="H263" t="str">
        <v/>
      </c>
      <c r="I263" s="2" t="str">
        <v/>
      </c>
      <c r="J263" s="2" t="str">
        <v/>
      </c>
      <c r="K263" s="2" t="str">
        <v/>
      </c>
      <c r="L263" s="1" t="str">
        <v/>
      </c>
      <c r="M263" s="2" t="str">
        <v/>
      </c>
      <c r="N263" s="1" t="str">
        <v/>
      </c>
      <c r="O263" s="1" t="str">
        <v/>
      </c>
      <c r="P263" s="1" t="str">
        <v/>
      </c>
      <c r="Q263" s="1">
        <f t="shared" si="16"/>
        <v>0</v>
      </c>
      <c r="R263" s="1">
        <f t="shared" si="17"/>
        <v>0</v>
      </c>
      <c r="T263">
        <f t="shared" si="18"/>
        <v>0</v>
      </c>
      <c r="U263">
        <f t="shared" si="19"/>
        <v>0</v>
      </c>
    </row>
    <row r="264" x14ac:dyDescent="0.35">
      <c r="A264" s="21" t="str">
        <v/>
      </c>
      <c r="B264" s="23" t="str">
        <v/>
      </c>
      <c r="C264" t="str">
        <v/>
      </c>
      <c r="D264" t="str">
        <v/>
      </c>
      <c r="E264" t="str">
        <v/>
      </c>
      <c r="F264" t="str">
        <v/>
      </c>
      <c r="G264" t="str">
        <v/>
      </c>
      <c r="H264" t="str">
        <v/>
      </c>
      <c r="I264" s="2" t="str">
        <v/>
      </c>
      <c r="J264" s="2" t="str">
        <v/>
      </c>
      <c r="K264" s="2" t="str">
        <v/>
      </c>
      <c r="L264" s="1" t="str">
        <v/>
      </c>
      <c r="M264" s="2" t="str">
        <v/>
      </c>
      <c r="N264" s="1" t="str">
        <v/>
      </c>
      <c r="O264" s="1" t="str">
        <v/>
      </c>
      <c r="P264" s="1" t="str">
        <v/>
      </c>
      <c r="Q264" s="1">
        <f t="shared" si="16"/>
        <v>0</v>
      </c>
      <c r="R264" s="1">
        <f t="shared" si="17"/>
        <v>0</v>
      </c>
      <c r="T264">
        <f t="shared" si="18"/>
        <v>0</v>
      </c>
      <c r="U264">
        <f t="shared" si="19"/>
        <v>0</v>
      </c>
    </row>
    <row r="265" x14ac:dyDescent="0.35">
      <c r="A265" s="21" t="str">
        <v/>
      </c>
      <c r="B265" s="23" t="str">
        <v/>
      </c>
      <c r="C265" t="str">
        <v/>
      </c>
      <c r="D265" t="str">
        <v/>
      </c>
      <c r="E265" t="str">
        <v/>
      </c>
      <c r="F265" t="str">
        <v/>
      </c>
      <c r="G265" t="str">
        <v/>
      </c>
      <c r="H265" t="str">
        <v/>
      </c>
      <c r="I265" s="2" t="str">
        <v/>
      </c>
      <c r="J265" s="2" t="str">
        <v/>
      </c>
      <c r="K265" s="2" t="str">
        <v/>
      </c>
      <c r="L265" s="1" t="str">
        <v/>
      </c>
      <c r="M265" s="2" t="str">
        <v/>
      </c>
      <c r="N265" s="1" t="str">
        <v/>
      </c>
      <c r="O265" s="1" t="str">
        <v/>
      </c>
      <c r="P265" s="1" t="str">
        <v/>
      </c>
      <c r="Q265" s="1">
        <f t="shared" si="16"/>
        <v>0</v>
      </c>
      <c r="R265" s="1">
        <f t="shared" si="17"/>
        <v>0</v>
      </c>
      <c r="T265">
        <f t="shared" si="18"/>
        <v>0</v>
      </c>
      <c r="U265">
        <f t="shared" si="19"/>
        <v>0</v>
      </c>
    </row>
    <row r="266" x14ac:dyDescent="0.35">
      <c r="A266" s="21" t="str">
        <v/>
      </c>
      <c r="B266" s="23" t="str">
        <v/>
      </c>
      <c r="C266" t="str">
        <v/>
      </c>
      <c r="D266" t="str">
        <v/>
      </c>
      <c r="E266" t="str">
        <v/>
      </c>
      <c r="F266" t="str">
        <v/>
      </c>
      <c r="G266" t="str">
        <v/>
      </c>
      <c r="H266" t="str">
        <v/>
      </c>
      <c r="I266" s="2" t="str">
        <v/>
      </c>
      <c r="J266" s="2" t="str">
        <v/>
      </c>
      <c r="K266" s="2" t="str">
        <v/>
      </c>
      <c r="L266" s="1" t="str">
        <v/>
      </c>
      <c r="M266" s="2" t="str">
        <v/>
      </c>
      <c r="N266" s="1" t="str">
        <v/>
      </c>
      <c r="O266" s="1" t="str">
        <v/>
      </c>
      <c r="P266" s="1" t="str">
        <v/>
      </c>
      <c r="Q266" s="1">
        <f t="shared" si="16"/>
        <v>0</v>
      </c>
      <c r="R266" s="1">
        <f t="shared" si="17"/>
        <v>0</v>
      </c>
      <c r="T266">
        <f t="shared" si="18"/>
        <v>0</v>
      </c>
      <c r="U266">
        <f t="shared" si="19"/>
        <v>0</v>
      </c>
    </row>
    <row r="267" x14ac:dyDescent="0.35">
      <c r="A267" s="21" t="str">
        <v/>
      </c>
      <c r="B267" s="23" t="str">
        <v/>
      </c>
      <c r="C267" t="str">
        <v/>
      </c>
      <c r="D267" t="str">
        <v/>
      </c>
      <c r="E267" t="str">
        <v/>
      </c>
      <c r="F267" t="str">
        <v/>
      </c>
      <c r="G267" t="str">
        <v/>
      </c>
      <c r="H267" t="str">
        <v/>
      </c>
      <c r="I267" s="2" t="str">
        <v/>
      </c>
      <c r="J267" s="2" t="str">
        <v/>
      </c>
      <c r="K267" s="2" t="str">
        <v/>
      </c>
      <c r="L267" s="1" t="str">
        <v/>
      </c>
      <c r="M267" s="2" t="str">
        <v/>
      </c>
      <c r="N267" s="1" t="str">
        <v/>
      </c>
      <c r="O267" s="1" t="str">
        <v/>
      </c>
      <c r="P267" s="1" t="str">
        <v/>
      </c>
      <c r="Q267" s="1">
        <f t="shared" si="16"/>
        <v>0</v>
      </c>
      <c r="R267" s="1">
        <f t="shared" si="17"/>
        <v>0</v>
      </c>
      <c r="T267">
        <f t="shared" si="18"/>
        <v>0</v>
      </c>
      <c r="U267">
        <f t="shared" si="19"/>
        <v>0</v>
      </c>
    </row>
    <row r="268" x14ac:dyDescent="0.35">
      <c r="A268" s="21" t="str">
        <v/>
      </c>
      <c r="B268" s="23" t="str">
        <v/>
      </c>
      <c r="C268" t="str">
        <v/>
      </c>
      <c r="D268" t="str">
        <v/>
      </c>
      <c r="E268" t="str">
        <v/>
      </c>
      <c r="F268" t="str">
        <v/>
      </c>
      <c r="G268" t="str">
        <v/>
      </c>
      <c r="H268" t="str">
        <v/>
      </c>
      <c r="I268" s="2" t="str">
        <v/>
      </c>
      <c r="J268" s="2" t="str">
        <v/>
      </c>
      <c r="K268" s="2" t="str">
        <v/>
      </c>
      <c r="L268" s="1" t="str">
        <v/>
      </c>
      <c r="M268" s="2" t="str">
        <v/>
      </c>
      <c r="N268" s="1" t="str">
        <v/>
      </c>
      <c r="O268" s="1" t="str">
        <v/>
      </c>
      <c r="P268" s="1" t="str">
        <v/>
      </c>
      <c r="Q268" s="1">
        <f t="shared" si="16"/>
        <v>0</v>
      </c>
      <c r="R268" s="1">
        <f t="shared" si="17"/>
        <v>0</v>
      </c>
      <c r="T268">
        <f t="shared" si="18"/>
        <v>0</v>
      </c>
      <c r="U268">
        <f t="shared" si="19"/>
        <v>0</v>
      </c>
    </row>
    <row r="269" x14ac:dyDescent="0.35">
      <c r="A269" s="21" t="str">
        <v/>
      </c>
      <c r="B269" s="23" t="str">
        <v/>
      </c>
      <c r="C269" t="str">
        <v/>
      </c>
      <c r="D269" t="str">
        <v/>
      </c>
      <c r="E269" t="str">
        <v/>
      </c>
      <c r="F269" t="str">
        <v/>
      </c>
      <c r="G269" t="str">
        <v/>
      </c>
      <c r="H269" t="str">
        <v/>
      </c>
      <c r="I269" s="2" t="str">
        <v/>
      </c>
      <c r="J269" s="2" t="str">
        <v/>
      </c>
      <c r="K269" s="2" t="str">
        <v/>
      </c>
      <c r="L269" s="1" t="str">
        <v/>
      </c>
      <c r="M269" s="2" t="str">
        <v/>
      </c>
      <c r="N269" s="1" t="str">
        <v/>
      </c>
      <c r="O269" s="1" t="str">
        <v/>
      </c>
      <c r="P269" s="1" t="str">
        <v/>
      </c>
      <c r="Q269" s="1">
        <f t="shared" si="16"/>
        <v>0</v>
      </c>
      <c r="R269" s="1">
        <f t="shared" si="17"/>
        <v>0</v>
      </c>
      <c r="T269">
        <f t="shared" si="18"/>
        <v>0</v>
      </c>
      <c r="U269">
        <f t="shared" si="19"/>
        <v>0</v>
      </c>
    </row>
    <row r="270" x14ac:dyDescent="0.35">
      <c r="A270" s="21" t="str">
        <v/>
      </c>
      <c r="B270" s="23" t="str">
        <v/>
      </c>
      <c r="C270" t="str">
        <v/>
      </c>
      <c r="D270" t="str">
        <v/>
      </c>
      <c r="E270" t="str">
        <v/>
      </c>
      <c r="F270" t="str">
        <v/>
      </c>
      <c r="G270" t="str">
        <v/>
      </c>
      <c r="H270" t="str">
        <v/>
      </c>
      <c r="I270" s="2" t="str">
        <v/>
      </c>
      <c r="J270" s="2" t="str">
        <v/>
      </c>
      <c r="K270" s="2" t="str">
        <v/>
      </c>
      <c r="L270" s="1" t="str">
        <v/>
      </c>
      <c r="M270" s="2" t="str">
        <v/>
      </c>
      <c r="N270" s="1" t="str">
        <v/>
      </c>
      <c r="O270" s="1" t="str">
        <v/>
      </c>
      <c r="P270" s="1" t="str">
        <v/>
      </c>
      <c r="Q270" s="1">
        <f t="shared" si="16"/>
        <v>0</v>
      </c>
      <c r="R270" s="1">
        <f t="shared" si="17"/>
        <v>0</v>
      </c>
      <c r="T270">
        <f t="shared" si="18"/>
        <v>0</v>
      </c>
      <c r="U270">
        <f t="shared" si="19"/>
        <v>0</v>
      </c>
    </row>
    <row r="271" x14ac:dyDescent="0.35">
      <c r="A271" s="21" t="str">
        <v/>
      </c>
      <c r="B271" s="23" t="str">
        <v/>
      </c>
      <c r="C271" t="str">
        <v/>
      </c>
      <c r="D271" t="str">
        <v/>
      </c>
      <c r="E271" t="str">
        <v/>
      </c>
      <c r="F271" t="str">
        <v/>
      </c>
      <c r="G271" t="str">
        <v/>
      </c>
      <c r="H271" t="str">
        <v/>
      </c>
      <c r="I271" s="2" t="str">
        <v/>
      </c>
      <c r="J271" s="2" t="str">
        <v/>
      </c>
      <c r="K271" s="2" t="str">
        <v/>
      </c>
      <c r="L271" s="1" t="str">
        <v/>
      </c>
      <c r="M271" s="2" t="str">
        <v/>
      </c>
      <c r="N271" s="1" t="str">
        <v/>
      </c>
      <c r="O271" s="1" t="str">
        <v/>
      </c>
      <c r="P271" s="1" t="str">
        <v/>
      </c>
      <c r="Q271" s="1">
        <f t="shared" si="16"/>
        <v>0</v>
      </c>
      <c r="R271" s="1">
        <f t="shared" si="17"/>
        <v>0</v>
      </c>
      <c r="T271">
        <f t="shared" si="18"/>
        <v>0</v>
      </c>
      <c r="U271">
        <f t="shared" si="19"/>
        <v>0</v>
      </c>
    </row>
    <row r="272" x14ac:dyDescent="0.35">
      <c r="A272" s="21" t="str">
        <v/>
      </c>
      <c r="B272" s="23" t="str">
        <v/>
      </c>
      <c r="C272" t="str">
        <v/>
      </c>
      <c r="D272" t="str">
        <v/>
      </c>
      <c r="E272" t="str">
        <v/>
      </c>
      <c r="F272" t="str">
        <v/>
      </c>
      <c r="G272" t="str">
        <v/>
      </c>
      <c r="H272" t="str">
        <v/>
      </c>
      <c r="I272" s="2" t="str">
        <v/>
      </c>
      <c r="J272" s="2" t="str">
        <v/>
      </c>
      <c r="K272" s="2" t="str">
        <v/>
      </c>
      <c r="L272" s="1" t="str">
        <v/>
      </c>
      <c r="M272" s="2" t="str">
        <v/>
      </c>
      <c r="N272" s="1" t="str">
        <v/>
      </c>
      <c r="O272" s="1" t="str">
        <v/>
      </c>
      <c r="P272" s="1" t="str">
        <v/>
      </c>
      <c r="Q272" s="1">
        <f t="shared" si="16"/>
        <v>0</v>
      </c>
      <c r="R272" s="1">
        <f t="shared" si="17"/>
        <v>0</v>
      </c>
      <c r="T272">
        <f t="shared" si="18"/>
        <v>0</v>
      </c>
      <c r="U272">
        <f t="shared" si="19"/>
        <v>0</v>
      </c>
    </row>
    <row r="273" x14ac:dyDescent="0.35">
      <c r="A273" s="21" t="str">
        <v/>
      </c>
      <c r="B273" s="23" t="str">
        <v/>
      </c>
      <c r="C273" t="str">
        <v/>
      </c>
      <c r="D273" t="str">
        <v/>
      </c>
      <c r="E273" t="str">
        <v/>
      </c>
      <c r="F273" t="str">
        <v/>
      </c>
      <c r="G273" t="str">
        <v/>
      </c>
      <c r="H273" t="str">
        <v/>
      </c>
      <c r="I273" s="2" t="str">
        <v/>
      </c>
      <c r="J273" s="2" t="str">
        <v/>
      </c>
      <c r="K273" s="2" t="str">
        <v/>
      </c>
      <c r="L273" s="1" t="str">
        <v/>
      </c>
      <c r="M273" s="2" t="str">
        <v/>
      </c>
      <c r="N273" s="1" t="str">
        <v/>
      </c>
      <c r="O273" s="1" t="str">
        <v/>
      </c>
      <c r="P273" s="1" t="str">
        <v/>
      </c>
      <c r="Q273" s="1">
        <f t="shared" si="16"/>
        <v>0</v>
      </c>
      <c r="R273" s="1">
        <f t="shared" si="17"/>
        <v>0</v>
      </c>
      <c r="T273">
        <f t="shared" si="18"/>
        <v>0</v>
      </c>
      <c r="U273">
        <f t="shared" si="19"/>
        <v>0</v>
      </c>
    </row>
    <row r="274" x14ac:dyDescent="0.35">
      <c r="A274" s="21" t="str">
        <v/>
      </c>
      <c r="B274" s="23" t="str">
        <v/>
      </c>
      <c r="C274" t="str">
        <v/>
      </c>
      <c r="D274" t="str">
        <v/>
      </c>
      <c r="E274" t="str">
        <v/>
      </c>
      <c r="F274" t="str">
        <v/>
      </c>
      <c r="G274" t="str">
        <v/>
      </c>
      <c r="H274" t="str">
        <v/>
      </c>
      <c r="I274" s="2" t="str">
        <v/>
      </c>
      <c r="J274" s="2" t="str">
        <v/>
      </c>
      <c r="K274" s="2" t="str">
        <v/>
      </c>
      <c r="L274" s="1" t="str">
        <v/>
      </c>
      <c r="M274" s="2" t="str">
        <v/>
      </c>
      <c r="N274" s="1" t="str">
        <v/>
      </c>
      <c r="O274" s="1" t="str">
        <v/>
      </c>
      <c r="P274" s="1" t="str">
        <v/>
      </c>
      <c r="Q274" s="1">
        <f t="shared" si="16"/>
        <v>0</v>
      </c>
      <c r="R274" s="1">
        <f t="shared" si="17"/>
        <v>0</v>
      </c>
      <c r="T274">
        <f t="shared" si="18"/>
        <v>0</v>
      </c>
      <c r="U274">
        <f t="shared" si="19"/>
        <v>0</v>
      </c>
    </row>
    <row r="275" x14ac:dyDescent="0.35">
      <c r="A275" s="21" t="str">
        <v/>
      </c>
      <c r="B275" s="23" t="str">
        <v/>
      </c>
      <c r="C275" t="str">
        <v/>
      </c>
      <c r="D275" t="str">
        <v/>
      </c>
      <c r="E275" t="str">
        <v/>
      </c>
      <c r="F275" t="str">
        <v/>
      </c>
      <c r="G275" t="str">
        <v/>
      </c>
      <c r="H275" t="str">
        <v/>
      </c>
      <c r="I275" s="2" t="str">
        <v/>
      </c>
      <c r="J275" s="2" t="str">
        <v/>
      </c>
      <c r="K275" s="2" t="str">
        <v/>
      </c>
      <c r="L275" s="1" t="str">
        <v/>
      </c>
      <c r="M275" s="2" t="str">
        <v/>
      </c>
      <c r="N275" s="1" t="str">
        <v/>
      </c>
      <c r="O275" s="1" t="str">
        <v/>
      </c>
      <c r="P275" s="1" t="str">
        <v/>
      </c>
      <c r="Q275" s="1">
        <f t="shared" si="16"/>
        <v>0</v>
      </c>
      <c r="R275" s="1">
        <f t="shared" si="17"/>
        <v>0</v>
      </c>
      <c r="T275">
        <f t="shared" si="18"/>
        <v>0</v>
      </c>
      <c r="U275">
        <f t="shared" si="19"/>
        <v>0</v>
      </c>
    </row>
    <row r="276" x14ac:dyDescent="0.35">
      <c r="A276" s="21" t="str">
        <v/>
      </c>
      <c r="B276" s="23" t="str">
        <v/>
      </c>
      <c r="C276" t="str">
        <v/>
      </c>
      <c r="D276" t="str">
        <v/>
      </c>
      <c r="E276" t="str">
        <v/>
      </c>
      <c r="F276" t="str">
        <v/>
      </c>
      <c r="G276" t="str">
        <v/>
      </c>
      <c r="H276" t="str">
        <v/>
      </c>
      <c r="I276" s="2" t="str">
        <v/>
      </c>
      <c r="J276" s="2" t="str">
        <v/>
      </c>
      <c r="K276" s="2" t="str">
        <v/>
      </c>
      <c r="L276" s="1" t="str">
        <v/>
      </c>
      <c r="M276" s="2" t="str">
        <v/>
      </c>
      <c r="N276" s="1" t="str">
        <v/>
      </c>
      <c r="O276" s="1" t="str">
        <v/>
      </c>
      <c r="P276" s="1" t="str">
        <v/>
      </c>
      <c r="Q276" s="1">
        <f t="shared" si="16"/>
        <v>0</v>
      </c>
      <c r="R276" s="1">
        <f t="shared" si="17"/>
        <v>0</v>
      </c>
      <c r="T276">
        <f t="shared" si="18"/>
        <v>0</v>
      </c>
      <c r="U276">
        <f t="shared" si="19"/>
        <v>0</v>
      </c>
    </row>
    <row r="277" x14ac:dyDescent="0.35">
      <c r="A277" s="21" t="str">
        <v/>
      </c>
      <c r="B277" s="23" t="str">
        <v/>
      </c>
      <c r="C277" t="str">
        <v/>
      </c>
      <c r="D277" t="str">
        <v/>
      </c>
      <c r="E277" t="str">
        <v/>
      </c>
      <c r="F277" t="str">
        <v/>
      </c>
      <c r="G277" t="str">
        <v/>
      </c>
      <c r="H277" t="str">
        <v/>
      </c>
      <c r="I277" s="2" t="str">
        <v/>
      </c>
      <c r="J277" s="2" t="str">
        <v/>
      </c>
      <c r="K277" s="2" t="str">
        <v/>
      </c>
      <c r="L277" s="1" t="str">
        <v/>
      </c>
      <c r="M277" s="2" t="str">
        <v/>
      </c>
      <c r="N277" s="1" t="str">
        <v/>
      </c>
      <c r="O277" s="1" t="str">
        <v/>
      </c>
      <c r="P277" s="1" t="str">
        <v/>
      </c>
      <c r="Q277" s="1">
        <f t="shared" si="16"/>
        <v>0</v>
      </c>
      <c r="R277" s="1">
        <f t="shared" si="17"/>
        <v>0</v>
      </c>
      <c r="T277">
        <f t="shared" si="18"/>
        <v>0</v>
      </c>
      <c r="U277">
        <f t="shared" si="19"/>
        <v>0</v>
      </c>
    </row>
    <row r="278" x14ac:dyDescent="0.35">
      <c r="A278" s="21" t="str">
        <v/>
      </c>
      <c r="B278" s="23" t="str">
        <v/>
      </c>
      <c r="C278" t="str">
        <v/>
      </c>
      <c r="D278" t="str">
        <v/>
      </c>
      <c r="E278" t="str">
        <v/>
      </c>
      <c r="F278" t="str">
        <v/>
      </c>
      <c r="G278" t="str">
        <v/>
      </c>
      <c r="H278" t="str">
        <v/>
      </c>
      <c r="I278" s="2" t="str">
        <v/>
      </c>
      <c r="J278" s="2" t="str">
        <v/>
      </c>
      <c r="K278" s="2" t="str">
        <v/>
      </c>
      <c r="L278" s="1" t="str">
        <v/>
      </c>
      <c r="M278" s="2" t="str">
        <v/>
      </c>
      <c r="N278" s="1" t="str">
        <v/>
      </c>
      <c r="O278" s="1" t="str">
        <v/>
      </c>
      <c r="P278" s="1" t="str">
        <v/>
      </c>
      <c r="Q278" s="1">
        <f t="shared" si="16"/>
        <v>0</v>
      </c>
      <c r="R278" s="1">
        <f t="shared" si="17"/>
        <v>0</v>
      </c>
      <c r="T278">
        <f t="shared" si="18"/>
        <v>0</v>
      </c>
      <c r="U278">
        <f t="shared" si="19"/>
        <v>0</v>
      </c>
    </row>
    <row r="279" x14ac:dyDescent="0.35">
      <c r="A279" s="21" t="str">
        <v/>
      </c>
      <c r="B279" s="23" t="str">
        <v/>
      </c>
      <c r="C279" t="str">
        <v/>
      </c>
      <c r="D279" t="str">
        <v/>
      </c>
      <c r="E279" t="str">
        <v/>
      </c>
      <c r="F279" t="str">
        <v/>
      </c>
      <c r="G279" t="str">
        <v/>
      </c>
      <c r="H279" t="str">
        <v/>
      </c>
      <c r="I279" s="2" t="str">
        <v/>
      </c>
      <c r="J279" s="2" t="str">
        <v/>
      </c>
      <c r="K279" s="2" t="str">
        <v/>
      </c>
      <c r="L279" s="1" t="str">
        <v/>
      </c>
      <c r="M279" s="2" t="str">
        <v/>
      </c>
      <c r="N279" s="1" t="str">
        <v/>
      </c>
      <c r="O279" s="1" t="str">
        <v/>
      </c>
      <c r="P279" s="1" t="str">
        <v/>
      </c>
      <c r="Q279" s="1">
        <f t="shared" si="16"/>
        <v>0</v>
      </c>
      <c r="R279" s="1">
        <f t="shared" si="17"/>
        <v>0</v>
      </c>
      <c r="T279">
        <f t="shared" si="18"/>
        <v>0</v>
      </c>
      <c r="U279">
        <f t="shared" si="19"/>
        <v>0</v>
      </c>
    </row>
    <row r="280" x14ac:dyDescent="0.35">
      <c r="A280" s="21" t="str">
        <v/>
      </c>
      <c r="B280" s="23" t="str">
        <v/>
      </c>
      <c r="C280" t="str">
        <v/>
      </c>
      <c r="D280" t="str">
        <v/>
      </c>
      <c r="E280" t="str">
        <v/>
      </c>
      <c r="F280" t="str">
        <v/>
      </c>
      <c r="G280" t="str">
        <v/>
      </c>
      <c r="H280" t="str">
        <v/>
      </c>
      <c r="I280" s="2" t="str">
        <v/>
      </c>
      <c r="J280" s="2" t="str">
        <v/>
      </c>
      <c r="K280" s="2" t="str">
        <v/>
      </c>
      <c r="L280" s="1" t="str">
        <v/>
      </c>
      <c r="M280" s="2" t="str">
        <v/>
      </c>
      <c r="N280" s="1" t="str">
        <v/>
      </c>
      <c r="O280" s="1" t="str">
        <v/>
      </c>
      <c r="P280" s="1" t="str">
        <v/>
      </c>
      <c r="Q280" s="1">
        <f t="shared" si="16"/>
        <v>0</v>
      </c>
      <c r="R280" s="1">
        <f t="shared" si="17"/>
        <v>0</v>
      </c>
      <c r="T280">
        <f t="shared" si="18"/>
        <v>0</v>
      </c>
      <c r="U280">
        <f t="shared" si="19"/>
        <v>0</v>
      </c>
    </row>
    <row r="281" x14ac:dyDescent="0.35">
      <c r="A281" s="21" t="str">
        <v/>
      </c>
      <c r="B281" s="23" t="str">
        <v/>
      </c>
      <c r="C281" t="str">
        <v/>
      </c>
      <c r="D281" t="str">
        <v/>
      </c>
      <c r="E281" t="str">
        <v/>
      </c>
      <c r="F281" t="str">
        <v/>
      </c>
      <c r="G281" t="str">
        <v/>
      </c>
      <c r="H281" t="str">
        <v/>
      </c>
      <c r="I281" s="2" t="str">
        <v/>
      </c>
      <c r="J281" s="2" t="str">
        <v/>
      </c>
      <c r="K281" s="2" t="str">
        <v/>
      </c>
      <c r="L281" s="1" t="str">
        <v/>
      </c>
      <c r="M281" s="2" t="str">
        <v/>
      </c>
      <c r="N281" s="1" t="str">
        <v/>
      </c>
      <c r="O281" s="1" t="str">
        <v/>
      </c>
      <c r="P281" s="1" t="str">
        <v/>
      </c>
      <c r="Q281" s="1">
        <f t="shared" si="16"/>
        <v>0</v>
      </c>
      <c r="R281" s="1">
        <f t="shared" si="17"/>
        <v>0</v>
      </c>
      <c r="T281">
        <f t="shared" si="18"/>
        <v>0</v>
      </c>
      <c r="U281">
        <f t="shared" si="19"/>
        <v>0</v>
      </c>
    </row>
    <row r="282" x14ac:dyDescent="0.35">
      <c r="A282" s="21" t="str">
        <v/>
      </c>
      <c r="B282" s="23" t="str">
        <v/>
      </c>
      <c r="C282" t="str">
        <v/>
      </c>
      <c r="D282" t="str">
        <v/>
      </c>
      <c r="E282" t="str">
        <v/>
      </c>
      <c r="F282" t="str">
        <v/>
      </c>
      <c r="G282" t="str">
        <v/>
      </c>
      <c r="H282" t="str">
        <v/>
      </c>
      <c r="I282" s="2" t="str">
        <v/>
      </c>
      <c r="J282" s="2" t="str">
        <v/>
      </c>
      <c r="K282" s="2" t="str">
        <v/>
      </c>
      <c r="L282" s="1" t="str">
        <v/>
      </c>
      <c r="M282" s="2" t="str">
        <v/>
      </c>
      <c r="N282" s="1" t="str">
        <v/>
      </c>
      <c r="O282" s="1" t="str">
        <v/>
      </c>
      <c r="P282" s="1" t="str">
        <v/>
      </c>
      <c r="Q282" s="1">
        <f t="shared" si="16"/>
        <v>0</v>
      </c>
      <c r="R282" s="1">
        <f t="shared" si="17"/>
        <v>0</v>
      </c>
      <c r="T282">
        <f t="shared" si="18"/>
        <v>0</v>
      </c>
      <c r="U282">
        <f t="shared" si="19"/>
        <v>0</v>
      </c>
    </row>
    <row r="283" x14ac:dyDescent="0.35">
      <c r="A283" s="21" t="str">
        <v/>
      </c>
      <c r="B283" s="23" t="str">
        <v/>
      </c>
      <c r="C283" t="str">
        <v/>
      </c>
      <c r="D283" t="str">
        <v/>
      </c>
      <c r="E283" t="str">
        <v/>
      </c>
      <c r="F283" t="str">
        <v/>
      </c>
      <c r="G283" t="str">
        <v/>
      </c>
      <c r="H283" t="str">
        <v/>
      </c>
      <c r="I283" s="2" t="str">
        <v/>
      </c>
      <c r="J283" s="2" t="str">
        <v/>
      </c>
      <c r="K283" s="2" t="str">
        <v/>
      </c>
      <c r="L283" s="1" t="str">
        <v/>
      </c>
      <c r="M283" s="2" t="str">
        <v/>
      </c>
      <c r="N283" s="1" t="str">
        <v/>
      </c>
      <c r="O283" s="1" t="str">
        <v/>
      </c>
      <c r="P283" s="1" t="str">
        <v/>
      </c>
      <c r="Q283" s="1">
        <f t="shared" si="16"/>
        <v>0</v>
      </c>
      <c r="R283" s="1">
        <f t="shared" si="17"/>
        <v>0</v>
      </c>
      <c r="T283">
        <f t="shared" si="18"/>
        <v>0</v>
      </c>
      <c r="U283">
        <f t="shared" si="19"/>
        <v>0</v>
      </c>
    </row>
    <row r="284" x14ac:dyDescent="0.35">
      <c r="A284" s="21" t="str">
        <v/>
      </c>
      <c r="B284" s="23" t="str">
        <v/>
      </c>
      <c r="C284" t="str">
        <v/>
      </c>
      <c r="D284" t="str">
        <v/>
      </c>
      <c r="E284" t="str">
        <v/>
      </c>
      <c r="F284" t="str">
        <v/>
      </c>
      <c r="G284" t="str">
        <v/>
      </c>
      <c r="H284" t="str">
        <v/>
      </c>
      <c r="I284" s="2" t="str">
        <v/>
      </c>
      <c r="J284" s="2" t="str">
        <v/>
      </c>
      <c r="K284" s="2" t="str">
        <v/>
      </c>
      <c r="L284" s="1" t="str">
        <v/>
      </c>
      <c r="M284" s="2" t="str">
        <v/>
      </c>
      <c r="N284" s="1" t="str">
        <v/>
      </c>
      <c r="O284" s="1" t="str">
        <v/>
      </c>
      <c r="P284" s="1" t="str">
        <v/>
      </c>
      <c r="Q284" s="1">
        <f t="shared" si="16"/>
        <v>0</v>
      </c>
      <c r="R284" s="1">
        <f t="shared" si="17"/>
        <v>0</v>
      </c>
      <c r="T284">
        <f t="shared" si="18"/>
        <v>0</v>
      </c>
      <c r="U284">
        <f t="shared" si="19"/>
        <v>0</v>
      </c>
    </row>
    <row r="285" x14ac:dyDescent="0.35">
      <c r="A285" s="21" t="str">
        <v/>
      </c>
      <c r="B285" s="23" t="str">
        <v/>
      </c>
      <c r="C285" t="str">
        <v/>
      </c>
      <c r="D285" t="str">
        <v/>
      </c>
      <c r="E285" t="str">
        <v/>
      </c>
      <c r="F285" t="str">
        <v/>
      </c>
      <c r="G285" t="str">
        <v/>
      </c>
      <c r="H285" t="str">
        <v/>
      </c>
      <c r="I285" s="2" t="str">
        <v/>
      </c>
      <c r="J285" s="2" t="str">
        <v/>
      </c>
      <c r="K285" s="2" t="str">
        <v/>
      </c>
      <c r="L285" s="1" t="str">
        <v/>
      </c>
      <c r="M285" s="2" t="str">
        <v/>
      </c>
      <c r="N285" s="1" t="str">
        <v/>
      </c>
      <c r="O285" s="1" t="str">
        <v/>
      </c>
      <c r="P285" s="1" t="str">
        <v/>
      </c>
      <c r="Q285" s="1">
        <f t="shared" si="16"/>
        <v>0</v>
      </c>
      <c r="R285" s="1">
        <f t="shared" si="17"/>
        <v>0</v>
      </c>
      <c r="T285">
        <f t="shared" si="18"/>
        <v>0</v>
      </c>
      <c r="U285">
        <f t="shared" si="19"/>
        <v>0</v>
      </c>
    </row>
    <row r="286" x14ac:dyDescent="0.35">
      <c r="A286" s="21" t="str">
        <v/>
      </c>
      <c r="B286" s="23" t="str">
        <v/>
      </c>
      <c r="C286" t="str">
        <v/>
      </c>
      <c r="D286" t="str">
        <v/>
      </c>
      <c r="E286" t="str">
        <v/>
      </c>
      <c r="F286" t="str">
        <v/>
      </c>
      <c r="G286" t="str">
        <v/>
      </c>
      <c r="H286" t="str">
        <v/>
      </c>
      <c r="I286" s="2" t="str">
        <v/>
      </c>
      <c r="J286" s="2" t="str">
        <v/>
      </c>
      <c r="K286" s="2" t="str">
        <v/>
      </c>
      <c r="L286" s="1" t="str">
        <v/>
      </c>
      <c r="M286" s="2" t="str">
        <v/>
      </c>
      <c r="N286" s="1" t="str">
        <v/>
      </c>
      <c r="O286" s="1" t="str">
        <v/>
      </c>
      <c r="P286" s="1" t="str">
        <v/>
      </c>
      <c r="Q286" s="1">
        <f t="shared" si="16"/>
        <v>0</v>
      </c>
      <c r="R286" s="1">
        <f t="shared" si="17"/>
        <v>0</v>
      </c>
      <c r="T286">
        <f t="shared" si="18"/>
        <v>0</v>
      </c>
      <c r="U286">
        <f t="shared" si="19"/>
        <v>0</v>
      </c>
    </row>
    <row r="287" x14ac:dyDescent="0.35">
      <c r="A287" s="21" t="str">
        <v/>
      </c>
      <c r="B287" s="23" t="str">
        <v/>
      </c>
      <c r="C287" t="str">
        <v/>
      </c>
      <c r="D287" t="str">
        <v/>
      </c>
      <c r="E287" t="str">
        <v/>
      </c>
      <c r="F287" t="str">
        <v/>
      </c>
      <c r="G287" t="str">
        <v/>
      </c>
      <c r="H287" t="str">
        <v/>
      </c>
      <c r="I287" s="2" t="str">
        <v/>
      </c>
      <c r="J287" s="2" t="str">
        <v/>
      </c>
      <c r="K287" s="2" t="str">
        <v/>
      </c>
      <c r="L287" s="1" t="str">
        <v/>
      </c>
      <c r="M287" s="2" t="str">
        <v/>
      </c>
      <c r="N287" s="1" t="str">
        <v/>
      </c>
      <c r="O287" s="1" t="str">
        <v/>
      </c>
      <c r="P287" s="1" t="str">
        <v/>
      </c>
      <c r="Q287" s="1">
        <f t="shared" si="16"/>
        <v>0</v>
      </c>
      <c r="R287" s="1">
        <f t="shared" si="17"/>
        <v>0</v>
      </c>
      <c r="T287">
        <f t="shared" si="18"/>
        <v>0</v>
      </c>
      <c r="U287">
        <f t="shared" si="19"/>
        <v>0</v>
      </c>
    </row>
    <row r="288" x14ac:dyDescent="0.35">
      <c r="A288" s="21" t="str">
        <v/>
      </c>
      <c r="B288" s="23" t="str">
        <v/>
      </c>
      <c r="C288" t="str">
        <v/>
      </c>
      <c r="D288" t="str">
        <v/>
      </c>
      <c r="E288" t="str">
        <v/>
      </c>
      <c r="F288" t="str">
        <v/>
      </c>
      <c r="G288" t="str">
        <v/>
      </c>
      <c r="H288" t="str">
        <v/>
      </c>
      <c r="I288" s="2" t="str">
        <v/>
      </c>
      <c r="J288" s="2" t="str">
        <v/>
      </c>
      <c r="K288" s="2" t="str">
        <v/>
      </c>
      <c r="L288" s="1" t="str">
        <v/>
      </c>
      <c r="M288" s="2" t="str">
        <v/>
      </c>
      <c r="N288" s="1" t="str">
        <v/>
      </c>
      <c r="O288" s="1" t="str">
        <v/>
      </c>
      <c r="P288" s="1" t="str">
        <v/>
      </c>
      <c r="Q288" s="1">
        <f t="shared" si="16"/>
        <v>0</v>
      </c>
      <c r="R288" s="1">
        <f t="shared" si="17"/>
        <v>0</v>
      </c>
      <c r="T288">
        <f t="shared" si="18"/>
        <v>0</v>
      </c>
      <c r="U288">
        <f t="shared" si="19"/>
        <v>0</v>
      </c>
    </row>
    <row r="289" x14ac:dyDescent="0.35">
      <c r="A289" s="21" t="str">
        <v/>
      </c>
      <c r="B289" s="23" t="str">
        <v/>
      </c>
      <c r="C289" t="str">
        <v/>
      </c>
      <c r="D289" t="str">
        <v/>
      </c>
      <c r="E289" t="str">
        <v/>
      </c>
      <c r="F289" t="str">
        <v/>
      </c>
      <c r="G289" t="str">
        <v/>
      </c>
      <c r="H289" t="str">
        <v/>
      </c>
      <c r="I289" s="2" t="str">
        <v/>
      </c>
      <c r="J289" s="2" t="str">
        <v/>
      </c>
      <c r="K289" s="2" t="str">
        <v/>
      </c>
      <c r="L289" s="1" t="str">
        <v/>
      </c>
      <c r="M289" s="2" t="str">
        <v/>
      </c>
      <c r="N289" s="1" t="str">
        <v/>
      </c>
      <c r="O289" s="1" t="str">
        <v/>
      </c>
      <c r="P289" s="1" t="str">
        <v/>
      </c>
      <c r="Q289" s="1">
        <f t="shared" si="16"/>
        <v>0</v>
      </c>
      <c r="R289" s="1">
        <f t="shared" si="17"/>
        <v>0</v>
      </c>
      <c r="T289">
        <f t="shared" si="18"/>
        <v>0</v>
      </c>
      <c r="U289">
        <f t="shared" si="19"/>
        <v>0</v>
      </c>
    </row>
    <row r="290" x14ac:dyDescent="0.35">
      <c r="A290" s="21" t="str">
        <v/>
      </c>
      <c r="B290" s="23" t="str">
        <v/>
      </c>
      <c r="C290" t="str">
        <v/>
      </c>
      <c r="D290" t="str">
        <v/>
      </c>
      <c r="E290" t="str">
        <v/>
      </c>
      <c r="F290" t="str">
        <v/>
      </c>
      <c r="G290" t="str">
        <v/>
      </c>
      <c r="H290" t="str">
        <v/>
      </c>
      <c r="I290" s="2" t="str">
        <v/>
      </c>
      <c r="J290" s="2" t="str">
        <v/>
      </c>
      <c r="K290" s="2" t="str">
        <v/>
      </c>
      <c r="L290" s="1" t="str">
        <v/>
      </c>
      <c r="M290" s="2" t="str">
        <v/>
      </c>
      <c r="N290" s="1" t="str">
        <v/>
      </c>
      <c r="O290" s="1" t="str">
        <v/>
      </c>
      <c r="P290" s="1" t="str">
        <v/>
      </c>
      <c r="Q290" s="1">
        <f t="shared" si="16"/>
        <v>0</v>
      </c>
      <c r="R290" s="1">
        <f t="shared" si="17"/>
        <v>0</v>
      </c>
      <c r="T290">
        <f t="shared" si="18"/>
        <v>0</v>
      </c>
      <c r="U290">
        <f t="shared" si="19"/>
        <v>0</v>
      </c>
    </row>
    <row r="291" x14ac:dyDescent="0.35">
      <c r="A291" s="21" t="str">
        <v/>
      </c>
      <c r="B291" s="23" t="str">
        <v/>
      </c>
      <c r="C291" t="str">
        <v/>
      </c>
      <c r="D291" t="str">
        <v/>
      </c>
      <c r="E291" t="str">
        <v/>
      </c>
      <c r="F291" t="str">
        <v/>
      </c>
      <c r="G291" t="str">
        <v/>
      </c>
      <c r="H291" t="str">
        <v/>
      </c>
      <c r="I291" s="2" t="str">
        <v/>
      </c>
      <c r="J291" s="2" t="str">
        <v/>
      </c>
      <c r="K291" s="2" t="str">
        <v/>
      </c>
      <c r="L291" s="1" t="str">
        <v/>
      </c>
      <c r="M291" s="2" t="str">
        <v/>
      </c>
      <c r="N291" s="1" t="str">
        <v/>
      </c>
      <c r="O291" s="1" t="str">
        <v/>
      </c>
      <c r="P291" s="1" t="str">
        <v/>
      </c>
      <c r="Q291" s="1">
        <f t="shared" si="16"/>
        <v>0</v>
      </c>
      <c r="R291" s="1">
        <f t="shared" si="17"/>
        <v>0</v>
      </c>
      <c r="T291">
        <f t="shared" si="18"/>
        <v>0</v>
      </c>
      <c r="U291">
        <f t="shared" si="19"/>
        <v>0</v>
      </c>
    </row>
    <row r="292" x14ac:dyDescent="0.35">
      <c r="A292" s="21" t="str">
        <v/>
      </c>
      <c r="B292" s="23" t="str">
        <v/>
      </c>
      <c r="C292" t="str">
        <v/>
      </c>
      <c r="D292" t="str">
        <v/>
      </c>
      <c r="E292" t="str">
        <v/>
      </c>
      <c r="F292" t="str">
        <v/>
      </c>
      <c r="G292" t="str">
        <v/>
      </c>
      <c r="H292" t="str">
        <v/>
      </c>
      <c r="I292" s="2" t="str">
        <v/>
      </c>
      <c r="J292" s="2" t="str">
        <v/>
      </c>
      <c r="K292" s="2" t="str">
        <v/>
      </c>
      <c r="L292" s="1" t="str">
        <v/>
      </c>
      <c r="M292" s="2" t="str">
        <v/>
      </c>
      <c r="N292" s="1" t="str">
        <v/>
      </c>
      <c r="O292" s="1" t="str">
        <v/>
      </c>
      <c r="P292" s="1" t="str">
        <v/>
      </c>
      <c r="Q292" s="1">
        <f t="shared" si="16"/>
        <v>0</v>
      </c>
      <c r="R292" s="1">
        <f t="shared" si="17"/>
        <v>0</v>
      </c>
      <c r="T292">
        <f t="shared" si="18"/>
        <v>0</v>
      </c>
      <c r="U292">
        <f t="shared" si="19"/>
        <v>0</v>
      </c>
    </row>
    <row r="293" x14ac:dyDescent="0.35">
      <c r="A293" s="21" t="str">
        <v/>
      </c>
      <c r="B293" s="23" t="str">
        <v/>
      </c>
      <c r="C293" t="str">
        <v/>
      </c>
      <c r="D293" t="str">
        <v/>
      </c>
      <c r="E293" t="str">
        <v/>
      </c>
      <c r="F293" t="str">
        <v/>
      </c>
      <c r="G293" t="str">
        <v/>
      </c>
      <c r="H293" t="str">
        <v/>
      </c>
      <c r="I293" s="2" t="str">
        <v/>
      </c>
      <c r="J293" s="2" t="str">
        <v/>
      </c>
      <c r="K293" s="2" t="str">
        <v/>
      </c>
      <c r="L293" s="1" t="str">
        <v/>
      </c>
      <c r="M293" s="2" t="str">
        <v/>
      </c>
      <c r="N293" s="1" t="str">
        <v/>
      </c>
      <c r="O293" s="1" t="str">
        <v/>
      </c>
      <c r="P293" s="1" t="str">
        <v/>
      </c>
      <c r="Q293" s="1">
        <f t="shared" si="16"/>
        <v>0</v>
      </c>
      <c r="R293" s="1">
        <f t="shared" si="17"/>
        <v>0</v>
      </c>
      <c r="T293">
        <f t="shared" si="18"/>
        <v>0</v>
      </c>
      <c r="U293">
        <f t="shared" si="19"/>
        <v>0</v>
      </c>
    </row>
    <row r="294" x14ac:dyDescent="0.35">
      <c r="A294" s="21" t="str">
        <v/>
      </c>
      <c r="B294" s="23" t="str">
        <v/>
      </c>
      <c r="C294" t="str">
        <v/>
      </c>
      <c r="D294" t="str">
        <v/>
      </c>
      <c r="E294" t="str">
        <v/>
      </c>
      <c r="F294" t="str">
        <v/>
      </c>
      <c r="G294" t="str">
        <v/>
      </c>
      <c r="H294" t="str">
        <v/>
      </c>
      <c r="I294" s="2" t="str">
        <v/>
      </c>
      <c r="J294" s="2" t="str">
        <v/>
      </c>
      <c r="K294" s="2" t="str">
        <v/>
      </c>
      <c r="L294" s="1" t="str">
        <v/>
      </c>
      <c r="M294" s="2" t="str">
        <v/>
      </c>
      <c r="N294" s="1" t="str">
        <v/>
      </c>
      <c r="O294" s="1" t="str">
        <v/>
      </c>
      <c r="P294" s="1" t="str">
        <v/>
      </c>
      <c r="Q294" s="1">
        <f t="shared" si="16"/>
        <v>0</v>
      </c>
      <c r="R294" s="1">
        <f t="shared" si="17"/>
        <v>0</v>
      </c>
      <c r="T294">
        <f t="shared" si="18"/>
        <v>0</v>
      </c>
      <c r="U294">
        <f t="shared" si="19"/>
        <v>0</v>
      </c>
    </row>
    <row r="295" x14ac:dyDescent="0.35">
      <c r="A295" s="21" t="str">
        <v/>
      </c>
      <c r="B295" s="23" t="str">
        <v/>
      </c>
      <c r="C295" t="str">
        <v/>
      </c>
      <c r="D295" t="str">
        <v/>
      </c>
      <c r="E295" t="str">
        <v/>
      </c>
      <c r="F295" t="str">
        <v/>
      </c>
      <c r="G295" t="str">
        <v/>
      </c>
      <c r="H295" t="str">
        <v/>
      </c>
      <c r="I295" s="2" t="str">
        <v/>
      </c>
      <c r="J295" s="2" t="str">
        <v/>
      </c>
      <c r="K295" s="2" t="str">
        <v/>
      </c>
      <c r="L295" s="1" t="str">
        <v/>
      </c>
      <c r="M295" s="2" t="str">
        <v/>
      </c>
      <c r="N295" s="1" t="str">
        <v/>
      </c>
      <c r="O295" s="1" t="str">
        <v/>
      </c>
      <c r="P295" s="1" t="str">
        <v/>
      </c>
      <c r="Q295" s="1">
        <f t="shared" si="16"/>
        <v>0</v>
      </c>
      <c r="R295" s="1">
        <f t="shared" si="17"/>
        <v>0</v>
      </c>
      <c r="T295">
        <f t="shared" si="18"/>
        <v>0</v>
      </c>
      <c r="U295">
        <f t="shared" si="19"/>
        <v>0</v>
      </c>
    </row>
    <row r="296" x14ac:dyDescent="0.35">
      <c r="A296" s="21" t="str">
        <v/>
      </c>
      <c r="B296" s="23" t="str">
        <v/>
      </c>
      <c r="C296" t="str">
        <v/>
      </c>
      <c r="D296" t="str">
        <v/>
      </c>
      <c r="E296" t="str">
        <v/>
      </c>
      <c r="F296" t="str">
        <v/>
      </c>
      <c r="G296" t="str">
        <v/>
      </c>
      <c r="H296" t="str">
        <v/>
      </c>
      <c r="I296" s="2" t="str">
        <v/>
      </c>
      <c r="J296" s="2" t="str">
        <v/>
      </c>
      <c r="K296" s="2" t="str">
        <v/>
      </c>
      <c r="L296" s="1" t="str">
        <v/>
      </c>
      <c r="M296" s="2" t="str">
        <v/>
      </c>
      <c r="N296" s="1" t="str">
        <v/>
      </c>
      <c r="O296" s="1" t="str">
        <v/>
      </c>
      <c r="P296" s="1" t="str">
        <v/>
      </c>
      <c r="Q296" s="1">
        <f t="shared" si="16"/>
        <v>0</v>
      </c>
      <c r="R296" s="1">
        <f t="shared" si="17"/>
        <v>0</v>
      </c>
      <c r="T296">
        <f t="shared" si="18"/>
        <v>0</v>
      </c>
      <c r="U296">
        <f t="shared" si="19"/>
        <v>0</v>
      </c>
    </row>
    <row r="297" x14ac:dyDescent="0.35">
      <c r="A297" s="21" t="str">
        <v/>
      </c>
      <c r="B297" s="23" t="str">
        <v/>
      </c>
      <c r="C297" t="str">
        <v/>
      </c>
      <c r="D297" t="str">
        <v/>
      </c>
      <c r="E297" t="str">
        <v/>
      </c>
      <c r="F297" t="str">
        <v/>
      </c>
      <c r="G297" t="str">
        <v/>
      </c>
      <c r="H297" t="str">
        <v/>
      </c>
      <c r="I297" s="2" t="str">
        <v/>
      </c>
      <c r="J297" s="2" t="str">
        <v/>
      </c>
      <c r="K297" s="2" t="str">
        <v/>
      </c>
      <c r="L297" s="1" t="str">
        <v/>
      </c>
      <c r="M297" s="2" t="str">
        <v/>
      </c>
      <c r="N297" s="1" t="str">
        <v/>
      </c>
      <c r="O297" s="1" t="str">
        <v/>
      </c>
      <c r="P297" s="1" t="str">
        <v/>
      </c>
      <c r="Q297" s="1">
        <f t="shared" si="16"/>
        <v>0</v>
      </c>
      <c r="R297" s="1">
        <f t="shared" si="17"/>
        <v>0</v>
      </c>
      <c r="T297">
        <f t="shared" si="18"/>
        <v>0</v>
      </c>
      <c r="U297">
        <f t="shared" si="19"/>
        <v>0</v>
      </c>
    </row>
    <row r="298" x14ac:dyDescent="0.35">
      <c r="A298" s="21" t="str">
        <v/>
      </c>
      <c r="B298" s="23" t="str">
        <v/>
      </c>
      <c r="C298" t="str">
        <v/>
      </c>
      <c r="D298" t="str">
        <v/>
      </c>
      <c r="E298" t="str">
        <v/>
      </c>
      <c r="F298" t="str">
        <v/>
      </c>
      <c r="G298" t="str">
        <v/>
      </c>
      <c r="H298" t="str">
        <v/>
      </c>
      <c r="I298" s="2" t="str">
        <v/>
      </c>
      <c r="J298" s="2" t="str">
        <v/>
      </c>
      <c r="K298" s="2" t="str">
        <v/>
      </c>
      <c r="L298" s="1" t="str">
        <v/>
      </c>
      <c r="M298" s="2" t="str">
        <v/>
      </c>
      <c r="N298" s="1" t="str">
        <v/>
      </c>
      <c r="O298" s="1" t="str">
        <v/>
      </c>
      <c r="P298" s="1" t="str">
        <v/>
      </c>
      <c r="Q298" s="1">
        <f t="shared" si="16"/>
        <v>0</v>
      </c>
      <c r="R298" s="1">
        <f t="shared" si="17"/>
        <v>0</v>
      </c>
      <c r="T298">
        <f t="shared" si="18"/>
        <v>0</v>
      </c>
      <c r="U298">
        <f t="shared" si="19"/>
        <v>0</v>
      </c>
    </row>
    <row r="299" x14ac:dyDescent="0.35">
      <c r="A299" s="21" t="str">
        <v/>
      </c>
      <c r="B299" s="23" t="str">
        <v/>
      </c>
      <c r="C299" t="str">
        <v/>
      </c>
      <c r="D299" t="str">
        <v/>
      </c>
      <c r="E299" t="str">
        <v/>
      </c>
      <c r="F299" t="str">
        <v/>
      </c>
      <c r="G299" t="str">
        <v/>
      </c>
      <c r="H299" t="str">
        <v/>
      </c>
      <c r="I299" s="2" t="str">
        <v/>
      </c>
      <c r="J299" s="2" t="str">
        <v/>
      </c>
      <c r="K299" s="2" t="str">
        <v/>
      </c>
      <c r="L299" s="1" t="str">
        <v/>
      </c>
      <c r="M299" s="2" t="str">
        <v/>
      </c>
      <c r="N299" s="1" t="str">
        <v/>
      </c>
      <c r="O299" s="1" t="str">
        <v/>
      </c>
      <c r="P299" s="1" t="str">
        <v/>
      </c>
      <c r="Q299" s="1">
        <f t="shared" si="16"/>
        <v>0</v>
      </c>
      <c r="R299" s="1">
        <f t="shared" si="17"/>
        <v>0</v>
      </c>
      <c r="T299">
        <f t="shared" si="18"/>
        <v>0</v>
      </c>
      <c r="U299">
        <f t="shared" si="19"/>
        <v>0</v>
      </c>
    </row>
    <row r="300" x14ac:dyDescent="0.35">
      <c r="A300" s="21" t="str">
        <v/>
      </c>
      <c r="B300" s="23" t="str">
        <v/>
      </c>
      <c r="C300" t="str">
        <v/>
      </c>
      <c r="D300" t="str">
        <v/>
      </c>
      <c r="E300" t="str">
        <v/>
      </c>
      <c r="F300" t="str">
        <v/>
      </c>
      <c r="G300" t="str">
        <v/>
      </c>
      <c r="H300" t="str">
        <v/>
      </c>
      <c r="I300" s="2" t="str">
        <v/>
      </c>
      <c r="J300" s="2" t="str">
        <v/>
      </c>
      <c r="K300" s="2" t="str">
        <v/>
      </c>
      <c r="L300" s="1" t="str">
        <v/>
      </c>
      <c r="M300" s="2" t="str">
        <v/>
      </c>
      <c r="N300" s="1" t="str">
        <v/>
      </c>
      <c r="O300" s="1" t="str">
        <v/>
      </c>
      <c r="P300" s="1" t="str">
        <v/>
      </c>
      <c r="Q300" s="1">
        <f t="shared" si="16"/>
        <v>0</v>
      </c>
      <c r="R300" s="1">
        <f t="shared" si="17"/>
        <v>0</v>
      </c>
      <c r="T300">
        <f t="shared" si="18"/>
        <v>0</v>
      </c>
      <c r="U300">
        <f t="shared" si="19"/>
        <v>0</v>
      </c>
    </row>
    <row r="301" x14ac:dyDescent="0.35">
      <c r="A301" s="21" t="str">
        <v/>
      </c>
      <c r="B301" s="23" t="str">
        <v/>
      </c>
      <c r="C301" t="str">
        <v/>
      </c>
      <c r="D301" t="str">
        <v/>
      </c>
      <c r="E301" t="str">
        <v/>
      </c>
      <c r="F301" t="str">
        <v/>
      </c>
      <c r="G301" t="str">
        <v/>
      </c>
      <c r="H301" t="str">
        <v/>
      </c>
      <c r="I301" s="2" t="str">
        <v/>
      </c>
      <c r="J301" s="2" t="str">
        <v/>
      </c>
      <c r="K301" s="2" t="str">
        <v/>
      </c>
      <c r="L301" s="1" t="str">
        <v/>
      </c>
      <c r="M301" s="2" t="str">
        <v/>
      </c>
      <c r="N301" s="1" t="str">
        <v/>
      </c>
      <c r="O301" s="1" t="str">
        <v/>
      </c>
      <c r="P301" s="1" t="str">
        <v/>
      </c>
      <c r="Q301" s="1">
        <f t="shared" si="16"/>
        <v>0</v>
      </c>
      <c r="R301" s="1">
        <f t="shared" si="17"/>
        <v>0</v>
      </c>
      <c r="T301">
        <f t="shared" si="18"/>
        <v>0</v>
      </c>
      <c r="U301">
        <f t="shared" si="19"/>
        <v>0</v>
      </c>
    </row>
    <row r="302" x14ac:dyDescent="0.35">
      <c r="A302" s="21" t="str">
        <v/>
      </c>
      <c r="B302" s="23" t="str">
        <v/>
      </c>
      <c r="C302" t="str">
        <v/>
      </c>
      <c r="D302" t="str">
        <v/>
      </c>
      <c r="E302" t="str">
        <v/>
      </c>
      <c r="F302" t="str">
        <v/>
      </c>
      <c r="G302" t="str">
        <v/>
      </c>
      <c r="H302" t="str">
        <v/>
      </c>
      <c r="I302" s="2" t="str">
        <v/>
      </c>
      <c r="J302" s="2" t="str">
        <v/>
      </c>
      <c r="K302" s="2" t="str">
        <v/>
      </c>
      <c r="L302" s="1" t="str">
        <v/>
      </c>
      <c r="M302" s="2" t="str">
        <v/>
      </c>
      <c r="N302" s="1" t="str">
        <v/>
      </c>
      <c r="O302" s="1" t="str">
        <v/>
      </c>
      <c r="P302" s="1" t="str">
        <v/>
      </c>
      <c r="Q302" s="1">
        <f t="shared" si="16"/>
        <v>0</v>
      </c>
      <c r="R302" s="1">
        <f t="shared" si="17"/>
        <v>0</v>
      </c>
      <c r="T302">
        <f t="shared" si="18"/>
        <v>0</v>
      </c>
      <c r="U302">
        <f t="shared" si="19"/>
        <v>0</v>
      </c>
    </row>
    <row r="303" x14ac:dyDescent="0.35">
      <c r="A303" s="21" t="str">
        <v/>
      </c>
      <c r="B303" s="23" t="str">
        <v/>
      </c>
      <c r="C303" t="str">
        <v/>
      </c>
      <c r="D303" t="str">
        <v/>
      </c>
      <c r="E303" t="str">
        <v/>
      </c>
      <c r="F303" t="str">
        <v/>
      </c>
      <c r="G303" t="str">
        <v/>
      </c>
      <c r="H303" t="str">
        <v/>
      </c>
      <c r="I303" s="2" t="str">
        <v/>
      </c>
      <c r="J303" s="2" t="str">
        <v/>
      </c>
      <c r="K303" s="2" t="str">
        <v/>
      </c>
      <c r="L303" s="1" t="str">
        <v/>
      </c>
      <c r="M303" s="2" t="str">
        <v/>
      </c>
      <c r="N303" s="1" t="str">
        <v/>
      </c>
      <c r="O303" s="1" t="str">
        <v/>
      </c>
      <c r="P303" s="1" t="str">
        <v/>
      </c>
      <c r="Q303" s="1">
        <f t="shared" si="16"/>
        <v>0</v>
      </c>
      <c r="R303" s="1">
        <f t="shared" si="17"/>
        <v>0</v>
      </c>
      <c r="T303">
        <f t="shared" si="18"/>
        <v>0</v>
      </c>
      <c r="U303">
        <f t="shared" si="19"/>
        <v>0</v>
      </c>
    </row>
    <row r="304" x14ac:dyDescent="0.35">
      <c r="A304" s="21" t="str">
        <v/>
      </c>
      <c r="B304" s="23" t="str">
        <v/>
      </c>
      <c r="C304" t="str">
        <v/>
      </c>
      <c r="D304" t="str">
        <v/>
      </c>
      <c r="E304" t="str">
        <v/>
      </c>
      <c r="F304" t="str">
        <v/>
      </c>
      <c r="G304" t="str">
        <v/>
      </c>
      <c r="H304" t="str">
        <v/>
      </c>
      <c r="I304" s="2" t="str">
        <v/>
      </c>
      <c r="J304" s="2" t="str">
        <v/>
      </c>
      <c r="K304" s="2" t="str">
        <v/>
      </c>
      <c r="L304" s="1" t="str">
        <v/>
      </c>
      <c r="M304" s="2" t="str">
        <v/>
      </c>
      <c r="N304" s="1" t="str">
        <v/>
      </c>
      <c r="O304" s="1" t="str">
        <v/>
      </c>
      <c r="P304" s="1" t="str">
        <v/>
      </c>
      <c r="Q304" s="1">
        <f t="shared" si="16"/>
        <v>0</v>
      </c>
      <c r="R304" s="1">
        <f t="shared" si="17"/>
        <v>0</v>
      </c>
      <c r="T304">
        <f t="shared" si="18"/>
        <v>0</v>
      </c>
      <c r="U304">
        <f t="shared" si="19"/>
        <v>0</v>
      </c>
    </row>
    <row r="305" x14ac:dyDescent="0.35">
      <c r="A305" s="21" t="str">
        <v/>
      </c>
      <c r="B305" s="23" t="str">
        <v/>
      </c>
      <c r="C305" t="str">
        <v/>
      </c>
      <c r="D305" t="str">
        <v/>
      </c>
      <c r="E305" t="str">
        <v/>
      </c>
      <c r="F305" t="str">
        <v/>
      </c>
      <c r="G305" t="str">
        <v/>
      </c>
      <c r="H305" t="str">
        <v/>
      </c>
      <c r="I305" s="2" t="str">
        <v/>
      </c>
      <c r="J305" s="2" t="str">
        <v/>
      </c>
      <c r="K305" s="2" t="str">
        <v/>
      </c>
      <c r="L305" s="1" t="str">
        <v/>
      </c>
      <c r="M305" s="2" t="str">
        <v/>
      </c>
      <c r="N305" s="1" t="str">
        <v/>
      </c>
      <c r="O305" s="1" t="str">
        <v/>
      </c>
      <c r="P305" s="1" t="str">
        <v/>
      </c>
      <c r="Q305" s="1">
        <f t="shared" si="16"/>
        <v>0</v>
      </c>
      <c r="R305" s="1">
        <f t="shared" si="17"/>
        <v>0</v>
      </c>
      <c r="T305">
        <f t="shared" si="18"/>
        <v>0</v>
      </c>
      <c r="U305">
        <f t="shared" si="19"/>
        <v>0</v>
      </c>
    </row>
    <row r="306" x14ac:dyDescent="0.35">
      <c r="A306" s="21" t="str">
        <v/>
      </c>
      <c r="B306" s="23" t="str">
        <v/>
      </c>
      <c r="C306" t="str">
        <v/>
      </c>
      <c r="D306" t="str">
        <v/>
      </c>
      <c r="E306" t="str">
        <v/>
      </c>
      <c r="F306" t="str">
        <v/>
      </c>
      <c r="G306" t="str">
        <v/>
      </c>
      <c r="H306" t="str">
        <v/>
      </c>
      <c r="I306" s="2" t="str">
        <v/>
      </c>
      <c r="J306" s="2" t="str">
        <v/>
      </c>
      <c r="K306" s="2" t="str">
        <v/>
      </c>
      <c r="L306" s="1" t="str">
        <v/>
      </c>
      <c r="M306" s="2" t="str">
        <v/>
      </c>
      <c r="N306" s="1" t="str">
        <v/>
      </c>
      <c r="O306" s="1" t="str">
        <v/>
      </c>
      <c r="P306" s="1" t="str">
        <v/>
      </c>
      <c r="Q306" s="1">
        <f t="shared" si="16"/>
        <v>0</v>
      </c>
      <c r="R306" s="1">
        <f t="shared" si="17"/>
        <v>0</v>
      </c>
      <c r="T306">
        <f t="shared" si="18"/>
        <v>0</v>
      </c>
      <c r="U306">
        <f t="shared" si="19"/>
        <v>0</v>
      </c>
    </row>
    <row r="307" x14ac:dyDescent="0.35">
      <c r="A307" s="21" t="str">
        <v/>
      </c>
      <c r="B307" s="23" t="str">
        <v/>
      </c>
      <c r="C307" t="str">
        <v/>
      </c>
      <c r="D307" t="str">
        <v/>
      </c>
      <c r="E307" t="str">
        <v/>
      </c>
      <c r="F307" t="str">
        <v/>
      </c>
      <c r="G307" t="str">
        <v/>
      </c>
      <c r="H307" t="str">
        <v/>
      </c>
      <c r="I307" s="2" t="str">
        <v/>
      </c>
      <c r="J307" s="2" t="str">
        <v/>
      </c>
      <c r="K307" s="2" t="str">
        <v/>
      </c>
      <c r="L307" s="1" t="str">
        <v/>
      </c>
      <c r="M307" s="2" t="str">
        <v/>
      </c>
      <c r="N307" s="1" t="str">
        <v/>
      </c>
      <c r="O307" s="1" t="str">
        <v/>
      </c>
      <c r="P307" s="1" t="str">
        <v/>
      </c>
      <c r="Q307" s="1">
        <f t="shared" si="16"/>
        <v>0</v>
      </c>
      <c r="R307" s="1">
        <f t="shared" si="17"/>
        <v>0</v>
      </c>
      <c r="T307">
        <f t="shared" si="18"/>
        <v>0</v>
      </c>
      <c r="U307">
        <f t="shared" si="19"/>
        <v>0</v>
      </c>
    </row>
    <row r="308" x14ac:dyDescent="0.35">
      <c r="A308" s="21" t="str">
        <v/>
      </c>
      <c r="B308" s="23" t="str">
        <v/>
      </c>
      <c r="C308" t="str">
        <v/>
      </c>
      <c r="D308" t="str">
        <v/>
      </c>
      <c r="E308" t="str">
        <v/>
      </c>
      <c r="F308" t="str">
        <v/>
      </c>
      <c r="G308" t="str">
        <v/>
      </c>
      <c r="H308" t="str">
        <v/>
      </c>
      <c r="I308" s="2" t="str">
        <v/>
      </c>
      <c r="J308" s="2" t="str">
        <v/>
      </c>
      <c r="K308" s="2" t="str">
        <v/>
      </c>
      <c r="L308" s="1" t="str">
        <v/>
      </c>
      <c r="M308" s="2" t="str">
        <v/>
      </c>
      <c r="N308" s="1" t="str">
        <v/>
      </c>
      <c r="O308" s="1" t="str">
        <v/>
      </c>
      <c r="P308" s="1" t="str">
        <v/>
      </c>
      <c r="Q308" s="1">
        <f t="shared" si="16"/>
        <v>0</v>
      </c>
      <c r="R308" s="1">
        <f t="shared" si="17"/>
        <v>0</v>
      </c>
      <c r="T308">
        <f t="shared" si="18"/>
        <v>0</v>
      </c>
      <c r="U308">
        <f t="shared" si="19"/>
        <v>0</v>
      </c>
    </row>
    <row r="309" x14ac:dyDescent="0.35">
      <c r="A309" s="21" t="str">
        <v/>
      </c>
      <c r="B309" s="23" t="str">
        <v/>
      </c>
      <c r="C309" t="str">
        <v/>
      </c>
      <c r="D309" t="str">
        <v/>
      </c>
      <c r="E309" t="str">
        <v/>
      </c>
      <c r="F309" t="str">
        <v/>
      </c>
      <c r="G309" t="str">
        <v/>
      </c>
      <c r="H309" t="str">
        <v/>
      </c>
      <c r="I309" s="2" t="str">
        <v/>
      </c>
      <c r="J309" s="2" t="str">
        <v/>
      </c>
      <c r="K309" s="2" t="str">
        <v/>
      </c>
      <c r="L309" s="1" t="str">
        <v/>
      </c>
      <c r="M309" s="2" t="str">
        <v/>
      </c>
      <c r="N309" s="1" t="str">
        <v/>
      </c>
      <c r="O309" s="1" t="str">
        <v/>
      </c>
      <c r="P309" s="1" t="str">
        <v/>
      </c>
      <c r="Q309" s="1">
        <f t="shared" si="16"/>
        <v>0</v>
      </c>
      <c r="R309" s="1">
        <f t="shared" si="17"/>
        <v>0</v>
      </c>
      <c r="T309">
        <f t="shared" si="18"/>
        <v>0</v>
      </c>
      <c r="U309">
        <f t="shared" si="19"/>
        <v>0</v>
      </c>
    </row>
    <row r="310" x14ac:dyDescent="0.35">
      <c r="A310" s="21" t="str">
        <v/>
      </c>
      <c r="B310" s="23" t="str">
        <v/>
      </c>
      <c r="C310" t="str">
        <v/>
      </c>
      <c r="D310" t="str">
        <v/>
      </c>
      <c r="E310" t="str">
        <v/>
      </c>
      <c r="F310" t="str">
        <v/>
      </c>
      <c r="G310" t="str">
        <v/>
      </c>
      <c r="H310" t="str">
        <v/>
      </c>
      <c r="I310" s="2" t="str">
        <v/>
      </c>
      <c r="J310" s="2" t="str">
        <v/>
      </c>
      <c r="K310" s="2" t="str">
        <v/>
      </c>
      <c r="L310" s="1" t="str">
        <v/>
      </c>
      <c r="M310" s="2" t="str">
        <v/>
      </c>
      <c r="N310" s="1" t="str">
        <v/>
      </c>
      <c r="O310" s="1" t="str">
        <v/>
      </c>
      <c r="P310" s="1" t="str">
        <v/>
      </c>
      <c r="Q310" s="1">
        <f t="shared" si="16"/>
        <v>0</v>
      </c>
      <c r="R310" s="1">
        <f t="shared" si="17"/>
        <v>0</v>
      </c>
      <c r="T310">
        <f t="shared" si="18"/>
        <v>0</v>
      </c>
      <c r="U310">
        <f t="shared" si="19"/>
        <v>0</v>
      </c>
    </row>
    <row r="311" x14ac:dyDescent="0.35">
      <c r="A311" s="21" t="str">
        <v/>
      </c>
      <c r="B311" s="23" t="str">
        <v/>
      </c>
      <c r="C311" t="str">
        <v/>
      </c>
      <c r="D311" t="str">
        <v/>
      </c>
      <c r="E311" t="str">
        <v/>
      </c>
      <c r="F311" t="str">
        <v/>
      </c>
      <c r="G311" t="str">
        <v/>
      </c>
      <c r="H311" t="str">
        <v/>
      </c>
      <c r="I311" s="2" t="str">
        <v/>
      </c>
      <c r="J311" s="2" t="str">
        <v/>
      </c>
      <c r="K311" s="2" t="str">
        <v/>
      </c>
      <c r="L311" s="1" t="str">
        <v/>
      </c>
      <c r="M311" s="2" t="str">
        <v/>
      </c>
      <c r="N311" s="1" t="str">
        <v/>
      </c>
      <c r="O311" s="1" t="str">
        <v/>
      </c>
      <c r="P311" s="1" t="str">
        <v/>
      </c>
      <c r="Q311" s="1">
        <f t="shared" si="16"/>
        <v>0</v>
      </c>
      <c r="R311" s="1">
        <f t="shared" si="17"/>
        <v>0</v>
      </c>
      <c r="T311">
        <f t="shared" si="18"/>
        <v>0</v>
      </c>
      <c r="U311">
        <f t="shared" si="19"/>
        <v>0</v>
      </c>
    </row>
    <row r="312" x14ac:dyDescent="0.35">
      <c r="A312" s="21" t="str">
        <v/>
      </c>
      <c r="B312" s="23" t="str">
        <v/>
      </c>
      <c r="C312" t="str">
        <v/>
      </c>
      <c r="D312" t="str">
        <v/>
      </c>
      <c r="E312" t="str">
        <v/>
      </c>
      <c r="F312" t="str">
        <v/>
      </c>
      <c r="G312" t="str">
        <v/>
      </c>
      <c r="H312" t="str">
        <v/>
      </c>
      <c r="I312" s="2" t="str">
        <v/>
      </c>
      <c r="J312" s="2" t="str">
        <v/>
      </c>
      <c r="K312" s="2" t="str">
        <v/>
      </c>
      <c r="L312" s="1" t="str">
        <v/>
      </c>
      <c r="M312" s="2" t="str">
        <v/>
      </c>
      <c r="N312" s="1" t="str">
        <v/>
      </c>
      <c r="O312" s="1" t="str">
        <v/>
      </c>
      <c r="P312" s="1" t="str">
        <v/>
      </c>
      <c r="Q312" s="1">
        <f t="shared" si="16"/>
        <v>0</v>
      </c>
      <c r="R312" s="1">
        <f t="shared" si="17"/>
        <v>0</v>
      </c>
      <c r="T312">
        <f t="shared" si="18"/>
        <v>0</v>
      </c>
      <c r="U312">
        <f t="shared" si="19"/>
        <v>0</v>
      </c>
    </row>
    <row r="313" x14ac:dyDescent="0.35">
      <c r="A313" s="21" t="str">
        <v/>
      </c>
      <c r="B313" s="23" t="str">
        <v/>
      </c>
      <c r="C313" t="str">
        <v/>
      </c>
      <c r="D313" t="str">
        <v/>
      </c>
      <c r="E313" t="str">
        <v/>
      </c>
      <c r="F313" t="str">
        <v/>
      </c>
      <c r="G313" t="str">
        <v/>
      </c>
      <c r="H313" t="str">
        <v/>
      </c>
      <c r="I313" s="2" t="str">
        <v/>
      </c>
      <c r="J313" s="2" t="str">
        <v/>
      </c>
      <c r="K313" s="2" t="str">
        <v/>
      </c>
      <c r="L313" s="1" t="str">
        <v/>
      </c>
      <c r="M313" s="2" t="str">
        <v/>
      </c>
      <c r="N313" s="1" t="str">
        <v/>
      </c>
      <c r="O313" s="1" t="str">
        <v/>
      </c>
      <c r="P313" s="1" t="str">
        <v/>
      </c>
      <c r="Q313" s="1">
        <f t="shared" si="16"/>
        <v>0</v>
      </c>
      <c r="R313" s="1">
        <f t="shared" si="17"/>
        <v>0</v>
      </c>
      <c r="T313">
        <f t="shared" si="18"/>
        <v>0</v>
      </c>
      <c r="U313">
        <f t="shared" si="19"/>
        <v>0</v>
      </c>
    </row>
    <row r="314" x14ac:dyDescent="0.35">
      <c r="A314" s="21" t="str">
        <v/>
      </c>
      <c r="B314" s="23" t="str">
        <v/>
      </c>
      <c r="C314" t="str">
        <v/>
      </c>
      <c r="D314" t="str">
        <v/>
      </c>
      <c r="E314" t="str">
        <v/>
      </c>
      <c r="F314" t="str">
        <v/>
      </c>
      <c r="G314" t="str">
        <v/>
      </c>
      <c r="H314" t="str">
        <v/>
      </c>
      <c r="I314" s="2" t="str">
        <v/>
      </c>
      <c r="J314" s="2" t="str">
        <v/>
      </c>
      <c r="K314" s="2" t="str">
        <v/>
      </c>
      <c r="L314" s="1" t="str">
        <v/>
      </c>
      <c r="M314" s="2" t="str">
        <v/>
      </c>
      <c r="N314" s="1" t="str">
        <v/>
      </c>
      <c r="O314" s="1" t="str">
        <v/>
      </c>
      <c r="P314" s="1" t="str">
        <v/>
      </c>
      <c r="Q314" s="1">
        <f t="shared" si="16"/>
        <v>0</v>
      </c>
      <c r="R314" s="1">
        <f t="shared" si="17"/>
        <v>0</v>
      </c>
      <c r="T314">
        <f t="shared" si="18"/>
        <v>0</v>
      </c>
      <c r="U314">
        <f t="shared" si="19"/>
        <v>0</v>
      </c>
    </row>
    <row r="315" x14ac:dyDescent="0.35">
      <c r="A315" s="21" t="str">
        <v/>
      </c>
      <c r="B315" s="23" t="str">
        <v/>
      </c>
      <c r="C315" t="str">
        <v/>
      </c>
      <c r="D315" t="str">
        <v/>
      </c>
      <c r="E315" t="str">
        <v/>
      </c>
      <c r="F315" t="str">
        <v/>
      </c>
      <c r="G315" t="str">
        <v/>
      </c>
      <c r="H315" t="str">
        <v/>
      </c>
      <c r="I315" s="2" t="str">
        <v/>
      </c>
      <c r="J315" s="2" t="str">
        <v/>
      </c>
      <c r="K315" s="2" t="str">
        <v/>
      </c>
      <c r="L315" s="1" t="str">
        <v/>
      </c>
      <c r="M315" s="2" t="str">
        <v/>
      </c>
      <c r="N315" s="1" t="str">
        <v/>
      </c>
      <c r="O315" s="1" t="str">
        <v/>
      </c>
      <c r="P315" s="1" t="str">
        <v/>
      </c>
      <c r="Q315" s="1">
        <f t="shared" si="16"/>
        <v>0</v>
      </c>
      <c r="R315" s="1">
        <f t="shared" si="17"/>
        <v>0</v>
      </c>
      <c r="T315">
        <f t="shared" si="18"/>
        <v>0</v>
      </c>
      <c r="U315">
        <f t="shared" si="19"/>
        <v>0</v>
      </c>
    </row>
    <row r="316" x14ac:dyDescent="0.35">
      <c r="A316" s="21" t="str">
        <v/>
      </c>
      <c r="B316" s="23" t="str">
        <v/>
      </c>
      <c r="C316" t="str">
        <v/>
      </c>
      <c r="D316" t="str">
        <v/>
      </c>
      <c r="E316" t="str">
        <v/>
      </c>
      <c r="F316" t="str">
        <v/>
      </c>
      <c r="G316" t="str">
        <v/>
      </c>
      <c r="H316" t="str">
        <v/>
      </c>
      <c r="I316" s="2" t="str">
        <v/>
      </c>
      <c r="J316" s="2" t="str">
        <v/>
      </c>
      <c r="K316" s="2" t="str">
        <v/>
      </c>
      <c r="L316" s="1" t="str">
        <v/>
      </c>
      <c r="M316" s="2" t="str">
        <v/>
      </c>
      <c r="N316" s="1" t="str">
        <v/>
      </c>
      <c r="O316" s="1" t="str">
        <v/>
      </c>
      <c r="P316" s="1" t="str">
        <v/>
      </c>
      <c r="Q316" s="1">
        <f t="shared" si="16"/>
        <v>0</v>
      </c>
      <c r="R316" s="1">
        <f t="shared" si="17"/>
        <v>0</v>
      </c>
      <c r="T316">
        <f t="shared" si="18"/>
        <v>0</v>
      </c>
      <c r="U316">
        <f t="shared" si="19"/>
        <v>0</v>
      </c>
    </row>
    <row r="317" x14ac:dyDescent="0.35">
      <c r="A317" s="21" t="str">
        <v/>
      </c>
      <c r="B317" s="23" t="str">
        <v/>
      </c>
      <c r="C317" t="str">
        <v/>
      </c>
      <c r="D317" t="str">
        <v/>
      </c>
      <c r="E317" t="str">
        <v/>
      </c>
      <c r="F317" t="str">
        <v/>
      </c>
      <c r="G317" t="str">
        <v/>
      </c>
      <c r="H317" t="str">
        <v/>
      </c>
      <c r="I317" s="2" t="str">
        <v/>
      </c>
      <c r="J317" s="2" t="str">
        <v/>
      </c>
      <c r="K317" s="2" t="str">
        <v/>
      </c>
      <c r="L317" s="1" t="str">
        <v/>
      </c>
      <c r="M317" s="2" t="str">
        <v/>
      </c>
      <c r="N317" s="1" t="str">
        <v/>
      </c>
      <c r="O317" s="1" t="str">
        <v/>
      </c>
      <c r="P317" s="1" t="str">
        <v/>
      </c>
      <c r="Q317" s="1">
        <f t="shared" si="16"/>
        <v>0</v>
      </c>
      <c r="R317" s="1">
        <f t="shared" si="17"/>
        <v>0</v>
      </c>
      <c r="T317">
        <f t="shared" si="18"/>
        <v>0</v>
      </c>
      <c r="U317">
        <f t="shared" si="19"/>
        <v>0</v>
      </c>
    </row>
    <row r="318" x14ac:dyDescent="0.35">
      <c r="A318" s="21" t="str">
        <v/>
      </c>
      <c r="B318" s="23" t="str">
        <v/>
      </c>
      <c r="C318" t="str">
        <v/>
      </c>
      <c r="D318" t="str">
        <v/>
      </c>
      <c r="E318" t="str">
        <v/>
      </c>
      <c r="F318" t="str">
        <v/>
      </c>
      <c r="G318" t="str">
        <v/>
      </c>
      <c r="H318" t="str">
        <v/>
      </c>
      <c r="I318" s="2" t="str">
        <v/>
      </c>
      <c r="J318" s="2" t="str">
        <v/>
      </c>
      <c r="K318" s="2" t="str">
        <v/>
      </c>
      <c r="L318" s="1" t="str">
        <v/>
      </c>
      <c r="M318" s="2" t="str">
        <v/>
      </c>
      <c r="N318" s="1" t="str">
        <v/>
      </c>
      <c r="O318" s="1" t="str">
        <v/>
      </c>
      <c r="P318" s="1" t="str">
        <v/>
      </c>
      <c r="Q318" s="1">
        <f t="shared" si="16"/>
        <v>0</v>
      </c>
      <c r="R318" s="1">
        <f t="shared" si="17"/>
        <v>0</v>
      </c>
      <c r="T318">
        <f t="shared" si="18"/>
        <v>0</v>
      </c>
      <c r="U318">
        <f t="shared" si="19"/>
        <v>0</v>
      </c>
    </row>
    <row r="319" x14ac:dyDescent="0.35">
      <c r="A319" s="21" t="str">
        <v/>
      </c>
      <c r="B319" s="23" t="str">
        <v/>
      </c>
      <c r="C319" t="str">
        <v/>
      </c>
      <c r="D319" t="str">
        <v/>
      </c>
      <c r="E319" t="str">
        <v/>
      </c>
      <c r="F319" t="str">
        <v/>
      </c>
      <c r="G319" t="str">
        <v/>
      </c>
      <c r="H319" t="str">
        <v/>
      </c>
      <c r="I319" s="2" t="str">
        <v/>
      </c>
      <c r="J319" s="2" t="str">
        <v/>
      </c>
      <c r="K319" s="2" t="str">
        <v/>
      </c>
      <c r="L319" s="1" t="str">
        <v/>
      </c>
      <c r="M319" s="2" t="str">
        <v/>
      </c>
      <c r="N319" s="1" t="str">
        <v/>
      </c>
      <c r="O319" s="1" t="str">
        <v/>
      </c>
      <c r="P319" s="1" t="str">
        <v/>
      </c>
      <c r="Q319" s="1">
        <f t="shared" si="16"/>
        <v>0</v>
      </c>
      <c r="R319" s="1">
        <f t="shared" si="17"/>
        <v>0</v>
      </c>
      <c r="T319">
        <f t="shared" si="18"/>
        <v>0</v>
      </c>
      <c r="U319">
        <f t="shared" si="19"/>
        <v>0</v>
      </c>
    </row>
    <row r="320" x14ac:dyDescent="0.35">
      <c r="A320" s="21" t="str">
        <v/>
      </c>
      <c r="B320" s="23" t="str">
        <v/>
      </c>
      <c r="C320" t="str">
        <v/>
      </c>
      <c r="D320" t="str">
        <v/>
      </c>
      <c r="E320" t="str">
        <v/>
      </c>
      <c r="F320" t="str">
        <v/>
      </c>
      <c r="G320" t="str">
        <v/>
      </c>
      <c r="H320" t="str">
        <v/>
      </c>
      <c r="I320" s="2" t="str">
        <v/>
      </c>
      <c r="J320" s="2" t="str">
        <v/>
      </c>
      <c r="K320" s="2" t="str">
        <v/>
      </c>
      <c r="L320" s="1" t="str">
        <v/>
      </c>
      <c r="M320" s="2" t="str">
        <v/>
      </c>
      <c r="N320" s="1" t="str">
        <v/>
      </c>
      <c r="O320" s="1" t="str">
        <v/>
      </c>
      <c r="P320" s="1" t="str">
        <v/>
      </c>
      <c r="Q320" s="1">
        <f t="shared" si="16"/>
        <v>0</v>
      </c>
      <c r="R320" s="1">
        <f t="shared" si="17"/>
        <v>0</v>
      </c>
      <c r="T320">
        <f t="shared" si="18"/>
        <v>0</v>
      </c>
      <c r="U320">
        <f t="shared" si="19"/>
        <v>0</v>
      </c>
    </row>
    <row r="321" x14ac:dyDescent="0.35">
      <c r="A321" s="21" t="str">
        <v/>
      </c>
      <c r="B321" s="23" t="str">
        <v/>
      </c>
      <c r="C321" t="str">
        <v/>
      </c>
      <c r="D321" t="str">
        <v/>
      </c>
      <c r="E321" t="str">
        <v/>
      </c>
      <c r="F321" t="str">
        <v/>
      </c>
      <c r="G321" t="str">
        <v/>
      </c>
      <c r="H321" t="str">
        <v/>
      </c>
      <c r="I321" s="2" t="str">
        <v/>
      </c>
      <c r="J321" s="2" t="str">
        <v/>
      </c>
      <c r="K321" s="2" t="str">
        <v/>
      </c>
      <c r="L321" s="1" t="str">
        <v/>
      </c>
      <c r="M321" s="2" t="str">
        <v/>
      </c>
      <c r="N321" s="1" t="str">
        <v/>
      </c>
      <c r="O321" s="1" t="str">
        <v/>
      </c>
      <c r="P321" s="1" t="str">
        <v/>
      </c>
      <c r="Q321" s="1">
        <f t="shared" si="16"/>
        <v>0</v>
      </c>
      <c r="R321" s="1">
        <f t="shared" si="17"/>
        <v>0</v>
      </c>
      <c r="T321">
        <f t="shared" si="18"/>
        <v>0</v>
      </c>
      <c r="U321">
        <f t="shared" si="19"/>
        <v>0</v>
      </c>
    </row>
    <row r="322" x14ac:dyDescent="0.35">
      <c r="A322" s="21" t="str">
        <v/>
      </c>
      <c r="B322" s="23" t="str">
        <v/>
      </c>
      <c r="C322" t="str">
        <v/>
      </c>
      <c r="D322" t="str">
        <v/>
      </c>
      <c r="E322" t="str">
        <v/>
      </c>
      <c r="F322" t="str">
        <v/>
      </c>
      <c r="G322" t="str">
        <v/>
      </c>
      <c r="H322" t="str">
        <v/>
      </c>
      <c r="I322" s="2" t="str">
        <v/>
      </c>
      <c r="J322" s="2" t="str">
        <v/>
      </c>
      <c r="K322" s="2" t="str">
        <v/>
      </c>
      <c r="L322" s="1" t="str">
        <v/>
      </c>
      <c r="M322" s="2" t="str">
        <v/>
      </c>
      <c r="N322" s="1" t="str">
        <v/>
      </c>
      <c r="O322" s="1" t="str">
        <v/>
      </c>
      <c r="P322" s="1" t="str">
        <v/>
      </c>
      <c r="Q322" s="1">
        <f t="shared" si="16"/>
        <v>0</v>
      </c>
      <c r="R322" s="1">
        <f t="shared" si="17"/>
        <v>0</v>
      </c>
      <c r="T322">
        <f t="shared" si="18"/>
        <v>0</v>
      </c>
      <c r="U322">
        <f t="shared" si="19"/>
        <v>0</v>
      </c>
    </row>
    <row r="323" x14ac:dyDescent="0.35">
      <c r="A323" s="21" t="str">
        <v/>
      </c>
      <c r="B323" s="23" t="str">
        <v/>
      </c>
      <c r="C323" t="str">
        <v/>
      </c>
      <c r="D323" t="str">
        <v/>
      </c>
      <c r="E323" t="str">
        <v/>
      </c>
      <c r="F323" t="str">
        <v/>
      </c>
      <c r="G323" t="str">
        <v/>
      </c>
      <c r="H323" t="str">
        <v/>
      </c>
      <c r="I323" s="2" t="str">
        <v/>
      </c>
      <c r="J323" s="2" t="str">
        <v/>
      </c>
      <c r="K323" s="2" t="str">
        <v/>
      </c>
      <c r="L323" s="1" t="str">
        <v/>
      </c>
      <c r="M323" s="2" t="str">
        <v/>
      </c>
      <c r="N323" s="1" t="str">
        <v/>
      </c>
      <c r="O323" s="1" t="str">
        <v/>
      </c>
      <c r="P323" s="1" t="str">
        <v/>
      </c>
      <c r="Q323" s="1">
        <f t="shared" ref="Q323:Q386" si="20">IF(H323="Sí",1,0)</f>
        <v>0</v>
      </c>
      <c r="R323" s="1">
        <f t="shared" ref="R323:R386" si="21">IF(L323="En coordinación",1,0)</f>
        <v>0</v>
      </c>
      <c r="T323">
        <f t="shared" ref="T323:T386" si="22">IF(N323="Sí",1,0)</f>
        <v>0</v>
      </c>
      <c r="U323">
        <f t="shared" ref="U323:U386" si="23">IF(L323="Aceptada",1,0)</f>
        <v>0</v>
      </c>
    </row>
    <row r="324" x14ac:dyDescent="0.35">
      <c r="A324" s="21" t="str">
        <v/>
      </c>
      <c r="B324" s="23" t="str">
        <v/>
      </c>
      <c r="C324" t="str">
        <v/>
      </c>
      <c r="D324" t="str">
        <v/>
      </c>
      <c r="E324" t="str">
        <v/>
      </c>
      <c r="F324" t="str">
        <v/>
      </c>
      <c r="G324" t="str">
        <v/>
      </c>
      <c r="H324" t="str">
        <v/>
      </c>
      <c r="I324" s="2" t="str">
        <v/>
      </c>
      <c r="J324" s="2" t="str">
        <v/>
      </c>
      <c r="K324" s="2" t="str">
        <v/>
      </c>
      <c r="L324" s="1" t="str">
        <v/>
      </c>
      <c r="M324" s="2" t="str">
        <v/>
      </c>
      <c r="N324" s="1" t="str">
        <v/>
      </c>
      <c r="O324" s="1" t="str">
        <v/>
      </c>
      <c r="P324" s="1" t="str">
        <v/>
      </c>
      <c r="Q324" s="1">
        <f t="shared" si="20"/>
        <v>0</v>
      </c>
      <c r="R324" s="1">
        <f t="shared" si="21"/>
        <v>0</v>
      </c>
      <c r="T324">
        <f t="shared" si="22"/>
        <v>0</v>
      </c>
      <c r="U324">
        <f t="shared" si="23"/>
        <v>0</v>
      </c>
    </row>
    <row r="325" x14ac:dyDescent="0.35">
      <c r="A325" s="21" t="str">
        <v/>
      </c>
      <c r="B325" s="23" t="str">
        <v/>
      </c>
      <c r="C325" t="str">
        <v/>
      </c>
      <c r="D325" t="str">
        <v/>
      </c>
      <c r="E325" t="str">
        <v/>
      </c>
      <c r="F325" t="str">
        <v/>
      </c>
      <c r="G325" t="str">
        <v/>
      </c>
      <c r="H325" t="str">
        <v/>
      </c>
      <c r="I325" s="2" t="str">
        <v/>
      </c>
      <c r="J325" s="2" t="str">
        <v/>
      </c>
      <c r="K325" s="2" t="str">
        <v/>
      </c>
      <c r="L325" s="1" t="str">
        <v/>
      </c>
      <c r="M325" s="2" t="str">
        <v/>
      </c>
      <c r="N325" s="1" t="str">
        <v/>
      </c>
      <c r="O325" s="1" t="str">
        <v/>
      </c>
      <c r="P325" s="1" t="str">
        <v/>
      </c>
      <c r="Q325" s="1">
        <f t="shared" si="20"/>
        <v>0</v>
      </c>
      <c r="R325" s="1">
        <f t="shared" si="21"/>
        <v>0</v>
      </c>
      <c r="T325">
        <f t="shared" si="22"/>
        <v>0</v>
      </c>
      <c r="U325">
        <f t="shared" si="23"/>
        <v>0</v>
      </c>
    </row>
    <row r="326" x14ac:dyDescent="0.35">
      <c r="A326" s="21" t="str">
        <v/>
      </c>
      <c r="B326" s="23" t="str">
        <v/>
      </c>
      <c r="C326" t="str">
        <v/>
      </c>
      <c r="D326" t="str">
        <v/>
      </c>
      <c r="E326" t="str">
        <v/>
      </c>
      <c r="F326" t="str">
        <v/>
      </c>
      <c r="G326" t="str">
        <v/>
      </c>
      <c r="H326" t="str">
        <v/>
      </c>
      <c r="I326" s="2" t="str">
        <v/>
      </c>
      <c r="J326" s="2" t="str">
        <v/>
      </c>
      <c r="K326" s="2" t="str">
        <v/>
      </c>
      <c r="L326" s="1" t="str">
        <v/>
      </c>
      <c r="M326" s="2" t="str">
        <v/>
      </c>
      <c r="N326" s="1" t="str">
        <v/>
      </c>
      <c r="O326" s="1" t="str">
        <v/>
      </c>
      <c r="P326" s="1" t="str">
        <v/>
      </c>
      <c r="Q326" s="1">
        <f t="shared" si="20"/>
        <v>0</v>
      </c>
      <c r="R326" s="1">
        <f t="shared" si="21"/>
        <v>0</v>
      </c>
      <c r="T326">
        <f t="shared" si="22"/>
        <v>0</v>
      </c>
      <c r="U326">
        <f t="shared" si="23"/>
        <v>0</v>
      </c>
    </row>
    <row r="327" x14ac:dyDescent="0.35">
      <c r="A327" s="21" t="str">
        <v/>
      </c>
      <c r="B327" s="23" t="str">
        <v/>
      </c>
      <c r="C327" t="str">
        <v/>
      </c>
      <c r="D327" t="str">
        <v/>
      </c>
      <c r="E327" t="str">
        <v/>
      </c>
      <c r="F327" t="str">
        <v/>
      </c>
      <c r="G327" t="str">
        <v/>
      </c>
      <c r="H327" t="str">
        <v/>
      </c>
      <c r="I327" s="2" t="str">
        <v/>
      </c>
      <c r="J327" s="2" t="str">
        <v/>
      </c>
      <c r="K327" s="2" t="str">
        <v/>
      </c>
      <c r="L327" s="1" t="str">
        <v/>
      </c>
      <c r="M327" s="2" t="str">
        <v/>
      </c>
      <c r="N327" s="1" t="str">
        <v/>
      </c>
      <c r="O327" s="1" t="str">
        <v/>
      </c>
      <c r="P327" s="1" t="str">
        <v/>
      </c>
      <c r="Q327" s="1">
        <f t="shared" si="20"/>
        <v>0</v>
      </c>
      <c r="R327" s="1">
        <f t="shared" si="21"/>
        <v>0</v>
      </c>
      <c r="T327">
        <f t="shared" si="22"/>
        <v>0</v>
      </c>
      <c r="U327">
        <f t="shared" si="23"/>
        <v>0</v>
      </c>
    </row>
    <row r="328" x14ac:dyDescent="0.35">
      <c r="A328" s="21" t="str">
        <v/>
      </c>
      <c r="B328" s="23" t="str">
        <v/>
      </c>
      <c r="C328" t="str">
        <v/>
      </c>
      <c r="D328" t="str">
        <v/>
      </c>
      <c r="E328" t="str">
        <v/>
      </c>
      <c r="F328" t="str">
        <v/>
      </c>
      <c r="G328" t="str">
        <v/>
      </c>
      <c r="H328" t="str">
        <v/>
      </c>
      <c r="I328" s="2" t="str">
        <v/>
      </c>
      <c r="J328" s="2" t="str">
        <v/>
      </c>
      <c r="K328" s="2" t="str">
        <v/>
      </c>
      <c r="L328" s="1" t="str">
        <v/>
      </c>
      <c r="M328" s="2" t="str">
        <v/>
      </c>
      <c r="N328" s="1" t="str">
        <v/>
      </c>
      <c r="O328" s="1" t="str">
        <v/>
      </c>
      <c r="P328" s="1" t="str">
        <v/>
      </c>
      <c r="Q328" s="1">
        <f t="shared" si="20"/>
        <v>0</v>
      </c>
      <c r="R328" s="1">
        <f t="shared" si="21"/>
        <v>0</v>
      </c>
      <c r="T328">
        <f t="shared" si="22"/>
        <v>0</v>
      </c>
      <c r="U328">
        <f t="shared" si="23"/>
        <v>0</v>
      </c>
    </row>
    <row r="329" x14ac:dyDescent="0.35">
      <c r="A329" s="21" t="str">
        <v/>
      </c>
      <c r="B329" s="23" t="str">
        <v/>
      </c>
      <c r="C329" t="str">
        <v/>
      </c>
      <c r="D329" t="str">
        <v/>
      </c>
      <c r="E329" t="str">
        <v/>
      </c>
      <c r="F329" t="str">
        <v/>
      </c>
      <c r="G329" t="str">
        <v/>
      </c>
      <c r="H329" t="str">
        <v/>
      </c>
      <c r="I329" s="2" t="str">
        <v/>
      </c>
      <c r="J329" s="2" t="str">
        <v/>
      </c>
      <c r="K329" s="2" t="str">
        <v/>
      </c>
      <c r="L329" s="1" t="str">
        <v/>
      </c>
      <c r="M329" s="2" t="str">
        <v/>
      </c>
      <c r="N329" s="1" t="str">
        <v/>
      </c>
      <c r="O329" s="1" t="str">
        <v/>
      </c>
      <c r="P329" s="1" t="str">
        <v/>
      </c>
      <c r="Q329" s="1">
        <f t="shared" si="20"/>
        <v>0</v>
      </c>
      <c r="R329" s="1">
        <f t="shared" si="21"/>
        <v>0</v>
      </c>
      <c r="T329">
        <f t="shared" si="22"/>
        <v>0</v>
      </c>
      <c r="U329">
        <f t="shared" si="23"/>
        <v>0</v>
      </c>
    </row>
    <row r="330" x14ac:dyDescent="0.35">
      <c r="A330" s="21" t="str">
        <v/>
      </c>
      <c r="B330" s="23" t="str">
        <v/>
      </c>
      <c r="C330" t="str">
        <v/>
      </c>
      <c r="D330" t="str">
        <v/>
      </c>
      <c r="E330" t="str">
        <v/>
      </c>
      <c r="F330" t="str">
        <v/>
      </c>
      <c r="G330" t="str">
        <v/>
      </c>
      <c r="H330" t="str">
        <v/>
      </c>
      <c r="I330" s="2" t="str">
        <v/>
      </c>
      <c r="J330" s="2" t="str">
        <v/>
      </c>
      <c r="K330" s="2" t="str">
        <v/>
      </c>
      <c r="L330" s="1" t="str">
        <v/>
      </c>
      <c r="M330" s="2" t="str">
        <v/>
      </c>
      <c r="N330" s="1" t="str">
        <v/>
      </c>
      <c r="O330" s="1" t="str">
        <v/>
      </c>
      <c r="P330" s="1" t="str">
        <v/>
      </c>
      <c r="Q330" s="1">
        <f t="shared" si="20"/>
        <v>0</v>
      </c>
      <c r="R330" s="1">
        <f t="shared" si="21"/>
        <v>0</v>
      </c>
      <c r="T330">
        <f t="shared" si="22"/>
        <v>0</v>
      </c>
      <c r="U330">
        <f t="shared" si="23"/>
        <v>0</v>
      </c>
    </row>
    <row r="331" x14ac:dyDescent="0.35">
      <c r="A331" s="21" t="str">
        <v/>
      </c>
      <c r="B331" s="23" t="str">
        <v/>
      </c>
      <c r="C331" t="str">
        <v/>
      </c>
      <c r="D331" t="str">
        <v/>
      </c>
      <c r="E331" t="str">
        <v/>
      </c>
      <c r="F331" t="str">
        <v/>
      </c>
      <c r="G331" t="str">
        <v/>
      </c>
      <c r="H331" t="str">
        <v/>
      </c>
      <c r="I331" s="2" t="str">
        <v/>
      </c>
      <c r="J331" s="2" t="str">
        <v/>
      </c>
      <c r="K331" s="2" t="str">
        <v/>
      </c>
      <c r="L331" s="1" t="str">
        <v/>
      </c>
      <c r="M331" s="2" t="str">
        <v/>
      </c>
      <c r="N331" s="1" t="str">
        <v/>
      </c>
      <c r="O331" s="1" t="str">
        <v/>
      </c>
      <c r="P331" s="1" t="str">
        <v/>
      </c>
      <c r="Q331" s="1">
        <f t="shared" si="20"/>
        <v>0</v>
      </c>
      <c r="R331" s="1">
        <f t="shared" si="21"/>
        <v>0</v>
      </c>
      <c r="T331">
        <f t="shared" si="22"/>
        <v>0</v>
      </c>
      <c r="U331">
        <f t="shared" si="23"/>
        <v>0</v>
      </c>
    </row>
    <row r="332" x14ac:dyDescent="0.35">
      <c r="A332" s="21" t="str">
        <v/>
      </c>
      <c r="B332" s="23" t="str">
        <v/>
      </c>
      <c r="C332" t="str">
        <v/>
      </c>
      <c r="D332" t="str">
        <v/>
      </c>
      <c r="E332" t="str">
        <v/>
      </c>
      <c r="F332" t="str">
        <v/>
      </c>
      <c r="G332" t="str">
        <v/>
      </c>
      <c r="H332" t="str">
        <v/>
      </c>
      <c r="I332" s="2" t="str">
        <v/>
      </c>
      <c r="J332" s="2" t="str">
        <v/>
      </c>
      <c r="K332" s="2" t="str">
        <v/>
      </c>
      <c r="L332" s="1" t="str">
        <v/>
      </c>
      <c r="M332" s="2" t="str">
        <v/>
      </c>
      <c r="N332" s="1" t="str">
        <v/>
      </c>
      <c r="O332" s="1" t="str">
        <v/>
      </c>
      <c r="P332" s="1" t="str">
        <v/>
      </c>
      <c r="Q332" s="1">
        <f t="shared" si="20"/>
        <v>0</v>
      </c>
      <c r="R332" s="1">
        <f t="shared" si="21"/>
        <v>0</v>
      </c>
      <c r="T332">
        <f t="shared" si="22"/>
        <v>0</v>
      </c>
      <c r="U332">
        <f t="shared" si="23"/>
        <v>0</v>
      </c>
    </row>
    <row r="333" x14ac:dyDescent="0.35">
      <c r="A333" s="21" t="str">
        <v/>
      </c>
      <c r="B333" s="23" t="str">
        <v/>
      </c>
      <c r="C333" t="str">
        <v/>
      </c>
      <c r="D333" t="str">
        <v/>
      </c>
      <c r="E333" t="str">
        <v/>
      </c>
      <c r="F333" t="str">
        <v/>
      </c>
      <c r="G333" t="str">
        <v/>
      </c>
      <c r="H333" t="str">
        <v/>
      </c>
      <c r="I333" s="2" t="str">
        <v/>
      </c>
      <c r="J333" s="2" t="str">
        <v/>
      </c>
      <c r="K333" s="2" t="str">
        <v/>
      </c>
      <c r="L333" s="1" t="str">
        <v/>
      </c>
      <c r="M333" s="2" t="str">
        <v/>
      </c>
      <c r="N333" s="1" t="str">
        <v/>
      </c>
      <c r="O333" s="1" t="str">
        <v/>
      </c>
      <c r="P333" s="1" t="str">
        <v/>
      </c>
      <c r="Q333" s="1">
        <f t="shared" si="20"/>
        <v>0</v>
      </c>
      <c r="R333" s="1">
        <f t="shared" si="21"/>
        <v>0</v>
      </c>
      <c r="T333">
        <f t="shared" si="22"/>
        <v>0</v>
      </c>
      <c r="U333">
        <f t="shared" si="23"/>
        <v>0</v>
      </c>
    </row>
    <row r="334" x14ac:dyDescent="0.35">
      <c r="A334" s="21" t="str">
        <v/>
      </c>
      <c r="B334" s="23" t="str">
        <v/>
      </c>
      <c r="C334" t="str">
        <v/>
      </c>
      <c r="D334" t="str">
        <v/>
      </c>
      <c r="E334" t="str">
        <v/>
      </c>
      <c r="F334" t="str">
        <v/>
      </c>
      <c r="G334" t="str">
        <v/>
      </c>
      <c r="H334" t="str">
        <v/>
      </c>
      <c r="I334" s="2" t="str">
        <v/>
      </c>
      <c r="J334" s="2" t="str">
        <v/>
      </c>
      <c r="K334" s="2" t="str">
        <v/>
      </c>
      <c r="L334" s="1" t="str">
        <v/>
      </c>
      <c r="M334" s="2" t="str">
        <v/>
      </c>
      <c r="N334" s="1" t="str">
        <v/>
      </c>
      <c r="O334" s="1" t="str">
        <v/>
      </c>
      <c r="P334" s="1" t="str">
        <v/>
      </c>
      <c r="Q334" s="1">
        <f t="shared" si="20"/>
        <v>0</v>
      </c>
      <c r="R334" s="1">
        <f t="shared" si="21"/>
        <v>0</v>
      </c>
      <c r="T334">
        <f t="shared" si="22"/>
        <v>0</v>
      </c>
      <c r="U334">
        <f t="shared" si="23"/>
        <v>0</v>
      </c>
    </row>
    <row r="335" x14ac:dyDescent="0.35">
      <c r="A335" s="21" t="str">
        <v/>
      </c>
      <c r="B335" s="23" t="str">
        <v/>
      </c>
      <c r="C335" t="str">
        <v/>
      </c>
      <c r="D335" t="str">
        <v/>
      </c>
      <c r="E335" t="str">
        <v/>
      </c>
      <c r="F335" t="str">
        <v/>
      </c>
      <c r="G335" t="str">
        <v/>
      </c>
      <c r="H335" t="str">
        <v/>
      </c>
      <c r="I335" s="2" t="str">
        <v/>
      </c>
      <c r="J335" s="2" t="str">
        <v/>
      </c>
      <c r="K335" s="2" t="str">
        <v/>
      </c>
      <c r="L335" s="1" t="str">
        <v/>
      </c>
      <c r="M335" s="2" t="str">
        <v/>
      </c>
      <c r="N335" s="1" t="str">
        <v/>
      </c>
      <c r="O335" s="1" t="str">
        <v/>
      </c>
      <c r="P335" s="1" t="str">
        <v/>
      </c>
      <c r="Q335" s="1">
        <f t="shared" si="20"/>
        <v>0</v>
      </c>
      <c r="R335" s="1">
        <f t="shared" si="21"/>
        <v>0</v>
      </c>
      <c r="T335">
        <f t="shared" si="22"/>
        <v>0</v>
      </c>
      <c r="U335">
        <f t="shared" si="23"/>
        <v>0</v>
      </c>
    </row>
    <row r="336" x14ac:dyDescent="0.35">
      <c r="A336" s="21" t="str">
        <v/>
      </c>
      <c r="B336" s="23" t="str">
        <v/>
      </c>
      <c r="C336" t="str">
        <v/>
      </c>
      <c r="D336" t="str">
        <v/>
      </c>
      <c r="E336" t="str">
        <v/>
      </c>
      <c r="F336" t="str">
        <v/>
      </c>
      <c r="G336" t="str">
        <v/>
      </c>
      <c r="H336" t="str">
        <v/>
      </c>
      <c r="I336" s="2" t="str">
        <v/>
      </c>
      <c r="J336" s="2" t="str">
        <v/>
      </c>
      <c r="K336" s="2" t="str">
        <v/>
      </c>
      <c r="L336" s="1" t="str">
        <v/>
      </c>
      <c r="M336" s="2" t="str">
        <v/>
      </c>
      <c r="N336" s="1" t="str">
        <v/>
      </c>
      <c r="O336" s="1" t="str">
        <v/>
      </c>
      <c r="P336" s="1" t="str">
        <v/>
      </c>
      <c r="Q336" s="1">
        <f t="shared" si="20"/>
        <v>0</v>
      </c>
      <c r="R336" s="1">
        <f t="shared" si="21"/>
        <v>0</v>
      </c>
      <c r="T336">
        <f t="shared" si="22"/>
        <v>0</v>
      </c>
      <c r="U336">
        <f t="shared" si="23"/>
        <v>0</v>
      </c>
    </row>
    <row r="337" x14ac:dyDescent="0.35">
      <c r="A337" s="21" t="str">
        <v/>
      </c>
      <c r="B337" s="23" t="str">
        <v/>
      </c>
      <c r="C337" t="str">
        <v/>
      </c>
      <c r="D337" t="str">
        <v/>
      </c>
      <c r="E337" t="str">
        <v/>
      </c>
      <c r="F337" t="str">
        <v/>
      </c>
      <c r="G337" t="str">
        <v/>
      </c>
      <c r="H337" t="str">
        <v/>
      </c>
      <c r="I337" s="2" t="str">
        <v/>
      </c>
      <c r="J337" s="2" t="str">
        <v/>
      </c>
      <c r="K337" s="2" t="str">
        <v/>
      </c>
      <c r="L337" s="1" t="str">
        <v/>
      </c>
      <c r="M337" s="2" t="str">
        <v/>
      </c>
      <c r="N337" s="1" t="str">
        <v/>
      </c>
      <c r="O337" s="1" t="str">
        <v/>
      </c>
      <c r="P337" s="1" t="str">
        <v/>
      </c>
      <c r="Q337" s="1">
        <f t="shared" si="20"/>
        <v>0</v>
      </c>
      <c r="R337" s="1">
        <f t="shared" si="21"/>
        <v>0</v>
      </c>
      <c r="T337">
        <f t="shared" si="22"/>
        <v>0</v>
      </c>
      <c r="U337">
        <f t="shared" si="23"/>
        <v>0</v>
      </c>
    </row>
    <row r="338" x14ac:dyDescent="0.35">
      <c r="A338" s="21" t="str">
        <v/>
      </c>
      <c r="B338" s="23" t="str">
        <v/>
      </c>
      <c r="C338" t="str">
        <v/>
      </c>
      <c r="D338" t="str">
        <v/>
      </c>
      <c r="E338" t="str">
        <v/>
      </c>
      <c r="F338" t="str">
        <v/>
      </c>
      <c r="G338" t="str">
        <v/>
      </c>
      <c r="H338" t="str">
        <v/>
      </c>
      <c r="I338" s="2" t="str">
        <v/>
      </c>
      <c r="J338" s="2" t="str">
        <v/>
      </c>
      <c r="K338" s="2" t="str">
        <v/>
      </c>
      <c r="L338" s="1" t="str">
        <v/>
      </c>
      <c r="M338" s="2" t="str">
        <v/>
      </c>
      <c r="N338" s="1" t="str">
        <v/>
      </c>
      <c r="O338" s="1" t="str">
        <v/>
      </c>
      <c r="P338" s="1" t="str">
        <v/>
      </c>
      <c r="Q338" s="1">
        <f t="shared" si="20"/>
        <v>0</v>
      </c>
      <c r="R338" s="1">
        <f t="shared" si="21"/>
        <v>0</v>
      </c>
      <c r="T338">
        <f t="shared" si="22"/>
        <v>0</v>
      </c>
      <c r="U338">
        <f t="shared" si="23"/>
        <v>0</v>
      </c>
    </row>
    <row r="339" x14ac:dyDescent="0.35">
      <c r="A339" s="21" t="str">
        <v/>
      </c>
      <c r="B339" s="23" t="str">
        <v/>
      </c>
      <c r="C339" t="str">
        <v/>
      </c>
      <c r="D339" t="str">
        <v/>
      </c>
      <c r="E339" t="str">
        <v/>
      </c>
      <c r="F339" t="str">
        <v/>
      </c>
      <c r="G339" t="str">
        <v/>
      </c>
      <c r="H339" t="str">
        <v/>
      </c>
      <c r="I339" s="2" t="str">
        <v/>
      </c>
      <c r="J339" s="2" t="str">
        <v/>
      </c>
      <c r="K339" s="2" t="str">
        <v/>
      </c>
      <c r="L339" s="1" t="str">
        <v/>
      </c>
      <c r="M339" s="2" t="str">
        <v/>
      </c>
      <c r="N339" s="1" t="str">
        <v/>
      </c>
      <c r="O339" s="1" t="str">
        <v/>
      </c>
      <c r="P339" s="1" t="str">
        <v/>
      </c>
      <c r="Q339" s="1">
        <f t="shared" si="20"/>
        <v>0</v>
      </c>
      <c r="R339" s="1">
        <f t="shared" si="21"/>
        <v>0</v>
      </c>
      <c r="T339">
        <f t="shared" si="22"/>
        <v>0</v>
      </c>
      <c r="U339">
        <f t="shared" si="23"/>
        <v>0</v>
      </c>
    </row>
    <row r="340" x14ac:dyDescent="0.35">
      <c r="A340" s="21" t="str">
        <v/>
      </c>
      <c r="B340" s="23" t="str">
        <v/>
      </c>
      <c r="C340" t="str">
        <v/>
      </c>
      <c r="D340" t="str">
        <v/>
      </c>
      <c r="E340" t="str">
        <v/>
      </c>
      <c r="F340" t="str">
        <v/>
      </c>
      <c r="G340" t="str">
        <v/>
      </c>
      <c r="H340" t="str">
        <v/>
      </c>
      <c r="I340" s="2" t="str">
        <v/>
      </c>
      <c r="J340" s="2" t="str">
        <v/>
      </c>
      <c r="K340" s="2" t="str">
        <v/>
      </c>
      <c r="L340" s="1" t="str">
        <v/>
      </c>
      <c r="M340" s="2" t="str">
        <v/>
      </c>
      <c r="N340" s="1" t="str">
        <v/>
      </c>
      <c r="O340" s="1" t="str">
        <v/>
      </c>
      <c r="P340" s="1" t="str">
        <v/>
      </c>
      <c r="Q340" s="1">
        <f t="shared" si="20"/>
        <v>0</v>
      </c>
      <c r="R340" s="1">
        <f t="shared" si="21"/>
        <v>0</v>
      </c>
      <c r="T340">
        <f t="shared" si="22"/>
        <v>0</v>
      </c>
      <c r="U340">
        <f t="shared" si="23"/>
        <v>0</v>
      </c>
    </row>
    <row r="341" x14ac:dyDescent="0.35">
      <c r="A341" s="21" t="str">
        <v/>
      </c>
      <c r="B341" s="23" t="str">
        <v/>
      </c>
      <c r="C341" t="str">
        <v/>
      </c>
      <c r="D341" t="str">
        <v/>
      </c>
      <c r="E341" t="str">
        <v/>
      </c>
      <c r="F341" t="str">
        <v/>
      </c>
      <c r="G341" t="str">
        <v/>
      </c>
      <c r="H341" t="str">
        <v/>
      </c>
      <c r="I341" s="2" t="str">
        <v/>
      </c>
      <c r="J341" s="2" t="str">
        <v/>
      </c>
      <c r="K341" s="2" t="str">
        <v/>
      </c>
      <c r="L341" s="1" t="str">
        <v/>
      </c>
      <c r="M341" s="2" t="str">
        <v/>
      </c>
      <c r="N341" s="1" t="str">
        <v/>
      </c>
      <c r="O341" s="1" t="str">
        <v/>
      </c>
      <c r="P341" s="1" t="str">
        <v/>
      </c>
      <c r="Q341" s="1">
        <f t="shared" si="20"/>
        <v>0</v>
      </c>
      <c r="R341" s="1">
        <f t="shared" si="21"/>
        <v>0</v>
      </c>
      <c r="T341">
        <f t="shared" si="22"/>
        <v>0</v>
      </c>
      <c r="U341">
        <f t="shared" si="23"/>
        <v>0</v>
      </c>
    </row>
    <row r="342" x14ac:dyDescent="0.35">
      <c r="A342" s="21" t="str">
        <v/>
      </c>
      <c r="B342" s="23" t="str">
        <v/>
      </c>
      <c r="C342" t="str">
        <v/>
      </c>
      <c r="D342" t="str">
        <v/>
      </c>
      <c r="E342" t="str">
        <v/>
      </c>
      <c r="F342" t="str">
        <v/>
      </c>
      <c r="G342" t="str">
        <v/>
      </c>
      <c r="H342" t="str">
        <v/>
      </c>
      <c r="I342" s="2" t="str">
        <v/>
      </c>
      <c r="J342" s="2" t="str">
        <v/>
      </c>
      <c r="K342" s="2" t="str">
        <v/>
      </c>
      <c r="L342" s="1" t="str">
        <v/>
      </c>
      <c r="M342" s="2" t="str">
        <v/>
      </c>
      <c r="N342" s="1" t="str">
        <v/>
      </c>
      <c r="O342" s="1" t="str">
        <v/>
      </c>
      <c r="P342" s="1" t="str">
        <v/>
      </c>
      <c r="Q342" s="1">
        <f t="shared" si="20"/>
        <v>0</v>
      </c>
      <c r="R342" s="1">
        <f t="shared" si="21"/>
        <v>0</v>
      </c>
      <c r="T342">
        <f t="shared" si="22"/>
        <v>0</v>
      </c>
      <c r="U342">
        <f t="shared" si="23"/>
        <v>0</v>
      </c>
    </row>
    <row r="343" x14ac:dyDescent="0.35">
      <c r="A343" s="21" t="str">
        <v/>
      </c>
      <c r="B343" s="23" t="str">
        <v/>
      </c>
      <c r="C343" t="str">
        <v/>
      </c>
      <c r="D343" t="str">
        <v/>
      </c>
      <c r="E343" t="str">
        <v/>
      </c>
      <c r="F343" t="str">
        <v/>
      </c>
      <c r="G343" t="str">
        <v/>
      </c>
      <c r="H343" t="str">
        <v/>
      </c>
      <c r="I343" s="2" t="str">
        <v/>
      </c>
      <c r="J343" s="2" t="str">
        <v/>
      </c>
      <c r="K343" s="2" t="str">
        <v/>
      </c>
      <c r="L343" s="1" t="str">
        <v/>
      </c>
      <c r="M343" s="2" t="str">
        <v/>
      </c>
      <c r="N343" s="1" t="str">
        <v/>
      </c>
      <c r="O343" s="1" t="str">
        <v/>
      </c>
      <c r="P343" s="1" t="str">
        <v/>
      </c>
      <c r="Q343" s="1">
        <f t="shared" si="20"/>
        <v>0</v>
      </c>
      <c r="R343" s="1">
        <f t="shared" si="21"/>
        <v>0</v>
      </c>
      <c r="T343">
        <f t="shared" si="22"/>
        <v>0</v>
      </c>
      <c r="U343">
        <f t="shared" si="23"/>
        <v>0</v>
      </c>
    </row>
    <row r="344" x14ac:dyDescent="0.35">
      <c r="A344" s="21" t="str">
        <v/>
      </c>
      <c r="B344" s="23" t="str">
        <v/>
      </c>
      <c r="C344" t="str">
        <v/>
      </c>
      <c r="D344" t="str">
        <v/>
      </c>
      <c r="E344" t="str">
        <v/>
      </c>
      <c r="F344" t="str">
        <v/>
      </c>
      <c r="G344" t="str">
        <v/>
      </c>
      <c r="H344" t="str">
        <v/>
      </c>
      <c r="I344" s="2" t="str">
        <v/>
      </c>
      <c r="J344" s="2" t="str">
        <v/>
      </c>
      <c r="K344" s="2" t="str">
        <v/>
      </c>
      <c r="L344" s="1" t="str">
        <v/>
      </c>
      <c r="M344" s="2" t="str">
        <v/>
      </c>
      <c r="N344" s="1" t="str">
        <v/>
      </c>
      <c r="O344" s="1" t="str">
        <v/>
      </c>
      <c r="P344" s="1" t="str">
        <v/>
      </c>
      <c r="Q344" s="1">
        <f t="shared" si="20"/>
        <v>0</v>
      </c>
      <c r="R344" s="1">
        <f t="shared" si="21"/>
        <v>0</v>
      </c>
      <c r="T344">
        <f t="shared" si="22"/>
        <v>0</v>
      </c>
      <c r="U344">
        <f t="shared" si="23"/>
        <v>0</v>
      </c>
    </row>
    <row r="345" x14ac:dyDescent="0.35">
      <c r="A345" s="21" t="str">
        <v/>
      </c>
      <c r="B345" s="23" t="str">
        <v/>
      </c>
      <c r="C345" t="str">
        <v/>
      </c>
      <c r="D345" t="str">
        <v/>
      </c>
      <c r="E345" t="str">
        <v/>
      </c>
      <c r="F345" t="str">
        <v/>
      </c>
      <c r="G345" t="str">
        <v/>
      </c>
      <c r="H345" t="str">
        <v/>
      </c>
      <c r="I345" s="2" t="str">
        <v/>
      </c>
      <c r="J345" s="2" t="str">
        <v/>
      </c>
      <c r="K345" s="2" t="str">
        <v/>
      </c>
      <c r="L345" s="1" t="str">
        <v/>
      </c>
      <c r="M345" s="2" t="str">
        <v/>
      </c>
      <c r="N345" s="1" t="str">
        <v/>
      </c>
      <c r="O345" s="1" t="str">
        <v/>
      </c>
      <c r="P345" s="1" t="str">
        <v/>
      </c>
      <c r="Q345" s="1">
        <f t="shared" si="20"/>
        <v>0</v>
      </c>
      <c r="R345" s="1">
        <f t="shared" si="21"/>
        <v>0</v>
      </c>
      <c r="T345">
        <f t="shared" si="22"/>
        <v>0</v>
      </c>
      <c r="U345">
        <f t="shared" si="23"/>
        <v>0</v>
      </c>
    </row>
    <row r="346" x14ac:dyDescent="0.35">
      <c r="A346" s="21" t="str">
        <v/>
      </c>
      <c r="B346" s="23" t="str">
        <v/>
      </c>
      <c r="C346" t="str">
        <v/>
      </c>
      <c r="D346" t="str">
        <v/>
      </c>
      <c r="E346" t="str">
        <v/>
      </c>
      <c r="F346" t="str">
        <v/>
      </c>
      <c r="G346" t="str">
        <v/>
      </c>
      <c r="H346" t="str">
        <v/>
      </c>
      <c r="I346" s="2" t="str">
        <v/>
      </c>
      <c r="J346" s="2" t="str">
        <v/>
      </c>
      <c r="K346" s="2" t="str">
        <v/>
      </c>
      <c r="L346" s="1" t="str">
        <v/>
      </c>
      <c r="M346" s="2" t="str">
        <v/>
      </c>
      <c r="N346" s="1" t="str">
        <v/>
      </c>
      <c r="O346" s="1" t="str">
        <v/>
      </c>
      <c r="P346" s="1" t="str">
        <v/>
      </c>
      <c r="Q346" s="1">
        <f t="shared" si="20"/>
        <v>0</v>
      </c>
      <c r="R346" s="1">
        <f t="shared" si="21"/>
        <v>0</v>
      </c>
      <c r="T346">
        <f t="shared" si="22"/>
        <v>0</v>
      </c>
      <c r="U346">
        <f t="shared" si="23"/>
        <v>0</v>
      </c>
    </row>
    <row r="347" x14ac:dyDescent="0.35">
      <c r="A347" s="21" t="str">
        <v/>
      </c>
      <c r="B347" s="23" t="str">
        <v/>
      </c>
      <c r="C347" t="str">
        <v/>
      </c>
      <c r="D347" t="str">
        <v/>
      </c>
      <c r="E347" t="str">
        <v/>
      </c>
      <c r="F347" t="str">
        <v/>
      </c>
      <c r="G347" t="str">
        <v/>
      </c>
      <c r="H347" t="str">
        <v/>
      </c>
      <c r="I347" s="2" t="str">
        <v/>
      </c>
      <c r="J347" s="2" t="str">
        <v/>
      </c>
      <c r="K347" s="2" t="str">
        <v/>
      </c>
      <c r="L347" s="1" t="str">
        <v/>
      </c>
      <c r="M347" s="2" t="str">
        <v/>
      </c>
      <c r="N347" s="1" t="str">
        <v/>
      </c>
      <c r="O347" s="1" t="str">
        <v/>
      </c>
      <c r="P347" s="1" t="str">
        <v/>
      </c>
      <c r="Q347" s="1">
        <f t="shared" si="20"/>
        <v>0</v>
      </c>
      <c r="R347" s="1">
        <f t="shared" si="21"/>
        <v>0</v>
      </c>
      <c r="T347">
        <f t="shared" si="22"/>
        <v>0</v>
      </c>
      <c r="U347">
        <f t="shared" si="23"/>
        <v>0</v>
      </c>
    </row>
    <row r="348" x14ac:dyDescent="0.35">
      <c r="A348" s="21" t="str">
        <v/>
      </c>
      <c r="B348" s="23" t="str">
        <v/>
      </c>
      <c r="C348" t="str">
        <v/>
      </c>
      <c r="D348" t="str">
        <v/>
      </c>
      <c r="E348" t="str">
        <v/>
      </c>
      <c r="F348" t="str">
        <v/>
      </c>
      <c r="G348" t="str">
        <v/>
      </c>
      <c r="H348" t="str">
        <v/>
      </c>
      <c r="I348" s="2" t="str">
        <v/>
      </c>
      <c r="J348" s="2" t="str">
        <v/>
      </c>
      <c r="K348" s="2" t="str">
        <v/>
      </c>
      <c r="L348" s="1" t="str">
        <v/>
      </c>
      <c r="M348" s="2" t="str">
        <v/>
      </c>
      <c r="N348" s="1" t="str">
        <v/>
      </c>
      <c r="O348" s="1" t="str">
        <v/>
      </c>
      <c r="P348" s="1" t="str">
        <v/>
      </c>
      <c r="Q348" s="1">
        <f t="shared" si="20"/>
        <v>0</v>
      </c>
      <c r="R348" s="1">
        <f t="shared" si="21"/>
        <v>0</v>
      </c>
      <c r="T348">
        <f t="shared" si="22"/>
        <v>0</v>
      </c>
      <c r="U348">
        <f t="shared" si="23"/>
        <v>0</v>
      </c>
    </row>
    <row r="349" x14ac:dyDescent="0.35">
      <c r="A349" s="21" t="str">
        <v/>
      </c>
      <c r="B349" s="23" t="str">
        <v/>
      </c>
      <c r="C349" t="str">
        <v/>
      </c>
      <c r="D349" t="str">
        <v/>
      </c>
      <c r="E349" t="str">
        <v/>
      </c>
      <c r="F349" t="str">
        <v/>
      </c>
      <c r="G349" t="str">
        <v/>
      </c>
      <c r="H349" t="str">
        <v/>
      </c>
      <c r="I349" s="2" t="str">
        <v/>
      </c>
      <c r="J349" s="2" t="str">
        <v/>
      </c>
      <c r="K349" s="2" t="str">
        <v/>
      </c>
      <c r="L349" s="1" t="str">
        <v/>
      </c>
      <c r="M349" s="2" t="str">
        <v/>
      </c>
      <c r="N349" s="1" t="str">
        <v/>
      </c>
      <c r="O349" s="1" t="str">
        <v/>
      </c>
      <c r="P349" s="1" t="str">
        <v/>
      </c>
      <c r="Q349" s="1">
        <f t="shared" si="20"/>
        <v>0</v>
      </c>
      <c r="R349" s="1">
        <f t="shared" si="21"/>
        <v>0</v>
      </c>
      <c r="T349">
        <f t="shared" si="22"/>
        <v>0</v>
      </c>
      <c r="U349">
        <f t="shared" si="23"/>
        <v>0</v>
      </c>
    </row>
    <row r="350" x14ac:dyDescent="0.35">
      <c r="A350" s="21" t="str">
        <v/>
      </c>
      <c r="B350" s="23" t="str">
        <v/>
      </c>
      <c r="C350" t="str">
        <v/>
      </c>
      <c r="D350" t="str">
        <v/>
      </c>
      <c r="E350" t="str">
        <v/>
      </c>
      <c r="F350" t="str">
        <v/>
      </c>
      <c r="G350" t="str">
        <v/>
      </c>
      <c r="H350" t="str">
        <v/>
      </c>
      <c r="I350" s="2" t="str">
        <v/>
      </c>
      <c r="J350" s="2" t="str">
        <v/>
      </c>
      <c r="K350" s="2" t="str">
        <v/>
      </c>
      <c r="L350" s="1" t="str">
        <v/>
      </c>
      <c r="M350" s="2" t="str">
        <v/>
      </c>
      <c r="N350" s="1" t="str">
        <v/>
      </c>
      <c r="O350" s="1" t="str">
        <v/>
      </c>
      <c r="P350" s="1" t="str">
        <v/>
      </c>
      <c r="Q350" s="1">
        <f t="shared" si="20"/>
        <v>0</v>
      </c>
      <c r="R350" s="1">
        <f t="shared" si="21"/>
        <v>0</v>
      </c>
      <c r="T350">
        <f t="shared" si="22"/>
        <v>0</v>
      </c>
      <c r="U350">
        <f t="shared" si="23"/>
        <v>0</v>
      </c>
    </row>
    <row r="351" x14ac:dyDescent="0.35">
      <c r="A351" s="21" t="str">
        <v/>
      </c>
      <c r="B351" s="23" t="str">
        <v/>
      </c>
      <c r="C351" t="str">
        <v/>
      </c>
      <c r="D351" t="str">
        <v/>
      </c>
      <c r="E351" t="str">
        <v/>
      </c>
      <c r="F351" t="str">
        <v/>
      </c>
      <c r="G351" t="str">
        <v/>
      </c>
      <c r="H351" t="str">
        <v/>
      </c>
      <c r="I351" s="2" t="str">
        <v/>
      </c>
      <c r="J351" s="2" t="str">
        <v/>
      </c>
      <c r="K351" s="2" t="str">
        <v/>
      </c>
      <c r="L351" s="1" t="str">
        <v/>
      </c>
      <c r="M351" s="2" t="str">
        <v/>
      </c>
      <c r="N351" s="1" t="str">
        <v/>
      </c>
      <c r="O351" s="1" t="str">
        <v/>
      </c>
      <c r="P351" s="1" t="str">
        <v/>
      </c>
      <c r="Q351" s="1">
        <f t="shared" si="20"/>
        <v>0</v>
      </c>
      <c r="R351" s="1">
        <f t="shared" si="21"/>
        <v>0</v>
      </c>
      <c r="T351">
        <f t="shared" si="22"/>
        <v>0</v>
      </c>
      <c r="U351">
        <f t="shared" si="23"/>
        <v>0</v>
      </c>
    </row>
    <row r="352" x14ac:dyDescent="0.35">
      <c r="A352" s="21" t="str">
        <v/>
      </c>
      <c r="B352" s="23" t="str">
        <v/>
      </c>
      <c r="C352" t="str">
        <v/>
      </c>
      <c r="D352" t="str">
        <v/>
      </c>
      <c r="E352" t="str">
        <v/>
      </c>
      <c r="F352" t="str">
        <v/>
      </c>
      <c r="G352" t="str">
        <v/>
      </c>
      <c r="H352" t="str">
        <v/>
      </c>
      <c r="I352" s="2" t="str">
        <v/>
      </c>
      <c r="J352" s="2" t="str">
        <v/>
      </c>
      <c r="K352" s="2" t="str">
        <v/>
      </c>
      <c r="L352" s="1" t="str">
        <v/>
      </c>
      <c r="M352" s="2" t="str">
        <v/>
      </c>
      <c r="N352" s="1" t="str">
        <v/>
      </c>
      <c r="O352" s="1" t="str">
        <v/>
      </c>
      <c r="P352" s="1" t="str">
        <v/>
      </c>
      <c r="Q352" s="1">
        <f t="shared" si="20"/>
        <v>0</v>
      </c>
      <c r="R352" s="1">
        <f t="shared" si="21"/>
        <v>0</v>
      </c>
      <c r="T352">
        <f t="shared" si="22"/>
        <v>0</v>
      </c>
      <c r="U352">
        <f t="shared" si="23"/>
        <v>0</v>
      </c>
    </row>
    <row r="353" x14ac:dyDescent="0.35">
      <c r="A353" s="21" t="str">
        <v/>
      </c>
      <c r="B353" s="23" t="str">
        <v/>
      </c>
      <c r="C353" t="str">
        <v/>
      </c>
      <c r="D353" t="str">
        <v/>
      </c>
      <c r="E353" t="str">
        <v/>
      </c>
      <c r="F353" t="str">
        <v/>
      </c>
      <c r="G353" t="str">
        <v/>
      </c>
      <c r="H353" t="str">
        <v/>
      </c>
      <c r="I353" s="2" t="str">
        <v/>
      </c>
      <c r="J353" s="2" t="str">
        <v/>
      </c>
      <c r="K353" s="2" t="str">
        <v/>
      </c>
      <c r="L353" s="1" t="str">
        <v/>
      </c>
      <c r="M353" s="2" t="str">
        <v/>
      </c>
      <c r="N353" s="1" t="str">
        <v/>
      </c>
      <c r="O353" s="1" t="str">
        <v/>
      </c>
      <c r="P353" s="1" t="str">
        <v/>
      </c>
      <c r="Q353" s="1">
        <f t="shared" si="20"/>
        <v>0</v>
      </c>
      <c r="R353" s="1">
        <f t="shared" si="21"/>
        <v>0</v>
      </c>
      <c r="T353">
        <f t="shared" si="22"/>
        <v>0</v>
      </c>
      <c r="U353">
        <f t="shared" si="23"/>
        <v>0</v>
      </c>
    </row>
    <row r="354" x14ac:dyDescent="0.35">
      <c r="A354" s="21" t="str">
        <v/>
      </c>
      <c r="B354" s="23" t="str">
        <v/>
      </c>
      <c r="C354" t="str">
        <v/>
      </c>
      <c r="D354" t="str">
        <v/>
      </c>
      <c r="E354" t="str">
        <v/>
      </c>
      <c r="F354" t="str">
        <v/>
      </c>
      <c r="G354" t="str">
        <v/>
      </c>
      <c r="H354" t="str">
        <v/>
      </c>
      <c r="I354" s="2" t="str">
        <v/>
      </c>
      <c r="J354" s="2" t="str">
        <v/>
      </c>
      <c r="K354" s="2" t="str">
        <v/>
      </c>
      <c r="L354" s="1" t="str">
        <v/>
      </c>
      <c r="M354" s="2" t="str">
        <v/>
      </c>
      <c r="N354" s="1" t="str">
        <v/>
      </c>
      <c r="O354" s="1" t="str">
        <v/>
      </c>
      <c r="P354" s="1" t="str">
        <v/>
      </c>
      <c r="Q354" s="1">
        <f t="shared" si="20"/>
        <v>0</v>
      </c>
      <c r="R354" s="1">
        <f t="shared" si="21"/>
        <v>0</v>
      </c>
      <c r="T354">
        <f t="shared" si="22"/>
        <v>0</v>
      </c>
      <c r="U354">
        <f t="shared" si="23"/>
        <v>0</v>
      </c>
    </row>
    <row r="355" x14ac:dyDescent="0.35">
      <c r="A355" s="21" t="str">
        <v/>
      </c>
      <c r="B355" s="23" t="str">
        <v/>
      </c>
      <c r="C355" t="str">
        <v/>
      </c>
      <c r="D355" t="str">
        <v/>
      </c>
      <c r="E355" t="str">
        <v/>
      </c>
      <c r="F355" t="str">
        <v/>
      </c>
      <c r="G355" t="str">
        <v/>
      </c>
      <c r="H355" t="str">
        <v/>
      </c>
      <c r="I355" s="2" t="str">
        <v/>
      </c>
      <c r="J355" s="2" t="str">
        <v/>
      </c>
      <c r="K355" s="2" t="str">
        <v/>
      </c>
      <c r="L355" s="1" t="str">
        <v/>
      </c>
      <c r="M355" s="2" t="str">
        <v/>
      </c>
      <c r="N355" s="1" t="str">
        <v/>
      </c>
      <c r="O355" s="1" t="str">
        <v/>
      </c>
      <c r="P355" s="1" t="str">
        <v/>
      </c>
      <c r="Q355" s="1">
        <f t="shared" si="20"/>
        <v>0</v>
      </c>
      <c r="R355" s="1">
        <f t="shared" si="21"/>
        <v>0</v>
      </c>
      <c r="T355">
        <f t="shared" si="22"/>
        <v>0</v>
      </c>
      <c r="U355">
        <f t="shared" si="23"/>
        <v>0</v>
      </c>
    </row>
    <row r="356" x14ac:dyDescent="0.35">
      <c r="A356" s="21" t="str">
        <v/>
      </c>
      <c r="B356" s="23" t="str">
        <v/>
      </c>
      <c r="C356" t="str">
        <v/>
      </c>
      <c r="D356" t="str">
        <v/>
      </c>
      <c r="E356" t="str">
        <v/>
      </c>
      <c r="F356" t="str">
        <v/>
      </c>
      <c r="G356" t="str">
        <v/>
      </c>
      <c r="H356" t="str">
        <v/>
      </c>
      <c r="I356" s="2" t="str">
        <v/>
      </c>
      <c r="J356" s="2" t="str">
        <v/>
      </c>
      <c r="K356" s="2" t="str">
        <v/>
      </c>
      <c r="L356" s="1" t="str">
        <v/>
      </c>
      <c r="M356" s="2" t="str">
        <v/>
      </c>
      <c r="N356" s="1" t="str">
        <v/>
      </c>
      <c r="O356" s="1" t="str">
        <v/>
      </c>
      <c r="P356" s="1" t="str">
        <v/>
      </c>
      <c r="Q356" s="1">
        <f t="shared" si="20"/>
        <v>0</v>
      </c>
      <c r="R356" s="1">
        <f t="shared" si="21"/>
        <v>0</v>
      </c>
      <c r="T356">
        <f t="shared" si="22"/>
        <v>0</v>
      </c>
      <c r="U356">
        <f t="shared" si="23"/>
        <v>0</v>
      </c>
    </row>
    <row r="357" x14ac:dyDescent="0.35">
      <c r="A357" s="21" t="str">
        <v/>
      </c>
      <c r="B357" s="23" t="str">
        <v/>
      </c>
      <c r="C357" t="str">
        <v/>
      </c>
      <c r="D357" t="str">
        <v/>
      </c>
      <c r="E357" t="str">
        <v/>
      </c>
      <c r="F357" t="str">
        <v/>
      </c>
      <c r="G357" t="str">
        <v/>
      </c>
      <c r="H357" t="str">
        <v/>
      </c>
      <c r="I357" s="2" t="str">
        <v/>
      </c>
      <c r="J357" s="2" t="str">
        <v/>
      </c>
      <c r="K357" s="2" t="str">
        <v/>
      </c>
      <c r="L357" s="1" t="str">
        <v/>
      </c>
      <c r="M357" s="2" t="str">
        <v/>
      </c>
      <c r="N357" s="1" t="str">
        <v/>
      </c>
      <c r="O357" s="1" t="str">
        <v/>
      </c>
      <c r="P357" s="1" t="str">
        <v/>
      </c>
      <c r="Q357" s="1">
        <f t="shared" si="20"/>
        <v>0</v>
      </c>
      <c r="R357" s="1">
        <f t="shared" si="21"/>
        <v>0</v>
      </c>
      <c r="T357">
        <f t="shared" si="22"/>
        <v>0</v>
      </c>
      <c r="U357">
        <f t="shared" si="23"/>
        <v>0</v>
      </c>
    </row>
    <row r="358" x14ac:dyDescent="0.35">
      <c r="A358" s="21" t="str">
        <v/>
      </c>
      <c r="B358" s="23" t="str">
        <v/>
      </c>
      <c r="C358" t="str">
        <v/>
      </c>
      <c r="D358" t="str">
        <v/>
      </c>
      <c r="E358" t="str">
        <v/>
      </c>
      <c r="F358" t="str">
        <v/>
      </c>
      <c r="G358" t="str">
        <v/>
      </c>
      <c r="H358" t="str">
        <v/>
      </c>
      <c r="I358" s="2" t="str">
        <v/>
      </c>
      <c r="J358" s="2" t="str">
        <v/>
      </c>
      <c r="K358" s="2" t="str">
        <v/>
      </c>
      <c r="L358" s="1" t="str">
        <v/>
      </c>
      <c r="M358" s="2" t="str">
        <v/>
      </c>
      <c r="N358" s="1" t="str">
        <v/>
      </c>
      <c r="O358" s="1" t="str">
        <v/>
      </c>
      <c r="P358" s="1" t="str">
        <v/>
      </c>
      <c r="Q358" s="1">
        <f t="shared" si="20"/>
        <v>0</v>
      </c>
      <c r="R358" s="1">
        <f t="shared" si="21"/>
        <v>0</v>
      </c>
      <c r="T358">
        <f t="shared" si="22"/>
        <v>0</v>
      </c>
      <c r="U358">
        <f t="shared" si="23"/>
        <v>0</v>
      </c>
    </row>
    <row r="359" x14ac:dyDescent="0.35">
      <c r="A359" s="21" t="str">
        <v/>
      </c>
      <c r="B359" s="23" t="str">
        <v/>
      </c>
      <c r="C359" t="str">
        <v/>
      </c>
      <c r="D359" t="str">
        <v/>
      </c>
      <c r="E359" t="str">
        <v/>
      </c>
      <c r="F359" t="str">
        <v/>
      </c>
      <c r="G359" t="str">
        <v/>
      </c>
      <c r="H359" t="str">
        <v/>
      </c>
      <c r="I359" s="2" t="str">
        <v/>
      </c>
      <c r="J359" s="2" t="str">
        <v/>
      </c>
      <c r="K359" s="2" t="str">
        <v/>
      </c>
      <c r="L359" s="1" t="str">
        <v/>
      </c>
      <c r="M359" s="2" t="str">
        <v/>
      </c>
      <c r="N359" s="1" t="str">
        <v/>
      </c>
      <c r="O359" s="1" t="str">
        <v/>
      </c>
      <c r="P359" s="1" t="str">
        <v/>
      </c>
      <c r="Q359" s="1">
        <f t="shared" si="20"/>
        <v>0</v>
      </c>
      <c r="R359" s="1">
        <f t="shared" si="21"/>
        <v>0</v>
      </c>
      <c r="T359">
        <f t="shared" si="22"/>
        <v>0</v>
      </c>
      <c r="U359">
        <f t="shared" si="23"/>
        <v>0</v>
      </c>
    </row>
    <row r="360" x14ac:dyDescent="0.35">
      <c r="A360" s="21" t="str">
        <v/>
      </c>
      <c r="B360" s="23" t="str">
        <v/>
      </c>
      <c r="C360" t="str">
        <v/>
      </c>
      <c r="D360" t="str">
        <v/>
      </c>
      <c r="E360" t="str">
        <v/>
      </c>
      <c r="F360" t="str">
        <v/>
      </c>
      <c r="G360" t="str">
        <v/>
      </c>
      <c r="H360" t="str">
        <v/>
      </c>
      <c r="I360" s="2" t="str">
        <v/>
      </c>
      <c r="J360" s="2" t="str">
        <v/>
      </c>
      <c r="K360" s="2" t="str">
        <v/>
      </c>
      <c r="L360" s="1" t="str">
        <v/>
      </c>
      <c r="M360" s="2" t="str">
        <v/>
      </c>
      <c r="N360" s="1" t="str">
        <v/>
      </c>
      <c r="O360" s="1" t="str">
        <v/>
      </c>
      <c r="P360" s="1" t="str">
        <v/>
      </c>
      <c r="Q360" s="1">
        <f t="shared" si="20"/>
        <v>0</v>
      </c>
      <c r="R360" s="1">
        <f t="shared" si="21"/>
        <v>0</v>
      </c>
      <c r="T360">
        <f t="shared" si="22"/>
        <v>0</v>
      </c>
      <c r="U360">
        <f t="shared" si="23"/>
        <v>0</v>
      </c>
    </row>
    <row r="361" x14ac:dyDescent="0.35">
      <c r="A361" s="21" t="str">
        <v/>
      </c>
      <c r="B361" s="23" t="str">
        <v/>
      </c>
      <c r="C361" t="str">
        <v/>
      </c>
      <c r="D361" t="str">
        <v/>
      </c>
      <c r="E361" t="str">
        <v/>
      </c>
      <c r="F361" t="str">
        <v/>
      </c>
      <c r="G361" t="str">
        <v/>
      </c>
      <c r="H361" t="str">
        <v/>
      </c>
      <c r="I361" s="2" t="str">
        <v/>
      </c>
      <c r="J361" s="2" t="str">
        <v/>
      </c>
      <c r="K361" s="2" t="str">
        <v/>
      </c>
      <c r="L361" s="1" t="str">
        <v/>
      </c>
      <c r="M361" s="2" t="str">
        <v/>
      </c>
      <c r="N361" s="1" t="str">
        <v/>
      </c>
      <c r="O361" s="1" t="str">
        <v/>
      </c>
      <c r="P361" s="1" t="str">
        <v/>
      </c>
      <c r="Q361" s="1">
        <f t="shared" si="20"/>
        <v>0</v>
      </c>
      <c r="R361" s="1">
        <f t="shared" si="21"/>
        <v>0</v>
      </c>
      <c r="T361">
        <f t="shared" si="22"/>
        <v>0</v>
      </c>
      <c r="U361">
        <f t="shared" si="23"/>
        <v>0</v>
      </c>
    </row>
    <row r="362" x14ac:dyDescent="0.35">
      <c r="A362" s="21" t="str">
        <v/>
      </c>
      <c r="B362" s="23" t="str">
        <v/>
      </c>
      <c r="C362" t="str">
        <v/>
      </c>
      <c r="D362" t="str">
        <v/>
      </c>
      <c r="E362" t="str">
        <v/>
      </c>
      <c r="F362" t="str">
        <v/>
      </c>
      <c r="G362" t="str">
        <v/>
      </c>
      <c r="H362" t="str">
        <v/>
      </c>
      <c r="I362" s="2" t="str">
        <v/>
      </c>
      <c r="J362" s="2" t="str">
        <v/>
      </c>
      <c r="K362" s="2" t="str">
        <v/>
      </c>
      <c r="L362" s="1" t="str">
        <v/>
      </c>
      <c r="M362" s="2" t="str">
        <v/>
      </c>
      <c r="N362" s="1" t="str">
        <v/>
      </c>
      <c r="O362" s="1" t="str">
        <v/>
      </c>
      <c r="P362" s="1" t="str">
        <v/>
      </c>
      <c r="Q362" s="1">
        <f t="shared" si="20"/>
        <v>0</v>
      </c>
      <c r="R362" s="1">
        <f t="shared" si="21"/>
        <v>0</v>
      </c>
      <c r="T362">
        <f t="shared" si="22"/>
        <v>0</v>
      </c>
      <c r="U362">
        <f t="shared" si="23"/>
        <v>0</v>
      </c>
    </row>
    <row r="363" x14ac:dyDescent="0.35">
      <c r="A363" s="21" t="str">
        <v/>
      </c>
      <c r="B363" s="23" t="str">
        <v/>
      </c>
      <c r="C363" t="str">
        <v/>
      </c>
      <c r="D363" t="str">
        <v/>
      </c>
      <c r="E363" t="str">
        <v/>
      </c>
      <c r="F363" t="str">
        <v/>
      </c>
      <c r="G363" t="str">
        <v/>
      </c>
      <c r="H363" t="str">
        <v/>
      </c>
      <c r="I363" s="2" t="str">
        <v/>
      </c>
      <c r="J363" s="2" t="str">
        <v/>
      </c>
      <c r="K363" s="2" t="str">
        <v/>
      </c>
      <c r="L363" s="1" t="str">
        <v/>
      </c>
      <c r="M363" s="2" t="str">
        <v/>
      </c>
      <c r="N363" s="1" t="str">
        <v/>
      </c>
      <c r="O363" s="1" t="str">
        <v/>
      </c>
      <c r="P363" s="1" t="str">
        <v/>
      </c>
      <c r="Q363" s="1">
        <f t="shared" si="20"/>
        <v>0</v>
      </c>
      <c r="R363" s="1">
        <f t="shared" si="21"/>
        <v>0</v>
      </c>
      <c r="T363">
        <f t="shared" si="22"/>
        <v>0</v>
      </c>
      <c r="U363">
        <f t="shared" si="23"/>
        <v>0</v>
      </c>
    </row>
    <row r="364" x14ac:dyDescent="0.35">
      <c r="A364" s="21" t="str">
        <v/>
      </c>
      <c r="B364" s="23" t="str">
        <v/>
      </c>
      <c r="C364" t="str">
        <v/>
      </c>
      <c r="D364" t="str">
        <v/>
      </c>
      <c r="E364" t="str">
        <v/>
      </c>
      <c r="F364" t="str">
        <v/>
      </c>
      <c r="G364" t="str">
        <v/>
      </c>
      <c r="H364" t="str">
        <v/>
      </c>
      <c r="I364" s="2" t="str">
        <v/>
      </c>
      <c r="J364" s="2" t="str">
        <v/>
      </c>
      <c r="K364" s="2" t="str">
        <v/>
      </c>
      <c r="L364" s="1" t="str">
        <v/>
      </c>
      <c r="M364" s="2" t="str">
        <v/>
      </c>
      <c r="N364" s="1" t="str">
        <v/>
      </c>
      <c r="O364" s="1" t="str">
        <v/>
      </c>
      <c r="P364" s="1" t="str">
        <v/>
      </c>
      <c r="Q364" s="1">
        <f t="shared" si="20"/>
        <v>0</v>
      </c>
      <c r="R364" s="1">
        <f t="shared" si="21"/>
        <v>0</v>
      </c>
      <c r="T364">
        <f t="shared" si="22"/>
        <v>0</v>
      </c>
      <c r="U364">
        <f t="shared" si="23"/>
        <v>0</v>
      </c>
    </row>
    <row r="365" x14ac:dyDescent="0.35">
      <c r="A365" s="21" t="str">
        <v/>
      </c>
      <c r="B365" s="23" t="str">
        <v/>
      </c>
      <c r="C365" t="str">
        <v/>
      </c>
      <c r="D365" t="str">
        <v/>
      </c>
      <c r="E365" t="str">
        <v/>
      </c>
      <c r="F365" t="str">
        <v/>
      </c>
      <c r="G365" t="str">
        <v/>
      </c>
      <c r="H365" t="str">
        <v/>
      </c>
      <c r="I365" s="2" t="str">
        <v/>
      </c>
      <c r="J365" s="2" t="str">
        <v/>
      </c>
      <c r="K365" s="2" t="str">
        <v/>
      </c>
      <c r="L365" s="1" t="str">
        <v/>
      </c>
      <c r="M365" s="2" t="str">
        <v/>
      </c>
      <c r="N365" s="1" t="str">
        <v/>
      </c>
      <c r="O365" s="1" t="str">
        <v/>
      </c>
      <c r="P365" s="1" t="str">
        <v/>
      </c>
      <c r="Q365" s="1">
        <f t="shared" si="20"/>
        <v>0</v>
      </c>
      <c r="R365" s="1">
        <f t="shared" si="21"/>
        <v>0</v>
      </c>
      <c r="T365">
        <f t="shared" si="22"/>
        <v>0</v>
      </c>
      <c r="U365">
        <f t="shared" si="23"/>
        <v>0</v>
      </c>
    </row>
    <row r="366" x14ac:dyDescent="0.35">
      <c r="A366" s="21" t="str">
        <v/>
      </c>
      <c r="B366" s="23" t="str">
        <v/>
      </c>
      <c r="C366" t="str">
        <v/>
      </c>
      <c r="D366" t="str">
        <v/>
      </c>
      <c r="E366" t="str">
        <v/>
      </c>
      <c r="F366" t="str">
        <v/>
      </c>
      <c r="G366" t="str">
        <v/>
      </c>
      <c r="H366" t="str">
        <v/>
      </c>
      <c r="I366" s="2" t="str">
        <v/>
      </c>
      <c r="J366" s="2" t="str">
        <v/>
      </c>
      <c r="K366" s="2" t="str">
        <v/>
      </c>
      <c r="L366" s="1" t="str">
        <v/>
      </c>
      <c r="M366" s="2" t="str">
        <v/>
      </c>
      <c r="N366" s="1" t="str">
        <v/>
      </c>
      <c r="O366" s="1" t="str">
        <v/>
      </c>
      <c r="P366" s="1" t="str">
        <v/>
      </c>
      <c r="Q366" s="1">
        <f t="shared" si="20"/>
        <v>0</v>
      </c>
      <c r="R366" s="1">
        <f t="shared" si="21"/>
        <v>0</v>
      </c>
      <c r="T366">
        <f t="shared" si="22"/>
        <v>0</v>
      </c>
      <c r="U366">
        <f t="shared" si="23"/>
        <v>0</v>
      </c>
    </row>
    <row r="367" x14ac:dyDescent="0.35">
      <c r="A367" s="21" t="str">
        <v/>
      </c>
      <c r="B367" s="23" t="str">
        <v/>
      </c>
      <c r="C367" t="str">
        <v/>
      </c>
      <c r="D367" t="str">
        <v/>
      </c>
      <c r="E367" t="str">
        <v/>
      </c>
      <c r="F367" t="str">
        <v/>
      </c>
      <c r="G367" t="str">
        <v/>
      </c>
      <c r="H367" t="str">
        <v/>
      </c>
      <c r="I367" s="2" t="str">
        <v/>
      </c>
      <c r="J367" s="2" t="str">
        <v/>
      </c>
      <c r="K367" s="2" t="str">
        <v/>
      </c>
      <c r="L367" s="1" t="str">
        <v/>
      </c>
      <c r="M367" s="2" t="str">
        <v/>
      </c>
      <c r="N367" s="1" t="str">
        <v/>
      </c>
      <c r="O367" s="1" t="str">
        <v/>
      </c>
      <c r="P367" s="1" t="str">
        <v/>
      </c>
      <c r="Q367" s="1">
        <f t="shared" si="20"/>
        <v>0</v>
      </c>
      <c r="R367" s="1">
        <f t="shared" si="21"/>
        <v>0</v>
      </c>
      <c r="T367">
        <f t="shared" si="22"/>
        <v>0</v>
      </c>
      <c r="U367">
        <f t="shared" si="23"/>
        <v>0</v>
      </c>
    </row>
    <row r="368" x14ac:dyDescent="0.35">
      <c r="A368" s="21" t="str">
        <v/>
      </c>
      <c r="B368" s="23" t="str">
        <v/>
      </c>
      <c r="C368" t="str">
        <v/>
      </c>
      <c r="D368" t="str">
        <v/>
      </c>
      <c r="E368" t="str">
        <v/>
      </c>
      <c r="F368" t="str">
        <v/>
      </c>
      <c r="G368" t="str">
        <v/>
      </c>
      <c r="H368" t="str">
        <v/>
      </c>
      <c r="I368" s="2" t="str">
        <v/>
      </c>
      <c r="J368" s="2" t="str">
        <v/>
      </c>
      <c r="K368" s="2" t="str">
        <v/>
      </c>
      <c r="L368" s="1" t="str">
        <v/>
      </c>
      <c r="M368" s="2" t="str">
        <v/>
      </c>
      <c r="N368" s="1" t="str">
        <v/>
      </c>
      <c r="O368" s="1" t="str">
        <v/>
      </c>
      <c r="P368" s="1" t="str">
        <v/>
      </c>
      <c r="Q368" s="1">
        <f t="shared" si="20"/>
        <v>0</v>
      </c>
      <c r="R368" s="1">
        <f t="shared" si="21"/>
        <v>0</v>
      </c>
      <c r="T368">
        <f t="shared" si="22"/>
        <v>0</v>
      </c>
      <c r="U368">
        <f t="shared" si="23"/>
        <v>0</v>
      </c>
    </row>
    <row r="369" x14ac:dyDescent="0.35">
      <c r="A369" s="21" t="str">
        <v/>
      </c>
      <c r="B369" s="23" t="str">
        <v/>
      </c>
      <c r="C369" t="str">
        <v/>
      </c>
      <c r="D369" t="str">
        <v/>
      </c>
      <c r="E369" t="str">
        <v/>
      </c>
      <c r="F369" t="str">
        <v/>
      </c>
      <c r="G369" t="str">
        <v/>
      </c>
      <c r="H369" t="str">
        <v/>
      </c>
      <c r="I369" s="2" t="str">
        <v/>
      </c>
      <c r="J369" s="2" t="str">
        <v/>
      </c>
      <c r="K369" s="2" t="str">
        <v/>
      </c>
      <c r="L369" s="1" t="str">
        <v/>
      </c>
      <c r="M369" s="2" t="str">
        <v/>
      </c>
      <c r="N369" s="1" t="str">
        <v/>
      </c>
      <c r="O369" s="1" t="str">
        <v/>
      </c>
      <c r="P369" s="1" t="str">
        <v/>
      </c>
      <c r="Q369" s="1">
        <f t="shared" si="20"/>
        <v>0</v>
      </c>
      <c r="R369" s="1">
        <f t="shared" si="21"/>
        <v>0</v>
      </c>
      <c r="T369">
        <f t="shared" si="22"/>
        <v>0</v>
      </c>
      <c r="U369">
        <f t="shared" si="23"/>
        <v>0</v>
      </c>
    </row>
    <row r="370" x14ac:dyDescent="0.35">
      <c r="A370" s="21" t="str">
        <v/>
      </c>
      <c r="B370" s="23" t="str">
        <v/>
      </c>
      <c r="C370" t="str">
        <v/>
      </c>
      <c r="D370" t="str">
        <v/>
      </c>
      <c r="E370" t="str">
        <v/>
      </c>
      <c r="F370" t="str">
        <v/>
      </c>
      <c r="G370" t="str">
        <v/>
      </c>
      <c r="H370" t="str">
        <v/>
      </c>
      <c r="I370" s="2" t="str">
        <v/>
      </c>
      <c r="J370" s="2" t="str">
        <v/>
      </c>
      <c r="K370" s="2" t="str">
        <v/>
      </c>
      <c r="L370" s="1" t="str">
        <v/>
      </c>
      <c r="M370" s="2" t="str">
        <v/>
      </c>
      <c r="N370" s="1" t="str">
        <v/>
      </c>
      <c r="O370" s="1" t="str">
        <v/>
      </c>
      <c r="P370" s="1" t="str">
        <v/>
      </c>
      <c r="Q370" s="1">
        <f t="shared" si="20"/>
        <v>0</v>
      </c>
      <c r="R370" s="1">
        <f t="shared" si="21"/>
        <v>0</v>
      </c>
      <c r="T370">
        <f t="shared" si="22"/>
        <v>0</v>
      </c>
      <c r="U370">
        <f t="shared" si="23"/>
        <v>0</v>
      </c>
    </row>
    <row r="371" x14ac:dyDescent="0.35">
      <c r="A371" s="21" t="str">
        <v/>
      </c>
      <c r="B371" s="23" t="str">
        <v/>
      </c>
      <c r="C371" t="str">
        <v/>
      </c>
      <c r="D371" t="str">
        <v/>
      </c>
      <c r="E371" t="str">
        <v/>
      </c>
      <c r="F371" t="str">
        <v/>
      </c>
      <c r="G371" t="str">
        <v/>
      </c>
      <c r="H371" t="str">
        <v/>
      </c>
      <c r="I371" s="2" t="str">
        <v/>
      </c>
      <c r="J371" s="2" t="str">
        <v/>
      </c>
      <c r="K371" s="2" t="str">
        <v/>
      </c>
      <c r="L371" s="1" t="str">
        <v/>
      </c>
      <c r="M371" s="2" t="str">
        <v/>
      </c>
      <c r="N371" s="1" t="str">
        <v/>
      </c>
      <c r="O371" s="1" t="str">
        <v/>
      </c>
      <c r="P371" s="1" t="str">
        <v/>
      </c>
      <c r="Q371" s="1">
        <f t="shared" si="20"/>
        <v>0</v>
      </c>
      <c r="R371" s="1">
        <f t="shared" si="21"/>
        <v>0</v>
      </c>
      <c r="T371">
        <f t="shared" si="22"/>
        <v>0</v>
      </c>
      <c r="U371">
        <f t="shared" si="23"/>
        <v>0</v>
      </c>
    </row>
    <row r="372" x14ac:dyDescent="0.35">
      <c r="A372" s="21" t="str">
        <v/>
      </c>
      <c r="B372" s="23" t="str">
        <v/>
      </c>
      <c r="C372" t="str">
        <v/>
      </c>
      <c r="D372" t="str">
        <v/>
      </c>
      <c r="E372" t="str">
        <v/>
      </c>
      <c r="F372" t="str">
        <v/>
      </c>
      <c r="G372" t="str">
        <v/>
      </c>
      <c r="H372" t="str">
        <v/>
      </c>
      <c r="I372" s="2" t="str">
        <v/>
      </c>
      <c r="J372" s="2" t="str">
        <v/>
      </c>
      <c r="K372" s="2" t="str">
        <v/>
      </c>
      <c r="L372" s="1" t="str">
        <v/>
      </c>
      <c r="M372" s="2" t="str">
        <v/>
      </c>
      <c r="N372" s="1" t="str">
        <v/>
      </c>
      <c r="O372" s="1" t="str">
        <v/>
      </c>
      <c r="P372" s="1" t="str">
        <v/>
      </c>
      <c r="Q372" s="1">
        <f t="shared" si="20"/>
        <v>0</v>
      </c>
      <c r="R372" s="1">
        <f t="shared" si="21"/>
        <v>0</v>
      </c>
      <c r="T372">
        <f t="shared" si="22"/>
        <v>0</v>
      </c>
      <c r="U372">
        <f t="shared" si="23"/>
        <v>0</v>
      </c>
    </row>
    <row r="373" x14ac:dyDescent="0.35">
      <c r="A373" s="21" t="str">
        <v/>
      </c>
      <c r="B373" s="23" t="str">
        <v/>
      </c>
      <c r="C373" t="str">
        <v/>
      </c>
      <c r="D373" t="str">
        <v/>
      </c>
      <c r="E373" t="str">
        <v/>
      </c>
      <c r="F373" t="str">
        <v/>
      </c>
      <c r="G373" t="str">
        <v/>
      </c>
      <c r="H373" t="str">
        <v/>
      </c>
      <c r="I373" s="2" t="str">
        <v/>
      </c>
      <c r="J373" s="2" t="str">
        <v/>
      </c>
      <c r="K373" s="2" t="str">
        <v/>
      </c>
      <c r="L373" s="1" t="str">
        <v/>
      </c>
      <c r="M373" s="2" t="str">
        <v/>
      </c>
      <c r="N373" s="1" t="str">
        <v/>
      </c>
      <c r="O373" s="1" t="str">
        <v/>
      </c>
      <c r="P373" s="1" t="str">
        <v/>
      </c>
      <c r="Q373" s="1">
        <f t="shared" si="20"/>
        <v>0</v>
      </c>
      <c r="R373" s="1">
        <f t="shared" si="21"/>
        <v>0</v>
      </c>
      <c r="T373">
        <f t="shared" si="22"/>
        <v>0</v>
      </c>
      <c r="U373">
        <f t="shared" si="23"/>
        <v>0</v>
      </c>
    </row>
    <row r="374" x14ac:dyDescent="0.35">
      <c r="A374" s="21" t="str">
        <v/>
      </c>
      <c r="B374" s="23" t="str">
        <v/>
      </c>
      <c r="C374" t="str">
        <v/>
      </c>
      <c r="D374" t="str">
        <v/>
      </c>
      <c r="E374" t="str">
        <v/>
      </c>
      <c r="F374" t="str">
        <v/>
      </c>
      <c r="G374" t="str">
        <v/>
      </c>
      <c r="H374" t="str">
        <v/>
      </c>
      <c r="I374" s="2" t="str">
        <v/>
      </c>
      <c r="J374" s="2" t="str">
        <v/>
      </c>
      <c r="K374" s="2" t="str">
        <v/>
      </c>
      <c r="L374" s="1" t="str">
        <v/>
      </c>
      <c r="M374" s="2" t="str">
        <v/>
      </c>
      <c r="N374" s="1" t="str">
        <v/>
      </c>
      <c r="O374" s="1" t="str">
        <v/>
      </c>
      <c r="P374" s="1" t="str">
        <v/>
      </c>
      <c r="Q374" s="1">
        <f t="shared" si="20"/>
        <v>0</v>
      </c>
      <c r="R374" s="1">
        <f t="shared" si="21"/>
        <v>0</v>
      </c>
      <c r="T374">
        <f t="shared" si="22"/>
        <v>0</v>
      </c>
      <c r="U374">
        <f t="shared" si="23"/>
        <v>0</v>
      </c>
    </row>
    <row r="375" x14ac:dyDescent="0.35">
      <c r="A375" s="21" t="str">
        <v/>
      </c>
      <c r="B375" s="23" t="str">
        <v/>
      </c>
      <c r="C375" t="str">
        <v/>
      </c>
      <c r="D375" t="str">
        <v/>
      </c>
      <c r="E375" t="str">
        <v/>
      </c>
      <c r="F375" t="str">
        <v/>
      </c>
      <c r="G375" t="str">
        <v/>
      </c>
      <c r="H375" t="str">
        <v/>
      </c>
      <c r="I375" s="2" t="str">
        <v/>
      </c>
      <c r="J375" s="2" t="str">
        <v/>
      </c>
      <c r="K375" s="2" t="str">
        <v/>
      </c>
      <c r="L375" s="1" t="str">
        <v/>
      </c>
      <c r="M375" s="2" t="str">
        <v/>
      </c>
      <c r="N375" s="1" t="str">
        <v/>
      </c>
      <c r="O375" s="1" t="str">
        <v/>
      </c>
      <c r="P375" s="1" t="str">
        <v/>
      </c>
      <c r="Q375" s="1">
        <f t="shared" si="20"/>
        <v>0</v>
      </c>
      <c r="R375" s="1">
        <f t="shared" si="21"/>
        <v>0</v>
      </c>
      <c r="T375">
        <f t="shared" si="22"/>
        <v>0</v>
      </c>
      <c r="U375">
        <f t="shared" si="23"/>
        <v>0</v>
      </c>
    </row>
    <row r="376" x14ac:dyDescent="0.35">
      <c r="A376" s="21" t="str">
        <v/>
      </c>
      <c r="B376" s="23" t="str">
        <v/>
      </c>
      <c r="C376" t="str">
        <v/>
      </c>
      <c r="D376" t="str">
        <v/>
      </c>
      <c r="E376" t="str">
        <v/>
      </c>
      <c r="F376" t="str">
        <v/>
      </c>
      <c r="G376" t="str">
        <v/>
      </c>
      <c r="H376" t="str">
        <v/>
      </c>
      <c r="I376" s="2" t="str">
        <v/>
      </c>
      <c r="J376" s="2" t="str">
        <v/>
      </c>
      <c r="K376" s="2" t="str">
        <v/>
      </c>
      <c r="L376" s="1" t="str">
        <v/>
      </c>
      <c r="M376" s="2" t="str">
        <v/>
      </c>
      <c r="N376" s="1" t="str">
        <v/>
      </c>
      <c r="O376" s="1" t="str">
        <v/>
      </c>
      <c r="P376" s="1" t="str">
        <v/>
      </c>
      <c r="Q376" s="1">
        <f t="shared" si="20"/>
        <v>0</v>
      </c>
      <c r="R376" s="1">
        <f t="shared" si="21"/>
        <v>0</v>
      </c>
      <c r="T376">
        <f t="shared" si="22"/>
        <v>0</v>
      </c>
      <c r="U376">
        <f t="shared" si="23"/>
        <v>0</v>
      </c>
    </row>
    <row r="377" x14ac:dyDescent="0.35">
      <c r="A377" s="21" t="str">
        <v/>
      </c>
      <c r="B377" s="23" t="str">
        <v/>
      </c>
      <c r="C377" t="str">
        <v/>
      </c>
      <c r="D377" t="str">
        <v/>
      </c>
      <c r="E377" t="str">
        <v/>
      </c>
      <c r="F377" t="str">
        <v/>
      </c>
      <c r="G377" t="str">
        <v/>
      </c>
      <c r="H377" t="str">
        <v/>
      </c>
      <c r="I377" s="2" t="str">
        <v/>
      </c>
      <c r="J377" s="2" t="str">
        <v/>
      </c>
      <c r="K377" s="2" t="str">
        <v/>
      </c>
      <c r="L377" s="1" t="str">
        <v/>
      </c>
      <c r="M377" s="2" t="str">
        <v/>
      </c>
      <c r="N377" s="1" t="str">
        <v/>
      </c>
      <c r="O377" s="1" t="str">
        <v/>
      </c>
      <c r="P377" s="1" t="str">
        <v/>
      </c>
      <c r="Q377" s="1">
        <f t="shared" si="20"/>
        <v>0</v>
      </c>
      <c r="R377" s="1">
        <f t="shared" si="21"/>
        <v>0</v>
      </c>
      <c r="T377">
        <f t="shared" si="22"/>
        <v>0</v>
      </c>
      <c r="U377">
        <f t="shared" si="23"/>
        <v>0</v>
      </c>
    </row>
    <row r="378" x14ac:dyDescent="0.35">
      <c r="A378" s="21" t="str">
        <v/>
      </c>
      <c r="B378" s="23" t="str">
        <v/>
      </c>
      <c r="C378" t="str">
        <v/>
      </c>
      <c r="D378" t="str">
        <v/>
      </c>
      <c r="E378" t="str">
        <v/>
      </c>
      <c r="F378" t="str">
        <v/>
      </c>
      <c r="G378" t="str">
        <v/>
      </c>
      <c r="H378" t="str">
        <v/>
      </c>
      <c r="I378" s="2" t="str">
        <v/>
      </c>
      <c r="J378" s="2" t="str">
        <v/>
      </c>
      <c r="K378" s="2" t="str">
        <v/>
      </c>
      <c r="L378" s="1" t="str">
        <v/>
      </c>
      <c r="M378" s="2" t="str">
        <v/>
      </c>
      <c r="N378" s="1" t="str">
        <v/>
      </c>
      <c r="O378" s="1" t="str">
        <v/>
      </c>
      <c r="P378" s="1" t="str">
        <v/>
      </c>
      <c r="Q378" s="1">
        <f t="shared" si="20"/>
        <v>0</v>
      </c>
      <c r="R378" s="1">
        <f t="shared" si="21"/>
        <v>0</v>
      </c>
      <c r="T378">
        <f t="shared" si="22"/>
        <v>0</v>
      </c>
      <c r="U378">
        <f t="shared" si="23"/>
        <v>0</v>
      </c>
    </row>
    <row r="379" x14ac:dyDescent="0.35">
      <c r="A379" s="21" t="str">
        <v/>
      </c>
      <c r="B379" s="23" t="str">
        <v/>
      </c>
      <c r="C379" t="str">
        <v/>
      </c>
      <c r="D379" t="str">
        <v/>
      </c>
      <c r="E379" t="str">
        <v/>
      </c>
      <c r="F379" t="str">
        <v/>
      </c>
      <c r="G379" t="str">
        <v/>
      </c>
      <c r="H379" t="str">
        <v/>
      </c>
      <c r="I379" s="2" t="str">
        <v/>
      </c>
      <c r="J379" s="2" t="str">
        <v/>
      </c>
      <c r="K379" s="2" t="str">
        <v/>
      </c>
      <c r="L379" s="1" t="str">
        <v/>
      </c>
      <c r="M379" s="2" t="str">
        <v/>
      </c>
      <c r="N379" s="1" t="str">
        <v/>
      </c>
      <c r="O379" s="1" t="str">
        <v/>
      </c>
      <c r="P379" s="1" t="str">
        <v/>
      </c>
      <c r="Q379" s="1">
        <f t="shared" si="20"/>
        <v>0</v>
      </c>
      <c r="R379" s="1">
        <f t="shared" si="21"/>
        <v>0</v>
      </c>
      <c r="T379">
        <f t="shared" si="22"/>
        <v>0</v>
      </c>
      <c r="U379">
        <f t="shared" si="23"/>
        <v>0</v>
      </c>
    </row>
    <row r="380" x14ac:dyDescent="0.35">
      <c r="A380" s="21" t="str">
        <v/>
      </c>
      <c r="B380" s="23" t="str">
        <v/>
      </c>
      <c r="C380" t="str">
        <v/>
      </c>
      <c r="D380" t="str">
        <v/>
      </c>
      <c r="E380" t="str">
        <v/>
      </c>
      <c r="F380" t="str">
        <v/>
      </c>
      <c r="G380" t="str">
        <v/>
      </c>
      <c r="H380" t="str">
        <v/>
      </c>
      <c r="I380" s="2" t="str">
        <v/>
      </c>
      <c r="J380" s="2" t="str">
        <v/>
      </c>
      <c r="K380" s="2" t="str">
        <v/>
      </c>
      <c r="L380" s="1" t="str">
        <v/>
      </c>
      <c r="M380" s="2" t="str">
        <v/>
      </c>
      <c r="N380" s="1" t="str">
        <v/>
      </c>
      <c r="O380" s="1" t="str">
        <v/>
      </c>
      <c r="P380" s="1" t="str">
        <v/>
      </c>
      <c r="Q380" s="1">
        <f t="shared" si="20"/>
        <v>0</v>
      </c>
      <c r="R380" s="1">
        <f t="shared" si="21"/>
        <v>0</v>
      </c>
      <c r="T380">
        <f t="shared" si="22"/>
        <v>0</v>
      </c>
      <c r="U380">
        <f t="shared" si="23"/>
        <v>0</v>
      </c>
    </row>
    <row r="381" x14ac:dyDescent="0.35">
      <c r="A381" s="21" t="str">
        <v/>
      </c>
      <c r="B381" s="23" t="str">
        <v/>
      </c>
      <c r="C381" t="str">
        <v/>
      </c>
      <c r="D381" t="str">
        <v/>
      </c>
      <c r="E381" t="str">
        <v/>
      </c>
      <c r="F381" t="str">
        <v/>
      </c>
      <c r="G381" t="str">
        <v/>
      </c>
      <c r="H381" t="str">
        <v/>
      </c>
      <c r="I381" s="2" t="str">
        <v/>
      </c>
      <c r="J381" s="2" t="str">
        <v/>
      </c>
      <c r="K381" s="2" t="str">
        <v/>
      </c>
      <c r="L381" s="1" t="str">
        <v/>
      </c>
      <c r="M381" s="2" t="str">
        <v/>
      </c>
      <c r="N381" s="1" t="str">
        <v/>
      </c>
      <c r="O381" s="1" t="str">
        <v/>
      </c>
      <c r="P381" s="1" t="str">
        <v/>
      </c>
      <c r="Q381" s="1">
        <f t="shared" si="20"/>
        <v>0</v>
      </c>
      <c r="R381" s="1">
        <f t="shared" si="21"/>
        <v>0</v>
      </c>
      <c r="T381">
        <f t="shared" si="22"/>
        <v>0</v>
      </c>
      <c r="U381">
        <f t="shared" si="23"/>
        <v>0</v>
      </c>
    </row>
    <row r="382" x14ac:dyDescent="0.35">
      <c r="A382" s="21" t="str">
        <v/>
      </c>
      <c r="B382" s="23" t="str">
        <v/>
      </c>
      <c r="C382" t="str">
        <v/>
      </c>
      <c r="D382" t="str">
        <v/>
      </c>
      <c r="E382" t="str">
        <v/>
      </c>
      <c r="F382" t="str">
        <v/>
      </c>
      <c r="G382" t="str">
        <v/>
      </c>
      <c r="H382" t="str">
        <v/>
      </c>
      <c r="I382" s="2" t="str">
        <v/>
      </c>
      <c r="J382" s="2" t="str">
        <v/>
      </c>
      <c r="K382" s="2" t="str">
        <v/>
      </c>
      <c r="L382" s="1" t="str">
        <v/>
      </c>
      <c r="M382" s="2" t="str">
        <v/>
      </c>
      <c r="N382" s="1" t="str">
        <v/>
      </c>
      <c r="O382" s="1" t="str">
        <v/>
      </c>
      <c r="P382" s="1" t="str">
        <v/>
      </c>
      <c r="Q382" s="1">
        <f t="shared" si="20"/>
        <v>0</v>
      </c>
      <c r="R382" s="1">
        <f t="shared" si="21"/>
        <v>0</v>
      </c>
      <c r="T382">
        <f t="shared" si="22"/>
        <v>0</v>
      </c>
      <c r="U382">
        <f t="shared" si="23"/>
        <v>0</v>
      </c>
    </row>
    <row r="383" x14ac:dyDescent="0.35">
      <c r="A383" s="21" t="str">
        <v/>
      </c>
      <c r="B383" s="23" t="str">
        <v/>
      </c>
      <c r="C383" t="str">
        <v/>
      </c>
      <c r="D383" t="str">
        <v/>
      </c>
      <c r="E383" t="str">
        <v/>
      </c>
      <c r="F383" t="str">
        <v/>
      </c>
      <c r="G383" t="str">
        <v/>
      </c>
      <c r="H383" t="str">
        <v/>
      </c>
      <c r="I383" s="2" t="str">
        <v/>
      </c>
      <c r="J383" s="2" t="str">
        <v/>
      </c>
      <c r="K383" s="2" t="str">
        <v/>
      </c>
      <c r="L383" s="1" t="str">
        <v/>
      </c>
      <c r="M383" s="2" t="str">
        <v/>
      </c>
      <c r="N383" s="1" t="str">
        <v/>
      </c>
      <c r="O383" s="1" t="str">
        <v/>
      </c>
      <c r="P383" s="1" t="str">
        <v/>
      </c>
      <c r="Q383" s="1">
        <f t="shared" si="20"/>
        <v>0</v>
      </c>
      <c r="R383" s="1">
        <f t="shared" si="21"/>
        <v>0</v>
      </c>
      <c r="T383">
        <f t="shared" si="22"/>
        <v>0</v>
      </c>
      <c r="U383">
        <f t="shared" si="23"/>
        <v>0</v>
      </c>
    </row>
    <row r="384" x14ac:dyDescent="0.35">
      <c r="A384" s="21" t="str">
        <v/>
      </c>
      <c r="B384" s="23" t="str">
        <v/>
      </c>
      <c r="C384" t="str">
        <v/>
      </c>
      <c r="D384" t="str">
        <v/>
      </c>
      <c r="E384" t="str">
        <v/>
      </c>
      <c r="F384" t="str">
        <v/>
      </c>
      <c r="G384" t="str">
        <v/>
      </c>
      <c r="H384" t="str">
        <v/>
      </c>
      <c r="I384" s="2" t="str">
        <v/>
      </c>
      <c r="J384" s="2" t="str">
        <v/>
      </c>
      <c r="K384" s="2" t="str">
        <v/>
      </c>
      <c r="L384" s="1" t="str">
        <v/>
      </c>
      <c r="M384" s="2" t="str">
        <v/>
      </c>
      <c r="N384" s="1" t="str">
        <v/>
      </c>
      <c r="O384" s="1" t="str">
        <v/>
      </c>
      <c r="P384" s="1" t="str">
        <v/>
      </c>
      <c r="Q384" s="1">
        <f t="shared" si="20"/>
        <v>0</v>
      </c>
      <c r="R384" s="1">
        <f t="shared" si="21"/>
        <v>0</v>
      </c>
      <c r="T384">
        <f t="shared" si="22"/>
        <v>0</v>
      </c>
      <c r="U384">
        <f t="shared" si="23"/>
        <v>0</v>
      </c>
    </row>
    <row r="385" x14ac:dyDescent="0.35">
      <c r="A385" s="21" t="str">
        <v/>
      </c>
      <c r="B385" s="23" t="str">
        <v/>
      </c>
      <c r="C385" t="str">
        <v/>
      </c>
      <c r="D385" t="str">
        <v/>
      </c>
      <c r="E385" t="str">
        <v/>
      </c>
      <c r="F385" t="str">
        <v/>
      </c>
      <c r="G385" t="str">
        <v/>
      </c>
      <c r="H385" t="str">
        <v/>
      </c>
      <c r="I385" s="2" t="str">
        <v/>
      </c>
      <c r="J385" s="2" t="str">
        <v/>
      </c>
      <c r="K385" s="2" t="str">
        <v/>
      </c>
      <c r="L385" s="1" t="str">
        <v/>
      </c>
      <c r="M385" s="2" t="str">
        <v/>
      </c>
      <c r="N385" s="1" t="str">
        <v/>
      </c>
      <c r="O385" s="1" t="str">
        <v/>
      </c>
      <c r="P385" s="1" t="str">
        <v/>
      </c>
      <c r="Q385" s="1">
        <f t="shared" si="20"/>
        <v>0</v>
      </c>
      <c r="R385" s="1">
        <f t="shared" si="21"/>
        <v>0</v>
      </c>
      <c r="T385">
        <f t="shared" si="22"/>
        <v>0</v>
      </c>
      <c r="U385">
        <f t="shared" si="23"/>
        <v>0</v>
      </c>
    </row>
    <row r="386" x14ac:dyDescent="0.35">
      <c r="A386" s="21" t="str">
        <v/>
      </c>
      <c r="B386" s="23" t="str">
        <v/>
      </c>
      <c r="C386" t="str">
        <v/>
      </c>
      <c r="D386" t="str">
        <v/>
      </c>
      <c r="E386" t="str">
        <v/>
      </c>
      <c r="F386" t="str">
        <v/>
      </c>
      <c r="G386" t="str">
        <v/>
      </c>
      <c r="H386" t="str">
        <v/>
      </c>
      <c r="I386" s="2" t="str">
        <v/>
      </c>
      <c r="J386" s="2" t="str">
        <v/>
      </c>
      <c r="K386" s="2" t="str">
        <v/>
      </c>
      <c r="L386" s="1" t="str">
        <v/>
      </c>
      <c r="M386" s="2" t="str">
        <v/>
      </c>
      <c r="N386" s="1" t="str">
        <v/>
      </c>
      <c r="O386" s="1" t="str">
        <v/>
      </c>
      <c r="P386" s="1" t="str">
        <v/>
      </c>
      <c r="Q386" s="1">
        <f t="shared" si="20"/>
        <v>0</v>
      </c>
      <c r="R386" s="1">
        <f t="shared" si="21"/>
        <v>0</v>
      </c>
      <c r="T386">
        <f t="shared" si="22"/>
        <v>0</v>
      </c>
      <c r="U386">
        <f t="shared" si="23"/>
        <v>0</v>
      </c>
    </row>
    <row r="387" x14ac:dyDescent="0.35">
      <c r="A387" s="21" t="str">
        <v/>
      </c>
      <c r="B387" s="23" t="str">
        <v/>
      </c>
      <c r="C387" t="str">
        <v/>
      </c>
      <c r="D387" t="str">
        <v/>
      </c>
      <c r="E387" t="str">
        <v/>
      </c>
      <c r="F387" t="str">
        <v/>
      </c>
      <c r="G387" t="str">
        <v/>
      </c>
      <c r="H387" t="str">
        <v/>
      </c>
      <c r="I387" s="2" t="str">
        <v/>
      </c>
      <c r="J387" s="2" t="str">
        <v/>
      </c>
      <c r="K387" s="2" t="str">
        <v/>
      </c>
      <c r="L387" s="1" t="str">
        <v/>
      </c>
      <c r="M387" s="2" t="str">
        <v/>
      </c>
      <c r="N387" s="1" t="str">
        <v/>
      </c>
      <c r="O387" s="1" t="str">
        <v/>
      </c>
      <c r="P387" s="1" t="str">
        <v/>
      </c>
      <c r="Q387" s="1">
        <f t="shared" ref="Q387:Q450" si="24">IF(H387="Sí",1,0)</f>
        <v>0</v>
      </c>
      <c r="R387" s="1">
        <f t="shared" ref="R387:R450" si="25">IF(L387="En coordinación",1,0)</f>
        <v>0</v>
      </c>
      <c r="T387">
        <f t="shared" ref="T387:T450" si="26">IF(N387="Sí",1,0)</f>
        <v>0</v>
      </c>
      <c r="U387">
        <f t="shared" ref="U387:U450" si="27">IF(L387="Aceptada",1,0)</f>
        <v>0</v>
      </c>
    </row>
    <row r="388" x14ac:dyDescent="0.35">
      <c r="A388" s="21" t="str">
        <v/>
      </c>
      <c r="B388" s="23" t="str">
        <v/>
      </c>
      <c r="C388" t="str">
        <v/>
      </c>
      <c r="D388" t="str">
        <v/>
      </c>
      <c r="E388" t="str">
        <v/>
      </c>
      <c r="F388" t="str">
        <v/>
      </c>
      <c r="G388" t="str">
        <v/>
      </c>
      <c r="H388" t="str">
        <v/>
      </c>
      <c r="I388" s="2" t="str">
        <v/>
      </c>
      <c r="J388" s="2" t="str">
        <v/>
      </c>
      <c r="K388" s="2" t="str">
        <v/>
      </c>
      <c r="L388" s="1" t="str">
        <v/>
      </c>
      <c r="M388" s="2" t="str">
        <v/>
      </c>
      <c r="N388" s="1" t="str">
        <v/>
      </c>
      <c r="O388" s="1" t="str">
        <v/>
      </c>
      <c r="P388" s="1" t="str">
        <v/>
      </c>
      <c r="Q388" s="1">
        <f t="shared" si="24"/>
        <v>0</v>
      </c>
      <c r="R388" s="1">
        <f t="shared" si="25"/>
        <v>0</v>
      </c>
      <c r="T388">
        <f t="shared" si="26"/>
        <v>0</v>
      </c>
      <c r="U388">
        <f t="shared" si="27"/>
        <v>0</v>
      </c>
    </row>
    <row r="389" x14ac:dyDescent="0.35">
      <c r="A389" s="21" t="str">
        <v/>
      </c>
      <c r="B389" s="23" t="str">
        <v/>
      </c>
      <c r="C389" t="str">
        <v/>
      </c>
      <c r="D389" t="str">
        <v/>
      </c>
      <c r="E389" t="str">
        <v/>
      </c>
      <c r="F389" t="str">
        <v/>
      </c>
      <c r="G389" t="str">
        <v/>
      </c>
      <c r="H389" t="str">
        <v/>
      </c>
      <c r="I389" s="2" t="str">
        <v/>
      </c>
      <c r="J389" s="2" t="str">
        <v/>
      </c>
      <c r="K389" s="2" t="str">
        <v/>
      </c>
      <c r="L389" s="1" t="str">
        <v/>
      </c>
      <c r="M389" s="2" t="str">
        <v/>
      </c>
      <c r="N389" s="1" t="str">
        <v/>
      </c>
      <c r="O389" s="1" t="str">
        <v/>
      </c>
      <c r="P389" s="1" t="str">
        <v/>
      </c>
      <c r="Q389" s="1">
        <f t="shared" si="24"/>
        <v>0</v>
      </c>
      <c r="R389" s="1">
        <f t="shared" si="25"/>
        <v>0</v>
      </c>
      <c r="T389">
        <f t="shared" si="26"/>
        <v>0</v>
      </c>
      <c r="U389">
        <f t="shared" si="27"/>
        <v>0</v>
      </c>
    </row>
    <row r="390" x14ac:dyDescent="0.35">
      <c r="A390" s="21" t="str">
        <v/>
      </c>
      <c r="B390" s="23" t="str">
        <v/>
      </c>
      <c r="C390" t="str">
        <v/>
      </c>
      <c r="D390" t="str">
        <v/>
      </c>
      <c r="E390" t="str">
        <v/>
      </c>
      <c r="F390" t="str">
        <v/>
      </c>
      <c r="G390" t="str">
        <v/>
      </c>
      <c r="H390" t="str">
        <v/>
      </c>
      <c r="I390" s="2" t="str">
        <v/>
      </c>
      <c r="J390" s="2" t="str">
        <v/>
      </c>
      <c r="K390" s="2" t="str">
        <v/>
      </c>
      <c r="L390" s="1" t="str">
        <v/>
      </c>
      <c r="M390" s="2" t="str">
        <v/>
      </c>
      <c r="N390" s="1" t="str">
        <v/>
      </c>
      <c r="O390" s="1" t="str">
        <v/>
      </c>
      <c r="P390" s="1" t="str">
        <v/>
      </c>
      <c r="Q390" s="1">
        <f t="shared" si="24"/>
        <v>0</v>
      </c>
      <c r="R390" s="1">
        <f t="shared" si="25"/>
        <v>0</v>
      </c>
      <c r="T390">
        <f t="shared" si="26"/>
        <v>0</v>
      </c>
      <c r="U390">
        <f t="shared" si="27"/>
        <v>0</v>
      </c>
    </row>
    <row r="391" x14ac:dyDescent="0.35">
      <c r="A391" s="21" t="str">
        <v/>
      </c>
      <c r="B391" s="23" t="str">
        <v/>
      </c>
      <c r="C391" t="str">
        <v/>
      </c>
      <c r="D391" t="str">
        <v/>
      </c>
      <c r="E391" t="str">
        <v/>
      </c>
      <c r="F391" t="str">
        <v/>
      </c>
      <c r="G391" t="str">
        <v/>
      </c>
      <c r="H391" t="str">
        <v/>
      </c>
      <c r="I391" s="2" t="str">
        <v/>
      </c>
      <c r="J391" s="2" t="str">
        <v/>
      </c>
      <c r="K391" s="2" t="str">
        <v/>
      </c>
      <c r="L391" s="1" t="str">
        <v/>
      </c>
      <c r="M391" s="2" t="str">
        <v/>
      </c>
      <c r="N391" s="1" t="str">
        <v/>
      </c>
      <c r="O391" s="1" t="str">
        <v/>
      </c>
      <c r="P391" s="1" t="str">
        <v/>
      </c>
      <c r="Q391" s="1">
        <f t="shared" si="24"/>
        <v>0</v>
      </c>
      <c r="R391" s="1">
        <f t="shared" si="25"/>
        <v>0</v>
      </c>
      <c r="T391">
        <f t="shared" si="26"/>
        <v>0</v>
      </c>
      <c r="U391">
        <f t="shared" si="27"/>
        <v>0</v>
      </c>
    </row>
    <row r="392" x14ac:dyDescent="0.35">
      <c r="A392" s="21" t="str">
        <v/>
      </c>
      <c r="B392" s="23" t="str">
        <v/>
      </c>
      <c r="C392" t="str">
        <v/>
      </c>
      <c r="D392" t="str">
        <v/>
      </c>
      <c r="E392" t="str">
        <v/>
      </c>
      <c r="F392" t="str">
        <v/>
      </c>
      <c r="G392" t="str">
        <v/>
      </c>
      <c r="H392" t="str">
        <v/>
      </c>
      <c r="I392" s="2" t="str">
        <v/>
      </c>
      <c r="J392" s="2" t="str">
        <v/>
      </c>
      <c r="K392" s="2" t="str">
        <v/>
      </c>
      <c r="L392" s="1" t="str">
        <v/>
      </c>
      <c r="M392" s="2" t="str">
        <v/>
      </c>
      <c r="N392" s="1" t="str">
        <v/>
      </c>
      <c r="O392" s="1" t="str">
        <v/>
      </c>
      <c r="P392" s="1" t="str">
        <v/>
      </c>
      <c r="Q392" s="1">
        <f t="shared" si="24"/>
        <v>0</v>
      </c>
      <c r="R392" s="1">
        <f t="shared" si="25"/>
        <v>0</v>
      </c>
      <c r="T392">
        <f t="shared" si="26"/>
        <v>0</v>
      </c>
      <c r="U392">
        <f t="shared" si="27"/>
        <v>0</v>
      </c>
    </row>
    <row r="393" x14ac:dyDescent="0.35">
      <c r="A393" s="21" t="str">
        <v/>
      </c>
      <c r="B393" s="23" t="str">
        <v/>
      </c>
      <c r="C393" t="str">
        <v/>
      </c>
      <c r="D393" t="str">
        <v/>
      </c>
      <c r="E393" t="str">
        <v/>
      </c>
      <c r="F393" t="str">
        <v/>
      </c>
      <c r="G393" t="str">
        <v/>
      </c>
      <c r="H393" t="str">
        <v/>
      </c>
      <c r="I393" s="2" t="str">
        <v/>
      </c>
      <c r="J393" s="2" t="str">
        <v/>
      </c>
      <c r="K393" s="2" t="str">
        <v/>
      </c>
      <c r="L393" s="1" t="str">
        <v/>
      </c>
      <c r="M393" s="2" t="str">
        <v/>
      </c>
      <c r="N393" s="1" t="str">
        <v/>
      </c>
      <c r="O393" s="1" t="str">
        <v/>
      </c>
      <c r="P393" s="1" t="str">
        <v/>
      </c>
      <c r="Q393" s="1">
        <f t="shared" si="24"/>
        <v>0</v>
      </c>
      <c r="R393" s="1">
        <f t="shared" si="25"/>
        <v>0</v>
      </c>
      <c r="T393">
        <f t="shared" si="26"/>
        <v>0</v>
      </c>
      <c r="U393">
        <f t="shared" si="27"/>
        <v>0</v>
      </c>
    </row>
    <row r="394" x14ac:dyDescent="0.35">
      <c r="A394" s="21" t="str">
        <v/>
      </c>
      <c r="B394" s="23" t="str">
        <v/>
      </c>
      <c r="C394" t="str">
        <v/>
      </c>
      <c r="D394" t="str">
        <v/>
      </c>
      <c r="E394" t="str">
        <v/>
      </c>
      <c r="F394" t="str">
        <v/>
      </c>
      <c r="G394" t="str">
        <v/>
      </c>
      <c r="H394" t="str">
        <v/>
      </c>
      <c r="I394" s="2" t="str">
        <v/>
      </c>
      <c r="J394" s="2" t="str">
        <v/>
      </c>
      <c r="K394" s="2" t="str">
        <v/>
      </c>
      <c r="L394" s="1" t="str">
        <v/>
      </c>
      <c r="M394" s="2" t="str">
        <v/>
      </c>
      <c r="N394" s="1" t="str">
        <v/>
      </c>
      <c r="O394" s="1" t="str">
        <v/>
      </c>
      <c r="P394" s="1" t="str">
        <v/>
      </c>
      <c r="Q394" s="1">
        <f t="shared" si="24"/>
        <v>0</v>
      </c>
      <c r="R394" s="1">
        <f t="shared" si="25"/>
        <v>0</v>
      </c>
      <c r="T394">
        <f t="shared" si="26"/>
        <v>0</v>
      </c>
      <c r="U394">
        <f t="shared" si="27"/>
        <v>0</v>
      </c>
    </row>
    <row r="395" x14ac:dyDescent="0.35">
      <c r="A395" s="21" t="str">
        <v/>
      </c>
      <c r="B395" s="23" t="str">
        <v/>
      </c>
      <c r="C395" t="str">
        <v/>
      </c>
      <c r="D395" t="str">
        <v/>
      </c>
      <c r="E395" t="str">
        <v/>
      </c>
      <c r="F395" t="str">
        <v/>
      </c>
      <c r="G395" t="str">
        <v/>
      </c>
      <c r="H395" t="str">
        <v/>
      </c>
      <c r="I395" s="2" t="str">
        <v/>
      </c>
      <c r="J395" s="2" t="str">
        <v/>
      </c>
      <c r="K395" s="2" t="str">
        <v/>
      </c>
      <c r="L395" s="1" t="str">
        <v/>
      </c>
      <c r="M395" s="2" t="str">
        <v/>
      </c>
      <c r="N395" s="1" t="str">
        <v/>
      </c>
      <c r="O395" s="1" t="str">
        <v/>
      </c>
      <c r="P395" s="1" t="str">
        <v/>
      </c>
      <c r="Q395" s="1">
        <f t="shared" si="24"/>
        <v>0</v>
      </c>
      <c r="R395" s="1">
        <f t="shared" si="25"/>
        <v>0</v>
      </c>
      <c r="T395">
        <f t="shared" si="26"/>
        <v>0</v>
      </c>
      <c r="U395">
        <f t="shared" si="27"/>
        <v>0</v>
      </c>
    </row>
    <row r="396" x14ac:dyDescent="0.35">
      <c r="A396" s="21" t="str">
        <v/>
      </c>
      <c r="B396" s="23" t="str">
        <v/>
      </c>
      <c r="C396" t="str">
        <v/>
      </c>
      <c r="D396" t="str">
        <v/>
      </c>
      <c r="E396" t="str">
        <v/>
      </c>
      <c r="F396" t="str">
        <v/>
      </c>
      <c r="G396" t="str">
        <v/>
      </c>
      <c r="H396" t="str">
        <v/>
      </c>
      <c r="I396" s="2" t="str">
        <v/>
      </c>
      <c r="J396" s="2" t="str">
        <v/>
      </c>
      <c r="K396" s="2" t="str">
        <v/>
      </c>
      <c r="L396" s="1" t="str">
        <v/>
      </c>
      <c r="M396" s="2" t="str">
        <v/>
      </c>
      <c r="N396" s="1" t="str">
        <v/>
      </c>
      <c r="O396" s="1" t="str">
        <v/>
      </c>
      <c r="P396" s="1" t="str">
        <v/>
      </c>
      <c r="Q396" s="1">
        <f t="shared" si="24"/>
        <v>0</v>
      </c>
      <c r="R396" s="1">
        <f t="shared" si="25"/>
        <v>0</v>
      </c>
      <c r="T396">
        <f t="shared" si="26"/>
        <v>0</v>
      </c>
      <c r="U396">
        <f t="shared" si="27"/>
        <v>0</v>
      </c>
    </row>
    <row r="397" x14ac:dyDescent="0.35">
      <c r="A397" s="21" t="str">
        <v/>
      </c>
      <c r="B397" s="23" t="str">
        <v/>
      </c>
      <c r="C397" t="str">
        <v/>
      </c>
      <c r="D397" t="str">
        <v/>
      </c>
      <c r="E397" t="str">
        <v/>
      </c>
      <c r="F397" t="str">
        <v/>
      </c>
      <c r="G397" t="str">
        <v/>
      </c>
      <c r="H397" t="str">
        <v/>
      </c>
      <c r="I397" s="2" t="str">
        <v/>
      </c>
      <c r="J397" s="2" t="str">
        <v/>
      </c>
      <c r="K397" s="2" t="str">
        <v/>
      </c>
      <c r="L397" s="1" t="str">
        <v/>
      </c>
      <c r="M397" s="2" t="str">
        <v/>
      </c>
      <c r="N397" s="1" t="str">
        <v/>
      </c>
      <c r="O397" s="1" t="str">
        <v/>
      </c>
      <c r="P397" s="1" t="str">
        <v/>
      </c>
      <c r="Q397" s="1">
        <f t="shared" si="24"/>
        <v>0</v>
      </c>
      <c r="R397" s="1">
        <f t="shared" si="25"/>
        <v>0</v>
      </c>
      <c r="T397">
        <f t="shared" si="26"/>
        <v>0</v>
      </c>
      <c r="U397">
        <f t="shared" si="27"/>
        <v>0</v>
      </c>
    </row>
    <row r="398" x14ac:dyDescent="0.35">
      <c r="A398" s="21" t="str">
        <v/>
      </c>
      <c r="B398" s="23" t="str">
        <v/>
      </c>
      <c r="C398" t="str">
        <v/>
      </c>
      <c r="D398" t="str">
        <v/>
      </c>
      <c r="E398" t="str">
        <v/>
      </c>
      <c r="F398" t="str">
        <v/>
      </c>
      <c r="G398" t="str">
        <v/>
      </c>
      <c r="H398" t="str">
        <v/>
      </c>
      <c r="I398" s="2" t="str">
        <v/>
      </c>
      <c r="J398" s="2" t="str">
        <v/>
      </c>
      <c r="K398" s="2" t="str">
        <v/>
      </c>
      <c r="L398" s="1" t="str">
        <v/>
      </c>
      <c r="M398" s="2" t="str">
        <v/>
      </c>
      <c r="N398" s="1" t="str">
        <v/>
      </c>
      <c r="O398" s="1" t="str">
        <v/>
      </c>
      <c r="P398" s="1" t="str">
        <v/>
      </c>
      <c r="Q398" s="1">
        <f t="shared" si="24"/>
        <v>0</v>
      </c>
      <c r="R398" s="1">
        <f t="shared" si="25"/>
        <v>0</v>
      </c>
      <c r="T398">
        <f t="shared" si="26"/>
        <v>0</v>
      </c>
      <c r="U398">
        <f t="shared" si="27"/>
        <v>0</v>
      </c>
    </row>
    <row r="399" x14ac:dyDescent="0.35">
      <c r="A399" s="21" t="str">
        <v/>
      </c>
      <c r="B399" s="23" t="str">
        <v/>
      </c>
      <c r="C399" t="str">
        <v/>
      </c>
      <c r="D399" t="str">
        <v/>
      </c>
      <c r="E399" t="str">
        <v/>
      </c>
      <c r="F399" t="str">
        <v/>
      </c>
      <c r="G399" t="str">
        <v/>
      </c>
      <c r="H399" t="str">
        <v/>
      </c>
      <c r="I399" s="2" t="str">
        <v/>
      </c>
      <c r="J399" s="2" t="str">
        <v/>
      </c>
      <c r="K399" s="2" t="str">
        <v/>
      </c>
      <c r="L399" s="1" t="str">
        <v/>
      </c>
      <c r="M399" s="2" t="str">
        <v/>
      </c>
      <c r="N399" s="1" t="str">
        <v/>
      </c>
      <c r="O399" s="1" t="str">
        <v/>
      </c>
      <c r="P399" s="1" t="str">
        <v/>
      </c>
      <c r="Q399" s="1">
        <f t="shared" si="24"/>
        <v>0</v>
      </c>
      <c r="R399" s="1">
        <f t="shared" si="25"/>
        <v>0</v>
      </c>
      <c r="T399">
        <f t="shared" si="26"/>
        <v>0</v>
      </c>
      <c r="U399">
        <f t="shared" si="27"/>
        <v>0</v>
      </c>
    </row>
    <row r="400" x14ac:dyDescent="0.35">
      <c r="A400" s="21" t="str">
        <v/>
      </c>
      <c r="B400" s="23" t="str">
        <v/>
      </c>
      <c r="C400" t="str">
        <v/>
      </c>
      <c r="D400" t="str">
        <v/>
      </c>
      <c r="E400" t="str">
        <v/>
      </c>
      <c r="F400" t="str">
        <v/>
      </c>
      <c r="G400" t="str">
        <v/>
      </c>
      <c r="H400" t="str">
        <v/>
      </c>
      <c r="I400" s="2" t="str">
        <v/>
      </c>
      <c r="J400" s="2" t="str">
        <v/>
      </c>
      <c r="K400" s="2" t="str">
        <v/>
      </c>
      <c r="L400" s="1" t="str">
        <v/>
      </c>
      <c r="M400" s="2" t="str">
        <v/>
      </c>
      <c r="N400" s="1" t="str">
        <v/>
      </c>
      <c r="O400" s="1" t="str">
        <v/>
      </c>
      <c r="P400" s="1" t="str">
        <v/>
      </c>
      <c r="Q400" s="1">
        <f t="shared" si="24"/>
        <v>0</v>
      </c>
      <c r="R400" s="1">
        <f t="shared" si="25"/>
        <v>0</v>
      </c>
      <c r="T400">
        <f t="shared" si="26"/>
        <v>0</v>
      </c>
      <c r="U400">
        <f t="shared" si="27"/>
        <v>0</v>
      </c>
    </row>
    <row r="401" x14ac:dyDescent="0.35">
      <c r="A401" s="21" t="str">
        <v/>
      </c>
      <c r="B401" s="23" t="str">
        <v/>
      </c>
      <c r="C401" t="str">
        <v/>
      </c>
      <c r="D401" t="str">
        <v/>
      </c>
      <c r="E401" t="str">
        <v/>
      </c>
      <c r="F401" t="str">
        <v/>
      </c>
      <c r="G401" t="str">
        <v/>
      </c>
      <c r="H401" t="str">
        <v/>
      </c>
      <c r="I401" s="2" t="str">
        <v/>
      </c>
      <c r="J401" s="2" t="str">
        <v/>
      </c>
      <c r="K401" s="2" t="str">
        <v/>
      </c>
      <c r="L401" s="1" t="str">
        <v/>
      </c>
      <c r="M401" s="2" t="str">
        <v/>
      </c>
      <c r="N401" s="1" t="str">
        <v/>
      </c>
      <c r="O401" s="1" t="str">
        <v/>
      </c>
      <c r="P401" s="1" t="str">
        <v/>
      </c>
      <c r="Q401" s="1">
        <f t="shared" si="24"/>
        <v>0</v>
      </c>
      <c r="R401" s="1">
        <f t="shared" si="25"/>
        <v>0</v>
      </c>
      <c r="T401">
        <f t="shared" si="26"/>
        <v>0</v>
      </c>
      <c r="U401">
        <f t="shared" si="27"/>
        <v>0</v>
      </c>
    </row>
    <row r="402" x14ac:dyDescent="0.35">
      <c r="A402" s="21" t="str">
        <v/>
      </c>
      <c r="B402" s="23" t="str">
        <v/>
      </c>
      <c r="C402" t="str">
        <v/>
      </c>
      <c r="D402" t="str">
        <v/>
      </c>
      <c r="E402" t="str">
        <v/>
      </c>
      <c r="F402" t="str">
        <v/>
      </c>
      <c r="G402" t="str">
        <v/>
      </c>
      <c r="H402" t="str">
        <v/>
      </c>
      <c r="I402" s="2" t="str">
        <v/>
      </c>
      <c r="J402" s="2" t="str">
        <v/>
      </c>
      <c r="K402" s="2" t="str">
        <v/>
      </c>
      <c r="L402" s="1" t="str">
        <v/>
      </c>
      <c r="M402" s="2" t="str">
        <v/>
      </c>
      <c r="N402" s="1" t="str">
        <v/>
      </c>
      <c r="O402" s="1" t="str">
        <v/>
      </c>
      <c r="P402" s="1" t="str">
        <v/>
      </c>
      <c r="Q402" s="1">
        <f t="shared" si="24"/>
        <v>0</v>
      </c>
      <c r="R402" s="1">
        <f t="shared" si="25"/>
        <v>0</v>
      </c>
      <c r="T402">
        <f t="shared" si="26"/>
        <v>0</v>
      </c>
      <c r="U402">
        <f t="shared" si="27"/>
        <v>0</v>
      </c>
    </row>
    <row r="403" x14ac:dyDescent="0.35">
      <c r="A403" s="21" t="str">
        <v/>
      </c>
      <c r="B403" s="23" t="str">
        <v/>
      </c>
      <c r="C403" t="str">
        <v/>
      </c>
      <c r="D403" t="str">
        <v/>
      </c>
      <c r="E403" t="str">
        <v/>
      </c>
      <c r="F403" t="str">
        <v/>
      </c>
      <c r="G403" t="str">
        <v/>
      </c>
      <c r="H403" t="str">
        <v/>
      </c>
      <c r="I403" s="2" t="str">
        <v/>
      </c>
      <c r="J403" s="2" t="str">
        <v/>
      </c>
      <c r="K403" s="2" t="str">
        <v/>
      </c>
      <c r="L403" s="1" t="str">
        <v/>
      </c>
      <c r="M403" s="2" t="str">
        <v/>
      </c>
      <c r="N403" s="1" t="str">
        <v/>
      </c>
      <c r="O403" s="1" t="str">
        <v/>
      </c>
      <c r="P403" s="1" t="str">
        <v/>
      </c>
      <c r="Q403" s="1">
        <f t="shared" si="24"/>
        <v>0</v>
      </c>
      <c r="R403" s="1">
        <f t="shared" si="25"/>
        <v>0</v>
      </c>
      <c r="T403">
        <f t="shared" si="26"/>
        <v>0</v>
      </c>
      <c r="U403">
        <f t="shared" si="27"/>
        <v>0</v>
      </c>
    </row>
    <row r="404" x14ac:dyDescent="0.35">
      <c r="A404" s="21" t="str">
        <v/>
      </c>
      <c r="B404" s="23" t="str">
        <v/>
      </c>
      <c r="C404" t="str">
        <v/>
      </c>
      <c r="D404" t="str">
        <v/>
      </c>
      <c r="E404" t="str">
        <v/>
      </c>
      <c r="F404" t="str">
        <v/>
      </c>
      <c r="G404" t="str">
        <v/>
      </c>
      <c r="H404" t="str">
        <v/>
      </c>
      <c r="I404" s="2" t="str">
        <v/>
      </c>
      <c r="J404" s="2" t="str">
        <v/>
      </c>
      <c r="K404" s="2" t="str">
        <v/>
      </c>
      <c r="L404" s="1" t="str">
        <v/>
      </c>
      <c r="M404" s="2" t="str">
        <v/>
      </c>
      <c r="N404" s="1" t="str">
        <v/>
      </c>
      <c r="O404" s="1" t="str">
        <v/>
      </c>
      <c r="P404" s="1" t="str">
        <v/>
      </c>
      <c r="Q404" s="1">
        <f t="shared" si="24"/>
        <v>0</v>
      </c>
      <c r="R404" s="1">
        <f t="shared" si="25"/>
        <v>0</v>
      </c>
      <c r="T404">
        <f t="shared" si="26"/>
        <v>0</v>
      </c>
      <c r="U404">
        <f t="shared" si="27"/>
        <v>0</v>
      </c>
    </row>
    <row r="405" x14ac:dyDescent="0.35">
      <c r="A405" s="21" t="str">
        <v/>
      </c>
      <c r="B405" s="23" t="str">
        <v/>
      </c>
      <c r="C405" t="str">
        <v/>
      </c>
      <c r="D405" t="str">
        <v/>
      </c>
      <c r="E405" t="str">
        <v/>
      </c>
      <c r="F405" t="str">
        <v/>
      </c>
      <c r="G405" t="str">
        <v/>
      </c>
      <c r="H405" t="str">
        <v/>
      </c>
      <c r="I405" s="2" t="str">
        <v/>
      </c>
      <c r="J405" s="2" t="str">
        <v/>
      </c>
      <c r="K405" s="2" t="str">
        <v/>
      </c>
      <c r="L405" s="1" t="str">
        <v/>
      </c>
      <c r="M405" s="2" t="str">
        <v/>
      </c>
      <c r="N405" s="1" t="str">
        <v/>
      </c>
      <c r="O405" s="1" t="str">
        <v/>
      </c>
      <c r="P405" s="1" t="str">
        <v/>
      </c>
      <c r="Q405" s="1">
        <f t="shared" si="24"/>
        <v>0</v>
      </c>
      <c r="R405" s="1">
        <f t="shared" si="25"/>
        <v>0</v>
      </c>
      <c r="T405">
        <f t="shared" si="26"/>
        <v>0</v>
      </c>
      <c r="U405">
        <f t="shared" si="27"/>
        <v>0</v>
      </c>
    </row>
    <row r="406" x14ac:dyDescent="0.35">
      <c r="A406" s="21" t="str">
        <v/>
      </c>
      <c r="B406" s="23" t="str">
        <v/>
      </c>
      <c r="C406" t="str">
        <v/>
      </c>
      <c r="D406" t="str">
        <v/>
      </c>
      <c r="E406" t="str">
        <v/>
      </c>
      <c r="F406" t="str">
        <v/>
      </c>
      <c r="G406" t="str">
        <v/>
      </c>
      <c r="H406" t="str">
        <v/>
      </c>
      <c r="I406" s="2" t="str">
        <v/>
      </c>
      <c r="J406" s="2" t="str">
        <v/>
      </c>
      <c r="K406" s="2" t="str">
        <v/>
      </c>
      <c r="L406" s="1" t="str">
        <v/>
      </c>
      <c r="M406" s="2" t="str">
        <v/>
      </c>
      <c r="N406" s="1" t="str">
        <v/>
      </c>
      <c r="O406" s="1" t="str">
        <v/>
      </c>
      <c r="P406" s="1" t="str">
        <v/>
      </c>
      <c r="Q406" s="1">
        <f t="shared" si="24"/>
        <v>0</v>
      </c>
      <c r="R406" s="1">
        <f t="shared" si="25"/>
        <v>0</v>
      </c>
      <c r="T406">
        <f t="shared" si="26"/>
        <v>0</v>
      </c>
      <c r="U406">
        <f t="shared" si="27"/>
        <v>0</v>
      </c>
    </row>
    <row r="407" x14ac:dyDescent="0.35">
      <c r="A407" s="21" t="str">
        <v/>
      </c>
      <c r="B407" s="23" t="str">
        <v/>
      </c>
      <c r="C407" t="str">
        <v/>
      </c>
      <c r="D407" t="str">
        <v/>
      </c>
      <c r="E407" t="str">
        <v/>
      </c>
      <c r="F407" t="str">
        <v/>
      </c>
      <c r="G407" t="str">
        <v/>
      </c>
      <c r="H407" t="str">
        <v/>
      </c>
      <c r="I407" s="2" t="str">
        <v/>
      </c>
      <c r="J407" s="2" t="str">
        <v/>
      </c>
      <c r="K407" s="2" t="str">
        <v/>
      </c>
      <c r="L407" s="1" t="str">
        <v/>
      </c>
      <c r="M407" s="2" t="str">
        <v/>
      </c>
      <c r="N407" s="1" t="str">
        <v/>
      </c>
      <c r="O407" s="1" t="str">
        <v/>
      </c>
      <c r="P407" s="1" t="str">
        <v/>
      </c>
      <c r="Q407" s="1">
        <f t="shared" si="24"/>
        <v>0</v>
      </c>
      <c r="R407" s="1">
        <f t="shared" si="25"/>
        <v>0</v>
      </c>
      <c r="T407">
        <f t="shared" si="26"/>
        <v>0</v>
      </c>
      <c r="U407">
        <f t="shared" si="27"/>
        <v>0</v>
      </c>
    </row>
    <row r="408" x14ac:dyDescent="0.35">
      <c r="A408" s="21" t="str">
        <v/>
      </c>
      <c r="B408" s="23" t="str">
        <v/>
      </c>
      <c r="C408" t="str">
        <v/>
      </c>
      <c r="D408" t="str">
        <v/>
      </c>
      <c r="E408" t="str">
        <v/>
      </c>
      <c r="F408" t="str">
        <v/>
      </c>
      <c r="G408" t="str">
        <v/>
      </c>
      <c r="H408" t="str">
        <v/>
      </c>
      <c r="I408" s="2" t="str">
        <v/>
      </c>
      <c r="J408" s="2" t="str">
        <v/>
      </c>
      <c r="K408" s="2" t="str">
        <v/>
      </c>
      <c r="L408" s="1" t="str">
        <v/>
      </c>
      <c r="M408" s="2" t="str">
        <v/>
      </c>
      <c r="N408" s="1" t="str">
        <v/>
      </c>
      <c r="O408" s="1" t="str">
        <v/>
      </c>
      <c r="P408" s="1" t="str">
        <v/>
      </c>
      <c r="Q408" s="1">
        <f t="shared" si="24"/>
        <v>0</v>
      </c>
      <c r="R408" s="1">
        <f t="shared" si="25"/>
        <v>0</v>
      </c>
      <c r="T408">
        <f t="shared" si="26"/>
        <v>0</v>
      </c>
      <c r="U408">
        <f t="shared" si="27"/>
        <v>0</v>
      </c>
    </row>
    <row r="409" x14ac:dyDescent="0.35">
      <c r="A409" s="21" t="str">
        <v/>
      </c>
      <c r="B409" s="23" t="str">
        <v/>
      </c>
      <c r="C409" t="str">
        <v/>
      </c>
      <c r="D409" t="str">
        <v/>
      </c>
      <c r="E409" t="str">
        <v/>
      </c>
      <c r="F409" t="str">
        <v/>
      </c>
      <c r="G409" t="str">
        <v/>
      </c>
      <c r="H409" t="str">
        <v/>
      </c>
      <c r="I409" s="2" t="str">
        <v/>
      </c>
      <c r="J409" s="2" t="str">
        <v/>
      </c>
      <c r="K409" s="2" t="str">
        <v/>
      </c>
      <c r="L409" s="1" t="str">
        <v/>
      </c>
      <c r="M409" s="2" t="str">
        <v/>
      </c>
      <c r="N409" s="1" t="str">
        <v/>
      </c>
      <c r="O409" s="1" t="str">
        <v/>
      </c>
      <c r="P409" s="1" t="str">
        <v/>
      </c>
      <c r="Q409" s="1">
        <f t="shared" si="24"/>
        <v>0</v>
      </c>
      <c r="R409" s="1">
        <f t="shared" si="25"/>
        <v>0</v>
      </c>
      <c r="T409">
        <f t="shared" si="26"/>
        <v>0</v>
      </c>
      <c r="U409">
        <f t="shared" si="27"/>
        <v>0</v>
      </c>
    </row>
    <row r="410" x14ac:dyDescent="0.35">
      <c r="A410" s="21" t="str">
        <v/>
      </c>
      <c r="B410" s="23" t="str">
        <v/>
      </c>
      <c r="C410" t="str">
        <v/>
      </c>
      <c r="D410" t="str">
        <v/>
      </c>
      <c r="E410" t="str">
        <v/>
      </c>
      <c r="F410" t="str">
        <v/>
      </c>
      <c r="G410" t="str">
        <v/>
      </c>
      <c r="H410" t="str">
        <v/>
      </c>
      <c r="I410" s="2" t="str">
        <v/>
      </c>
      <c r="J410" s="2" t="str">
        <v/>
      </c>
      <c r="K410" s="2" t="str">
        <v/>
      </c>
      <c r="L410" s="1" t="str">
        <v/>
      </c>
      <c r="M410" s="2" t="str">
        <v/>
      </c>
      <c r="N410" s="1" t="str">
        <v/>
      </c>
      <c r="O410" s="1" t="str">
        <v/>
      </c>
      <c r="P410" s="1" t="str">
        <v/>
      </c>
      <c r="Q410" s="1">
        <f t="shared" si="24"/>
        <v>0</v>
      </c>
      <c r="R410" s="1">
        <f t="shared" si="25"/>
        <v>0</v>
      </c>
      <c r="T410">
        <f t="shared" si="26"/>
        <v>0</v>
      </c>
      <c r="U410">
        <f t="shared" si="27"/>
        <v>0</v>
      </c>
    </row>
    <row r="411" x14ac:dyDescent="0.35">
      <c r="A411" s="21" t="str">
        <v/>
      </c>
      <c r="B411" s="23" t="str">
        <v/>
      </c>
      <c r="C411" t="str">
        <v/>
      </c>
      <c r="D411" t="str">
        <v/>
      </c>
      <c r="E411" t="str">
        <v/>
      </c>
      <c r="F411" t="str">
        <v/>
      </c>
      <c r="G411" t="str">
        <v/>
      </c>
      <c r="H411" t="str">
        <v/>
      </c>
      <c r="I411" s="2" t="str">
        <v/>
      </c>
      <c r="J411" s="2" t="str">
        <v/>
      </c>
      <c r="K411" s="2" t="str">
        <v/>
      </c>
      <c r="L411" s="1" t="str">
        <v/>
      </c>
      <c r="M411" s="2" t="str">
        <v/>
      </c>
      <c r="N411" s="1" t="str">
        <v/>
      </c>
      <c r="O411" s="1" t="str">
        <v/>
      </c>
      <c r="P411" s="1" t="str">
        <v/>
      </c>
      <c r="Q411" s="1">
        <f t="shared" si="24"/>
        <v>0</v>
      </c>
      <c r="R411" s="1">
        <f t="shared" si="25"/>
        <v>0</v>
      </c>
      <c r="T411">
        <f t="shared" si="26"/>
        <v>0</v>
      </c>
      <c r="U411">
        <f t="shared" si="27"/>
        <v>0</v>
      </c>
    </row>
    <row r="412" x14ac:dyDescent="0.35">
      <c r="A412" s="21" t="str">
        <v/>
      </c>
      <c r="B412" s="23" t="str">
        <v/>
      </c>
      <c r="C412" t="str">
        <v/>
      </c>
      <c r="D412" t="str">
        <v/>
      </c>
      <c r="E412" t="str">
        <v/>
      </c>
      <c r="F412" t="str">
        <v/>
      </c>
      <c r="G412" t="str">
        <v/>
      </c>
      <c r="H412" t="str">
        <v/>
      </c>
      <c r="I412" s="2" t="str">
        <v/>
      </c>
      <c r="J412" s="2" t="str">
        <v/>
      </c>
      <c r="K412" s="2" t="str">
        <v/>
      </c>
      <c r="L412" s="1" t="str">
        <v/>
      </c>
      <c r="M412" s="2" t="str">
        <v/>
      </c>
      <c r="N412" s="1" t="str">
        <v/>
      </c>
      <c r="O412" s="1" t="str">
        <v/>
      </c>
      <c r="P412" s="1" t="str">
        <v/>
      </c>
      <c r="Q412" s="1">
        <f t="shared" si="24"/>
        <v>0</v>
      </c>
      <c r="R412" s="1">
        <f t="shared" si="25"/>
        <v>0</v>
      </c>
      <c r="T412">
        <f t="shared" si="26"/>
        <v>0</v>
      </c>
      <c r="U412">
        <f t="shared" si="27"/>
        <v>0</v>
      </c>
    </row>
    <row r="413" x14ac:dyDescent="0.35">
      <c r="A413" s="21" t="str">
        <v/>
      </c>
      <c r="B413" s="23" t="str">
        <v/>
      </c>
      <c r="C413" t="str">
        <v/>
      </c>
      <c r="D413" t="str">
        <v/>
      </c>
      <c r="E413" t="str">
        <v/>
      </c>
      <c r="F413" t="str">
        <v/>
      </c>
      <c r="G413" t="str">
        <v/>
      </c>
      <c r="H413" t="str">
        <v/>
      </c>
      <c r="I413" s="2" t="str">
        <v/>
      </c>
      <c r="J413" s="2" t="str">
        <v/>
      </c>
      <c r="K413" s="2" t="str">
        <v/>
      </c>
      <c r="L413" s="1" t="str">
        <v/>
      </c>
      <c r="M413" s="2" t="str">
        <v/>
      </c>
      <c r="N413" s="1" t="str">
        <v/>
      </c>
      <c r="O413" s="1" t="str">
        <v/>
      </c>
      <c r="P413" s="1" t="str">
        <v/>
      </c>
      <c r="Q413" s="1">
        <f t="shared" si="24"/>
        <v>0</v>
      </c>
      <c r="R413" s="1">
        <f t="shared" si="25"/>
        <v>0</v>
      </c>
      <c r="T413">
        <f t="shared" si="26"/>
        <v>0</v>
      </c>
      <c r="U413">
        <f t="shared" si="27"/>
        <v>0</v>
      </c>
    </row>
    <row r="414" x14ac:dyDescent="0.35">
      <c r="A414" s="21" t="str">
        <v/>
      </c>
      <c r="B414" s="23" t="str">
        <v/>
      </c>
      <c r="C414" t="str">
        <v/>
      </c>
      <c r="D414" t="str">
        <v/>
      </c>
      <c r="E414" t="str">
        <v/>
      </c>
      <c r="F414" t="str">
        <v/>
      </c>
      <c r="G414" t="str">
        <v/>
      </c>
      <c r="H414" t="str">
        <v/>
      </c>
      <c r="I414" s="2" t="str">
        <v/>
      </c>
      <c r="J414" s="2" t="str">
        <v/>
      </c>
      <c r="K414" s="2" t="str">
        <v/>
      </c>
      <c r="L414" s="1" t="str">
        <v/>
      </c>
      <c r="M414" s="2" t="str">
        <v/>
      </c>
      <c r="N414" s="1" t="str">
        <v/>
      </c>
      <c r="O414" s="1" t="str">
        <v/>
      </c>
      <c r="P414" s="1" t="str">
        <v/>
      </c>
      <c r="Q414" s="1">
        <f t="shared" si="24"/>
        <v>0</v>
      </c>
      <c r="R414" s="1">
        <f t="shared" si="25"/>
        <v>0</v>
      </c>
      <c r="T414">
        <f t="shared" si="26"/>
        <v>0</v>
      </c>
      <c r="U414">
        <f t="shared" si="27"/>
        <v>0</v>
      </c>
    </row>
    <row r="415" x14ac:dyDescent="0.35">
      <c r="A415" s="21" t="str">
        <v/>
      </c>
      <c r="B415" s="23" t="str">
        <v/>
      </c>
      <c r="C415" t="str">
        <v/>
      </c>
      <c r="D415" t="str">
        <v/>
      </c>
      <c r="E415" t="str">
        <v/>
      </c>
      <c r="F415" t="str">
        <v/>
      </c>
      <c r="G415" t="str">
        <v/>
      </c>
      <c r="H415" t="str">
        <v/>
      </c>
      <c r="I415" s="2" t="str">
        <v/>
      </c>
      <c r="J415" s="2" t="str">
        <v/>
      </c>
      <c r="K415" s="2" t="str">
        <v/>
      </c>
      <c r="L415" s="1" t="str">
        <v/>
      </c>
      <c r="M415" s="2" t="str">
        <v/>
      </c>
      <c r="N415" s="1" t="str">
        <v/>
      </c>
      <c r="O415" s="1" t="str">
        <v/>
      </c>
      <c r="P415" s="1" t="str">
        <v/>
      </c>
      <c r="Q415" s="1">
        <f t="shared" si="24"/>
        <v>0</v>
      </c>
      <c r="R415" s="1">
        <f t="shared" si="25"/>
        <v>0</v>
      </c>
      <c r="T415">
        <f t="shared" si="26"/>
        <v>0</v>
      </c>
      <c r="U415">
        <f t="shared" si="27"/>
        <v>0</v>
      </c>
    </row>
    <row r="416" x14ac:dyDescent="0.35">
      <c r="A416" s="21" t="str">
        <v/>
      </c>
      <c r="B416" s="23" t="str">
        <v/>
      </c>
      <c r="C416" t="str">
        <v/>
      </c>
      <c r="D416" t="str">
        <v/>
      </c>
      <c r="E416" t="str">
        <v/>
      </c>
      <c r="F416" t="str">
        <v/>
      </c>
      <c r="G416" t="str">
        <v/>
      </c>
      <c r="H416" t="str">
        <v/>
      </c>
      <c r="I416" s="2" t="str">
        <v/>
      </c>
      <c r="J416" s="2" t="str">
        <v/>
      </c>
      <c r="K416" s="2" t="str">
        <v/>
      </c>
      <c r="L416" s="1" t="str">
        <v/>
      </c>
      <c r="M416" s="2" t="str">
        <v/>
      </c>
      <c r="N416" s="1" t="str">
        <v/>
      </c>
      <c r="O416" s="1" t="str">
        <v/>
      </c>
      <c r="P416" s="1" t="str">
        <v/>
      </c>
      <c r="Q416" s="1">
        <f t="shared" si="24"/>
        <v>0</v>
      </c>
      <c r="R416" s="1">
        <f t="shared" si="25"/>
        <v>0</v>
      </c>
      <c r="T416">
        <f t="shared" si="26"/>
        <v>0</v>
      </c>
      <c r="U416">
        <f t="shared" si="27"/>
        <v>0</v>
      </c>
    </row>
    <row r="417" x14ac:dyDescent="0.35">
      <c r="A417" s="21" t="str">
        <v/>
      </c>
      <c r="B417" s="23" t="str">
        <v/>
      </c>
      <c r="C417" t="str">
        <v/>
      </c>
      <c r="D417" t="str">
        <v/>
      </c>
      <c r="E417" t="str">
        <v/>
      </c>
      <c r="F417" t="str">
        <v/>
      </c>
      <c r="G417" t="str">
        <v/>
      </c>
      <c r="H417" t="str">
        <v/>
      </c>
      <c r="I417" s="2" t="str">
        <v/>
      </c>
      <c r="J417" s="2" t="str">
        <v/>
      </c>
      <c r="K417" s="2" t="str">
        <v/>
      </c>
      <c r="L417" s="1" t="str">
        <v/>
      </c>
      <c r="M417" s="2" t="str">
        <v/>
      </c>
      <c r="N417" s="1" t="str">
        <v/>
      </c>
      <c r="O417" s="1" t="str">
        <v/>
      </c>
      <c r="P417" s="1" t="str">
        <v/>
      </c>
      <c r="Q417" s="1">
        <f t="shared" si="24"/>
        <v>0</v>
      </c>
      <c r="R417" s="1">
        <f t="shared" si="25"/>
        <v>0</v>
      </c>
      <c r="T417">
        <f t="shared" si="26"/>
        <v>0</v>
      </c>
      <c r="U417">
        <f t="shared" si="27"/>
        <v>0</v>
      </c>
    </row>
    <row r="418" x14ac:dyDescent="0.35">
      <c r="A418" s="21" t="str">
        <v/>
      </c>
      <c r="B418" s="23" t="str">
        <v/>
      </c>
      <c r="C418" t="str">
        <v/>
      </c>
      <c r="D418" t="str">
        <v/>
      </c>
      <c r="E418" t="str">
        <v/>
      </c>
      <c r="F418" t="str">
        <v/>
      </c>
      <c r="G418" t="str">
        <v/>
      </c>
      <c r="H418" t="str">
        <v/>
      </c>
      <c r="I418" s="2" t="str">
        <v/>
      </c>
      <c r="J418" s="2" t="str">
        <v/>
      </c>
      <c r="K418" s="2" t="str">
        <v/>
      </c>
      <c r="L418" s="1" t="str">
        <v/>
      </c>
      <c r="M418" s="2" t="str">
        <v/>
      </c>
      <c r="N418" s="1" t="str">
        <v/>
      </c>
      <c r="O418" s="1" t="str">
        <v/>
      </c>
      <c r="P418" s="1" t="str">
        <v/>
      </c>
      <c r="Q418" s="1">
        <f t="shared" si="24"/>
        <v>0</v>
      </c>
      <c r="R418" s="1">
        <f t="shared" si="25"/>
        <v>0</v>
      </c>
      <c r="T418">
        <f t="shared" si="26"/>
        <v>0</v>
      </c>
      <c r="U418">
        <f t="shared" si="27"/>
        <v>0</v>
      </c>
    </row>
    <row r="419" x14ac:dyDescent="0.35">
      <c r="A419" s="21" t="str">
        <v/>
      </c>
      <c r="B419" s="23" t="str">
        <v/>
      </c>
      <c r="C419" t="str">
        <v/>
      </c>
      <c r="D419" t="str">
        <v/>
      </c>
      <c r="E419" t="str">
        <v/>
      </c>
      <c r="F419" t="str">
        <v/>
      </c>
      <c r="G419" t="str">
        <v/>
      </c>
      <c r="H419" t="str">
        <v/>
      </c>
      <c r="I419" s="2" t="str">
        <v/>
      </c>
      <c r="J419" s="2" t="str">
        <v/>
      </c>
      <c r="K419" s="2" t="str">
        <v/>
      </c>
      <c r="L419" s="1" t="str">
        <v/>
      </c>
      <c r="M419" s="2" t="str">
        <v/>
      </c>
      <c r="N419" s="1" t="str">
        <v/>
      </c>
      <c r="O419" s="1" t="str">
        <v/>
      </c>
      <c r="P419" s="1" t="str">
        <v/>
      </c>
      <c r="Q419" s="1">
        <f t="shared" si="24"/>
        <v>0</v>
      </c>
      <c r="R419" s="1">
        <f t="shared" si="25"/>
        <v>0</v>
      </c>
      <c r="T419">
        <f t="shared" si="26"/>
        <v>0</v>
      </c>
      <c r="U419">
        <f t="shared" si="27"/>
        <v>0</v>
      </c>
    </row>
    <row r="420" x14ac:dyDescent="0.35">
      <c r="A420" s="21" t="str">
        <v/>
      </c>
      <c r="B420" s="23" t="str">
        <v/>
      </c>
      <c r="C420" t="str">
        <v/>
      </c>
      <c r="D420" t="str">
        <v/>
      </c>
      <c r="E420" t="str">
        <v/>
      </c>
      <c r="F420" t="str">
        <v/>
      </c>
      <c r="G420" t="str">
        <v/>
      </c>
      <c r="H420" t="str">
        <v/>
      </c>
      <c r="I420" s="2" t="str">
        <v/>
      </c>
      <c r="J420" s="2" t="str">
        <v/>
      </c>
      <c r="K420" s="2" t="str">
        <v/>
      </c>
      <c r="L420" s="1" t="str">
        <v/>
      </c>
      <c r="M420" s="2" t="str">
        <v/>
      </c>
      <c r="N420" s="1" t="str">
        <v/>
      </c>
      <c r="O420" s="1" t="str">
        <v/>
      </c>
      <c r="P420" s="1" t="str">
        <v/>
      </c>
      <c r="Q420" s="1">
        <f t="shared" si="24"/>
        <v>0</v>
      </c>
      <c r="R420" s="1">
        <f t="shared" si="25"/>
        <v>0</v>
      </c>
      <c r="T420">
        <f t="shared" si="26"/>
        <v>0</v>
      </c>
      <c r="U420">
        <f t="shared" si="27"/>
        <v>0</v>
      </c>
    </row>
    <row r="421" x14ac:dyDescent="0.35">
      <c r="A421" s="21" t="str">
        <v/>
      </c>
      <c r="B421" s="23" t="str">
        <v/>
      </c>
      <c r="C421" t="str">
        <v/>
      </c>
      <c r="D421" t="str">
        <v/>
      </c>
      <c r="E421" t="str">
        <v/>
      </c>
      <c r="F421" t="str">
        <v/>
      </c>
      <c r="G421" t="str">
        <v/>
      </c>
      <c r="H421" t="str">
        <v/>
      </c>
      <c r="I421" s="2" t="str">
        <v/>
      </c>
      <c r="J421" s="2" t="str">
        <v/>
      </c>
      <c r="K421" s="2" t="str">
        <v/>
      </c>
      <c r="L421" s="1" t="str">
        <v/>
      </c>
      <c r="M421" s="2" t="str">
        <v/>
      </c>
      <c r="N421" s="1" t="str">
        <v/>
      </c>
      <c r="O421" s="1" t="str">
        <v/>
      </c>
      <c r="P421" s="1" t="str">
        <v/>
      </c>
      <c r="Q421" s="1">
        <f t="shared" si="24"/>
        <v>0</v>
      </c>
      <c r="R421" s="1">
        <f t="shared" si="25"/>
        <v>0</v>
      </c>
      <c r="T421">
        <f t="shared" si="26"/>
        <v>0</v>
      </c>
      <c r="U421">
        <f t="shared" si="27"/>
        <v>0</v>
      </c>
    </row>
    <row r="422" x14ac:dyDescent="0.35">
      <c r="A422" s="21" t="str">
        <v/>
      </c>
      <c r="B422" s="23" t="str">
        <v/>
      </c>
      <c r="C422" t="str">
        <v/>
      </c>
      <c r="D422" t="str">
        <v/>
      </c>
      <c r="E422" t="str">
        <v/>
      </c>
      <c r="F422" t="str">
        <v/>
      </c>
      <c r="G422" t="str">
        <v/>
      </c>
      <c r="H422" t="str">
        <v/>
      </c>
      <c r="I422" s="2" t="str">
        <v/>
      </c>
      <c r="J422" s="2" t="str">
        <v/>
      </c>
      <c r="K422" s="2" t="str">
        <v/>
      </c>
      <c r="L422" s="1" t="str">
        <v/>
      </c>
      <c r="M422" s="2" t="str">
        <v/>
      </c>
      <c r="N422" s="1" t="str">
        <v/>
      </c>
      <c r="O422" s="1" t="str">
        <v/>
      </c>
      <c r="P422" s="1" t="str">
        <v/>
      </c>
      <c r="Q422" s="1">
        <f t="shared" si="24"/>
        <v>0</v>
      </c>
      <c r="R422" s="1">
        <f t="shared" si="25"/>
        <v>0</v>
      </c>
      <c r="T422">
        <f t="shared" si="26"/>
        <v>0</v>
      </c>
      <c r="U422">
        <f t="shared" si="27"/>
        <v>0</v>
      </c>
    </row>
    <row r="423" x14ac:dyDescent="0.35">
      <c r="A423" s="21" t="str">
        <v/>
      </c>
      <c r="B423" s="23" t="str">
        <v/>
      </c>
      <c r="C423" t="str">
        <v/>
      </c>
      <c r="D423" t="str">
        <v/>
      </c>
      <c r="E423" t="str">
        <v/>
      </c>
      <c r="F423" t="str">
        <v/>
      </c>
      <c r="G423" t="str">
        <v/>
      </c>
      <c r="H423" t="str">
        <v/>
      </c>
      <c r="I423" s="2" t="str">
        <v/>
      </c>
      <c r="J423" s="2" t="str">
        <v/>
      </c>
      <c r="K423" s="2" t="str">
        <v/>
      </c>
      <c r="L423" s="1" t="str">
        <v/>
      </c>
      <c r="M423" s="2" t="str">
        <v/>
      </c>
      <c r="N423" s="1" t="str">
        <v/>
      </c>
      <c r="O423" s="1" t="str">
        <v/>
      </c>
      <c r="P423" s="1" t="str">
        <v/>
      </c>
      <c r="Q423" s="1">
        <f t="shared" si="24"/>
        <v>0</v>
      </c>
      <c r="R423" s="1">
        <f t="shared" si="25"/>
        <v>0</v>
      </c>
      <c r="T423">
        <f t="shared" si="26"/>
        <v>0</v>
      </c>
      <c r="U423">
        <f t="shared" si="27"/>
        <v>0</v>
      </c>
    </row>
    <row r="424" x14ac:dyDescent="0.35">
      <c r="A424" s="21" t="str">
        <v/>
      </c>
      <c r="B424" s="23" t="str">
        <v/>
      </c>
      <c r="C424" t="str">
        <v/>
      </c>
      <c r="D424" t="str">
        <v/>
      </c>
      <c r="E424" t="str">
        <v/>
      </c>
      <c r="F424" t="str">
        <v/>
      </c>
      <c r="G424" t="str">
        <v/>
      </c>
      <c r="H424" t="str">
        <v/>
      </c>
      <c r="I424" s="2" t="str">
        <v/>
      </c>
      <c r="J424" s="2" t="str">
        <v/>
      </c>
      <c r="K424" s="2" t="str">
        <v/>
      </c>
      <c r="L424" s="1" t="str">
        <v/>
      </c>
      <c r="M424" s="2" t="str">
        <v/>
      </c>
      <c r="N424" s="1" t="str">
        <v/>
      </c>
      <c r="O424" s="1" t="str">
        <v/>
      </c>
      <c r="P424" s="1" t="str">
        <v/>
      </c>
      <c r="Q424" s="1">
        <f t="shared" si="24"/>
        <v>0</v>
      </c>
      <c r="R424" s="1">
        <f t="shared" si="25"/>
        <v>0</v>
      </c>
      <c r="T424">
        <f t="shared" si="26"/>
        <v>0</v>
      </c>
      <c r="U424">
        <f t="shared" si="27"/>
        <v>0</v>
      </c>
    </row>
    <row r="425" x14ac:dyDescent="0.35">
      <c r="A425" s="21" t="str">
        <v/>
      </c>
      <c r="B425" s="23" t="str">
        <v/>
      </c>
      <c r="C425" t="str">
        <v/>
      </c>
      <c r="D425" t="str">
        <v/>
      </c>
      <c r="E425" t="str">
        <v/>
      </c>
      <c r="F425" t="str">
        <v/>
      </c>
      <c r="G425" t="str">
        <v/>
      </c>
      <c r="H425" t="str">
        <v/>
      </c>
      <c r="I425" s="2" t="str">
        <v/>
      </c>
      <c r="J425" s="2" t="str">
        <v/>
      </c>
      <c r="K425" s="2" t="str">
        <v/>
      </c>
      <c r="L425" s="1" t="str">
        <v/>
      </c>
      <c r="M425" s="2" t="str">
        <v/>
      </c>
      <c r="N425" s="1" t="str">
        <v/>
      </c>
      <c r="O425" s="1" t="str">
        <v/>
      </c>
      <c r="P425" s="1" t="str">
        <v/>
      </c>
      <c r="Q425" s="1">
        <f t="shared" si="24"/>
        <v>0</v>
      </c>
      <c r="R425" s="1">
        <f t="shared" si="25"/>
        <v>0</v>
      </c>
      <c r="T425">
        <f t="shared" si="26"/>
        <v>0</v>
      </c>
      <c r="U425">
        <f t="shared" si="27"/>
        <v>0</v>
      </c>
    </row>
    <row r="426" x14ac:dyDescent="0.35">
      <c r="A426" s="21" t="str">
        <v/>
      </c>
      <c r="B426" s="23" t="str">
        <v/>
      </c>
      <c r="C426" t="str">
        <v/>
      </c>
      <c r="D426" t="str">
        <v/>
      </c>
      <c r="E426" t="str">
        <v/>
      </c>
      <c r="F426" t="str">
        <v/>
      </c>
      <c r="G426" t="str">
        <v/>
      </c>
      <c r="H426" t="str">
        <v/>
      </c>
      <c r="I426" s="2" t="str">
        <v/>
      </c>
      <c r="J426" s="2" t="str">
        <v/>
      </c>
      <c r="K426" s="2" t="str">
        <v/>
      </c>
      <c r="L426" s="1" t="str">
        <v/>
      </c>
      <c r="M426" s="2" t="str">
        <v/>
      </c>
      <c r="N426" s="1" t="str">
        <v/>
      </c>
      <c r="O426" s="1" t="str">
        <v/>
      </c>
      <c r="P426" s="1" t="str">
        <v/>
      </c>
      <c r="Q426" s="1">
        <f t="shared" si="24"/>
        <v>0</v>
      </c>
      <c r="R426" s="1">
        <f t="shared" si="25"/>
        <v>0</v>
      </c>
      <c r="T426">
        <f t="shared" si="26"/>
        <v>0</v>
      </c>
      <c r="U426">
        <f t="shared" si="27"/>
        <v>0</v>
      </c>
    </row>
    <row r="427" x14ac:dyDescent="0.35">
      <c r="A427" s="21" t="str">
        <v/>
      </c>
      <c r="B427" s="23" t="str">
        <v/>
      </c>
      <c r="C427" t="str">
        <v/>
      </c>
      <c r="D427" t="str">
        <v/>
      </c>
      <c r="E427" t="str">
        <v/>
      </c>
      <c r="F427" t="str">
        <v/>
      </c>
      <c r="G427" t="str">
        <v/>
      </c>
      <c r="H427" t="str">
        <v/>
      </c>
      <c r="I427" s="2" t="str">
        <v/>
      </c>
      <c r="J427" s="2" t="str">
        <v/>
      </c>
      <c r="K427" s="2" t="str">
        <v/>
      </c>
      <c r="L427" s="1" t="str">
        <v/>
      </c>
      <c r="M427" s="2" t="str">
        <v/>
      </c>
      <c r="N427" s="1" t="str">
        <v/>
      </c>
      <c r="O427" s="1" t="str">
        <v/>
      </c>
      <c r="P427" s="1" t="str">
        <v/>
      </c>
      <c r="Q427" s="1">
        <f t="shared" si="24"/>
        <v>0</v>
      </c>
      <c r="R427" s="1">
        <f t="shared" si="25"/>
        <v>0</v>
      </c>
      <c r="T427">
        <f t="shared" si="26"/>
        <v>0</v>
      </c>
      <c r="U427">
        <f t="shared" si="27"/>
        <v>0</v>
      </c>
    </row>
    <row r="428" x14ac:dyDescent="0.35">
      <c r="A428" s="21" t="str">
        <v/>
      </c>
      <c r="B428" s="23" t="str">
        <v/>
      </c>
      <c r="C428" t="str">
        <v/>
      </c>
      <c r="D428" t="str">
        <v/>
      </c>
      <c r="E428" t="str">
        <v/>
      </c>
      <c r="F428" t="str">
        <v/>
      </c>
      <c r="G428" t="str">
        <v/>
      </c>
      <c r="H428" t="str">
        <v/>
      </c>
      <c r="I428" s="2" t="str">
        <v/>
      </c>
      <c r="J428" s="2" t="str">
        <v/>
      </c>
      <c r="K428" s="2" t="str">
        <v/>
      </c>
      <c r="L428" s="1" t="str">
        <v/>
      </c>
      <c r="M428" s="2" t="str">
        <v/>
      </c>
      <c r="N428" s="1" t="str">
        <v/>
      </c>
      <c r="O428" s="1" t="str">
        <v/>
      </c>
      <c r="P428" s="1" t="str">
        <v/>
      </c>
      <c r="Q428" s="1">
        <f t="shared" si="24"/>
        <v>0</v>
      </c>
      <c r="R428" s="1">
        <f t="shared" si="25"/>
        <v>0</v>
      </c>
      <c r="T428">
        <f t="shared" si="26"/>
        <v>0</v>
      </c>
      <c r="U428">
        <f t="shared" si="27"/>
        <v>0</v>
      </c>
    </row>
    <row r="429" x14ac:dyDescent="0.35">
      <c r="A429" s="21" t="str">
        <v/>
      </c>
      <c r="B429" s="23" t="str">
        <v/>
      </c>
      <c r="C429" t="str">
        <v/>
      </c>
      <c r="D429" t="str">
        <v/>
      </c>
      <c r="E429" t="str">
        <v/>
      </c>
      <c r="F429" t="str">
        <v/>
      </c>
      <c r="G429" t="str">
        <v/>
      </c>
      <c r="H429" t="str">
        <v/>
      </c>
      <c r="I429" s="2" t="str">
        <v/>
      </c>
      <c r="J429" s="2" t="str">
        <v/>
      </c>
      <c r="K429" s="2" t="str">
        <v/>
      </c>
      <c r="L429" s="1" t="str">
        <v/>
      </c>
      <c r="M429" s="2" t="str">
        <v/>
      </c>
      <c r="N429" s="1" t="str">
        <v/>
      </c>
      <c r="O429" s="1" t="str">
        <v/>
      </c>
      <c r="P429" s="1" t="str">
        <v/>
      </c>
      <c r="Q429" s="1">
        <f t="shared" si="24"/>
        <v>0</v>
      </c>
      <c r="R429" s="1">
        <f t="shared" si="25"/>
        <v>0</v>
      </c>
      <c r="T429">
        <f t="shared" si="26"/>
        <v>0</v>
      </c>
      <c r="U429">
        <f t="shared" si="27"/>
        <v>0</v>
      </c>
    </row>
    <row r="430" x14ac:dyDescent="0.35">
      <c r="A430" s="21" t="str">
        <v/>
      </c>
      <c r="B430" s="23" t="str">
        <v/>
      </c>
      <c r="C430" t="str">
        <v/>
      </c>
      <c r="D430" t="str">
        <v/>
      </c>
      <c r="E430" t="str">
        <v/>
      </c>
      <c r="F430" t="str">
        <v/>
      </c>
      <c r="G430" t="str">
        <v/>
      </c>
      <c r="H430" t="str">
        <v/>
      </c>
      <c r="I430" s="2" t="str">
        <v/>
      </c>
      <c r="J430" s="2" t="str">
        <v/>
      </c>
      <c r="K430" s="2" t="str">
        <v/>
      </c>
      <c r="L430" s="1" t="str">
        <v/>
      </c>
      <c r="M430" s="2" t="str">
        <v/>
      </c>
      <c r="N430" s="1" t="str">
        <v/>
      </c>
      <c r="O430" s="1" t="str">
        <v/>
      </c>
      <c r="P430" s="1" t="str">
        <v/>
      </c>
      <c r="Q430" s="1">
        <f t="shared" si="24"/>
        <v>0</v>
      </c>
      <c r="R430" s="1">
        <f t="shared" si="25"/>
        <v>0</v>
      </c>
      <c r="T430">
        <f t="shared" si="26"/>
        <v>0</v>
      </c>
      <c r="U430">
        <f t="shared" si="27"/>
        <v>0</v>
      </c>
    </row>
    <row r="431" x14ac:dyDescent="0.35">
      <c r="A431" s="21" t="str">
        <v/>
      </c>
      <c r="B431" s="23" t="str">
        <v/>
      </c>
      <c r="C431" t="str">
        <v/>
      </c>
      <c r="D431" t="str">
        <v/>
      </c>
      <c r="E431" t="str">
        <v/>
      </c>
      <c r="F431" t="str">
        <v/>
      </c>
      <c r="G431" t="str">
        <v/>
      </c>
      <c r="H431" t="str">
        <v/>
      </c>
      <c r="I431" s="2" t="str">
        <v/>
      </c>
      <c r="J431" s="2" t="str">
        <v/>
      </c>
      <c r="K431" s="2" t="str">
        <v/>
      </c>
      <c r="L431" s="1" t="str">
        <v/>
      </c>
      <c r="M431" s="2" t="str">
        <v/>
      </c>
      <c r="N431" s="1" t="str">
        <v/>
      </c>
      <c r="O431" s="1" t="str">
        <v/>
      </c>
      <c r="P431" s="1" t="str">
        <v/>
      </c>
      <c r="Q431" s="1">
        <f t="shared" si="24"/>
        <v>0</v>
      </c>
      <c r="R431" s="1">
        <f t="shared" si="25"/>
        <v>0</v>
      </c>
      <c r="T431">
        <f t="shared" si="26"/>
        <v>0</v>
      </c>
      <c r="U431">
        <f t="shared" si="27"/>
        <v>0</v>
      </c>
    </row>
    <row r="432" x14ac:dyDescent="0.35">
      <c r="A432" s="21" t="str">
        <v/>
      </c>
      <c r="B432" s="23" t="str">
        <v/>
      </c>
      <c r="C432" t="str">
        <v/>
      </c>
      <c r="D432" t="str">
        <v/>
      </c>
      <c r="E432" t="str">
        <v/>
      </c>
      <c r="F432" t="str">
        <v/>
      </c>
      <c r="G432" t="str">
        <v/>
      </c>
      <c r="H432" t="str">
        <v/>
      </c>
      <c r="I432" s="2" t="str">
        <v/>
      </c>
      <c r="J432" s="2" t="str">
        <v/>
      </c>
      <c r="K432" s="2" t="str">
        <v/>
      </c>
      <c r="L432" s="1" t="str">
        <v/>
      </c>
      <c r="M432" s="2" t="str">
        <v/>
      </c>
      <c r="N432" s="1" t="str">
        <v/>
      </c>
      <c r="O432" s="1" t="str">
        <v/>
      </c>
      <c r="P432" s="1" t="str">
        <v/>
      </c>
      <c r="Q432" s="1">
        <f t="shared" si="24"/>
        <v>0</v>
      </c>
      <c r="R432" s="1">
        <f t="shared" si="25"/>
        <v>0</v>
      </c>
      <c r="T432">
        <f t="shared" si="26"/>
        <v>0</v>
      </c>
      <c r="U432">
        <f t="shared" si="27"/>
        <v>0</v>
      </c>
    </row>
    <row r="433" x14ac:dyDescent="0.35">
      <c r="A433" s="21" t="str">
        <v/>
      </c>
      <c r="B433" s="23" t="str">
        <v/>
      </c>
      <c r="C433" t="str">
        <v/>
      </c>
      <c r="D433" t="str">
        <v/>
      </c>
      <c r="E433" t="str">
        <v/>
      </c>
      <c r="F433" t="str">
        <v/>
      </c>
      <c r="G433" t="str">
        <v/>
      </c>
      <c r="H433" t="str">
        <v/>
      </c>
      <c r="I433" s="2" t="str">
        <v/>
      </c>
      <c r="J433" s="2" t="str">
        <v/>
      </c>
      <c r="K433" s="2" t="str">
        <v/>
      </c>
      <c r="L433" s="1" t="str">
        <v/>
      </c>
      <c r="M433" s="2" t="str">
        <v/>
      </c>
      <c r="N433" s="1" t="str">
        <v/>
      </c>
      <c r="O433" s="1" t="str">
        <v/>
      </c>
      <c r="P433" s="1" t="str">
        <v/>
      </c>
      <c r="Q433" s="1">
        <f t="shared" si="24"/>
        <v>0</v>
      </c>
      <c r="R433" s="1">
        <f t="shared" si="25"/>
        <v>0</v>
      </c>
      <c r="T433">
        <f t="shared" si="26"/>
        <v>0</v>
      </c>
      <c r="U433">
        <f t="shared" si="27"/>
        <v>0</v>
      </c>
    </row>
    <row r="434" x14ac:dyDescent="0.35">
      <c r="A434" s="21" t="str">
        <v/>
      </c>
      <c r="B434" s="23" t="str">
        <v/>
      </c>
      <c r="C434" t="str">
        <v/>
      </c>
      <c r="D434" t="str">
        <v/>
      </c>
      <c r="E434" t="str">
        <v/>
      </c>
      <c r="F434" t="str">
        <v/>
      </c>
      <c r="G434" t="str">
        <v/>
      </c>
      <c r="H434" t="str">
        <v/>
      </c>
      <c r="I434" s="2" t="str">
        <v/>
      </c>
      <c r="J434" s="2" t="str">
        <v/>
      </c>
      <c r="K434" s="2" t="str">
        <v/>
      </c>
      <c r="L434" s="1" t="str">
        <v/>
      </c>
      <c r="M434" s="2" t="str">
        <v/>
      </c>
      <c r="N434" s="1" t="str">
        <v/>
      </c>
      <c r="O434" s="1" t="str">
        <v/>
      </c>
      <c r="P434" s="1" t="str">
        <v/>
      </c>
      <c r="Q434" s="1">
        <f t="shared" si="24"/>
        <v>0</v>
      </c>
      <c r="R434" s="1">
        <f t="shared" si="25"/>
        <v>0</v>
      </c>
      <c r="T434">
        <f t="shared" si="26"/>
        <v>0</v>
      </c>
      <c r="U434">
        <f t="shared" si="27"/>
        <v>0</v>
      </c>
    </row>
    <row r="435" x14ac:dyDescent="0.35">
      <c r="A435" s="21" t="str">
        <v/>
      </c>
      <c r="B435" s="23" t="str">
        <v/>
      </c>
      <c r="C435" t="str">
        <v/>
      </c>
      <c r="D435" t="str">
        <v/>
      </c>
      <c r="E435" t="str">
        <v/>
      </c>
      <c r="F435" t="str">
        <v/>
      </c>
      <c r="G435" t="str">
        <v/>
      </c>
      <c r="H435" t="str">
        <v/>
      </c>
      <c r="I435" s="2" t="str">
        <v/>
      </c>
      <c r="J435" s="2" t="str">
        <v/>
      </c>
      <c r="K435" s="2" t="str">
        <v/>
      </c>
      <c r="L435" s="1" t="str">
        <v/>
      </c>
      <c r="M435" s="2" t="str">
        <v/>
      </c>
      <c r="N435" s="1" t="str">
        <v/>
      </c>
      <c r="O435" s="1" t="str">
        <v/>
      </c>
      <c r="P435" s="1" t="str">
        <v/>
      </c>
      <c r="Q435" s="1">
        <f t="shared" si="24"/>
        <v>0</v>
      </c>
      <c r="R435" s="1">
        <f t="shared" si="25"/>
        <v>0</v>
      </c>
      <c r="T435">
        <f t="shared" si="26"/>
        <v>0</v>
      </c>
      <c r="U435">
        <f t="shared" si="27"/>
        <v>0</v>
      </c>
    </row>
    <row r="436" x14ac:dyDescent="0.35">
      <c r="A436" s="21" t="str">
        <v/>
      </c>
      <c r="B436" s="23" t="str">
        <v/>
      </c>
      <c r="C436" t="str">
        <v/>
      </c>
      <c r="D436" t="str">
        <v/>
      </c>
      <c r="E436" t="str">
        <v/>
      </c>
      <c r="F436" t="str">
        <v/>
      </c>
      <c r="G436" t="str">
        <v/>
      </c>
      <c r="H436" t="str">
        <v/>
      </c>
      <c r="I436" s="2" t="str">
        <v/>
      </c>
      <c r="J436" s="2" t="str">
        <v/>
      </c>
      <c r="K436" s="2" t="str">
        <v/>
      </c>
      <c r="L436" s="1" t="str">
        <v/>
      </c>
      <c r="M436" s="2" t="str">
        <v/>
      </c>
      <c r="N436" s="1" t="str">
        <v/>
      </c>
      <c r="O436" s="1" t="str">
        <v/>
      </c>
      <c r="P436" s="1" t="str">
        <v/>
      </c>
      <c r="Q436" s="1">
        <f t="shared" si="24"/>
        <v>0</v>
      </c>
      <c r="R436" s="1">
        <f t="shared" si="25"/>
        <v>0</v>
      </c>
      <c r="T436">
        <f t="shared" si="26"/>
        <v>0</v>
      </c>
      <c r="U436">
        <f t="shared" si="27"/>
        <v>0</v>
      </c>
    </row>
    <row r="437" x14ac:dyDescent="0.35">
      <c r="A437" s="21" t="str">
        <v/>
      </c>
      <c r="B437" s="23" t="str">
        <v/>
      </c>
      <c r="C437" t="str">
        <v/>
      </c>
      <c r="D437" t="str">
        <v/>
      </c>
      <c r="E437" t="str">
        <v/>
      </c>
      <c r="F437" t="str">
        <v/>
      </c>
      <c r="G437" t="str">
        <v/>
      </c>
      <c r="H437" t="str">
        <v/>
      </c>
      <c r="I437" s="2" t="str">
        <v/>
      </c>
      <c r="J437" s="2" t="str">
        <v/>
      </c>
      <c r="K437" s="2" t="str">
        <v/>
      </c>
      <c r="L437" s="1" t="str">
        <v/>
      </c>
      <c r="M437" s="2" t="str">
        <v/>
      </c>
      <c r="N437" s="1" t="str">
        <v/>
      </c>
      <c r="O437" s="1" t="str">
        <v/>
      </c>
      <c r="P437" s="1" t="str">
        <v/>
      </c>
      <c r="Q437" s="1">
        <f t="shared" si="24"/>
        <v>0</v>
      </c>
      <c r="R437" s="1">
        <f t="shared" si="25"/>
        <v>0</v>
      </c>
      <c r="T437">
        <f t="shared" si="26"/>
        <v>0</v>
      </c>
      <c r="U437">
        <f t="shared" si="27"/>
        <v>0</v>
      </c>
    </row>
    <row r="438" x14ac:dyDescent="0.35">
      <c r="A438" s="21" t="str">
        <v/>
      </c>
      <c r="B438" s="23" t="str">
        <v/>
      </c>
      <c r="C438" t="str">
        <v/>
      </c>
      <c r="D438" t="str">
        <v/>
      </c>
      <c r="E438" t="str">
        <v/>
      </c>
      <c r="F438" t="str">
        <v/>
      </c>
      <c r="G438" t="str">
        <v/>
      </c>
      <c r="H438" t="str">
        <v/>
      </c>
      <c r="I438" s="2" t="str">
        <v/>
      </c>
      <c r="J438" s="2" t="str">
        <v/>
      </c>
      <c r="K438" s="2" t="str">
        <v/>
      </c>
      <c r="L438" s="1" t="str">
        <v/>
      </c>
      <c r="M438" s="2" t="str">
        <v/>
      </c>
      <c r="N438" s="1" t="str">
        <v/>
      </c>
      <c r="O438" s="1" t="str">
        <v/>
      </c>
      <c r="P438" s="1" t="str">
        <v/>
      </c>
      <c r="Q438" s="1">
        <f t="shared" si="24"/>
        <v>0</v>
      </c>
      <c r="R438" s="1">
        <f t="shared" si="25"/>
        <v>0</v>
      </c>
      <c r="T438">
        <f t="shared" si="26"/>
        <v>0</v>
      </c>
      <c r="U438">
        <f t="shared" si="27"/>
        <v>0</v>
      </c>
    </row>
    <row r="439" x14ac:dyDescent="0.35">
      <c r="A439" s="21" t="str">
        <v/>
      </c>
      <c r="B439" s="23" t="str">
        <v/>
      </c>
      <c r="C439" t="str">
        <v/>
      </c>
      <c r="D439" t="str">
        <v/>
      </c>
      <c r="E439" t="str">
        <v/>
      </c>
      <c r="F439" t="str">
        <v/>
      </c>
      <c r="G439" t="str">
        <v/>
      </c>
      <c r="H439" t="str">
        <v/>
      </c>
      <c r="I439" s="2" t="str">
        <v/>
      </c>
      <c r="J439" s="2" t="str">
        <v/>
      </c>
      <c r="K439" s="2" t="str">
        <v/>
      </c>
      <c r="L439" s="1" t="str">
        <v/>
      </c>
      <c r="M439" s="2" t="str">
        <v/>
      </c>
      <c r="N439" s="1" t="str">
        <v/>
      </c>
      <c r="O439" s="1" t="str">
        <v/>
      </c>
      <c r="P439" s="1" t="str">
        <v/>
      </c>
      <c r="Q439" s="1">
        <f t="shared" si="24"/>
        <v>0</v>
      </c>
      <c r="R439" s="1">
        <f t="shared" si="25"/>
        <v>0</v>
      </c>
      <c r="T439">
        <f t="shared" si="26"/>
        <v>0</v>
      </c>
      <c r="U439">
        <f t="shared" si="27"/>
        <v>0</v>
      </c>
    </row>
    <row r="440" x14ac:dyDescent="0.35">
      <c r="A440" s="21" t="str">
        <v/>
      </c>
      <c r="B440" s="23" t="str">
        <v/>
      </c>
      <c r="C440" t="str">
        <v/>
      </c>
      <c r="D440" t="str">
        <v/>
      </c>
      <c r="E440" t="str">
        <v/>
      </c>
      <c r="F440" t="str">
        <v/>
      </c>
      <c r="G440" t="str">
        <v/>
      </c>
      <c r="H440" t="str">
        <v/>
      </c>
      <c r="I440" s="2" t="str">
        <v/>
      </c>
      <c r="J440" s="2" t="str">
        <v/>
      </c>
      <c r="K440" s="2" t="str">
        <v/>
      </c>
      <c r="L440" s="1" t="str">
        <v/>
      </c>
      <c r="M440" s="2" t="str">
        <v/>
      </c>
      <c r="N440" s="1" t="str">
        <v/>
      </c>
      <c r="O440" s="1" t="str">
        <v/>
      </c>
      <c r="P440" s="1" t="str">
        <v/>
      </c>
      <c r="Q440" s="1">
        <f t="shared" si="24"/>
        <v>0</v>
      </c>
      <c r="R440" s="1">
        <f t="shared" si="25"/>
        <v>0</v>
      </c>
      <c r="T440">
        <f t="shared" si="26"/>
        <v>0</v>
      </c>
      <c r="U440">
        <f t="shared" si="27"/>
        <v>0</v>
      </c>
    </row>
    <row r="441" x14ac:dyDescent="0.35">
      <c r="A441" s="21" t="str">
        <v/>
      </c>
      <c r="B441" s="23" t="str">
        <v/>
      </c>
      <c r="C441" t="str">
        <v/>
      </c>
      <c r="D441" t="str">
        <v/>
      </c>
      <c r="E441" t="str">
        <v/>
      </c>
      <c r="F441" t="str">
        <v/>
      </c>
      <c r="G441" t="str">
        <v/>
      </c>
      <c r="H441" t="str">
        <v/>
      </c>
      <c r="I441" s="2" t="str">
        <v/>
      </c>
      <c r="J441" s="2" t="str">
        <v/>
      </c>
      <c r="K441" s="2" t="str">
        <v/>
      </c>
      <c r="L441" s="1" t="str">
        <v/>
      </c>
      <c r="M441" s="2" t="str">
        <v/>
      </c>
      <c r="N441" s="1" t="str">
        <v/>
      </c>
      <c r="O441" s="1" t="str">
        <v/>
      </c>
      <c r="P441" s="1" t="str">
        <v/>
      </c>
      <c r="Q441" s="1">
        <f t="shared" si="24"/>
        <v>0</v>
      </c>
      <c r="R441" s="1">
        <f t="shared" si="25"/>
        <v>0</v>
      </c>
      <c r="T441">
        <f t="shared" si="26"/>
        <v>0</v>
      </c>
      <c r="U441">
        <f t="shared" si="27"/>
        <v>0</v>
      </c>
    </row>
    <row r="442" x14ac:dyDescent="0.35">
      <c r="A442" s="21" t="str">
        <v/>
      </c>
      <c r="B442" s="23" t="str">
        <v/>
      </c>
      <c r="C442" t="str">
        <v/>
      </c>
      <c r="D442" t="str">
        <v/>
      </c>
      <c r="E442" t="str">
        <v/>
      </c>
      <c r="F442" t="str">
        <v/>
      </c>
      <c r="G442" t="str">
        <v/>
      </c>
      <c r="H442" t="str">
        <v/>
      </c>
      <c r="I442" s="2" t="str">
        <v/>
      </c>
      <c r="J442" s="2" t="str">
        <v/>
      </c>
      <c r="K442" s="2" t="str">
        <v/>
      </c>
      <c r="L442" s="1" t="str">
        <v/>
      </c>
      <c r="M442" s="2" t="str">
        <v/>
      </c>
      <c r="N442" s="1" t="str">
        <v/>
      </c>
      <c r="O442" s="1" t="str">
        <v/>
      </c>
      <c r="P442" s="1" t="str">
        <v/>
      </c>
      <c r="Q442" s="1">
        <f t="shared" si="24"/>
        <v>0</v>
      </c>
      <c r="R442" s="1">
        <f t="shared" si="25"/>
        <v>0</v>
      </c>
      <c r="T442">
        <f t="shared" si="26"/>
        <v>0</v>
      </c>
      <c r="U442">
        <f t="shared" si="27"/>
        <v>0</v>
      </c>
    </row>
    <row r="443" x14ac:dyDescent="0.35">
      <c r="A443" s="21" t="str">
        <v/>
      </c>
      <c r="B443" s="23" t="str">
        <v/>
      </c>
      <c r="C443" t="str">
        <v/>
      </c>
      <c r="D443" t="str">
        <v/>
      </c>
      <c r="E443" t="str">
        <v/>
      </c>
      <c r="F443" t="str">
        <v/>
      </c>
      <c r="G443" t="str">
        <v/>
      </c>
      <c r="H443" t="str">
        <v/>
      </c>
      <c r="I443" s="2" t="str">
        <v/>
      </c>
      <c r="J443" s="2" t="str">
        <v/>
      </c>
      <c r="K443" s="2" t="str">
        <v/>
      </c>
      <c r="L443" s="1" t="str">
        <v/>
      </c>
      <c r="M443" s="2" t="str">
        <v/>
      </c>
      <c r="N443" s="1" t="str">
        <v/>
      </c>
      <c r="O443" s="1" t="str">
        <v/>
      </c>
      <c r="P443" s="1" t="str">
        <v/>
      </c>
      <c r="Q443" s="1">
        <f t="shared" si="24"/>
        <v>0</v>
      </c>
      <c r="R443" s="1">
        <f t="shared" si="25"/>
        <v>0</v>
      </c>
      <c r="T443">
        <f t="shared" si="26"/>
        <v>0</v>
      </c>
      <c r="U443">
        <f t="shared" si="27"/>
        <v>0</v>
      </c>
    </row>
    <row r="444" x14ac:dyDescent="0.35">
      <c r="A444" s="21" t="str">
        <v/>
      </c>
      <c r="B444" s="23" t="str">
        <v/>
      </c>
      <c r="C444" t="str">
        <v/>
      </c>
      <c r="D444" t="str">
        <v/>
      </c>
      <c r="E444" t="str">
        <v/>
      </c>
      <c r="F444" t="str">
        <v/>
      </c>
      <c r="G444" t="str">
        <v/>
      </c>
      <c r="H444" t="str">
        <v/>
      </c>
      <c r="I444" s="2" t="str">
        <v/>
      </c>
      <c r="J444" s="2" t="str">
        <v/>
      </c>
      <c r="K444" s="2" t="str">
        <v/>
      </c>
      <c r="L444" s="1" t="str">
        <v/>
      </c>
      <c r="M444" s="2" t="str">
        <v/>
      </c>
      <c r="N444" s="1" t="str">
        <v/>
      </c>
      <c r="O444" s="1" t="str">
        <v/>
      </c>
      <c r="P444" s="1" t="str">
        <v/>
      </c>
      <c r="Q444" s="1">
        <f t="shared" si="24"/>
        <v>0</v>
      </c>
      <c r="R444" s="1">
        <f t="shared" si="25"/>
        <v>0</v>
      </c>
      <c r="T444">
        <f t="shared" si="26"/>
        <v>0</v>
      </c>
      <c r="U444">
        <f t="shared" si="27"/>
        <v>0</v>
      </c>
    </row>
    <row r="445" x14ac:dyDescent="0.35">
      <c r="A445" s="21" t="str">
        <v/>
      </c>
      <c r="B445" s="23" t="str">
        <v/>
      </c>
      <c r="C445" t="str">
        <v/>
      </c>
      <c r="D445" t="str">
        <v/>
      </c>
      <c r="E445" t="str">
        <v/>
      </c>
      <c r="F445" t="str">
        <v/>
      </c>
      <c r="G445" t="str">
        <v/>
      </c>
      <c r="H445" t="str">
        <v/>
      </c>
      <c r="I445" s="2" t="str">
        <v/>
      </c>
      <c r="J445" s="2" t="str">
        <v/>
      </c>
      <c r="K445" s="2" t="str">
        <v/>
      </c>
      <c r="L445" s="1" t="str">
        <v/>
      </c>
      <c r="M445" s="2" t="str">
        <v/>
      </c>
      <c r="N445" s="1" t="str">
        <v/>
      </c>
      <c r="O445" s="1" t="str">
        <v/>
      </c>
      <c r="P445" s="1" t="str">
        <v/>
      </c>
      <c r="Q445" s="1">
        <f t="shared" si="24"/>
        <v>0</v>
      </c>
      <c r="R445" s="1">
        <f t="shared" si="25"/>
        <v>0</v>
      </c>
      <c r="T445">
        <f t="shared" si="26"/>
        <v>0</v>
      </c>
      <c r="U445">
        <f t="shared" si="27"/>
        <v>0</v>
      </c>
    </row>
    <row r="446" x14ac:dyDescent="0.35">
      <c r="A446" s="21" t="str">
        <v/>
      </c>
      <c r="B446" s="23" t="str">
        <v/>
      </c>
      <c r="C446" t="str">
        <v/>
      </c>
      <c r="D446" t="str">
        <v/>
      </c>
      <c r="E446" t="str">
        <v/>
      </c>
      <c r="F446" t="str">
        <v/>
      </c>
      <c r="G446" t="str">
        <v/>
      </c>
      <c r="H446" t="str">
        <v/>
      </c>
      <c r="I446" s="2" t="str">
        <v/>
      </c>
      <c r="J446" s="2" t="str">
        <v/>
      </c>
      <c r="K446" s="2" t="str">
        <v/>
      </c>
      <c r="L446" s="1" t="str">
        <v/>
      </c>
      <c r="M446" s="2" t="str">
        <v/>
      </c>
      <c r="N446" s="1" t="str">
        <v/>
      </c>
      <c r="O446" s="1" t="str">
        <v/>
      </c>
      <c r="P446" s="1" t="str">
        <v/>
      </c>
      <c r="Q446" s="1">
        <f t="shared" si="24"/>
        <v>0</v>
      </c>
      <c r="R446" s="1">
        <f t="shared" si="25"/>
        <v>0</v>
      </c>
      <c r="T446">
        <f t="shared" si="26"/>
        <v>0</v>
      </c>
      <c r="U446">
        <f t="shared" si="27"/>
        <v>0</v>
      </c>
    </row>
    <row r="447" x14ac:dyDescent="0.35">
      <c r="A447" s="21" t="str">
        <v/>
      </c>
      <c r="B447" s="23" t="str">
        <v/>
      </c>
      <c r="C447" t="str">
        <v/>
      </c>
      <c r="D447" t="str">
        <v/>
      </c>
      <c r="E447" t="str">
        <v/>
      </c>
      <c r="F447" t="str">
        <v/>
      </c>
      <c r="G447" t="str">
        <v/>
      </c>
      <c r="H447" t="str">
        <v/>
      </c>
      <c r="I447" s="2" t="str">
        <v/>
      </c>
      <c r="J447" s="2" t="str">
        <v/>
      </c>
      <c r="K447" s="2" t="str">
        <v/>
      </c>
      <c r="L447" s="1" t="str">
        <v/>
      </c>
      <c r="M447" s="2" t="str">
        <v/>
      </c>
      <c r="N447" s="1" t="str">
        <v/>
      </c>
      <c r="O447" s="1" t="str">
        <v/>
      </c>
      <c r="P447" s="1" t="str">
        <v/>
      </c>
      <c r="Q447" s="1">
        <f t="shared" si="24"/>
        <v>0</v>
      </c>
      <c r="R447" s="1">
        <f t="shared" si="25"/>
        <v>0</v>
      </c>
      <c r="T447">
        <f t="shared" si="26"/>
        <v>0</v>
      </c>
      <c r="U447">
        <f t="shared" si="27"/>
        <v>0</v>
      </c>
    </row>
    <row r="448" x14ac:dyDescent="0.35">
      <c r="A448" s="21" t="str">
        <v/>
      </c>
      <c r="B448" s="23" t="str">
        <v/>
      </c>
      <c r="C448" t="str">
        <v/>
      </c>
      <c r="D448" t="str">
        <v/>
      </c>
      <c r="E448" t="str">
        <v/>
      </c>
      <c r="F448" t="str">
        <v/>
      </c>
      <c r="G448" t="str">
        <v/>
      </c>
      <c r="H448" t="str">
        <v/>
      </c>
      <c r="I448" s="2" t="str">
        <v/>
      </c>
      <c r="J448" s="2" t="str">
        <v/>
      </c>
      <c r="K448" s="2" t="str">
        <v/>
      </c>
      <c r="L448" s="1" t="str">
        <v/>
      </c>
      <c r="M448" s="2" t="str">
        <v/>
      </c>
      <c r="N448" s="1" t="str">
        <v/>
      </c>
      <c r="O448" s="1" t="str">
        <v/>
      </c>
      <c r="P448" s="1" t="str">
        <v/>
      </c>
      <c r="Q448" s="1">
        <f t="shared" si="24"/>
        <v>0</v>
      </c>
      <c r="R448" s="1">
        <f t="shared" si="25"/>
        <v>0</v>
      </c>
      <c r="T448">
        <f t="shared" si="26"/>
        <v>0</v>
      </c>
      <c r="U448">
        <f t="shared" si="27"/>
        <v>0</v>
      </c>
    </row>
    <row r="449" x14ac:dyDescent="0.35">
      <c r="A449" s="21" t="str">
        <v/>
      </c>
      <c r="B449" s="23" t="str">
        <v/>
      </c>
      <c r="C449" t="str">
        <v/>
      </c>
      <c r="D449" t="str">
        <v/>
      </c>
      <c r="E449" t="str">
        <v/>
      </c>
      <c r="F449" t="str">
        <v/>
      </c>
      <c r="G449" t="str">
        <v/>
      </c>
      <c r="H449" t="str">
        <v/>
      </c>
      <c r="I449" s="2" t="str">
        <v/>
      </c>
      <c r="J449" s="2" t="str">
        <v/>
      </c>
      <c r="K449" s="2" t="str">
        <v/>
      </c>
      <c r="L449" s="1" t="str">
        <v/>
      </c>
      <c r="M449" s="2" t="str">
        <v/>
      </c>
      <c r="N449" s="1" t="str">
        <v/>
      </c>
      <c r="O449" s="1" t="str">
        <v/>
      </c>
      <c r="P449" s="1" t="str">
        <v/>
      </c>
      <c r="Q449" s="1">
        <f t="shared" si="24"/>
        <v>0</v>
      </c>
      <c r="R449" s="1">
        <f t="shared" si="25"/>
        <v>0</v>
      </c>
      <c r="T449">
        <f t="shared" si="26"/>
        <v>0</v>
      </c>
      <c r="U449">
        <f t="shared" si="27"/>
        <v>0</v>
      </c>
    </row>
    <row r="450" x14ac:dyDescent="0.35">
      <c r="A450" s="21" t="str">
        <v/>
      </c>
      <c r="B450" s="23" t="str">
        <v/>
      </c>
      <c r="C450" t="str">
        <v/>
      </c>
      <c r="D450" t="str">
        <v/>
      </c>
      <c r="E450" t="str">
        <v/>
      </c>
      <c r="F450" t="str">
        <v/>
      </c>
      <c r="G450" t="str">
        <v/>
      </c>
      <c r="H450" t="str">
        <v/>
      </c>
      <c r="I450" s="2" t="str">
        <v/>
      </c>
      <c r="J450" s="2" t="str">
        <v/>
      </c>
      <c r="K450" s="2" t="str">
        <v/>
      </c>
      <c r="L450" s="1" t="str">
        <v/>
      </c>
      <c r="M450" s="2" t="str">
        <v/>
      </c>
      <c r="N450" s="1" t="str">
        <v/>
      </c>
      <c r="O450" s="1" t="str">
        <v/>
      </c>
      <c r="P450" s="1" t="str">
        <v/>
      </c>
      <c r="Q450" s="1">
        <f t="shared" si="24"/>
        <v>0</v>
      </c>
      <c r="R450" s="1">
        <f t="shared" si="25"/>
        <v>0</v>
      </c>
      <c r="T450">
        <f t="shared" si="26"/>
        <v>0</v>
      </c>
      <c r="U450">
        <f t="shared" si="27"/>
        <v>0</v>
      </c>
    </row>
    <row r="451" x14ac:dyDescent="0.35">
      <c r="A451" s="21" t="str">
        <v/>
      </c>
      <c r="B451" s="23" t="str">
        <v/>
      </c>
      <c r="C451" t="str">
        <v/>
      </c>
      <c r="D451" t="str">
        <v/>
      </c>
      <c r="E451" t="str">
        <v/>
      </c>
      <c r="F451" t="str">
        <v/>
      </c>
      <c r="G451" t="str">
        <v/>
      </c>
      <c r="H451" t="str">
        <v/>
      </c>
      <c r="I451" s="2" t="str">
        <v/>
      </c>
      <c r="J451" s="2" t="str">
        <v/>
      </c>
      <c r="K451" s="2" t="str">
        <v/>
      </c>
      <c r="L451" s="1" t="str">
        <v/>
      </c>
      <c r="M451" s="2" t="str">
        <v/>
      </c>
      <c r="N451" s="1" t="str">
        <v/>
      </c>
      <c r="O451" s="1" t="str">
        <v/>
      </c>
      <c r="P451" s="1" t="str">
        <v/>
      </c>
      <c r="Q451" s="1">
        <f t="shared" ref="Q451:Q514" si="28">IF(H451="Sí",1,0)</f>
        <v>0</v>
      </c>
      <c r="R451" s="1">
        <f t="shared" ref="R451:R514" si="29">IF(L451="En coordinación",1,0)</f>
        <v>0</v>
      </c>
      <c r="T451">
        <f t="shared" ref="T451:T514" si="30">IF(N451="Sí",1,0)</f>
        <v>0</v>
      </c>
      <c r="U451">
        <f t="shared" ref="U451:U514" si="31">IF(L451="Aceptada",1,0)</f>
        <v>0</v>
      </c>
    </row>
    <row r="452" x14ac:dyDescent="0.35">
      <c r="A452" s="21" t="str">
        <v/>
      </c>
      <c r="B452" s="23" t="str">
        <v/>
      </c>
      <c r="C452" t="str">
        <v/>
      </c>
      <c r="D452" t="str">
        <v/>
      </c>
      <c r="E452" t="str">
        <v/>
      </c>
      <c r="F452" t="str">
        <v/>
      </c>
      <c r="G452" t="str">
        <v/>
      </c>
      <c r="H452" t="str">
        <v/>
      </c>
      <c r="I452" s="2" t="str">
        <v/>
      </c>
      <c r="J452" s="2" t="str">
        <v/>
      </c>
      <c r="K452" s="2" t="str">
        <v/>
      </c>
      <c r="L452" s="1" t="str">
        <v/>
      </c>
      <c r="M452" s="2" t="str">
        <v/>
      </c>
      <c r="N452" s="1" t="str">
        <v/>
      </c>
      <c r="O452" s="1" t="str">
        <v/>
      </c>
      <c r="P452" s="1" t="str">
        <v/>
      </c>
      <c r="Q452" s="1">
        <f t="shared" si="28"/>
        <v>0</v>
      </c>
      <c r="R452" s="1">
        <f t="shared" si="29"/>
        <v>0</v>
      </c>
      <c r="T452">
        <f t="shared" si="30"/>
        <v>0</v>
      </c>
      <c r="U452">
        <f t="shared" si="31"/>
        <v>0</v>
      </c>
    </row>
    <row r="453" x14ac:dyDescent="0.35">
      <c r="A453" s="21" t="str">
        <v/>
      </c>
      <c r="B453" s="23" t="str">
        <v/>
      </c>
      <c r="C453" t="str">
        <v/>
      </c>
      <c r="D453" t="str">
        <v/>
      </c>
      <c r="E453" t="str">
        <v/>
      </c>
      <c r="F453" t="str">
        <v/>
      </c>
      <c r="G453" t="str">
        <v/>
      </c>
      <c r="H453" t="str">
        <v/>
      </c>
      <c r="I453" s="2" t="str">
        <v/>
      </c>
      <c r="J453" s="2" t="str">
        <v/>
      </c>
      <c r="K453" s="2" t="str">
        <v/>
      </c>
      <c r="L453" s="1" t="str">
        <v/>
      </c>
      <c r="M453" s="2" t="str">
        <v/>
      </c>
      <c r="N453" s="1" t="str">
        <v/>
      </c>
      <c r="O453" s="1" t="str">
        <v/>
      </c>
      <c r="P453" s="1" t="str">
        <v/>
      </c>
      <c r="Q453" s="1">
        <f t="shared" si="28"/>
        <v>0</v>
      </c>
      <c r="R453" s="1">
        <f t="shared" si="29"/>
        <v>0</v>
      </c>
      <c r="T453">
        <f t="shared" si="30"/>
        <v>0</v>
      </c>
      <c r="U453">
        <f t="shared" si="31"/>
        <v>0</v>
      </c>
    </row>
    <row r="454" x14ac:dyDescent="0.35">
      <c r="A454" s="21" t="str">
        <v/>
      </c>
      <c r="B454" s="23" t="str">
        <v/>
      </c>
      <c r="C454" t="str">
        <v/>
      </c>
      <c r="D454" t="str">
        <v/>
      </c>
      <c r="E454" t="str">
        <v/>
      </c>
      <c r="F454" t="str">
        <v/>
      </c>
      <c r="G454" t="str">
        <v/>
      </c>
      <c r="H454" t="str">
        <v/>
      </c>
      <c r="I454" s="2" t="str">
        <v/>
      </c>
      <c r="J454" s="2" t="str">
        <v/>
      </c>
      <c r="K454" s="2" t="str">
        <v/>
      </c>
      <c r="L454" s="1" t="str">
        <v/>
      </c>
      <c r="M454" s="2" t="str">
        <v/>
      </c>
      <c r="N454" s="1" t="str">
        <v/>
      </c>
      <c r="O454" s="1" t="str">
        <v/>
      </c>
      <c r="P454" s="1" t="str">
        <v/>
      </c>
      <c r="Q454" s="1">
        <f t="shared" si="28"/>
        <v>0</v>
      </c>
      <c r="R454" s="1">
        <f t="shared" si="29"/>
        <v>0</v>
      </c>
      <c r="T454">
        <f t="shared" si="30"/>
        <v>0</v>
      </c>
      <c r="U454">
        <f t="shared" si="31"/>
        <v>0</v>
      </c>
    </row>
    <row r="455" x14ac:dyDescent="0.35">
      <c r="A455" s="21" t="str">
        <v/>
      </c>
      <c r="B455" s="23" t="str">
        <v/>
      </c>
      <c r="C455" t="str">
        <v/>
      </c>
      <c r="D455" t="str">
        <v/>
      </c>
      <c r="E455" t="str">
        <v/>
      </c>
      <c r="F455" t="str">
        <v/>
      </c>
      <c r="G455" t="str">
        <v/>
      </c>
      <c r="H455" t="str">
        <v/>
      </c>
      <c r="I455" s="2" t="str">
        <v/>
      </c>
      <c r="J455" s="2" t="str">
        <v/>
      </c>
      <c r="K455" s="2" t="str">
        <v/>
      </c>
      <c r="L455" s="1" t="str">
        <v/>
      </c>
      <c r="M455" s="2" t="str">
        <v/>
      </c>
      <c r="N455" s="1" t="str">
        <v/>
      </c>
      <c r="O455" s="1" t="str">
        <v/>
      </c>
      <c r="P455" s="1" t="str">
        <v/>
      </c>
      <c r="Q455" s="1">
        <f t="shared" si="28"/>
        <v>0</v>
      </c>
      <c r="R455" s="1">
        <f t="shared" si="29"/>
        <v>0</v>
      </c>
      <c r="T455">
        <f t="shared" si="30"/>
        <v>0</v>
      </c>
      <c r="U455">
        <f t="shared" si="31"/>
        <v>0</v>
      </c>
    </row>
    <row r="456" x14ac:dyDescent="0.35">
      <c r="A456" s="21" t="str">
        <v/>
      </c>
      <c r="B456" s="23" t="str">
        <v/>
      </c>
      <c r="C456" t="str">
        <v/>
      </c>
      <c r="D456" t="str">
        <v/>
      </c>
      <c r="E456" t="str">
        <v/>
      </c>
      <c r="F456" t="str">
        <v/>
      </c>
      <c r="G456" t="str">
        <v/>
      </c>
      <c r="H456" t="str">
        <v/>
      </c>
      <c r="I456" s="2" t="str">
        <v/>
      </c>
      <c r="J456" s="2" t="str">
        <v/>
      </c>
      <c r="K456" s="2" t="str">
        <v/>
      </c>
      <c r="L456" s="1" t="str">
        <v/>
      </c>
      <c r="M456" s="2" t="str">
        <v/>
      </c>
      <c r="N456" s="1" t="str">
        <v/>
      </c>
      <c r="O456" s="1" t="str">
        <v/>
      </c>
      <c r="P456" s="1" t="str">
        <v/>
      </c>
      <c r="Q456" s="1">
        <f t="shared" si="28"/>
        <v>0</v>
      </c>
      <c r="R456" s="1">
        <f t="shared" si="29"/>
        <v>0</v>
      </c>
      <c r="T456">
        <f t="shared" si="30"/>
        <v>0</v>
      </c>
      <c r="U456">
        <f t="shared" si="31"/>
        <v>0</v>
      </c>
    </row>
    <row r="457" x14ac:dyDescent="0.35">
      <c r="A457" s="21" t="str">
        <v/>
      </c>
      <c r="B457" s="23" t="str">
        <v/>
      </c>
      <c r="C457" t="str">
        <v/>
      </c>
      <c r="D457" t="str">
        <v/>
      </c>
      <c r="E457" t="str">
        <v/>
      </c>
      <c r="F457" t="str">
        <v/>
      </c>
      <c r="G457" t="str">
        <v/>
      </c>
      <c r="H457" t="str">
        <v/>
      </c>
      <c r="I457" s="2" t="str">
        <v/>
      </c>
      <c r="J457" s="2" t="str">
        <v/>
      </c>
      <c r="K457" s="2" t="str">
        <v/>
      </c>
      <c r="L457" s="1" t="str">
        <v/>
      </c>
      <c r="M457" s="2" t="str">
        <v/>
      </c>
      <c r="N457" s="1" t="str">
        <v/>
      </c>
      <c r="O457" s="1" t="str">
        <v/>
      </c>
      <c r="P457" s="1" t="str">
        <v/>
      </c>
      <c r="Q457" s="1">
        <f t="shared" si="28"/>
        <v>0</v>
      </c>
      <c r="R457" s="1">
        <f t="shared" si="29"/>
        <v>0</v>
      </c>
      <c r="T457">
        <f t="shared" si="30"/>
        <v>0</v>
      </c>
      <c r="U457">
        <f t="shared" si="31"/>
        <v>0</v>
      </c>
    </row>
    <row r="458" x14ac:dyDescent="0.35">
      <c r="A458" s="21" t="str">
        <v/>
      </c>
      <c r="B458" s="23" t="str">
        <v/>
      </c>
      <c r="C458" t="str">
        <v/>
      </c>
      <c r="D458" t="str">
        <v/>
      </c>
      <c r="E458" t="str">
        <v/>
      </c>
      <c r="F458" t="str">
        <v/>
      </c>
      <c r="G458" t="str">
        <v/>
      </c>
      <c r="H458" t="str">
        <v/>
      </c>
      <c r="I458" s="2" t="str">
        <v/>
      </c>
      <c r="J458" s="2" t="str">
        <v/>
      </c>
      <c r="K458" s="2" t="str">
        <v/>
      </c>
      <c r="L458" s="1" t="str">
        <v/>
      </c>
      <c r="M458" s="2" t="str">
        <v/>
      </c>
      <c r="N458" s="1" t="str">
        <v/>
      </c>
      <c r="O458" s="1" t="str">
        <v/>
      </c>
      <c r="P458" s="1" t="str">
        <v/>
      </c>
      <c r="Q458" s="1">
        <f t="shared" si="28"/>
        <v>0</v>
      </c>
      <c r="R458" s="1">
        <f t="shared" si="29"/>
        <v>0</v>
      </c>
      <c r="T458">
        <f t="shared" si="30"/>
        <v>0</v>
      </c>
      <c r="U458">
        <f t="shared" si="31"/>
        <v>0</v>
      </c>
    </row>
    <row r="459" x14ac:dyDescent="0.35">
      <c r="A459" s="21" t="str">
        <v/>
      </c>
      <c r="B459" s="23" t="str">
        <v/>
      </c>
      <c r="C459" t="str">
        <v/>
      </c>
      <c r="D459" t="str">
        <v/>
      </c>
      <c r="E459" t="str">
        <v/>
      </c>
      <c r="F459" t="str">
        <v/>
      </c>
      <c r="G459" t="str">
        <v/>
      </c>
      <c r="H459" t="str">
        <v/>
      </c>
      <c r="I459" s="2" t="str">
        <v/>
      </c>
      <c r="J459" s="2" t="str">
        <v/>
      </c>
      <c r="K459" s="2" t="str">
        <v/>
      </c>
      <c r="L459" s="1" t="str">
        <v/>
      </c>
      <c r="M459" s="2" t="str">
        <v/>
      </c>
      <c r="N459" s="1" t="str">
        <v/>
      </c>
      <c r="O459" s="1" t="str">
        <v/>
      </c>
      <c r="P459" s="1" t="str">
        <v/>
      </c>
      <c r="Q459" s="1">
        <f t="shared" si="28"/>
        <v>0</v>
      </c>
      <c r="R459" s="1">
        <f t="shared" si="29"/>
        <v>0</v>
      </c>
      <c r="T459">
        <f t="shared" si="30"/>
        <v>0</v>
      </c>
      <c r="U459">
        <f t="shared" si="31"/>
        <v>0</v>
      </c>
    </row>
    <row r="460" x14ac:dyDescent="0.35">
      <c r="A460" s="21" t="str">
        <v/>
      </c>
      <c r="B460" s="23" t="str">
        <v/>
      </c>
      <c r="C460" t="str">
        <v/>
      </c>
      <c r="D460" t="str">
        <v/>
      </c>
      <c r="E460" t="str">
        <v/>
      </c>
      <c r="F460" t="str">
        <v/>
      </c>
      <c r="G460" t="str">
        <v/>
      </c>
      <c r="H460" t="str">
        <v/>
      </c>
      <c r="I460" s="2" t="str">
        <v/>
      </c>
      <c r="J460" s="2" t="str">
        <v/>
      </c>
      <c r="K460" s="2" t="str">
        <v/>
      </c>
      <c r="L460" s="1" t="str">
        <v/>
      </c>
      <c r="M460" s="2" t="str">
        <v/>
      </c>
      <c r="N460" s="1" t="str">
        <v/>
      </c>
      <c r="O460" s="1" t="str">
        <v/>
      </c>
      <c r="P460" s="1" t="str">
        <v/>
      </c>
      <c r="Q460" s="1">
        <f t="shared" si="28"/>
        <v>0</v>
      </c>
      <c r="R460" s="1">
        <f t="shared" si="29"/>
        <v>0</v>
      </c>
      <c r="T460">
        <f t="shared" si="30"/>
        <v>0</v>
      </c>
      <c r="U460">
        <f t="shared" si="31"/>
        <v>0</v>
      </c>
    </row>
    <row r="461" x14ac:dyDescent="0.35">
      <c r="A461" s="21" t="str">
        <v/>
      </c>
      <c r="B461" s="23" t="str">
        <v/>
      </c>
      <c r="C461" t="str">
        <v/>
      </c>
      <c r="D461" t="str">
        <v/>
      </c>
      <c r="E461" t="str">
        <v/>
      </c>
      <c r="F461" t="str">
        <v/>
      </c>
      <c r="G461" t="str">
        <v/>
      </c>
      <c r="H461" t="str">
        <v/>
      </c>
      <c r="I461" s="2" t="str">
        <v/>
      </c>
      <c r="J461" s="2" t="str">
        <v/>
      </c>
      <c r="K461" s="2" t="str">
        <v/>
      </c>
      <c r="L461" s="1" t="str">
        <v/>
      </c>
      <c r="M461" s="2" t="str">
        <v/>
      </c>
      <c r="N461" s="1" t="str">
        <v/>
      </c>
      <c r="O461" s="1" t="str">
        <v/>
      </c>
      <c r="P461" s="1" t="str">
        <v/>
      </c>
      <c r="Q461" s="1">
        <f t="shared" si="28"/>
        <v>0</v>
      </c>
      <c r="R461" s="1">
        <f t="shared" si="29"/>
        <v>0</v>
      </c>
      <c r="T461">
        <f t="shared" si="30"/>
        <v>0</v>
      </c>
      <c r="U461">
        <f t="shared" si="31"/>
        <v>0</v>
      </c>
    </row>
    <row r="462" x14ac:dyDescent="0.35">
      <c r="A462" s="21" t="str">
        <v/>
      </c>
      <c r="B462" s="23" t="str">
        <v/>
      </c>
      <c r="C462" t="str">
        <v/>
      </c>
      <c r="D462" t="str">
        <v/>
      </c>
      <c r="E462" t="str">
        <v/>
      </c>
      <c r="F462" t="str">
        <v/>
      </c>
      <c r="G462" t="str">
        <v/>
      </c>
      <c r="H462" t="str">
        <v/>
      </c>
      <c r="I462" s="2" t="str">
        <v/>
      </c>
      <c r="J462" s="2" t="str">
        <v/>
      </c>
      <c r="K462" s="2" t="str">
        <v/>
      </c>
      <c r="L462" s="1" t="str">
        <v/>
      </c>
      <c r="M462" s="2" t="str">
        <v/>
      </c>
      <c r="N462" s="1" t="str">
        <v/>
      </c>
      <c r="O462" s="1" t="str">
        <v/>
      </c>
      <c r="P462" s="1" t="str">
        <v/>
      </c>
      <c r="Q462" s="1">
        <f t="shared" si="28"/>
        <v>0</v>
      </c>
      <c r="R462" s="1">
        <f t="shared" si="29"/>
        <v>0</v>
      </c>
      <c r="T462">
        <f t="shared" si="30"/>
        <v>0</v>
      </c>
      <c r="U462">
        <f t="shared" si="31"/>
        <v>0</v>
      </c>
    </row>
    <row r="463" x14ac:dyDescent="0.35">
      <c r="A463" s="21" t="str">
        <v/>
      </c>
      <c r="B463" s="23" t="str">
        <v/>
      </c>
      <c r="C463" t="str">
        <v/>
      </c>
      <c r="D463" t="str">
        <v/>
      </c>
      <c r="E463" t="str">
        <v/>
      </c>
      <c r="F463" t="str">
        <v/>
      </c>
      <c r="G463" t="str">
        <v/>
      </c>
      <c r="H463" t="str">
        <v/>
      </c>
      <c r="I463" s="2" t="str">
        <v/>
      </c>
      <c r="J463" s="2" t="str">
        <v/>
      </c>
      <c r="K463" s="2" t="str">
        <v/>
      </c>
      <c r="L463" s="1" t="str">
        <v/>
      </c>
      <c r="M463" s="2" t="str">
        <v/>
      </c>
      <c r="N463" s="1" t="str">
        <v/>
      </c>
      <c r="O463" s="1" t="str">
        <v/>
      </c>
      <c r="P463" s="1" t="str">
        <v/>
      </c>
      <c r="Q463" s="1">
        <f t="shared" si="28"/>
        <v>0</v>
      </c>
      <c r="R463" s="1">
        <f t="shared" si="29"/>
        <v>0</v>
      </c>
      <c r="T463">
        <f t="shared" si="30"/>
        <v>0</v>
      </c>
      <c r="U463">
        <f t="shared" si="31"/>
        <v>0</v>
      </c>
    </row>
    <row r="464" x14ac:dyDescent="0.35">
      <c r="A464" s="21" t="str">
        <v/>
      </c>
      <c r="B464" s="23" t="str">
        <v/>
      </c>
      <c r="C464" t="str">
        <v/>
      </c>
      <c r="D464" t="str">
        <v/>
      </c>
      <c r="E464" t="str">
        <v/>
      </c>
      <c r="F464" t="str">
        <v/>
      </c>
      <c r="G464" t="str">
        <v/>
      </c>
      <c r="H464" t="str">
        <v/>
      </c>
      <c r="I464" s="2" t="str">
        <v/>
      </c>
      <c r="J464" s="2" t="str">
        <v/>
      </c>
      <c r="K464" s="2" t="str">
        <v/>
      </c>
      <c r="L464" s="1" t="str">
        <v/>
      </c>
      <c r="M464" s="2" t="str">
        <v/>
      </c>
      <c r="N464" s="1" t="str">
        <v/>
      </c>
      <c r="O464" s="1" t="str">
        <v/>
      </c>
      <c r="P464" s="1" t="str">
        <v/>
      </c>
      <c r="Q464" s="1">
        <f t="shared" si="28"/>
        <v>0</v>
      </c>
      <c r="R464" s="1">
        <f t="shared" si="29"/>
        <v>0</v>
      </c>
      <c r="T464">
        <f t="shared" si="30"/>
        <v>0</v>
      </c>
      <c r="U464">
        <f t="shared" si="31"/>
        <v>0</v>
      </c>
    </row>
    <row r="465" x14ac:dyDescent="0.35">
      <c r="A465" s="21" t="str">
        <v/>
      </c>
      <c r="B465" s="23" t="str">
        <v/>
      </c>
      <c r="C465" t="str">
        <v/>
      </c>
      <c r="D465" t="str">
        <v/>
      </c>
      <c r="E465" t="str">
        <v/>
      </c>
      <c r="F465" t="str">
        <v/>
      </c>
      <c r="G465" t="str">
        <v/>
      </c>
      <c r="H465" t="str">
        <v/>
      </c>
      <c r="I465" s="2" t="str">
        <v/>
      </c>
      <c r="J465" s="2" t="str">
        <v/>
      </c>
      <c r="K465" s="2" t="str">
        <v/>
      </c>
      <c r="L465" s="1" t="str">
        <v/>
      </c>
      <c r="M465" s="2" t="str">
        <v/>
      </c>
      <c r="N465" s="1" t="str">
        <v/>
      </c>
      <c r="O465" s="1" t="str">
        <v/>
      </c>
      <c r="P465" s="1" t="str">
        <v/>
      </c>
      <c r="Q465" s="1">
        <f t="shared" si="28"/>
        <v>0</v>
      </c>
      <c r="R465" s="1">
        <f t="shared" si="29"/>
        <v>0</v>
      </c>
      <c r="T465">
        <f t="shared" si="30"/>
        <v>0</v>
      </c>
      <c r="U465">
        <f t="shared" si="31"/>
        <v>0</v>
      </c>
    </row>
    <row r="466" x14ac:dyDescent="0.35">
      <c r="A466" s="21" t="str">
        <v/>
      </c>
      <c r="B466" s="23" t="str">
        <v/>
      </c>
      <c r="C466" t="str">
        <v/>
      </c>
      <c r="D466" t="str">
        <v/>
      </c>
      <c r="E466" t="str">
        <v/>
      </c>
      <c r="F466" t="str">
        <v/>
      </c>
      <c r="G466" t="str">
        <v/>
      </c>
      <c r="H466" t="str">
        <v/>
      </c>
      <c r="I466" s="2" t="str">
        <v/>
      </c>
      <c r="J466" s="2" t="str">
        <v/>
      </c>
      <c r="K466" s="2" t="str">
        <v/>
      </c>
      <c r="L466" s="1" t="str">
        <v/>
      </c>
      <c r="M466" s="2" t="str">
        <v/>
      </c>
      <c r="N466" s="1" t="str">
        <v/>
      </c>
      <c r="O466" s="1" t="str">
        <v/>
      </c>
      <c r="P466" s="1" t="str">
        <v/>
      </c>
      <c r="Q466" s="1">
        <f t="shared" si="28"/>
        <v>0</v>
      </c>
      <c r="R466" s="1">
        <f t="shared" si="29"/>
        <v>0</v>
      </c>
      <c r="T466">
        <f t="shared" si="30"/>
        <v>0</v>
      </c>
      <c r="U466">
        <f t="shared" si="31"/>
        <v>0</v>
      </c>
    </row>
    <row r="467" x14ac:dyDescent="0.35">
      <c r="A467" s="21" t="str">
        <v/>
      </c>
      <c r="B467" s="23" t="str">
        <v/>
      </c>
      <c r="C467" t="str">
        <v/>
      </c>
      <c r="D467" t="str">
        <v/>
      </c>
      <c r="E467" t="str">
        <v/>
      </c>
      <c r="F467" t="str">
        <v/>
      </c>
      <c r="G467" t="str">
        <v/>
      </c>
      <c r="H467" t="str">
        <v/>
      </c>
      <c r="I467" s="2" t="str">
        <v/>
      </c>
      <c r="J467" s="2" t="str">
        <v/>
      </c>
      <c r="K467" s="2" t="str">
        <v/>
      </c>
      <c r="L467" s="1" t="str">
        <v/>
      </c>
      <c r="M467" s="2" t="str">
        <v/>
      </c>
      <c r="N467" s="1" t="str">
        <v/>
      </c>
      <c r="O467" s="1" t="str">
        <v/>
      </c>
      <c r="P467" s="1" t="str">
        <v/>
      </c>
      <c r="Q467" s="1">
        <f t="shared" si="28"/>
        <v>0</v>
      </c>
      <c r="R467" s="1">
        <f t="shared" si="29"/>
        <v>0</v>
      </c>
      <c r="T467">
        <f t="shared" si="30"/>
        <v>0</v>
      </c>
      <c r="U467">
        <f t="shared" si="31"/>
        <v>0</v>
      </c>
    </row>
    <row r="468" x14ac:dyDescent="0.35">
      <c r="A468" s="21" t="str">
        <v/>
      </c>
      <c r="B468" s="23" t="str">
        <v/>
      </c>
      <c r="C468" t="str">
        <v/>
      </c>
      <c r="D468" t="str">
        <v/>
      </c>
      <c r="E468" t="str">
        <v/>
      </c>
      <c r="F468" t="str">
        <v/>
      </c>
      <c r="G468" t="str">
        <v/>
      </c>
      <c r="H468" t="str">
        <v/>
      </c>
      <c r="I468" s="2" t="str">
        <v/>
      </c>
      <c r="J468" s="2" t="str">
        <v/>
      </c>
      <c r="K468" s="2" t="str">
        <v/>
      </c>
      <c r="L468" s="1" t="str">
        <v/>
      </c>
      <c r="M468" s="2" t="str">
        <v/>
      </c>
      <c r="N468" s="1" t="str">
        <v/>
      </c>
      <c r="O468" s="1" t="str">
        <v/>
      </c>
      <c r="P468" s="1" t="str">
        <v/>
      </c>
      <c r="Q468" s="1">
        <f t="shared" si="28"/>
        <v>0</v>
      </c>
      <c r="R468" s="1">
        <f t="shared" si="29"/>
        <v>0</v>
      </c>
      <c r="T468">
        <f t="shared" si="30"/>
        <v>0</v>
      </c>
      <c r="U468">
        <f t="shared" si="31"/>
        <v>0</v>
      </c>
    </row>
    <row r="469" x14ac:dyDescent="0.35">
      <c r="A469" s="21" t="str">
        <v/>
      </c>
      <c r="B469" s="23" t="str">
        <v/>
      </c>
      <c r="C469" t="str">
        <v/>
      </c>
      <c r="D469" t="str">
        <v/>
      </c>
      <c r="E469" t="str">
        <v/>
      </c>
      <c r="F469" t="str">
        <v/>
      </c>
      <c r="G469" t="str">
        <v/>
      </c>
      <c r="H469" t="str">
        <v/>
      </c>
      <c r="I469" s="2" t="str">
        <v/>
      </c>
      <c r="J469" s="2" t="str">
        <v/>
      </c>
      <c r="K469" s="2" t="str">
        <v/>
      </c>
      <c r="L469" s="1" t="str">
        <v/>
      </c>
      <c r="M469" s="2" t="str">
        <v/>
      </c>
      <c r="N469" s="1" t="str">
        <v/>
      </c>
      <c r="O469" s="1" t="str">
        <v/>
      </c>
      <c r="P469" s="1" t="str">
        <v/>
      </c>
      <c r="Q469" s="1">
        <f t="shared" si="28"/>
        <v>0</v>
      </c>
      <c r="R469" s="1">
        <f t="shared" si="29"/>
        <v>0</v>
      </c>
      <c r="T469">
        <f t="shared" si="30"/>
        <v>0</v>
      </c>
      <c r="U469">
        <f t="shared" si="31"/>
        <v>0</v>
      </c>
    </row>
    <row r="470" x14ac:dyDescent="0.35">
      <c r="A470" s="21" t="str">
        <v/>
      </c>
      <c r="B470" s="23" t="str">
        <v/>
      </c>
      <c r="C470" t="str">
        <v/>
      </c>
      <c r="D470" t="str">
        <v/>
      </c>
      <c r="E470" t="str">
        <v/>
      </c>
      <c r="F470" t="str">
        <v/>
      </c>
      <c r="G470" t="str">
        <v/>
      </c>
      <c r="H470" t="str">
        <v/>
      </c>
      <c r="I470" s="2" t="str">
        <v/>
      </c>
      <c r="J470" s="2" t="str">
        <v/>
      </c>
      <c r="K470" s="2" t="str">
        <v/>
      </c>
      <c r="L470" s="1" t="str">
        <v/>
      </c>
      <c r="M470" s="2" t="str">
        <v/>
      </c>
      <c r="N470" s="1" t="str">
        <v/>
      </c>
      <c r="O470" s="1" t="str">
        <v/>
      </c>
      <c r="P470" s="1" t="str">
        <v/>
      </c>
      <c r="Q470" s="1">
        <f t="shared" si="28"/>
        <v>0</v>
      </c>
      <c r="R470" s="1">
        <f t="shared" si="29"/>
        <v>0</v>
      </c>
      <c r="T470">
        <f t="shared" si="30"/>
        <v>0</v>
      </c>
      <c r="U470">
        <f t="shared" si="31"/>
        <v>0</v>
      </c>
    </row>
    <row r="471" x14ac:dyDescent="0.35">
      <c r="A471" s="21" t="str">
        <v/>
      </c>
      <c r="B471" s="23" t="str">
        <v/>
      </c>
      <c r="C471" t="str">
        <v/>
      </c>
      <c r="D471" t="str">
        <v/>
      </c>
      <c r="E471" t="str">
        <v/>
      </c>
      <c r="F471" t="str">
        <v/>
      </c>
      <c r="G471" t="str">
        <v/>
      </c>
      <c r="H471" t="str">
        <v/>
      </c>
      <c r="I471" s="2" t="str">
        <v/>
      </c>
      <c r="J471" s="2" t="str">
        <v/>
      </c>
      <c r="K471" s="2" t="str">
        <v/>
      </c>
      <c r="L471" s="1" t="str">
        <v/>
      </c>
      <c r="M471" s="2" t="str">
        <v/>
      </c>
      <c r="N471" s="1" t="str">
        <v/>
      </c>
      <c r="O471" s="1" t="str">
        <v/>
      </c>
      <c r="P471" s="1" t="str">
        <v/>
      </c>
      <c r="Q471" s="1">
        <f t="shared" si="28"/>
        <v>0</v>
      </c>
      <c r="R471" s="1">
        <f t="shared" si="29"/>
        <v>0</v>
      </c>
      <c r="T471">
        <f t="shared" si="30"/>
        <v>0</v>
      </c>
      <c r="U471">
        <f t="shared" si="31"/>
        <v>0</v>
      </c>
    </row>
    <row r="472" x14ac:dyDescent="0.35">
      <c r="A472" s="21" t="str">
        <v/>
      </c>
      <c r="B472" s="23" t="str">
        <v/>
      </c>
      <c r="C472" t="str">
        <v/>
      </c>
      <c r="D472" t="str">
        <v/>
      </c>
      <c r="E472" t="str">
        <v/>
      </c>
      <c r="F472" t="str">
        <v/>
      </c>
      <c r="G472" t="str">
        <v/>
      </c>
      <c r="H472" t="str">
        <v/>
      </c>
      <c r="I472" s="2" t="str">
        <v/>
      </c>
      <c r="J472" s="2" t="str">
        <v/>
      </c>
      <c r="K472" s="2" t="str">
        <v/>
      </c>
      <c r="L472" s="1" t="str">
        <v/>
      </c>
      <c r="M472" s="2" t="str">
        <v/>
      </c>
      <c r="N472" s="1" t="str">
        <v/>
      </c>
      <c r="O472" s="1" t="str">
        <v/>
      </c>
      <c r="P472" s="1" t="str">
        <v/>
      </c>
      <c r="Q472" s="1">
        <f t="shared" si="28"/>
        <v>0</v>
      </c>
      <c r="R472" s="1">
        <f t="shared" si="29"/>
        <v>0</v>
      </c>
      <c r="T472">
        <f t="shared" si="30"/>
        <v>0</v>
      </c>
      <c r="U472">
        <f t="shared" si="31"/>
        <v>0</v>
      </c>
    </row>
    <row r="473" x14ac:dyDescent="0.35">
      <c r="A473" s="21" t="str">
        <v/>
      </c>
      <c r="B473" s="23" t="str">
        <v/>
      </c>
      <c r="C473" t="str">
        <v/>
      </c>
      <c r="D473" t="str">
        <v/>
      </c>
      <c r="E473" t="str">
        <v/>
      </c>
      <c r="F473" t="str">
        <v/>
      </c>
      <c r="G473" t="str">
        <v/>
      </c>
      <c r="H473" t="str">
        <v/>
      </c>
      <c r="I473" s="2" t="str">
        <v/>
      </c>
      <c r="J473" s="2" t="str">
        <v/>
      </c>
      <c r="K473" s="2" t="str">
        <v/>
      </c>
      <c r="L473" s="1" t="str">
        <v/>
      </c>
      <c r="M473" s="2" t="str">
        <v/>
      </c>
      <c r="N473" s="1" t="str">
        <v/>
      </c>
      <c r="O473" s="1" t="str">
        <v/>
      </c>
      <c r="P473" s="1" t="str">
        <v/>
      </c>
      <c r="Q473" s="1">
        <f t="shared" si="28"/>
        <v>0</v>
      </c>
      <c r="R473" s="1">
        <f t="shared" si="29"/>
        <v>0</v>
      </c>
      <c r="T473">
        <f t="shared" si="30"/>
        <v>0</v>
      </c>
      <c r="U473">
        <f t="shared" si="31"/>
        <v>0</v>
      </c>
    </row>
    <row r="474" x14ac:dyDescent="0.35">
      <c r="A474" s="21" t="str">
        <v/>
      </c>
      <c r="B474" s="23" t="str">
        <v/>
      </c>
      <c r="C474" t="str">
        <v/>
      </c>
      <c r="D474" t="str">
        <v/>
      </c>
      <c r="E474" t="str">
        <v/>
      </c>
      <c r="F474" t="str">
        <v/>
      </c>
      <c r="G474" t="str">
        <v/>
      </c>
      <c r="H474" t="str">
        <v/>
      </c>
      <c r="I474" s="2" t="str">
        <v/>
      </c>
      <c r="J474" s="2" t="str">
        <v/>
      </c>
      <c r="K474" s="2" t="str">
        <v/>
      </c>
      <c r="L474" s="1" t="str">
        <v/>
      </c>
      <c r="M474" s="2" t="str">
        <v/>
      </c>
      <c r="N474" s="1" t="str">
        <v/>
      </c>
      <c r="O474" s="1" t="str">
        <v/>
      </c>
      <c r="P474" s="1" t="str">
        <v/>
      </c>
      <c r="Q474" s="1">
        <f t="shared" si="28"/>
        <v>0</v>
      </c>
      <c r="R474" s="1">
        <f t="shared" si="29"/>
        <v>0</v>
      </c>
      <c r="T474">
        <f t="shared" si="30"/>
        <v>0</v>
      </c>
      <c r="U474">
        <f t="shared" si="31"/>
        <v>0</v>
      </c>
    </row>
    <row r="475" x14ac:dyDescent="0.35">
      <c r="A475" s="21" t="str">
        <v/>
      </c>
      <c r="B475" s="23" t="str">
        <v/>
      </c>
      <c r="C475" t="str">
        <v/>
      </c>
      <c r="D475" t="str">
        <v/>
      </c>
      <c r="E475" t="str">
        <v/>
      </c>
      <c r="F475" t="str">
        <v/>
      </c>
      <c r="G475" t="str">
        <v/>
      </c>
      <c r="H475" t="str">
        <v/>
      </c>
      <c r="I475" s="2" t="str">
        <v/>
      </c>
      <c r="J475" s="2" t="str">
        <v/>
      </c>
      <c r="K475" s="2" t="str">
        <v/>
      </c>
      <c r="L475" s="1" t="str">
        <v/>
      </c>
      <c r="M475" s="2" t="str">
        <v/>
      </c>
      <c r="N475" s="1" t="str">
        <v/>
      </c>
      <c r="O475" s="1" t="str">
        <v/>
      </c>
      <c r="P475" s="1" t="str">
        <v/>
      </c>
      <c r="Q475" s="1">
        <f t="shared" si="28"/>
        <v>0</v>
      </c>
      <c r="R475" s="1">
        <f t="shared" si="29"/>
        <v>0</v>
      </c>
      <c r="T475">
        <f t="shared" si="30"/>
        <v>0</v>
      </c>
      <c r="U475">
        <f t="shared" si="31"/>
        <v>0</v>
      </c>
    </row>
    <row r="476" x14ac:dyDescent="0.35">
      <c r="A476" s="21" t="str">
        <v/>
      </c>
      <c r="B476" s="23" t="str">
        <v/>
      </c>
      <c r="C476" t="str">
        <v/>
      </c>
      <c r="D476" t="str">
        <v/>
      </c>
      <c r="E476" t="str">
        <v/>
      </c>
      <c r="F476" t="str">
        <v/>
      </c>
      <c r="G476" t="str">
        <v/>
      </c>
      <c r="H476" t="str">
        <v/>
      </c>
      <c r="I476" s="2" t="str">
        <v/>
      </c>
      <c r="J476" s="2" t="str">
        <v/>
      </c>
      <c r="K476" s="2" t="str">
        <v/>
      </c>
      <c r="L476" s="1" t="str">
        <v/>
      </c>
      <c r="M476" s="2" t="str">
        <v/>
      </c>
      <c r="N476" s="1" t="str">
        <v/>
      </c>
      <c r="O476" s="1" t="str">
        <v/>
      </c>
      <c r="P476" s="1" t="str">
        <v/>
      </c>
      <c r="Q476" s="1">
        <f t="shared" si="28"/>
        <v>0</v>
      </c>
      <c r="R476" s="1">
        <f t="shared" si="29"/>
        <v>0</v>
      </c>
      <c r="T476">
        <f t="shared" si="30"/>
        <v>0</v>
      </c>
      <c r="U476">
        <f t="shared" si="31"/>
        <v>0</v>
      </c>
    </row>
    <row r="477" x14ac:dyDescent="0.35">
      <c r="A477" s="21" t="str">
        <v/>
      </c>
      <c r="B477" s="23" t="str">
        <v/>
      </c>
      <c r="C477" t="str">
        <v/>
      </c>
      <c r="D477" t="str">
        <v/>
      </c>
      <c r="E477" t="str">
        <v/>
      </c>
      <c r="F477" t="str">
        <v/>
      </c>
      <c r="G477" t="str">
        <v/>
      </c>
      <c r="H477" t="str">
        <v/>
      </c>
      <c r="I477" s="2" t="str">
        <v/>
      </c>
      <c r="J477" s="2" t="str">
        <v/>
      </c>
      <c r="K477" s="2" t="str">
        <v/>
      </c>
      <c r="L477" s="1" t="str">
        <v/>
      </c>
      <c r="M477" s="2" t="str">
        <v/>
      </c>
      <c r="N477" s="1" t="str">
        <v/>
      </c>
      <c r="O477" s="1" t="str">
        <v/>
      </c>
      <c r="P477" s="1" t="str">
        <v/>
      </c>
      <c r="Q477" s="1">
        <f t="shared" si="28"/>
        <v>0</v>
      </c>
      <c r="R477" s="1">
        <f t="shared" si="29"/>
        <v>0</v>
      </c>
      <c r="T477">
        <f t="shared" si="30"/>
        <v>0</v>
      </c>
      <c r="U477">
        <f t="shared" si="31"/>
        <v>0</v>
      </c>
    </row>
    <row r="478" x14ac:dyDescent="0.35">
      <c r="A478" s="21" t="str">
        <v/>
      </c>
      <c r="B478" s="23" t="str">
        <v/>
      </c>
      <c r="C478" t="str">
        <v/>
      </c>
      <c r="D478" t="str">
        <v/>
      </c>
      <c r="E478" t="str">
        <v/>
      </c>
      <c r="F478" t="str">
        <v/>
      </c>
      <c r="G478" t="str">
        <v/>
      </c>
      <c r="H478" t="str">
        <v/>
      </c>
      <c r="I478" s="2" t="str">
        <v/>
      </c>
      <c r="J478" s="2" t="str">
        <v/>
      </c>
      <c r="K478" s="2" t="str">
        <v/>
      </c>
      <c r="L478" s="1" t="str">
        <v/>
      </c>
      <c r="M478" s="2" t="str">
        <v/>
      </c>
      <c r="N478" s="1" t="str">
        <v/>
      </c>
      <c r="O478" s="1" t="str">
        <v/>
      </c>
      <c r="P478" s="1" t="str">
        <v/>
      </c>
      <c r="Q478" s="1">
        <f t="shared" si="28"/>
        <v>0</v>
      </c>
      <c r="R478" s="1">
        <f t="shared" si="29"/>
        <v>0</v>
      </c>
      <c r="T478">
        <f t="shared" si="30"/>
        <v>0</v>
      </c>
      <c r="U478">
        <f t="shared" si="31"/>
        <v>0</v>
      </c>
    </row>
    <row r="479" x14ac:dyDescent="0.35">
      <c r="A479" s="21" t="str">
        <v/>
      </c>
      <c r="B479" s="23" t="str">
        <v/>
      </c>
      <c r="C479" t="str">
        <v/>
      </c>
      <c r="D479" t="str">
        <v/>
      </c>
      <c r="E479" t="str">
        <v/>
      </c>
      <c r="F479" t="str">
        <v/>
      </c>
      <c r="G479" t="str">
        <v/>
      </c>
      <c r="H479" t="str">
        <v/>
      </c>
      <c r="I479" s="2" t="str">
        <v/>
      </c>
      <c r="J479" s="2" t="str">
        <v/>
      </c>
      <c r="K479" s="2" t="str">
        <v/>
      </c>
      <c r="L479" s="1" t="str">
        <v/>
      </c>
      <c r="M479" s="2" t="str">
        <v/>
      </c>
      <c r="N479" s="1" t="str">
        <v/>
      </c>
      <c r="O479" s="1" t="str">
        <v/>
      </c>
      <c r="P479" s="1" t="str">
        <v/>
      </c>
      <c r="Q479" s="1">
        <f t="shared" si="28"/>
        <v>0</v>
      </c>
      <c r="R479" s="1">
        <f t="shared" si="29"/>
        <v>0</v>
      </c>
      <c r="T479">
        <f t="shared" si="30"/>
        <v>0</v>
      </c>
      <c r="U479">
        <f t="shared" si="31"/>
        <v>0</v>
      </c>
    </row>
    <row r="480" x14ac:dyDescent="0.35">
      <c r="A480" s="21" t="str">
        <v/>
      </c>
      <c r="B480" s="23" t="str">
        <v/>
      </c>
      <c r="C480" t="str">
        <v/>
      </c>
      <c r="D480" t="str">
        <v/>
      </c>
      <c r="E480" t="str">
        <v/>
      </c>
      <c r="F480" t="str">
        <v/>
      </c>
      <c r="G480" t="str">
        <v/>
      </c>
      <c r="H480" t="str">
        <v/>
      </c>
      <c r="I480" s="2" t="str">
        <v/>
      </c>
      <c r="J480" s="2" t="str">
        <v/>
      </c>
      <c r="K480" s="2" t="str">
        <v/>
      </c>
      <c r="L480" s="1" t="str">
        <v/>
      </c>
      <c r="M480" s="2" t="str">
        <v/>
      </c>
      <c r="N480" s="1" t="str">
        <v/>
      </c>
      <c r="O480" s="1" t="str">
        <v/>
      </c>
      <c r="P480" s="1" t="str">
        <v/>
      </c>
      <c r="Q480" s="1">
        <f t="shared" si="28"/>
        <v>0</v>
      </c>
      <c r="R480" s="1">
        <f t="shared" si="29"/>
        <v>0</v>
      </c>
      <c r="T480">
        <f t="shared" si="30"/>
        <v>0</v>
      </c>
      <c r="U480">
        <f t="shared" si="31"/>
        <v>0</v>
      </c>
    </row>
    <row r="481" x14ac:dyDescent="0.35">
      <c r="A481" s="21" t="str">
        <v/>
      </c>
      <c r="B481" s="23" t="str">
        <v/>
      </c>
      <c r="C481" t="str">
        <v/>
      </c>
      <c r="D481" t="str">
        <v/>
      </c>
      <c r="E481" t="str">
        <v/>
      </c>
      <c r="F481" t="str">
        <v/>
      </c>
      <c r="G481" t="str">
        <v/>
      </c>
      <c r="H481" t="str">
        <v/>
      </c>
      <c r="I481" s="2" t="str">
        <v/>
      </c>
      <c r="J481" s="2" t="str">
        <v/>
      </c>
      <c r="K481" s="2" t="str">
        <v/>
      </c>
      <c r="L481" s="1" t="str">
        <v/>
      </c>
      <c r="M481" s="2" t="str">
        <v/>
      </c>
      <c r="N481" s="1" t="str">
        <v/>
      </c>
      <c r="O481" s="1" t="str">
        <v/>
      </c>
      <c r="P481" s="1" t="str">
        <v/>
      </c>
      <c r="Q481" s="1">
        <f t="shared" si="28"/>
        <v>0</v>
      </c>
      <c r="R481" s="1">
        <f t="shared" si="29"/>
        <v>0</v>
      </c>
      <c r="T481">
        <f t="shared" si="30"/>
        <v>0</v>
      </c>
      <c r="U481">
        <f t="shared" si="31"/>
        <v>0</v>
      </c>
    </row>
    <row r="482" x14ac:dyDescent="0.35">
      <c r="A482" s="21" t="str">
        <v/>
      </c>
      <c r="B482" s="23" t="str">
        <v/>
      </c>
      <c r="C482" t="str">
        <v/>
      </c>
      <c r="D482" t="str">
        <v/>
      </c>
      <c r="E482" t="str">
        <v/>
      </c>
      <c r="F482" t="str">
        <v/>
      </c>
      <c r="G482" t="str">
        <v/>
      </c>
      <c r="H482" t="str">
        <v/>
      </c>
      <c r="I482" s="2" t="str">
        <v/>
      </c>
      <c r="J482" s="2" t="str">
        <v/>
      </c>
      <c r="K482" s="2" t="str">
        <v/>
      </c>
      <c r="L482" s="1" t="str">
        <v/>
      </c>
      <c r="M482" s="2" t="str">
        <v/>
      </c>
      <c r="N482" s="1" t="str">
        <v/>
      </c>
      <c r="O482" s="1" t="str">
        <v/>
      </c>
      <c r="P482" s="1" t="str">
        <v/>
      </c>
      <c r="Q482" s="1">
        <f t="shared" si="28"/>
        <v>0</v>
      </c>
      <c r="R482" s="1">
        <f t="shared" si="29"/>
        <v>0</v>
      </c>
      <c r="T482">
        <f t="shared" si="30"/>
        <v>0</v>
      </c>
      <c r="U482">
        <f t="shared" si="31"/>
        <v>0</v>
      </c>
    </row>
    <row r="483" x14ac:dyDescent="0.35">
      <c r="A483" s="21" t="str">
        <v/>
      </c>
      <c r="B483" s="23" t="str">
        <v/>
      </c>
      <c r="C483" t="str">
        <v/>
      </c>
      <c r="D483" t="str">
        <v/>
      </c>
      <c r="E483" t="str">
        <v/>
      </c>
      <c r="F483" t="str">
        <v/>
      </c>
      <c r="G483" t="str">
        <v/>
      </c>
      <c r="H483" t="str">
        <v/>
      </c>
      <c r="I483" s="2" t="str">
        <v/>
      </c>
      <c r="J483" s="2" t="str">
        <v/>
      </c>
      <c r="K483" s="2" t="str">
        <v/>
      </c>
      <c r="L483" s="1" t="str">
        <v/>
      </c>
      <c r="M483" s="2" t="str">
        <v/>
      </c>
      <c r="N483" s="1" t="str">
        <v/>
      </c>
      <c r="O483" s="1" t="str">
        <v/>
      </c>
      <c r="P483" s="1" t="str">
        <v/>
      </c>
      <c r="Q483" s="1">
        <f t="shared" si="28"/>
        <v>0</v>
      </c>
      <c r="R483" s="1">
        <f t="shared" si="29"/>
        <v>0</v>
      </c>
      <c r="T483">
        <f t="shared" si="30"/>
        <v>0</v>
      </c>
      <c r="U483">
        <f t="shared" si="31"/>
        <v>0</v>
      </c>
    </row>
    <row r="484" x14ac:dyDescent="0.35">
      <c r="A484" s="21" t="str">
        <v/>
      </c>
      <c r="B484" s="23" t="str">
        <v/>
      </c>
      <c r="C484" t="str">
        <v/>
      </c>
      <c r="D484" t="str">
        <v/>
      </c>
      <c r="E484" t="str">
        <v/>
      </c>
      <c r="F484" t="str">
        <v/>
      </c>
      <c r="G484" t="str">
        <v/>
      </c>
      <c r="H484" t="str">
        <v/>
      </c>
      <c r="I484" s="2" t="str">
        <v/>
      </c>
      <c r="J484" s="2" t="str">
        <v/>
      </c>
      <c r="K484" s="2" t="str">
        <v/>
      </c>
      <c r="L484" s="1" t="str">
        <v/>
      </c>
      <c r="M484" s="2" t="str">
        <v/>
      </c>
      <c r="N484" s="1" t="str">
        <v/>
      </c>
      <c r="O484" s="1" t="str">
        <v/>
      </c>
      <c r="P484" s="1" t="str">
        <v/>
      </c>
      <c r="Q484" s="1">
        <f t="shared" si="28"/>
        <v>0</v>
      </c>
      <c r="R484" s="1">
        <f t="shared" si="29"/>
        <v>0</v>
      </c>
      <c r="T484">
        <f t="shared" si="30"/>
        <v>0</v>
      </c>
      <c r="U484">
        <f t="shared" si="31"/>
        <v>0</v>
      </c>
    </row>
    <row r="485" x14ac:dyDescent="0.35">
      <c r="A485" s="21" t="str">
        <v/>
      </c>
      <c r="B485" s="23" t="str">
        <v/>
      </c>
      <c r="C485" t="str">
        <v/>
      </c>
      <c r="D485" t="str">
        <v/>
      </c>
      <c r="E485" t="str">
        <v/>
      </c>
      <c r="F485" t="str">
        <v/>
      </c>
      <c r="G485" t="str">
        <v/>
      </c>
      <c r="H485" t="str">
        <v/>
      </c>
      <c r="I485" s="2" t="str">
        <v/>
      </c>
      <c r="J485" s="2" t="str">
        <v/>
      </c>
      <c r="K485" s="2" t="str">
        <v/>
      </c>
      <c r="L485" s="1" t="str">
        <v/>
      </c>
      <c r="M485" s="2" t="str">
        <v/>
      </c>
      <c r="N485" s="1" t="str">
        <v/>
      </c>
      <c r="O485" s="1" t="str">
        <v/>
      </c>
      <c r="P485" s="1" t="str">
        <v/>
      </c>
      <c r="Q485" s="1">
        <f t="shared" si="28"/>
        <v>0</v>
      </c>
      <c r="R485" s="1">
        <f t="shared" si="29"/>
        <v>0</v>
      </c>
      <c r="T485">
        <f t="shared" si="30"/>
        <v>0</v>
      </c>
      <c r="U485">
        <f t="shared" si="31"/>
        <v>0</v>
      </c>
    </row>
    <row r="486" x14ac:dyDescent="0.35">
      <c r="A486" s="21" t="str">
        <v/>
      </c>
      <c r="B486" s="23" t="str">
        <v/>
      </c>
      <c r="C486" t="str">
        <v/>
      </c>
      <c r="D486" t="str">
        <v/>
      </c>
      <c r="E486" t="str">
        <v/>
      </c>
      <c r="F486" t="str">
        <v/>
      </c>
      <c r="G486" t="str">
        <v/>
      </c>
      <c r="H486" t="str">
        <v/>
      </c>
      <c r="I486" s="2" t="str">
        <v/>
      </c>
      <c r="J486" s="2" t="str">
        <v/>
      </c>
      <c r="K486" s="2" t="str">
        <v/>
      </c>
      <c r="L486" s="1" t="str">
        <v/>
      </c>
      <c r="M486" s="2" t="str">
        <v/>
      </c>
      <c r="N486" s="1" t="str">
        <v/>
      </c>
      <c r="O486" s="1" t="str">
        <v/>
      </c>
      <c r="P486" s="1" t="str">
        <v/>
      </c>
      <c r="Q486" s="1">
        <f t="shared" si="28"/>
        <v>0</v>
      </c>
      <c r="R486" s="1">
        <f t="shared" si="29"/>
        <v>0</v>
      </c>
      <c r="T486">
        <f t="shared" si="30"/>
        <v>0</v>
      </c>
      <c r="U486">
        <f t="shared" si="31"/>
        <v>0</v>
      </c>
    </row>
    <row r="487" x14ac:dyDescent="0.35">
      <c r="A487" s="21" t="str">
        <v/>
      </c>
      <c r="B487" s="23" t="str">
        <v/>
      </c>
      <c r="C487" t="str">
        <v/>
      </c>
      <c r="D487" t="str">
        <v/>
      </c>
      <c r="E487" t="str">
        <v/>
      </c>
      <c r="F487" t="str">
        <v/>
      </c>
      <c r="G487" t="str">
        <v/>
      </c>
      <c r="H487" t="str">
        <v/>
      </c>
      <c r="I487" s="2" t="str">
        <v/>
      </c>
      <c r="J487" s="2" t="str">
        <v/>
      </c>
      <c r="K487" s="2" t="str">
        <v/>
      </c>
      <c r="L487" s="1" t="str">
        <v/>
      </c>
      <c r="M487" s="2" t="str">
        <v/>
      </c>
      <c r="N487" s="1" t="str">
        <v/>
      </c>
      <c r="O487" s="1" t="str">
        <v/>
      </c>
      <c r="P487" s="1" t="str">
        <v/>
      </c>
      <c r="Q487" s="1">
        <f t="shared" si="28"/>
        <v>0</v>
      </c>
      <c r="R487" s="1">
        <f t="shared" si="29"/>
        <v>0</v>
      </c>
      <c r="T487">
        <f t="shared" si="30"/>
        <v>0</v>
      </c>
      <c r="U487">
        <f t="shared" si="31"/>
        <v>0</v>
      </c>
    </row>
    <row r="488" x14ac:dyDescent="0.35">
      <c r="A488" s="21" t="str">
        <v/>
      </c>
      <c r="B488" s="23" t="str">
        <v/>
      </c>
      <c r="C488" t="str">
        <v/>
      </c>
      <c r="D488" t="str">
        <v/>
      </c>
      <c r="E488" t="str">
        <v/>
      </c>
      <c r="F488" t="str">
        <v/>
      </c>
      <c r="G488" t="str">
        <v/>
      </c>
      <c r="H488" t="str">
        <v/>
      </c>
      <c r="I488" s="2" t="str">
        <v/>
      </c>
      <c r="J488" s="2" t="str">
        <v/>
      </c>
      <c r="K488" s="2" t="str">
        <v/>
      </c>
      <c r="L488" s="1" t="str">
        <v/>
      </c>
      <c r="M488" s="2" t="str">
        <v/>
      </c>
      <c r="N488" s="1" t="str">
        <v/>
      </c>
      <c r="O488" s="1" t="str">
        <v/>
      </c>
      <c r="P488" s="1" t="str">
        <v/>
      </c>
      <c r="Q488" s="1">
        <f t="shared" si="28"/>
        <v>0</v>
      </c>
      <c r="R488" s="1">
        <f t="shared" si="29"/>
        <v>0</v>
      </c>
      <c r="T488">
        <f t="shared" si="30"/>
        <v>0</v>
      </c>
      <c r="U488">
        <f t="shared" si="31"/>
        <v>0</v>
      </c>
    </row>
    <row r="489" x14ac:dyDescent="0.35">
      <c r="A489" s="21" t="str">
        <v/>
      </c>
      <c r="B489" s="23" t="str">
        <v/>
      </c>
      <c r="C489" t="str">
        <v/>
      </c>
      <c r="D489" t="str">
        <v/>
      </c>
      <c r="E489" t="str">
        <v/>
      </c>
      <c r="F489" t="str">
        <v/>
      </c>
      <c r="G489" t="str">
        <v/>
      </c>
      <c r="H489" t="str">
        <v/>
      </c>
      <c r="I489" s="2" t="str">
        <v/>
      </c>
      <c r="J489" s="2" t="str">
        <v/>
      </c>
      <c r="K489" s="2" t="str">
        <v/>
      </c>
      <c r="L489" s="1" t="str">
        <v/>
      </c>
      <c r="M489" s="2" t="str">
        <v/>
      </c>
      <c r="N489" s="1" t="str">
        <v/>
      </c>
      <c r="O489" s="1" t="str">
        <v/>
      </c>
      <c r="P489" s="1" t="str">
        <v/>
      </c>
      <c r="Q489" s="1">
        <f t="shared" si="28"/>
        <v>0</v>
      </c>
      <c r="R489" s="1">
        <f t="shared" si="29"/>
        <v>0</v>
      </c>
      <c r="T489">
        <f t="shared" si="30"/>
        <v>0</v>
      </c>
      <c r="U489">
        <f t="shared" si="31"/>
        <v>0</v>
      </c>
    </row>
    <row r="490" x14ac:dyDescent="0.35">
      <c r="A490" s="21" t="str">
        <v/>
      </c>
      <c r="B490" s="23" t="str">
        <v/>
      </c>
      <c r="C490" t="str">
        <v/>
      </c>
      <c r="D490" t="str">
        <v/>
      </c>
      <c r="E490" t="str">
        <v/>
      </c>
      <c r="F490" t="str">
        <v/>
      </c>
      <c r="G490" t="str">
        <v/>
      </c>
      <c r="H490" t="str">
        <v/>
      </c>
      <c r="I490" s="2" t="str">
        <v/>
      </c>
      <c r="J490" s="2" t="str">
        <v/>
      </c>
      <c r="K490" s="2" t="str">
        <v/>
      </c>
      <c r="L490" s="1" t="str">
        <v/>
      </c>
      <c r="M490" s="2" t="str">
        <v/>
      </c>
      <c r="N490" s="1" t="str">
        <v/>
      </c>
      <c r="O490" s="1" t="str">
        <v/>
      </c>
      <c r="P490" s="1" t="str">
        <v/>
      </c>
      <c r="Q490" s="1">
        <f t="shared" si="28"/>
        <v>0</v>
      </c>
      <c r="R490" s="1">
        <f t="shared" si="29"/>
        <v>0</v>
      </c>
      <c r="T490">
        <f t="shared" si="30"/>
        <v>0</v>
      </c>
      <c r="U490">
        <f t="shared" si="31"/>
        <v>0</v>
      </c>
    </row>
    <row r="491" x14ac:dyDescent="0.35">
      <c r="A491" s="21" t="str">
        <v/>
      </c>
      <c r="B491" s="23" t="str">
        <v/>
      </c>
      <c r="C491" t="str">
        <v/>
      </c>
      <c r="D491" t="str">
        <v/>
      </c>
      <c r="E491" t="str">
        <v/>
      </c>
      <c r="F491" t="str">
        <v/>
      </c>
      <c r="G491" t="str">
        <v/>
      </c>
      <c r="H491" t="str">
        <v/>
      </c>
      <c r="I491" s="2" t="str">
        <v/>
      </c>
      <c r="J491" s="2" t="str">
        <v/>
      </c>
      <c r="K491" s="2" t="str">
        <v/>
      </c>
      <c r="L491" s="1" t="str">
        <v/>
      </c>
      <c r="M491" s="2" t="str">
        <v/>
      </c>
      <c r="N491" s="1" t="str">
        <v/>
      </c>
      <c r="O491" s="1" t="str">
        <v/>
      </c>
      <c r="P491" s="1" t="str">
        <v/>
      </c>
      <c r="Q491" s="1">
        <f t="shared" si="28"/>
        <v>0</v>
      </c>
      <c r="R491" s="1">
        <f t="shared" si="29"/>
        <v>0</v>
      </c>
      <c r="T491">
        <f t="shared" si="30"/>
        <v>0</v>
      </c>
      <c r="U491">
        <f t="shared" si="31"/>
        <v>0</v>
      </c>
    </row>
    <row r="492" x14ac:dyDescent="0.35">
      <c r="A492" s="21" t="str">
        <v/>
      </c>
      <c r="B492" s="23" t="str">
        <v/>
      </c>
      <c r="C492" t="str">
        <v/>
      </c>
      <c r="D492" t="str">
        <v/>
      </c>
      <c r="E492" t="str">
        <v/>
      </c>
      <c r="F492" t="str">
        <v/>
      </c>
      <c r="G492" t="str">
        <v/>
      </c>
      <c r="H492" t="str">
        <v/>
      </c>
      <c r="I492" s="2" t="str">
        <v/>
      </c>
      <c r="J492" s="2" t="str">
        <v/>
      </c>
      <c r="K492" s="2" t="str">
        <v/>
      </c>
      <c r="L492" s="1" t="str">
        <v/>
      </c>
      <c r="M492" s="2" t="str">
        <v/>
      </c>
      <c r="N492" s="1" t="str">
        <v/>
      </c>
      <c r="O492" s="1" t="str">
        <v/>
      </c>
      <c r="P492" s="1" t="str">
        <v/>
      </c>
      <c r="Q492" s="1">
        <f t="shared" si="28"/>
        <v>0</v>
      </c>
      <c r="R492" s="1">
        <f t="shared" si="29"/>
        <v>0</v>
      </c>
      <c r="T492">
        <f t="shared" si="30"/>
        <v>0</v>
      </c>
      <c r="U492">
        <f t="shared" si="31"/>
        <v>0</v>
      </c>
    </row>
    <row r="493" x14ac:dyDescent="0.35">
      <c r="A493" s="21" t="str">
        <v/>
      </c>
      <c r="B493" s="23" t="str">
        <v/>
      </c>
      <c r="C493" t="str">
        <v/>
      </c>
      <c r="D493" t="str">
        <v/>
      </c>
      <c r="E493" t="str">
        <v/>
      </c>
      <c r="F493" t="str">
        <v/>
      </c>
      <c r="G493" t="str">
        <v/>
      </c>
      <c r="H493" t="str">
        <v/>
      </c>
      <c r="I493" s="2" t="str">
        <v/>
      </c>
      <c r="J493" s="2" t="str">
        <v/>
      </c>
      <c r="K493" s="2" t="str">
        <v/>
      </c>
      <c r="L493" s="1" t="str">
        <v/>
      </c>
      <c r="M493" s="2" t="str">
        <v/>
      </c>
      <c r="N493" s="1" t="str">
        <v/>
      </c>
      <c r="O493" s="1" t="str">
        <v/>
      </c>
      <c r="P493" s="1" t="str">
        <v/>
      </c>
      <c r="Q493" s="1">
        <f t="shared" si="28"/>
        <v>0</v>
      </c>
      <c r="R493" s="1">
        <f t="shared" si="29"/>
        <v>0</v>
      </c>
      <c r="T493">
        <f t="shared" si="30"/>
        <v>0</v>
      </c>
      <c r="U493">
        <f t="shared" si="31"/>
        <v>0</v>
      </c>
    </row>
    <row r="494" x14ac:dyDescent="0.35">
      <c r="A494" s="21" t="str">
        <v/>
      </c>
      <c r="B494" s="23" t="str">
        <v/>
      </c>
      <c r="C494" t="str">
        <v/>
      </c>
      <c r="D494" t="str">
        <v/>
      </c>
      <c r="E494" t="str">
        <v/>
      </c>
      <c r="F494" t="str">
        <v/>
      </c>
      <c r="G494" t="str">
        <v/>
      </c>
      <c r="H494" t="str">
        <v/>
      </c>
      <c r="I494" s="2" t="str">
        <v/>
      </c>
      <c r="J494" s="2" t="str">
        <v/>
      </c>
      <c r="K494" s="2" t="str">
        <v/>
      </c>
      <c r="L494" s="1" t="str">
        <v/>
      </c>
      <c r="M494" s="2" t="str">
        <v/>
      </c>
      <c r="N494" s="1" t="str">
        <v/>
      </c>
      <c r="O494" s="1" t="str">
        <v/>
      </c>
      <c r="P494" s="1" t="str">
        <v/>
      </c>
      <c r="Q494" s="1">
        <f t="shared" si="28"/>
        <v>0</v>
      </c>
      <c r="R494" s="1">
        <f t="shared" si="29"/>
        <v>0</v>
      </c>
      <c r="T494">
        <f t="shared" si="30"/>
        <v>0</v>
      </c>
      <c r="U494">
        <f t="shared" si="31"/>
        <v>0</v>
      </c>
    </row>
    <row r="495" x14ac:dyDescent="0.35">
      <c r="A495" s="21" t="str">
        <v/>
      </c>
      <c r="B495" s="23" t="str">
        <v/>
      </c>
      <c r="C495" t="str">
        <v/>
      </c>
      <c r="D495" t="str">
        <v/>
      </c>
      <c r="E495" t="str">
        <v/>
      </c>
      <c r="F495" t="str">
        <v/>
      </c>
      <c r="G495" t="str">
        <v/>
      </c>
      <c r="H495" t="str">
        <v/>
      </c>
      <c r="I495" s="2" t="str">
        <v/>
      </c>
      <c r="J495" s="2" t="str">
        <v/>
      </c>
      <c r="K495" s="2" t="str">
        <v/>
      </c>
      <c r="L495" s="1" t="str">
        <v/>
      </c>
      <c r="M495" s="2" t="str">
        <v/>
      </c>
      <c r="N495" s="1" t="str">
        <v/>
      </c>
      <c r="O495" s="1" t="str">
        <v/>
      </c>
      <c r="P495" s="1" t="str">
        <v/>
      </c>
      <c r="Q495" s="1">
        <f t="shared" si="28"/>
        <v>0</v>
      </c>
      <c r="R495" s="1">
        <f t="shared" si="29"/>
        <v>0</v>
      </c>
      <c r="T495">
        <f t="shared" si="30"/>
        <v>0</v>
      </c>
      <c r="U495">
        <f t="shared" si="31"/>
        <v>0</v>
      </c>
    </row>
    <row r="496" x14ac:dyDescent="0.35">
      <c r="A496" s="21" t="str">
        <v/>
      </c>
      <c r="B496" s="23" t="str">
        <v/>
      </c>
      <c r="C496" t="str">
        <v/>
      </c>
      <c r="D496" t="str">
        <v/>
      </c>
      <c r="E496" t="str">
        <v/>
      </c>
      <c r="F496" t="str">
        <v/>
      </c>
      <c r="G496" t="str">
        <v/>
      </c>
      <c r="H496" t="str">
        <v/>
      </c>
      <c r="I496" s="2" t="str">
        <v/>
      </c>
      <c r="J496" s="2" t="str">
        <v/>
      </c>
      <c r="K496" s="2" t="str">
        <v/>
      </c>
      <c r="L496" s="1" t="str">
        <v/>
      </c>
      <c r="M496" s="2" t="str">
        <v/>
      </c>
      <c r="N496" s="1" t="str">
        <v/>
      </c>
      <c r="O496" s="1" t="str">
        <v/>
      </c>
      <c r="P496" s="1" t="str">
        <v/>
      </c>
      <c r="Q496" s="1">
        <f t="shared" si="28"/>
        <v>0</v>
      </c>
      <c r="R496" s="1">
        <f t="shared" si="29"/>
        <v>0</v>
      </c>
      <c r="T496">
        <f t="shared" si="30"/>
        <v>0</v>
      </c>
      <c r="U496">
        <f t="shared" si="31"/>
        <v>0</v>
      </c>
    </row>
    <row r="497" x14ac:dyDescent="0.35">
      <c r="A497" s="21" t="str">
        <v/>
      </c>
      <c r="B497" s="23" t="str">
        <v/>
      </c>
      <c r="C497" t="str">
        <v/>
      </c>
      <c r="D497" t="str">
        <v/>
      </c>
      <c r="E497" t="str">
        <v/>
      </c>
      <c r="F497" t="str">
        <v/>
      </c>
      <c r="G497" t="str">
        <v/>
      </c>
      <c r="H497" t="str">
        <v/>
      </c>
      <c r="I497" s="2" t="str">
        <v/>
      </c>
      <c r="J497" s="2" t="str">
        <v/>
      </c>
      <c r="K497" s="2" t="str">
        <v/>
      </c>
      <c r="L497" s="1" t="str">
        <v/>
      </c>
      <c r="M497" s="2" t="str">
        <v/>
      </c>
      <c r="N497" s="1" t="str">
        <v/>
      </c>
      <c r="O497" s="1" t="str">
        <v/>
      </c>
      <c r="P497" s="1" t="str">
        <v/>
      </c>
      <c r="Q497" s="1">
        <f t="shared" si="28"/>
        <v>0</v>
      </c>
      <c r="R497" s="1">
        <f t="shared" si="29"/>
        <v>0</v>
      </c>
      <c r="T497">
        <f t="shared" si="30"/>
        <v>0</v>
      </c>
      <c r="U497">
        <f t="shared" si="31"/>
        <v>0</v>
      </c>
    </row>
    <row r="498" x14ac:dyDescent="0.35">
      <c r="A498" s="21" t="str">
        <v/>
      </c>
      <c r="B498" s="23" t="str">
        <v/>
      </c>
      <c r="C498" t="str">
        <v/>
      </c>
      <c r="D498" t="str">
        <v/>
      </c>
      <c r="E498" t="str">
        <v/>
      </c>
      <c r="F498" t="str">
        <v/>
      </c>
      <c r="G498" t="str">
        <v/>
      </c>
      <c r="H498" t="str">
        <v/>
      </c>
      <c r="I498" s="2" t="str">
        <v/>
      </c>
      <c r="J498" s="2" t="str">
        <v/>
      </c>
      <c r="K498" s="2" t="str">
        <v/>
      </c>
      <c r="L498" s="1" t="str">
        <v/>
      </c>
      <c r="M498" s="2" t="str">
        <v/>
      </c>
      <c r="N498" s="1" t="str">
        <v/>
      </c>
      <c r="O498" s="1" t="str">
        <v/>
      </c>
      <c r="P498" s="1" t="str">
        <v/>
      </c>
      <c r="Q498" s="1">
        <f t="shared" si="28"/>
        <v>0</v>
      </c>
      <c r="R498" s="1">
        <f t="shared" si="29"/>
        <v>0</v>
      </c>
      <c r="T498">
        <f t="shared" si="30"/>
        <v>0</v>
      </c>
      <c r="U498">
        <f t="shared" si="31"/>
        <v>0</v>
      </c>
    </row>
    <row r="499" x14ac:dyDescent="0.35">
      <c r="A499" s="21" t="str">
        <v/>
      </c>
      <c r="B499" s="23" t="str">
        <v/>
      </c>
      <c r="C499" t="str">
        <v/>
      </c>
      <c r="D499" t="str">
        <v/>
      </c>
      <c r="E499" t="str">
        <v/>
      </c>
      <c r="F499" t="str">
        <v/>
      </c>
      <c r="G499" t="str">
        <v/>
      </c>
      <c r="H499" t="str">
        <v/>
      </c>
      <c r="I499" s="2" t="str">
        <v/>
      </c>
      <c r="J499" s="2" t="str">
        <v/>
      </c>
      <c r="K499" s="2" t="str">
        <v/>
      </c>
      <c r="L499" s="1" t="str">
        <v/>
      </c>
      <c r="M499" s="2" t="str">
        <v/>
      </c>
      <c r="N499" s="1" t="str">
        <v/>
      </c>
      <c r="O499" s="1" t="str">
        <v/>
      </c>
      <c r="P499" s="1" t="str">
        <v/>
      </c>
      <c r="Q499" s="1">
        <f t="shared" si="28"/>
        <v>0</v>
      </c>
      <c r="R499" s="1">
        <f t="shared" si="29"/>
        <v>0</v>
      </c>
      <c r="T499">
        <f t="shared" si="30"/>
        <v>0</v>
      </c>
      <c r="U499">
        <f t="shared" si="31"/>
        <v>0</v>
      </c>
    </row>
    <row r="500" x14ac:dyDescent="0.35">
      <c r="A500" s="21" t="str">
        <v/>
      </c>
      <c r="B500" s="23" t="str">
        <v/>
      </c>
      <c r="C500" t="str">
        <v/>
      </c>
      <c r="D500" t="str">
        <v/>
      </c>
      <c r="E500" t="str">
        <v/>
      </c>
      <c r="F500" t="str">
        <v/>
      </c>
      <c r="G500" t="str">
        <v/>
      </c>
      <c r="H500" t="str">
        <v/>
      </c>
      <c r="I500" s="2" t="str">
        <v/>
      </c>
      <c r="J500" s="2" t="str">
        <v/>
      </c>
      <c r="K500" s="2" t="str">
        <v/>
      </c>
      <c r="L500" s="1" t="str">
        <v/>
      </c>
      <c r="M500" s="2" t="str">
        <v/>
      </c>
      <c r="N500" s="1" t="str">
        <v/>
      </c>
      <c r="O500" s="1" t="str">
        <v/>
      </c>
      <c r="P500" s="1" t="str">
        <v/>
      </c>
      <c r="Q500" s="1">
        <f t="shared" si="28"/>
        <v>0</v>
      </c>
      <c r="R500" s="1">
        <f t="shared" si="29"/>
        <v>0</v>
      </c>
      <c r="T500">
        <f t="shared" si="30"/>
        <v>0</v>
      </c>
      <c r="U500">
        <f t="shared" si="31"/>
        <v>0</v>
      </c>
    </row>
    <row r="501" x14ac:dyDescent="0.35">
      <c r="A501" s="21" t="str">
        <v/>
      </c>
      <c r="B501" s="23" t="str">
        <v/>
      </c>
      <c r="C501" t="str">
        <v/>
      </c>
      <c r="D501" t="str">
        <v/>
      </c>
      <c r="E501" t="str">
        <v/>
      </c>
      <c r="F501" t="str">
        <v/>
      </c>
      <c r="G501" t="str">
        <v/>
      </c>
      <c r="H501" t="str">
        <v/>
      </c>
      <c r="I501" s="2" t="str">
        <v/>
      </c>
      <c r="J501" s="2" t="str">
        <v/>
      </c>
      <c r="K501" s="2" t="str">
        <v/>
      </c>
      <c r="L501" s="1" t="str">
        <v/>
      </c>
      <c r="M501" s="2" t="str">
        <v/>
      </c>
      <c r="N501" s="1" t="str">
        <v/>
      </c>
      <c r="O501" s="1" t="str">
        <v/>
      </c>
      <c r="P501" s="1" t="str">
        <v/>
      </c>
      <c r="Q501" s="1">
        <f t="shared" si="28"/>
        <v>0</v>
      </c>
      <c r="R501" s="1">
        <f t="shared" si="29"/>
        <v>0</v>
      </c>
      <c r="T501">
        <f t="shared" si="30"/>
        <v>0</v>
      </c>
      <c r="U501">
        <f t="shared" si="31"/>
        <v>0</v>
      </c>
    </row>
    <row r="502" x14ac:dyDescent="0.35">
      <c r="A502" s="21" t="str">
        <v/>
      </c>
      <c r="B502" s="23" t="str">
        <v/>
      </c>
      <c r="C502" t="str">
        <v/>
      </c>
      <c r="D502" t="str">
        <v/>
      </c>
      <c r="E502" t="str">
        <v/>
      </c>
      <c r="F502" t="str">
        <v/>
      </c>
      <c r="G502" t="str">
        <v/>
      </c>
      <c r="H502" t="str">
        <v/>
      </c>
      <c r="I502" s="2" t="str">
        <v/>
      </c>
      <c r="J502" s="2" t="str">
        <v/>
      </c>
      <c r="K502" s="2" t="str">
        <v/>
      </c>
      <c r="L502" s="1" t="str">
        <v/>
      </c>
      <c r="M502" s="2" t="str">
        <v/>
      </c>
      <c r="N502" s="1" t="str">
        <v/>
      </c>
      <c r="O502" s="1" t="str">
        <v/>
      </c>
      <c r="P502" s="1" t="str">
        <v/>
      </c>
      <c r="Q502" s="1">
        <f t="shared" si="28"/>
        <v>0</v>
      </c>
      <c r="R502" s="1">
        <f t="shared" si="29"/>
        <v>0</v>
      </c>
      <c r="T502">
        <f t="shared" si="30"/>
        <v>0</v>
      </c>
      <c r="U502">
        <f t="shared" si="31"/>
        <v>0</v>
      </c>
    </row>
    <row r="503" x14ac:dyDescent="0.35">
      <c r="A503" s="21" t="str">
        <v/>
      </c>
      <c r="B503" s="23" t="str">
        <v/>
      </c>
      <c r="C503" t="str">
        <v/>
      </c>
      <c r="D503" t="str">
        <v/>
      </c>
      <c r="E503" t="str">
        <v/>
      </c>
      <c r="F503" t="str">
        <v/>
      </c>
      <c r="G503" t="str">
        <v/>
      </c>
      <c r="H503" t="str">
        <v/>
      </c>
      <c r="I503" s="2" t="str">
        <v/>
      </c>
      <c r="J503" s="2" t="str">
        <v/>
      </c>
      <c r="K503" s="2" t="str">
        <v/>
      </c>
      <c r="L503" s="1" t="str">
        <v/>
      </c>
      <c r="M503" s="2" t="str">
        <v/>
      </c>
      <c r="N503" s="1" t="str">
        <v/>
      </c>
      <c r="O503" s="1" t="str">
        <v/>
      </c>
      <c r="P503" s="1" t="str">
        <v/>
      </c>
      <c r="Q503" s="1">
        <f t="shared" si="28"/>
        <v>0</v>
      </c>
      <c r="R503" s="1">
        <f t="shared" si="29"/>
        <v>0</v>
      </c>
      <c r="T503">
        <f t="shared" si="30"/>
        <v>0</v>
      </c>
      <c r="U503">
        <f t="shared" si="31"/>
        <v>0</v>
      </c>
    </row>
    <row r="504" x14ac:dyDescent="0.35">
      <c r="A504" s="21" t="str">
        <v/>
      </c>
      <c r="B504" s="23" t="str">
        <v/>
      </c>
      <c r="C504" t="str">
        <v/>
      </c>
      <c r="D504" t="str">
        <v/>
      </c>
      <c r="E504" t="str">
        <v/>
      </c>
      <c r="F504" t="str">
        <v/>
      </c>
      <c r="G504" t="str">
        <v/>
      </c>
      <c r="H504" t="str">
        <v/>
      </c>
      <c r="I504" s="2" t="str">
        <v/>
      </c>
      <c r="J504" s="2" t="str">
        <v/>
      </c>
      <c r="K504" s="2" t="str">
        <v/>
      </c>
      <c r="L504" s="1" t="str">
        <v/>
      </c>
      <c r="M504" s="2" t="str">
        <v/>
      </c>
      <c r="N504" s="1" t="str">
        <v/>
      </c>
      <c r="O504" s="1" t="str">
        <v/>
      </c>
      <c r="P504" s="1" t="str">
        <v/>
      </c>
      <c r="Q504" s="1">
        <f t="shared" si="28"/>
        <v>0</v>
      </c>
      <c r="R504" s="1">
        <f t="shared" si="29"/>
        <v>0</v>
      </c>
      <c r="T504">
        <f t="shared" si="30"/>
        <v>0</v>
      </c>
      <c r="U504">
        <f t="shared" si="31"/>
        <v>0</v>
      </c>
    </row>
    <row r="505" x14ac:dyDescent="0.35">
      <c r="A505" s="21" t="str">
        <v/>
      </c>
      <c r="B505" s="23" t="str">
        <v/>
      </c>
      <c r="C505" t="str">
        <v/>
      </c>
      <c r="D505" t="str">
        <v/>
      </c>
      <c r="E505" t="str">
        <v/>
      </c>
      <c r="F505" t="str">
        <v/>
      </c>
      <c r="G505" t="str">
        <v/>
      </c>
      <c r="H505" t="str">
        <v/>
      </c>
      <c r="I505" s="2" t="str">
        <v/>
      </c>
      <c r="J505" s="2" t="str">
        <v/>
      </c>
      <c r="K505" s="2" t="str">
        <v/>
      </c>
      <c r="L505" s="1" t="str">
        <v/>
      </c>
      <c r="M505" s="2" t="str">
        <v/>
      </c>
      <c r="N505" s="1" t="str">
        <v/>
      </c>
      <c r="O505" s="1" t="str">
        <v/>
      </c>
      <c r="P505" s="1" t="str">
        <v/>
      </c>
      <c r="Q505" s="1">
        <f t="shared" si="28"/>
        <v>0</v>
      </c>
      <c r="R505" s="1">
        <f t="shared" si="29"/>
        <v>0</v>
      </c>
      <c r="T505">
        <f t="shared" si="30"/>
        <v>0</v>
      </c>
      <c r="U505">
        <f t="shared" si="31"/>
        <v>0</v>
      </c>
    </row>
    <row r="506" x14ac:dyDescent="0.35">
      <c r="A506" s="21" t="str">
        <v/>
      </c>
      <c r="B506" s="23" t="str">
        <v/>
      </c>
      <c r="C506" t="str">
        <v/>
      </c>
      <c r="D506" t="str">
        <v/>
      </c>
      <c r="E506" t="str">
        <v/>
      </c>
      <c r="F506" t="str">
        <v/>
      </c>
      <c r="G506" t="str">
        <v/>
      </c>
      <c r="H506" t="str">
        <v/>
      </c>
      <c r="I506" s="2" t="str">
        <v/>
      </c>
      <c r="J506" s="2" t="str">
        <v/>
      </c>
      <c r="K506" s="2" t="str">
        <v/>
      </c>
      <c r="L506" s="1" t="str">
        <v/>
      </c>
      <c r="M506" s="2" t="str">
        <v/>
      </c>
      <c r="N506" s="1" t="str">
        <v/>
      </c>
      <c r="O506" s="1" t="str">
        <v/>
      </c>
      <c r="P506" s="1" t="str">
        <v/>
      </c>
      <c r="Q506" s="1">
        <f t="shared" si="28"/>
        <v>0</v>
      </c>
      <c r="R506" s="1">
        <f t="shared" si="29"/>
        <v>0</v>
      </c>
      <c r="T506">
        <f t="shared" si="30"/>
        <v>0</v>
      </c>
      <c r="U506">
        <f t="shared" si="31"/>
        <v>0</v>
      </c>
    </row>
    <row r="507" x14ac:dyDescent="0.35">
      <c r="A507" s="21" t="str">
        <v/>
      </c>
      <c r="B507" s="23" t="str">
        <v/>
      </c>
      <c r="C507" t="str">
        <v/>
      </c>
      <c r="D507" t="str">
        <v/>
      </c>
      <c r="E507" t="str">
        <v/>
      </c>
      <c r="F507" t="str">
        <v/>
      </c>
      <c r="G507" t="str">
        <v/>
      </c>
      <c r="H507" t="str">
        <v/>
      </c>
      <c r="I507" s="2" t="str">
        <v/>
      </c>
      <c r="J507" s="2" t="str">
        <v/>
      </c>
      <c r="K507" s="2" t="str">
        <v/>
      </c>
      <c r="L507" s="1" t="str">
        <v/>
      </c>
      <c r="M507" s="2" t="str">
        <v/>
      </c>
      <c r="N507" s="1" t="str">
        <v/>
      </c>
      <c r="O507" s="1" t="str">
        <v/>
      </c>
      <c r="P507" s="1" t="str">
        <v/>
      </c>
      <c r="Q507" s="1">
        <f t="shared" si="28"/>
        <v>0</v>
      </c>
      <c r="R507" s="1">
        <f t="shared" si="29"/>
        <v>0</v>
      </c>
      <c r="T507">
        <f t="shared" si="30"/>
        <v>0</v>
      </c>
      <c r="U507">
        <f t="shared" si="31"/>
        <v>0</v>
      </c>
    </row>
    <row r="508" x14ac:dyDescent="0.35">
      <c r="A508" s="21" t="str">
        <v/>
      </c>
      <c r="B508" s="23" t="str">
        <v/>
      </c>
      <c r="C508" t="str">
        <v/>
      </c>
      <c r="D508" t="str">
        <v/>
      </c>
      <c r="E508" t="str">
        <v/>
      </c>
      <c r="F508" t="str">
        <v/>
      </c>
      <c r="G508" t="str">
        <v/>
      </c>
      <c r="H508" t="str">
        <v/>
      </c>
      <c r="I508" s="2" t="str">
        <v/>
      </c>
      <c r="J508" s="2" t="str">
        <v/>
      </c>
      <c r="K508" s="2" t="str">
        <v/>
      </c>
      <c r="L508" s="1" t="str">
        <v/>
      </c>
      <c r="M508" s="2" t="str">
        <v/>
      </c>
      <c r="N508" s="1" t="str">
        <v/>
      </c>
      <c r="O508" s="1" t="str">
        <v/>
      </c>
      <c r="P508" s="1" t="str">
        <v/>
      </c>
      <c r="Q508" s="1">
        <f t="shared" si="28"/>
        <v>0</v>
      </c>
      <c r="R508" s="1">
        <f t="shared" si="29"/>
        <v>0</v>
      </c>
      <c r="T508">
        <f t="shared" si="30"/>
        <v>0</v>
      </c>
      <c r="U508">
        <f t="shared" si="31"/>
        <v>0</v>
      </c>
    </row>
    <row r="509" x14ac:dyDescent="0.35">
      <c r="A509" s="21" t="str">
        <v/>
      </c>
      <c r="B509" s="23" t="str">
        <v/>
      </c>
      <c r="C509" t="str">
        <v/>
      </c>
      <c r="D509" t="str">
        <v/>
      </c>
      <c r="E509" t="str">
        <v/>
      </c>
      <c r="F509" t="str">
        <v/>
      </c>
      <c r="G509" t="str">
        <v/>
      </c>
      <c r="H509" t="str">
        <v/>
      </c>
      <c r="I509" s="2" t="str">
        <v/>
      </c>
      <c r="J509" s="2" t="str">
        <v/>
      </c>
      <c r="K509" s="2" t="str">
        <v/>
      </c>
      <c r="L509" s="1" t="str">
        <v/>
      </c>
      <c r="M509" s="2" t="str">
        <v/>
      </c>
      <c r="N509" s="1" t="str">
        <v/>
      </c>
      <c r="O509" s="1" t="str">
        <v/>
      </c>
      <c r="P509" s="1" t="str">
        <v/>
      </c>
      <c r="Q509" s="1">
        <f t="shared" si="28"/>
        <v>0</v>
      </c>
      <c r="R509" s="1">
        <f t="shared" si="29"/>
        <v>0</v>
      </c>
      <c r="T509">
        <f t="shared" si="30"/>
        <v>0</v>
      </c>
      <c r="U509">
        <f t="shared" si="31"/>
        <v>0</v>
      </c>
    </row>
    <row r="510" x14ac:dyDescent="0.35">
      <c r="A510" s="21" t="str">
        <v/>
      </c>
      <c r="B510" s="23" t="str">
        <v/>
      </c>
      <c r="C510" t="str">
        <v/>
      </c>
      <c r="D510" t="str">
        <v/>
      </c>
      <c r="E510" t="str">
        <v/>
      </c>
      <c r="F510" t="str">
        <v/>
      </c>
      <c r="G510" t="str">
        <v/>
      </c>
      <c r="H510" t="str">
        <v/>
      </c>
      <c r="I510" s="2" t="str">
        <v/>
      </c>
      <c r="J510" s="2" t="str">
        <v/>
      </c>
      <c r="K510" s="2" t="str">
        <v/>
      </c>
      <c r="L510" s="1" t="str">
        <v/>
      </c>
      <c r="M510" s="2" t="str">
        <v/>
      </c>
      <c r="N510" s="1" t="str">
        <v/>
      </c>
      <c r="O510" s="1" t="str">
        <v/>
      </c>
      <c r="P510" s="1" t="str">
        <v/>
      </c>
      <c r="Q510" s="1">
        <f t="shared" si="28"/>
        <v>0</v>
      </c>
      <c r="R510" s="1">
        <f t="shared" si="29"/>
        <v>0</v>
      </c>
      <c r="T510">
        <f t="shared" si="30"/>
        <v>0</v>
      </c>
      <c r="U510">
        <f t="shared" si="31"/>
        <v>0</v>
      </c>
    </row>
    <row r="511" x14ac:dyDescent="0.35">
      <c r="A511" s="21" t="str">
        <v/>
      </c>
      <c r="B511" s="23" t="str">
        <v/>
      </c>
      <c r="C511" t="str">
        <v/>
      </c>
      <c r="D511" t="str">
        <v/>
      </c>
      <c r="E511" t="str">
        <v/>
      </c>
      <c r="F511" t="str">
        <v/>
      </c>
      <c r="G511" t="str">
        <v/>
      </c>
      <c r="H511" t="str">
        <v/>
      </c>
      <c r="I511" s="2" t="str">
        <v/>
      </c>
      <c r="J511" s="2" t="str">
        <v/>
      </c>
      <c r="K511" s="2" t="str">
        <v/>
      </c>
      <c r="L511" s="1" t="str">
        <v/>
      </c>
      <c r="M511" s="2" t="str">
        <v/>
      </c>
      <c r="N511" s="1" t="str">
        <v/>
      </c>
      <c r="O511" s="1" t="str">
        <v/>
      </c>
      <c r="P511" s="1" t="str">
        <v/>
      </c>
      <c r="Q511" s="1">
        <f t="shared" si="28"/>
        <v>0</v>
      </c>
      <c r="R511" s="1">
        <f t="shared" si="29"/>
        <v>0</v>
      </c>
      <c r="T511">
        <f t="shared" si="30"/>
        <v>0</v>
      </c>
      <c r="U511">
        <f t="shared" si="31"/>
        <v>0</v>
      </c>
    </row>
    <row r="512" x14ac:dyDescent="0.35">
      <c r="A512" s="21" t="str">
        <v/>
      </c>
      <c r="B512" s="23" t="str">
        <v/>
      </c>
      <c r="C512" t="str">
        <v/>
      </c>
      <c r="D512" t="str">
        <v/>
      </c>
      <c r="E512" t="str">
        <v/>
      </c>
      <c r="F512" t="str">
        <v/>
      </c>
      <c r="G512" t="str">
        <v/>
      </c>
      <c r="H512" t="str">
        <v/>
      </c>
      <c r="I512" s="2" t="str">
        <v/>
      </c>
      <c r="J512" s="2" t="str">
        <v/>
      </c>
      <c r="K512" s="2" t="str">
        <v/>
      </c>
      <c r="L512" s="1" t="str">
        <v/>
      </c>
      <c r="M512" s="2" t="str">
        <v/>
      </c>
      <c r="N512" s="1" t="str">
        <v/>
      </c>
      <c r="O512" s="1" t="str">
        <v/>
      </c>
      <c r="P512" s="1" t="str">
        <v/>
      </c>
      <c r="Q512" s="1">
        <f t="shared" si="28"/>
        <v>0</v>
      </c>
      <c r="R512" s="1">
        <f t="shared" si="29"/>
        <v>0</v>
      </c>
      <c r="T512">
        <f t="shared" si="30"/>
        <v>0</v>
      </c>
      <c r="U512">
        <f t="shared" si="31"/>
        <v>0</v>
      </c>
    </row>
    <row r="513" x14ac:dyDescent="0.35">
      <c r="A513" s="21" t="str">
        <v/>
      </c>
      <c r="B513" s="23" t="str">
        <v/>
      </c>
      <c r="C513" t="str">
        <v/>
      </c>
      <c r="D513" t="str">
        <v/>
      </c>
      <c r="E513" t="str">
        <v/>
      </c>
      <c r="F513" t="str">
        <v/>
      </c>
      <c r="G513" t="str">
        <v/>
      </c>
      <c r="H513" t="str">
        <v/>
      </c>
      <c r="I513" s="2" t="str">
        <v/>
      </c>
      <c r="J513" s="2" t="str">
        <v/>
      </c>
      <c r="K513" s="2" t="str">
        <v/>
      </c>
      <c r="L513" s="1" t="str">
        <v/>
      </c>
      <c r="M513" s="2" t="str">
        <v/>
      </c>
      <c r="N513" s="1" t="str">
        <v/>
      </c>
      <c r="O513" s="1" t="str">
        <v/>
      </c>
      <c r="P513" s="1" t="str">
        <v/>
      </c>
      <c r="Q513" s="1">
        <f t="shared" si="28"/>
        <v>0</v>
      </c>
      <c r="R513" s="1">
        <f t="shared" si="29"/>
        <v>0</v>
      </c>
      <c r="T513">
        <f t="shared" si="30"/>
        <v>0</v>
      </c>
      <c r="U513">
        <f t="shared" si="31"/>
        <v>0</v>
      </c>
    </row>
    <row r="514" x14ac:dyDescent="0.35">
      <c r="A514" s="21" t="str">
        <v/>
      </c>
      <c r="B514" s="23" t="str">
        <v/>
      </c>
      <c r="C514" t="str">
        <v/>
      </c>
      <c r="D514" t="str">
        <v/>
      </c>
      <c r="E514" t="str">
        <v/>
      </c>
      <c r="F514" t="str">
        <v/>
      </c>
      <c r="G514" t="str">
        <v/>
      </c>
      <c r="H514" t="str">
        <v/>
      </c>
      <c r="I514" s="2" t="str">
        <v/>
      </c>
      <c r="J514" s="2" t="str">
        <v/>
      </c>
      <c r="K514" s="2" t="str">
        <v/>
      </c>
      <c r="L514" s="1" t="str">
        <v/>
      </c>
      <c r="M514" s="2" t="str">
        <v/>
      </c>
      <c r="N514" s="1" t="str">
        <v/>
      </c>
      <c r="O514" s="1" t="str">
        <v/>
      </c>
      <c r="P514" s="1" t="str">
        <v/>
      </c>
      <c r="Q514" s="1">
        <f t="shared" si="28"/>
        <v>0</v>
      </c>
      <c r="R514" s="1">
        <f t="shared" si="29"/>
        <v>0</v>
      </c>
      <c r="T514">
        <f t="shared" si="30"/>
        <v>0</v>
      </c>
      <c r="U514">
        <f t="shared" si="31"/>
        <v>0</v>
      </c>
    </row>
    <row r="515" x14ac:dyDescent="0.35">
      <c r="A515" s="21" t="str">
        <v/>
      </c>
      <c r="B515" s="23" t="str">
        <v/>
      </c>
      <c r="C515" t="str">
        <v/>
      </c>
      <c r="D515" t="str">
        <v/>
      </c>
      <c r="E515" t="str">
        <v/>
      </c>
      <c r="F515" t="str">
        <v/>
      </c>
      <c r="G515" t="str">
        <v/>
      </c>
      <c r="H515" t="str">
        <v/>
      </c>
      <c r="I515" s="2" t="str">
        <v/>
      </c>
      <c r="J515" s="2" t="str">
        <v/>
      </c>
      <c r="K515" s="2" t="str">
        <v/>
      </c>
      <c r="L515" s="1" t="str">
        <v/>
      </c>
      <c r="M515" s="2" t="str">
        <v/>
      </c>
      <c r="N515" s="1" t="str">
        <v/>
      </c>
      <c r="O515" s="1" t="str">
        <v/>
      </c>
      <c r="P515" s="1" t="str">
        <v/>
      </c>
      <c r="Q515" s="1">
        <f t="shared" ref="Q515:Q578" si="32">IF(H515="Sí",1,0)</f>
        <v>0</v>
      </c>
      <c r="R515" s="1">
        <f t="shared" ref="R515:R578" si="33">IF(L515="En coordinación",1,0)</f>
        <v>0</v>
      </c>
      <c r="T515">
        <f t="shared" ref="T515:T578" si="34">IF(N515="Sí",1,0)</f>
        <v>0</v>
      </c>
      <c r="U515">
        <f t="shared" ref="U515:U578" si="35">IF(L515="Aceptada",1,0)</f>
        <v>0</v>
      </c>
    </row>
    <row r="516" x14ac:dyDescent="0.35">
      <c r="A516" s="21" t="str">
        <v/>
      </c>
      <c r="B516" s="23" t="str">
        <v/>
      </c>
      <c r="C516" t="str">
        <v/>
      </c>
      <c r="D516" t="str">
        <v/>
      </c>
      <c r="E516" t="str">
        <v/>
      </c>
      <c r="F516" t="str">
        <v/>
      </c>
      <c r="G516" t="str">
        <v/>
      </c>
      <c r="H516" t="str">
        <v/>
      </c>
      <c r="I516" s="2" t="str">
        <v/>
      </c>
      <c r="J516" s="2" t="str">
        <v/>
      </c>
      <c r="K516" s="2" t="str">
        <v/>
      </c>
      <c r="L516" s="1" t="str">
        <v/>
      </c>
      <c r="M516" s="2" t="str">
        <v/>
      </c>
      <c r="N516" s="1" t="str">
        <v/>
      </c>
      <c r="O516" s="1" t="str">
        <v/>
      </c>
      <c r="P516" s="1" t="str">
        <v/>
      </c>
      <c r="Q516" s="1">
        <f t="shared" si="32"/>
        <v>0</v>
      </c>
      <c r="R516" s="1">
        <f t="shared" si="33"/>
        <v>0</v>
      </c>
      <c r="T516">
        <f t="shared" si="34"/>
        <v>0</v>
      </c>
      <c r="U516">
        <f t="shared" si="35"/>
        <v>0</v>
      </c>
    </row>
    <row r="517" x14ac:dyDescent="0.35">
      <c r="A517" s="21" t="str">
        <v/>
      </c>
      <c r="B517" s="23" t="str">
        <v/>
      </c>
      <c r="C517" t="str">
        <v/>
      </c>
      <c r="D517" t="str">
        <v/>
      </c>
      <c r="E517" t="str">
        <v/>
      </c>
      <c r="F517" t="str">
        <v/>
      </c>
      <c r="G517" t="str">
        <v/>
      </c>
      <c r="H517" t="str">
        <v/>
      </c>
      <c r="I517" s="2" t="str">
        <v/>
      </c>
      <c r="J517" s="2" t="str">
        <v/>
      </c>
      <c r="K517" s="2" t="str">
        <v/>
      </c>
      <c r="L517" s="1" t="str">
        <v/>
      </c>
      <c r="M517" s="2" t="str">
        <v/>
      </c>
      <c r="N517" s="1" t="str">
        <v/>
      </c>
      <c r="O517" s="1" t="str">
        <v/>
      </c>
      <c r="P517" s="1" t="str">
        <v/>
      </c>
      <c r="Q517" s="1">
        <f t="shared" si="32"/>
        <v>0</v>
      </c>
      <c r="R517" s="1">
        <f t="shared" si="33"/>
        <v>0</v>
      </c>
      <c r="T517">
        <f t="shared" si="34"/>
        <v>0</v>
      </c>
      <c r="U517">
        <f t="shared" si="35"/>
        <v>0</v>
      </c>
    </row>
    <row r="518" x14ac:dyDescent="0.35">
      <c r="A518" s="21" t="str">
        <v/>
      </c>
      <c r="B518" s="23" t="str">
        <v/>
      </c>
      <c r="C518" t="str">
        <v/>
      </c>
      <c r="D518" t="str">
        <v/>
      </c>
      <c r="E518" t="str">
        <v/>
      </c>
      <c r="F518" t="str">
        <v/>
      </c>
      <c r="G518" t="str">
        <v/>
      </c>
      <c r="H518" t="str">
        <v/>
      </c>
      <c r="I518" s="2" t="str">
        <v/>
      </c>
      <c r="J518" s="2" t="str">
        <v/>
      </c>
      <c r="K518" s="2" t="str">
        <v/>
      </c>
      <c r="L518" s="1" t="str">
        <v/>
      </c>
      <c r="M518" s="2" t="str">
        <v/>
      </c>
      <c r="N518" s="1" t="str">
        <v/>
      </c>
      <c r="O518" s="1" t="str">
        <v/>
      </c>
      <c r="P518" s="1" t="str">
        <v/>
      </c>
      <c r="Q518" s="1">
        <f t="shared" si="32"/>
        <v>0</v>
      </c>
      <c r="R518" s="1">
        <f t="shared" si="33"/>
        <v>0</v>
      </c>
      <c r="T518">
        <f t="shared" si="34"/>
        <v>0</v>
      </c>
      <c r="U518">
        <f t="shared" si="35"/>
        <v>0</v>
      </c>
    </row>
    <row r="519" x14ac:dyDescent="0.35">
      <c r="A519" s="21" t="str">
        <v/>
      </c>
      <c r="B519" s="23" t="str">
        <v/>
      </c>
      <c r="C519" t="str">
        <v/>
      </c>
      <c r="D519" t="str">
        <v/>
      </c>
      <c r="E519" t="str">
        <v/>
      </c>
      <c r="F519" t="str">
        <v/>
      </c>
      <c r="G519" t="str">
        <v/>
      </c>
      <c r="H519" t="str">
        <v/>
      </c>
      <c r="I519" s="2" t="str">
        <v/>
      </c>
      <c r="J519" s="2" t="str">
        <v/>
      </c>
      <c r="K519" s="2" t="str">
        <v/>
      </c>
      <c r="L519" s="1" t="str">
        <v/>
      </c>
      <c r="M519" s="2" t="str">
        <v/>
      </c>
      <c r="N519" s="1" t="str">
        <v/>
      </c>
      <c r="O519" s="1" t="str">
        <v/>
      </c>
      <c r="P519" s="1" t="str">
        <v/>
      </c>
      <c r="Q519" s="1">
        <f t="shared" si="32"/>
        <v>0</v>
      </c>
      <c r="R519" s="1">
        <f t="shared" si="33"/>
        <v>0</v>
      </c>
      <c r="T519">
        <f t="shared" si="34"/>
        <v>0</v>
      </c>
      <c r="U519">
        <f t="shared" si="35"/>
        <v>0</v>
      </c>
    </row>
    <row r="520" x14ac:dyDescent="0.35">
      <c r="A520" s="21" t="str">
        <v/>
      </c>
      <c r="B520" s="23" t="str">
        <v/>
      </c>
      <c r="C520" t="str">
        <v/>
      </c>
      <c r="D520" t="str">
        <v/>
      </c>
      <c r="E520" t="str">
        <v/>
      </c>
      <c r="F520" t="str">
        <v/>
      </c>
      <c r="G520" t="str">
        <v/>
      </c>
      <c r="H520" t="str">
        <v/>
      </c>
      <c r="I520" s="2" t="str">
        <v/>
      </c>
      <c r="J520" s="2" t="str">
        <v/>
      </c>
      <c r="K520" s="2" t="str">
        <v/>
      </c>
      <c r="L520" s="1" t="str">
        <v/>
      </c>
      <c r="M520" s="2" t="str">
        <v/>
      </c>
      <c r="N520" s="1" t="str">
        <v/>
      </c>
      <c r="O520" s="1" t="str">
        <v/>
      </c>
      <c r="P520" s="1" t="str">
        <v/>
      </c>
      <c r="Q520" s="1">
        <f t="shared" si="32"/>
        <v>0</v>
      </c>
      <c r="R520" s="1">
        <f t="shared" si="33"/>
        <v>0</v>
      </c>
      <c r="T520">
        <f t="shared" si="34"/>
        <v>0</v>
      </c>
      <c r="U520">
        <f t="shared" si="35"/>
        <v>0</v>
      </c>
    </row>
    <row r="521" x14ac:dyDescent="0.35">
      <c r="A521" s="21" t="str">
        <v/>
      </c>
      <c r="B521" s="23" t="str">
        <v/>
      </c>
      <c r="C521" t="str">
        <v/>
      </c>
      <c r="D521" t="str">
        <v/>
      </c>
      <c r="E521" t="str">
        <v/>
      </c>
      <c r="F521" t="str">
        <v/>
      </c>
      <c r="G521" t="str">
        <v/>
      </c>
      <c r="H521" t="str">
        <v/>
      </c>
      <c r="I521" s="2" t="str">
        <v/>
      </c>
      <c r="J521" s="2" t="str">
        <v/>
      </c>
      <c r="K521" s="2" t="str">
        <v/>
      </c>
      <c r="L521" s="1" t="str">
        <v/>
      </c>
      <c r="M521" s="2" t="str">
        <v/>
      </c>
      <c r="N521" s="1" t="str">
        <v/>
      </c>
      <c r="O521" s="1" t="str">
        <v/>
      </c>
      <c r="P521" s="1" t="str">
        <v/>
      </c>
      <c r="Q521" s="1">
        <f t="shared" si="32"/>
        <v>0</v>
      </c>
      <c r="R521" s="1">
        <f t="shared" si="33"/>
        <v>0</v>
      </c>
      <c r="T521">
        <f t="shared" si="34"/>
        <v>0</v>
      </c>
      <c r="U521">
        <f t="shared" si="35"/>
        <v>0</v>
      </c>
    </row>
    <row r="522" x14ac:dyDescent="0.35">
      <c r="A522" s="21" t="str">
        <v/>
      </c>
      <c r="B522" s="23" t="str">
        <v/>
      </c>
      <c r="C522" t="str">
        <v/>
      </c>
      <c r="D522" t="str">
        <v/>
      </c>
      <c r="E522" t="str">
        <v/>
      </c>
      <c r="F522" t="str">
        <v/>
      </c>
      <c r="G522" t="str">
        <v/>
      </c>
      <c r="H522" t="str">
        <v/>
      </c>
      <c r="I522" s="2" t="str">
        <v/>
      </c>
      <c r="J522" s="2" t="str">
        <v/>
      </c>
      <c r="K522" s="2" t="str">
        <v/>
      </c>
      <c r="L522" s="1" t="str">
        <v/>
      </c>
      <c r="M522" s="2" t="str">
        <v/>
      </c>
      <c r="N522" s="1" t="str">
        <v/>
      </c>
      <c r="O522" s="1" t="str">
        <v/>
      </c>
      <c r="P522" s="1" t="str">
        <v/>
      </c>
      <c r="Q522" s="1">
        <f t="shared" si="32"/>
        <v>0</v>
      </c>
      <c r="R522" s="1">
        <f t="shared" si="33"/>
        <v>0</v>
      </c>
      <c r="T522">
        <f t="shared" si="34"/>
        <v>0</v>
      </c>
      <c r="U522">
        <f t="shared" si="35"/>
        <v>0</v>
      </c>
    </row>
    <row r="523" x14ac:dyDescent="0.35">
      <c r="A523" s="21" t="str">
        <v/>
      </c>
      <c r="B523" s="23" t="str">
        <v/>
      </c>
      <c r="C523" t="str">
        <v/>
      </c>
      <c r="D523" t="str">
        <v/>
      </c>
      <c r="E523" t="str">
        <v/>
      </c>
      <c r="F523" t="str">
        <v/>
      </c>
      <c r="G523" t="str">
        <v/>
      </c>
      <c r="H523" t="str">
        <v/>
      </c>
      <c r="I523" s="2" t="str">
        <v/>
      </c>
      <c r="J523" s="2" t="str">
        <v/>
      </c>
      <c r="K523" s="2" t="str">
        <v/>
      </c>
      <c r="L523" s="1" t="str">
        <v/>
      </c>
      <c r="M523" s="2" t="str">
        <v/>
      </c>
      <c r="N523" s="1" t="str">
        <v/>
      </c>
      <c r="O523" s="1" t="str">
        <v/>
      </c>
      <c r="P523" s="1" t="str">
        <v/>
      </c>
      <c r="Q523" s="1">
        <f t="shared" si="32"/>
        <v>0</v>
      </c>
      <c r="R523" s="1">
        <f t="shared" si="33"/>
        <v>0</v>
      </c>
      <c r="T523">
        <f t="shared" si="34"/>
        <v>0</v>
      </c>
      <c r="U523">
        <f t="shared" si="35"/>
        <v>0</v>
      </c>
    </row>
    <row r="524" x14ac:dyDescent="0.35">
      <c r="A524" s="21" t="str">
        <v/>
      </c>
      <c r="B524" s="23" t="str">
        <v/>
      </c>
      <c r="C524" t="str">
        <v/>
      </c>
      <c r="D524" t="str">
        <v/>
      </c>
      <c r="E524" t="str">
        <v/>
      </c>
      <c r="F524" t="str">
        <v/>
      </c>
      <c r="G524" t="str">
        <v/>
      </c>
      <c r="H524" t="str">
        <v/>
      </c>
      <c r="I524" s="2" t="str">
        <v/>
      </c>
      <c r="J524" s="2" t="str">
        <v/>
      </c>
      <c r="K524" s="2" t="str">
        <v/>
      </c>
      <c r="L524" s="1" t="str">
        <v/>
      </c>
      <c r="M524" s="2" t="str">
        <v/>
      </c>
      <c r="N524" s="1" t="str">
        <v/>
      </c>
      <c r="O524" s="1" t="str">
        <v/>
      </c>
      <c r="P524" s="1" t="str">
        <v/>
      </c>
      <c r="Q524" s="1">
        <f t="shared" si="32"/>
        <v>0</v>
      </c>
      <c r="R524" s="1">
        <f t="shared" si="33"/>
        <v>0</v>
      </c>
      <c r="T524">
        <f t="shared" si="34"/>
        <v>0</v>
      </c>
      <c r="U524">
        <f t="shared" si="35"/>
        <v>0</v>
      </c>
    </row>
    <row r="525" x14ac:dyDescent="0.35">
      <c r="A525" s="21" t="str">
        <v/>
      </c>
      <c r="B525" s="23" t="str">
        <v/>
      </c>
      <c r="C525" t="str">
        <v/>
      </c>
      <c r="D525" t="str">
        <v/>
      </c>
      <c r="E525" t="str">
        <v/>
      </c>
      <c r="F525" t="str">
        <v/>
      </c>
      <c r="G525" t="str">
        <v/>
      </c>
      <c r="H525" t="str">
        <v/>
      </c>
      <c r="I525" s="2" t="str">
        <v/>
      </c>
      <c r="J525" s="2" t="str">
        <v/>
      </c>
      <c r="K525" s="2" t="str">
        <v/>
      </c>
      <c r="L525" s="1" t="str">
        <v/>
      </c>
      <c r="M525" s="2" t="str">
        <v/>
      </c>
      <c r="N525" s="1" t="str">
        <v/>
      </c>
      <c r="O525" s="1" t="str">
        <v/>
      </c>
      <c r="P525" s="1" t="str">
        <v/>
      </c>
      <c r="Q525" s="1">
        <f t="shared" si="32"/>
        <v>0</v>
      </c>
      <c r="R525" s="1">
        <f t="shared" si="33"/>
        <v>0</v>
      </c>
      <c r="T525">
        <f t="shared" si="34"/>
        <v>0</v>
      </c>
      <c r="U525">
        <f t="shared" si="35"/>
        <v>0</v>
      </c>
    </row>
    <row r="526" x14ac:dyDescent="0.35">
      <c r="A526" s="21" t="str">
        <v/>
      </c>
      <c r="B526" s="23" t="str">
        <v/>
      </c>
      <c r="C526" t="str">
        <v/>
      </c>
      <c r="D526" t="str">
        <v/>
      </c>
      <c r="E526" t="str">
        <v/>
      </c>
      <c r="F526" t="str">
        <v/>
      </c>
      <c r="G526" t="str">
        <v/>
      </c>
      <c r="H526" t="str">
        <v/>
      </c>
      <c r="I526" s="2" t="str">
        <v/>
      </c>
      <c r="J526" s="2" t="str">
        <v/>
      </c>
      <c r="K526" s="2" t="str">
        <v/>
      </c>
      <c r="L526" s="1" t="str">
        <v/>
      </c>
      <c r="M526" s="2" t="str">
        <v/>
      </c>
      <c r="N526" s="1" t="str">
        <v/>
      </c>
      <c r="O526" s="1" t="str">
        <v/>
      </c>
      <c r="P526" s="1" t="str">
        <v/>
      </c>
      <c r="Q526" s="1">
        <f t="shared" si="32"/>
        <v>0</v>
      </c>
      <c r="R526" s="1">
        <f t="shared" si="33"/>
        <v>0</v>
      </c>
      <c r="T526">
        <f t="shared" si="34"/>
        <v>0</v>
      </c>
      <c r="U526">
        <f t="shared" si="35"/>
        <v>0</v>
      </c>
    </row>
    <row r="527" x14ac:dyDescent="0.35">
      <c r="A527" s="21" t="str">
        <v/>
      </c>
      <c r="B527" s="23" t="str">
        <v/>
      </c>
      <c r="C527" t="str">
        <v/>
      </c>
      <c r="D527" t="str">
        <v/>
      </c>
      <c r="E527" t="str">
        <v/>
      </c>
      <c r="F527" t="str">
        <v/>
      </c>
      <c r="G527" t="str">
        <v/>
      </c>
      <c r="H527" t="str">
        <v/>
      </c>
      <c r="I527" s="2" t="str">
        <v/>
      </c>
      <c r="J527" s="2" t="str">
        <v/>
      </c>
      <c r="K527" s="2" t="str">
        <v/>
      </c>
      <c r="L527" s="1" t="str">
        <v/>
      </c>
      <c r="M527" s="2" t="str">
        <v/>
      </c>
      <c r="N527" s="1" t="str">
        <v/>
      </c>
      <c r="O527" s="1" t="str">
        <v/>
      </c>
      <c r="P527" s="1" t="str">
        <v/>
      </c>
      <c r="Q527" s="1">
        <f t="shared" si="32"/>
        <v>0</v>
      </c>
      <c r="R527" s="1">
        <f t="shared" si="33"/>
        <v>0</v>
      </c>
      <c r="T527">
        <f t="shared" si="34"/>
        <v>0</v>
      </c>
      <c r="U527">
        <f t="shared" si="35"/>
        <v>0</v>
      </c>
    </row>
    <row r="528" x14ac:dyDescent="0.35">
      <c r="A528" s="21" t="str">
        <v/>
      </c>
      <c r="B528" s="23" t="str">
        <v/>
      </c>
      <c r="C528" t="str">
        <v/>
      </c>
      <c r="D528" t="str">
        <v/>
      </c>
      <c r="E528" t="str">
        <v/>
      </c>
      <c r="F528" t="str">
        <v/>
      </c>
      <c r="G528" t="str">
        <v/>
      </c>
      <c r="H528" t="str">
        <v/>
      </c>
      <c r="I528" s="2" t="str">
        <v/>
      </c>
      <c r="J528" s="2" t="str">
        <v/>
      </c>
      <c r="K528" s="2" t="str">
        <v/>
      </c>
      <c r="L528" s="1" t="str">
        <v/>
      </c>
      <c r="M528" s="2" t="str">
        <v/>
      </c>
      <c r="N528" s="1" t="str">
        <v/>
      </c>
      <c r="O528" s="1" t="str">
        <v/>
      </c>
      <c r="P528" s="1" t="str">
        <v/>
      </c>
      <c r="Q528" s="1">
        <f t="shared" si="32"/>
        <v>0</v>
      </c>
      <c r="R528" s="1">
        <f t="shared" si="33"/>
        <v>0</v>
      </c>
      <c r="T528">
        <f t="shared" si="34"/>
        <v>0</v>
      </c>
      <c r="U528">
        <f t="shared" si="35"/>
        <v>0</v>
      </c>
    </row>
    <row r="529" x14ac:dyDescent="0.35">
      <c r="A529" s="21" t="str">
        <v/>
      </c>
      <c r="B529" s="23" t="str">
        <v/>
      </c>
      <c r="C529" t="str">
        <v/>
      </c>
      <c r="D529" t="str">
        <v/>
      </c>
      <c r="E529" t="str">
        <v/>
      </c>
      <c r="F529" t="str">
        <v/>
      </c>
      <c r="G529" t="str">
        <v/>
      </c>
      <c r="H529" t="str">
        <v/>
      </c>
      <c r="I529" s="2" t="str">
        <v/>
      </c>
      <c r="J529" s="2" t="str">
        <v/>
      </c>
      <c r="K529" s="2" t="str">
        <v/>
      </c>
      <c r="L529" s="1" t="str">
        <v/>
      </c>
      <c r="M529" s="2" t="str">
        <v/>
      </c>
      <c r="N529" s="1" t="str">
        <v/>
      </c>
      <c r="O529" s="1" t="str">
        <v/>
      </c>
      <c r="P529" s="1" t="str">
        <v/>
      </c>
      <c r="Q529" s="1">
        <f t="shared" si="32"/>
        <v>0</v>
      </c>
      <c r="R529" s="1">
        <f t="shared" si="33"/>
        <v>0</v>
      </c>
      <c r="T529">
        <f t="shared" si="34"/>
        <v>0</v>
      </c>
      <c r="U529">
        <f t="shared" si="35"/>
        <v>0</v>
      </c>
    </row>
    <row r="530" x14ac:dyDescent="0.35">
      <c r="A530" s="21" t="str">
        <v/>
      </c>
      <c r="B530" s="23" t="str">
        <v/>
      </c>
      <c r="C530" t="str">
        <v/>
      </c>
      <c r="D530" t="str">
        <v/>
      </c>
      <c r="E530" t="str">
        <v/>
      </c>
      <c r="F530" t="str">
        <v/>
      </c>
      <c r="G530" t="str">
        <v/>
      </c>
      <c r="H530" t="str">
        <v/>
      </c>
      <c r="I530" s="2" t="str">
        <v/>
      </c>
      <c r="J530" s="2" t="str">
        <v/>
      </c>
      <c r="K530" s="2" t="str">
        <v/>
      </c>
      <c r="L530" s="1" t="str">
        <v/>
      </c>
      <c r="M530" s="2" t="str">
        <v/>
      </c>
      <c r="N530" s="1" t="str">
        <v/>
      </c>
      <c r="O530" s="1" t="str">
        <v/>
      </c>
      <c r="P530" s="1" t="str">
        <v/>
      </c>
      <c r="Q530" s="1">
        <f t="shared" si="32"/>
        <v>0</v>
      </c>
      <c r="R530" s="1">
        <f t="shared" si="33"/>
        <v>0</v>
      </c>
      <c r="T530">
        <f t="shared" si="34"/>
        <v>0</v>
      </c>
      <c r="U530">
        <f t="shared" si="35"/>
        <v>0</v>
      </c>
    </row>
    <row r="531" x14ac:dyDescent="0.35">
      <c r="A531" s="21" t="str">
        <v/>
      </c>
      <c r="B531" s="23" t="str">
        <v/>
      </c>
      <c r="C531" t="str">
        <v/>
      </c>
      <c r="D531" t="str">
        <v/>
      </c>
      <c r="E531" t="str">
        <v/>
      </c>
      <c r="F531" t="str">
        <v/>
      </c>
      <c r="G531" t="str">
        <v/>
      </c>
      <c r="H531" t="str">
        <v/>
      </c>
      <c r="I531" s="2" t="str">
        <v/>
      </c>
      <c r="J531" s="2" t="str">
        <v/>
      </c>
      <c r="K531" s="2" t="str">
        <v/>
      </c>
      <c r="L531" s="1" t="str">
        <v/>
      </c>
      <c r="M531" s="2" t="str">
        <v/>
      </c>
      <c r="N531" s="1" t="str">
        <v/>
      </c>
      <c r="O531" s="1" t="str">
        <v/>
      </c>
      <c r="P531" s="1" t="str">
        <v/>
      </c>
      <c r="Q531" s="1">
        <f t="shared" si="32"/>
        <v>0</v>
      </c>
      <c r="R531" s="1">
        <f t="shared" si="33"/>
        <v>0</v>
      </c>
      <c r="T531">
        <f t="shared" si="34"/>
        <v>0</v>
      </c>
      <c r="U531">
        <f t="shared" si="35"/>
        <v>0</v>
      </c>
    </row>
    <row r="532" x14ac:dyDescent="0.35">
      <c r="A532" s="21" t="str">
        <v/>
      </c>
      <c r="B532" s="23" t="str">
        <v/>
      </c>
      <c r="C532" t="str">
        <v/>
      </c>
      <c r="D532" t="str">
        <v/>
      </c>
      <c r="E532" t="str">
        <v/>
      </c>
      <c r="F532" t="str">
        <v/>
      </c>
      <c r="G532" t="str">
        <v/>
      </c>
      <c r="H532" t="str">
        <v/>
      </c>
      <c r="I532" s="2" t="str">
        <v/>
      </c>
      <c r="J532" s="2" t="str">
        <v/>
      </c>
      <c r="K532" s="2" t="str">
        <v/>
      </c>
      <c r="L532" s="1" t="str">
        <v/>
      </c>
      <c r="M532" s="2" t="str">
        <v/>
      </c>
      <c r="N532" s="1" t="str">
        <v/>
      </c>
      <c r="O532" s="1" t="str">
        <v/>
      </c>
      <c r="P532" s="1" t="str">
        <v/>
      </c>
      <c r="Q532" s="1">
        <f t="shared" si="32"/>
        <v>0</v>
      </c>
      <c r="R532" s="1">
        <f t="shared" si="33"/>
        <v>0</v>
      </c>
      <c r="T532">
        <f t="shared" si="34"/>
        <v>0</v>
      </c>
      <c r="U532">
        <f t="shared" si="35"/>
        <v>0</v>
      </c>
    </row>
    <row r="533" x14ac:dyDescent="0.35">
      <c r="A533" s="21" t="str">
        <v/>
      </c>
      <c r="B533" s="23" t="str">
        <v/>
      </c>
      <c r="C533" t="str">
        <v/>
      </c>
      <c r="D533" t="str">
        <v/>
      </c>
      <c r="E533" t="str">
        <v/>
      </c>
      <c r="F533" t="str">
        <v/>
      </c>
      <c r="G533" t="str">
        <v/>
      </c>
      <c r="H533" t="str">
        <v/>
      </c>
      <c r="I533" s="2" t="str">
        <v/>
      </c>
      <c r="J533" s="2" t="str">
        <v/>
      </c>
      <c r="K533" s="2" t="str">
        <v/>
      </c>
      <c r="L533" s="1" t="str">
        <v/>
      </c>
      <c r="M533" s="2" t="str">
        <v/>
      </c>
      <c r="N533" s="1" t="str">
        <v/>
      </c>
      <c r="O533" s="1" t="str">
        <v/>
      </c>
      <c r="P533" s="1" t="str">
        <v/>
      </c>
      <c r="Q533" s="1">
        <f t="shared" si="32"/>
        <v>0</v>
      </c>
      <c r="R533" s="1">
        <f t="shared" si="33"/>
        <v>0</v>
      </c>
      <c r="T533">
        <f t="shared" si="34"/>
        <v>0</v>
      </c>
      <c r="U533">
        <f t="shared" si="35"/>
        <v>0</v>
      </c>
    </row>
    <row r="534" x14ac:dyDescent="0.35">
      <c r="A534" s="21" t="str">
        <v/>
      </c>
      <c r="B534" s="23" t="str">
        <v/>
      </c>
      <c r="C534" t="str">
        <v/>
      </c>
      <c r="D534" t="str">
        <v/>
      </c>
      <c r="E534" t="str">
        <v/>
      </c>
      <c r="F534" t="str">
        <v/>
      </c>
      <c r="G534" t="str">
        <v/>
      </c>
      <c r="H534" t="str">
        <v/>
      </c>
      <c r="I534" s="2" t="str">
        <v/>
      </c>
      <c r="J534" s="2" t="str">
        <v/>
      </c>
      <c r="K534" s="2" t="str">
        <v/>
      </c>
      <c r="L534" s="1" t="str">
        <v/>
      </c>
      <c r="M534" s="2" t="str">
        <v/>
      </c>
      <c r="N534" s="1" t="str">
        <v/>
      </c>
      <c r="O534" s="1" t="str">
        <v/>
      </c>
      <c r="P534" s="1" t="str">
        <v/>
      </c>
      <c r="Q534" s="1">
        <f t="shared" si="32"/>
        <v>0</v>
      </c>
      <c r="R534" s="1">
        <f t="shared" si="33"/>
        <v>0</v>
      </c>
      <c r="T534">
        <f t="shared" si="34"/>
        <v>0</v>
      </c>
      <c r="U534">
        <f t="shared" si="35"/>
        <v>0</v>
      </c>
    </row>
    <row r="535" x14ac:dyDescent="0.35">
      <c r="A535" s="21" t="str">
        <v/>
      </c>
      <c r="B535" s="23" t="str">
        <v/>
      </c>
      <c r="C535" t="str">
        <v/>
      </c>
      <c r="D535" t="str">
        <v/>
      </c>
      <c r="E535" t="str">
        <v/>
      </c>
      <c r="F535" t="str">
        <v/>
      </c>
      <c r="G535" t="str">
        <v/>
      </c>
      <c r="H535" t="str">
        <v/>
      </c>
      <c r="I535" s="2" t="str">
        <v/>
      </c>
      <c r="J535" s="2" t="str">
        <v/>
      </c>
      <c r="K535" s="2" t="str">
        <v/>
      </c>
      <c r="L535" s="1" t="str">
        <v/>
      </c>
      <c r="M535" s="2" t="str">
        <v/>
      </c>
      <c r="N535" s="1" t="str">
        <v/>
      </c>
      <c r="O535" s="1" t="str">
        <v/>
      </c>
      <c r="P535" s="1" t="str">
        <v/>
      </c>
      <c r="Q535" s="1">
        <f t="shared" si="32"/>
        <v>0</v>
      </c>
      <c r="R535" s="1">
        <f t="shared" si="33"/>
        <v>0</v>
      </c>
      <c r="T535">
        <f t="shared" si="34"/>
        <v>0</v>
      </c>
      <c r="U535">
        <f t="shared" si="35"/>
        <v>0</v>
      </c>
    </row>
    <row r="536" x14ac:dyDescent="0.35">
      <c r="A536" s="21" t="str">
        <v/>
      </c>
      <c r="B536" s="23" t="str">
        <v/>
      </c>
      <c r="C536" t="str">
        <v/>
      </c>
      <c r="D536" t="str">
        <v/>
      </c>
      <c r="E536" t="str">
        <v/>
      </c>
      <c r="F536" t="str">
        <v/>
      </c>
      <c r="G536" t="str">
        <v/>
      </c>
      <c r="H536" t="str">
        <v/>
      </c>
      <c r="I536" s="2" t="str">
        <v/>
      </c>
      <c r="J536" s="2" t="str">
        <v/>
      </c>
      <c r="K536" s="2" t="str">
        <v/>
      </c>
      <c r="L536" s="1" t="str">
        <v/>
      </c>
      <c r="M536" s="2" t="str">
        <v/>
      </c>
      <c r="N536" s="1" t="str">
        <v/>
      </c>
      <c r="O536" s="1" t="str">
        <v/>
      </c>
      <c r="P536" s="1" t="str">
        <v/>
      </c>
      <c r="Q536" s="1">
        <f t="shared" si="32"/>
        <v>0</v>
      </c>
      <c r="R536" s="1">
        <f t="shared" si="33"/>
        <v>0</v>
      </c>
      <c r="T536">
        <f t="shared" si="34"/>
        <v>0</v>
      </c>
      <c r="U536">
        <f t="shared" si="35"/>
        <v>0</v>
      </c>
    </row>
    <row r="537" x14ac:dyDescent="0.35">
      <c r="A537" s="21" t="str">
        <v/>
      </c>
      <c r="B537" s="23" t="str">
        <v/>
      </c>
      <c r="C537" t="str">
        <v/>
      </c>
      <c r="D537" t="str">
        <v/>
      </c>
      <c r="E537" t="str">
        <v/>
      </c>
      <c r="F537" t="str">
        <v/>
      </c>
      <c r="G537" t="str">
        <v/>
      </c>
      <c r="H537" t="str">
        <v/>
      </c>
      <c r="I537" s="2" t="str">
        <v/>
      </c>
      <c r="J537" s="2" t="str">
        <v/>
      </c>
      <c r="K537" s="2" t="str">
        <v/>
      </c>
      <c r="L537" s="1" t="str">
        <v/>
      </c>
      <c r="M537" s="2" t="str">
        <v/>
      </c>
      <c r="N537" s="1" t="str">
        <v/>
      </c>
      <c r="O537" s="1" t="str">
        <v/>
      </c>
      <c r="P537" s="1" t="str">
        <v/>
      </c>
      <c r="Q537" s="1">
        <f t="shared" si="32"/>
        <v>0</v>
      </c>
      <c r="R537" s="1">
        <f t="shared" si="33"/>
        <v>0</v>
      </c>
      <c r="T537">
        <f t="shared" si="34"/>
        <v>0</v>
      </c>
      <c r="U537">
        <f t="shared" si="35"/>
        <v>0</v>
      </c>
    </row>
    <row r="538" x14ac:dyDescent="0.35">
      <c r="A538" s="21" t="str">
        <v/>
      </c>
      <c r="B538" s="23" t="str">
        <v/>
      </c>
      <c r="C538" t="str">
        <v/>
      </c>
      <c r="D538" t="str">
        <v/>
      </c>
      <c r="E538" t="str">
        <v/>
      </c>
      <c r="F538" t="str">
        <v/>
      </c>
      <c r="G538" t="str">
        <v/>
      </c>
      <c r="H538" t="str">
        <v/>
      </c>
      <c r="I538" s="2" t="str">
        <v/>
      </c>
      <c r="J538" s="2" t="str">
        <v/>
      </c>
      <c r="K538" s="2" t="str">
        <v/>
      </c>
      <c r="L538" s="1" t="str">
        <v/>
      </c>
      <c r="M538" s="2" t="str">
        <v/>
      </c>
      <c r="N538" s="1" t="str">
        <v/>
      </c>
      <c r="O538" s="1" t="str">
        <v/>
      </c>
      <c r="P538" s="1" t="str">
        <v/>
      </c>
      <c r="Q538" s="1">
        <f t="shared" si="32"/>
        <v>0</v>
      </c>
      <c r="R538" s="1">
        <f t="shared" si="33"/>
        <v>0</v>
      </c>
      <c r="T538">
        <f t="shared" si="34"/>
        <v>0</v>
      </c>
      <c r="U538">
        <f t="shared" si="35"/>
        <v>0</v>
      </c>
    </row>
    <row r="539" x14ac:dyDescent="0.35">
      <c r="A539" s="21" t="str">
        <v/>
      </c>
      <c r="B539" s="23" t="str">
        <v/>
      </c>
      <c r="C539" t="str">
        <v/>
      </c>
      <c r="D539" t="str">
        <v/>
      </c>
      <c r="E539" t="str">
        <v/>
      </c>
      <c r="F539" t="str">
        <v/>
      </c>
      <c r="G539" t="str">
        <v/>
      </c>
      <c r="H539" t="str">
        <v/>
      </c>
      <c r="I539" s="2" t="str">
        <v/>
      </c>
      <c r="J539" s="2" t="str">
        <v/>
      </c>
      <c r="K539" s="2" t="str">
        <v/>
      </c>
      <c r="L539" s="1" t="str">
        <v/>
      </c>
      <c r="M539" s="2" t="str">
        <v/>
      </c>
      <c r="N539" s="1" t="str">
        <v/>
      </c>
      <c r="O539" s="1" t="str">
        <v/>
      </c>
      <c r="P539" s="1" t="str">
        <v/>
      </c>
      <c r="Q539" s="1">
        <f t="shared" si="32"/>
        <v>0</v>
      </c>
      <c r="R539" s="1">
        <f t="shared" si="33"/>
        <v>0</v>
      </c>
      <c r="T539">
        <f t="shared" si="34"/>
        <v>0</v>
      </c>
      <c r="U539">
        <f t="shared" si="35"/>
        <v>0</v>
      </c>
    </row>
    <row r="540" x14ac:dyDescent="0.35">
      <c r="A540" s="21" t="str">
        <v/>
      </c>
      <c r="B540" s="23" t="str">
        <v/>
      </c>
      <c r="C540" t="str">
        <v/>
      </c>
      <c r="D540" t="str">
        <v/>
      </c>
      <c r="E540" t="str">
        <v/>
      </c>
      <c r="F540" t="str">
        <v/>
      </c>
      <c r="G540" t="str">
        <v/>
      </c>
      <c r="H540" t="str">
        <v/>
      </c>
      <c r="I540" s="2" t="str">
        <v/>
      </c>
      <c r="J540" s="2" t="str">
        <v/>
      </c>
      <c r="K540" s="2" t="str">
        <v/>
      </c>
      <c r="L540" s="1" t="str">
        <v/>
      </c>
      <c r="M540" s="2" t="str">
        <v/>
      </c>
      <c r="N540" s="1" t="str">
        <v/>
      </c>
      <c r="O540" s="1" t="str">
        <v/>
      </c>
      <c r="P540" s="1" t="str">
        <v/>
      </c>
      <c r="Q540" s="1">
        <f t="shared" si="32"/>
        <v>0</v>
      </c>
      <c r="R540" s="1">
        <f t="shared" si="33"/>
        <v>0</v>
      </c>
      <c r="T540">
        <f t="shared" si="34"/>
        <v>0</v>
      </c>
      <c r="U540">
        <f t="shared" si="35"/>
        <v>0</v>
      </c>
    </row>
    <row r="541" x14ac:dyDescent="0.35">
      <c r="A541" s="21" t="str">
        <v/>
      </c>
      <c r="B541" s="23" t="str">
        <v/>
      </c>
      <c r="C541" t="str">
        <v/>
      </c>
      <c r="D541" t="str">
        <v/>
      </c>
      <c r="E541" t="str">
        <v/>
      </c>
      <c r="F541" t="str">
        <v/>
      </c>
      <c r="G541" t="str">
        <v/>
      </c>
      <c r="H541" t="str">
        <v/>
      </c>
      <c r="I541" s="2" t="str">
        <v/>
      </c>
      <c r="J541" s="2" t="str">
        <v/>
      </c>
      <c r="K541" s="2" t="str">
        <v/>
      </c>
      <c r="L541" s="1" t="str">
        <v/>
      </c>
      <c r="M541" s="2" t="str">
        <v/>
      </c>
      <c r="N541" s="1" t="str">
        <v/>
      </c>
      <c r="O541" s="1" t="str">
        <v/>
      </c>
      <c r="P541" s="1" t="str">
        <v/>
      </c>
      <c r="Q541" s="1">
        <f t="shared" si="32"/>
        <v>0</v>
      </c>
      <c r="R541" s="1">
        <f t="shared" si="33"/>
        <v>0</v>
      </c>
      <c r="T541">
        <f t="shared" si="34"/>
        <v>0</v>
      </c>
      <c r="U541">
        <f t="shared" si="35"/>
        <v>0</v>
      </c>
    </row>
    <row r="542" x14ac:dyDescent="0.35">
      <c r="A542" s="21" t="str">
        <v/>
      </c>
      <c r="B542" s="23" t="str">
        <v/>
      </c>
      <c r="C542" t="str">
        <v/>
      </c>
      <c r="D542" t="str">
        <v/>
      </c>
      <c r="E542" t="str">
        <v/>
      </c>
      <c r="F542" t="str">
        <v/>
      </c>
      <c r="G542" t="str">
        <v/>
      </c>
      <c r="H542" t="str">
        <v/>
      </c>
      <c r="I542" s="2" t="str">
        <v/>
      </c>
      <c r="J542" s="2" t="str">
        <v/>
      </c>
      <c r="K542" s="2" t="str">
        <v/>
      </c>
      <c r="L542" s="1" t="str">
        <v/>
      </c>
      <c r="M542" s="2" t="str">
        <v/>
      </c>
      <c r="N542" s="1" t="str">
        <v/>
      </c>
      <c r="O542" s="1" t="str">
        <v/>
      </c>
      <c r="P542" s="1" t="str">
        <v/>
      </c>
      <c r="Q542" s="1">
        <f t="shared" si="32"/>
        <v>0</v>
      </c>
      <c r="R542" s="1">
        <f t="shared" si="33"/>
        <v>0</v>
      </c>
      <c r="T542">
        <f t="shared" si="34"/>
        <v>0</v>
      </c>
      <c r="U542">
        <f t="shared" si="35"/>
        <v>0</v>
      </c>
    </row>
    <row r="543" x14ac:dyDescent="0.35">
      <c r="A543" s="21" t="str">
        <v/>
      </c>
      <c r="B543" s="23" t="str">
        <v/>
      </c>
      <c r="C543" t="str">
        <v/>
      </c>
      <c r="D543" t="str">
        <v/>
      </c>
      <c r="E543" t="str">
        <v/>
      </c>
      <c r="F543" t="str">
        <v/>
      </c>
      <c r="G543" t="str">
        <v/>
      </c>
      <c r="H543" t="str">
        <v/>
      </c>
      <c r="I543" s="2" t="str">
        <v/>
      </c>
      <c r="J543" s="2" t="str">
        <v/>
      </c>
      <c r="K543" s="2" t="str">
        <v/>
      </c>
      <c r="L543" s="1" t="str">
        <v/>
      </c>
      <c r="M543" s="2" t="str">
        <v/>
      </c>
      <c r="N543" s="1" t="str">
        <v/>
      </c>
      <c r="O543" s="1" t="str">
        <v/>
      </c>
      <c r="P543" s="1" t="str">
        <v/>
      </c>
      <c r="Q543" s="1">
        <f t="shared" si="32"/>
        <v>0</v>
      </c>
      <c r="R543" s="1">
        <f t="shared" si="33"/>
        <v>0</v>
      </c>
      <c r="T543">
        <f t="shared" si="34"/>
        <v>0</v>
      </c>
      <c r="U543">
        <f t="shared" si="35"/>
        <v>0</v>
      </c>
    </row>
    <row r="544" x14ac:dyDescent="0.35">
      <c r="A544" s="21" t="str">
        <v/>
      </c>
      <c r="B544" s="23" t="str">
        <v/>
      </c>
      <c r="C544" t="str">
        <v/>
      </c>
      <c r="D544" t="str">
        <v/>
      </c>
      <c r="E544" t="str">
        <v/>
      </c>
      <c r="F544" t="str">
        <v/>
      </c>
      <c r="G544" t="str">
        <v/>
      </c>
      <c r="H544" t="str">
        <v/>
      </c>
      <c r="I544" s="2" t="str">
        <v/>
      </c>
      <c r="J544" s="2" t="str">
        <v/>
      </c>
      <c r="K544" s="2" t="str">
        <v/>
      </c>
      <c r="L544" s="1" t="str">
        <v/>
      </c>
      <c r="M544" s="2" t="str">
        <v/>
      </c>
      <c r="N544" s="1" t="str">
        <v/>
      </c>
      <c r="O544" s="1" t="str">
        <v/>
      </c>
      <c r="P544" s="1" t="str">
        <v/>
      </c>
      <c r="Q544" s="1">
        <f t="shared" si="32"/>
        <v>0</v>
      </c>
      <c r="R544" s="1">
        <f t="shared" si="33"/>
        <v>0</v>
      </c>
      <c r="T544">
        <f t="shared" si="34"/>
        <v>0</v>
      </c>
      <c r="U544">
        <f t="shared" si="35"/>
        <v>0</v>
      </c>
    </row>
    <row r="545" x14ac:dyDescent="0.35">
      <c r="A545" s="21" t="str">
        <v/>
      </c>
      <c r="B545" s="23" t="str">
        <v/>
      </c>
      <c r="C545" t="str">
        <v/>
      </c>
      <c r="D545" t="str">
        <v/>
      </c>
      <c r="E545" t="str">
        <v/>
      </c>
      <c r="F545" t="str">
        <v/>
      </c>
      <c r="G545" t="str">
        <v/>
      </c>
      <c r="H545" t="str">
        <v/>
      </c>
      <c r="I545" s="2" t="str">
        <v/>
      </c>
      <c r="J545" s="2" t="str">
        <v/>
      </c>
      <c r="K545" s="2" t="str">
        <v/>
      </c>
      <c r="L545" s="1" t="str">
        <v/>
      </c>
      <c r="M545" s="2" t="str">
        <v/>
      </c>
      <c r="N545" s="1" t="str">
        <v/>
      </c>
      <c r="O545" s="1" t="str">
        <v/>
      </c>
      <c r="P545" s="1" t="str">
        <v/>
      </c>
      <c r="Q545" s="1">
        <f t="shared" si="32"/>
        <v>0</v>
      </c>
      <c r="R545" s="1">
        <f t="shared" si="33"/>
        <v>0</v>
      </c>
      <c r="T545">
        <f t="shared" si="34"/>
        <v>0</v>
      </c>
      <c r="U545">
        <f t="shared" si="35"/>
        <v>0</v>
      </c>
    </row>
    <row r="546" x14ac:dyDescent="0.35">
      <c r="A546" s="21" t="str">
        <v/>
      </c>
      <c r="B546" s="23" t="str">
        <v/>
      </c>
      <c r="C546" t="str">
        <v/>
      </c>
      <c r="D546" t="str">
        <v/>
      </c>
      <c r="E546" t="str">
        <v/>
      </c>
      <c r="F546" t="str">
        <v/>
      </c>
      <c r="G546" t="str">
        <v/>
      </c>
      <c r="H546" t="str">
        <v/>
      </c>
      <c r="I546" s="2" t="str">
        <v/>
      </c>
      <c r="J546" s="2" t="str">
        <v/>
      </c>
      <c r="K546" s="2" t="str">
        <v/>
      </c>
      <c r="L546" s="1" t="str">
        <v/>
      </c>
      <c r="M546" s="2" t="str">
        <v/>
      </c>
      <c r="N546" s="1" t="str">
        <v/>
      </c>
      <c r="O546" s="1" t="str">
        <v/>
      </c>
      <c r="P546" s="1" t="str">
        <v/>
      </c>
      <c r="Q546" s="1">
        <f t="shared" si="32"/>
        <v>0</v>
      </c>
      <c r="R546" s="1">
        <f t="shared" si="33"/>
        <v>0</v>
      </c>
      <c r="T546">
        <f t="shared" si="34"/>
        <v>0</v>
      </c>
      <c r="U546">
        <f t="shared" si="35"/>
        <v>0</v>
      </c>
    </row>
    <row r="547" x14ac:dyDescent="0.35">
      <c r="A547" s="21" t="str">
        <v/>
      </c>
      <c r="B547" s="23" t="str">
        <v/>
      </c>
      <c r="C547" t="str">
        <v/>
      </c>
      <c r="D547" t="str">
        <v/>
      </c>
      <c r="E547" t="str">
        <v/>
      </c>
      <c r="F547" t="str">
        <v/>
      </c>
      <c r="G547" t="str">
        <v/>
      </c>
      <c r="H547" t="str">
        <v/>
      </c>
      <c r="I547" s="2" t="str">
        <v/>
      </c>
      <c r="J547" s="2" t="str">
        <v/>
      </c>
      <c r="K547" s="2" t="str">
        <v/>
      </c>
      <c r="L547" s="1" t="str">
        <v/>
      </c>
      <c r="M547" s="2" t="str">
        <v/>
      </c>
      <c r="N547" s="1" t="str">
        <v/>
      </c>
      <c r="O547" s="1" t="str">
        <v/>
      </c>
      <c r="P547" s="1" t="str">
        <v/>
      </c>
      <c r="Q547" s="1">
        <f t="shared" si="32"/>
        <v>0</v>
      </c>
      <c r="R547" s="1">
        <f t="shared" si="33"/>
        <v>0</v>
      </c>
      <c r="T547">
        <f t="shared" si="34"/>
        <v>0</v>
      </c>
      <c r="U547">
        <f t="shared" si="35"/>
        <v>0</v>
      </c>
    </row>
    <row r="548" x14ac:dyDescent="0.35">
      <c r="A548" s="21" t="str">
        <v/>
      </c>
      <c r="B548" s="23" t="str">
        <v/>
      </c>
      <c r="C548" t="str">
        <v/>
      </c>
      <c r="D548" t="str">
        <v/>
      </c>
      <c r="E548" t="str">
        <v/>
      </c>
      <c r="F548" t="str">
        <v/>
      </c>
      <c r="G548" t="str">
        <v/>
      </c>
      <c r="H548" t="str">
        <v/>
      </c>
      <c r="I548" s="2" t="str">
        <v/>
      </c>
      <c r="J548" s="2" t="str">
        <v/>
      </c>
      <c r="K548" s="2" t="str">
        <v/>
      </c>
      <c r="L548" s="1" t="str">
        <v/>
      </c>
      <c r="M548" s="2" t="str">
        <v/>
      </c>
      <c r="N548" s="1" t="str">
        <v/>
      </c>
      <c r="O548" s="1" t="str">
        <v/>
      </c>
      <c r="P548" s="1" t="str">
        <v/>
      </c>
      <c r="Q548" s="1">
        <f t="shared" si="32"/>
        <v>0</v>
      </c>
      <c r="R548" s="1">
        <f t="shared" si="33"/>
        <v>0</v>
      </c>
      <c r="T548">
        <f t="shared" si="34"/>
        <v>0</v>
      </c>
      <c r="U548">
        <f t="shared" si="35"/>
        <v>0</v>
      </c>
    </row>
    <row r="549" x14ac:dyDescent="0.35">
      <c r="A549" s="21" t="str">
        <v/>
      </c>
      <c r="B549" s="23" t="str">
        <v/>
      </c>
      <c r="C549" t="str">
        <v/>
      </c>
      <c r="D549" t="str">
        <v/>
      </c>
      <c r="E549" t="str">
        <v/>
      </c>
      <c r="F549" t="str">
        <v/>
      </c>
      <c r="G549" t="str">
        <v/>
      </c>
      <c r="H549" t="str">
        <v/>
      </c>
      <c r="I549" s="2" t="str">
        <v/>
      </c>
      <c r="J549" s="2" t="str">
        <v/>
      </c>
      <c r="K549" s="2" t="str">
        <v/>
      </c>
      <c r="L549" s="1" t="str">
        <v/>
      </c>
      <c r="M549" s="2" t="str">
        <v/>
      </c>
      <c r="N549" s="1" t="str">
        <v/>
      </c>
      <c r="O549" s="1" t="str">
        <v/>
      </c>
      <c r="P549" s="1" t="str">
        <v/>
      </c>
      <c r="Q549" s="1">
        <f t="shared" si="32"/>
        <v>0</v>
      </c>
      <c r="R549" s="1">
        <f t="shared" si="33"/>
        <v>0</v>
      </c>
      <c r="T549">
        <f t="shared" si="34"/>
        <v>0</v>
      </c>
      <c r="U549">
        <f t="shared" si="35"/>
        <v>0</v>
      </c>
    </row>
    <row r="550" x14ac:dyDescent="0.35">
      <c r="A550" s="21" t="str">
        <v/>
      </c>
      <c r="B550" s="23" t="str">
        <v/>
      </c>
      <c r="C550" t="str">
        <v/>
      </c>
      <c r="D550" t="str">
        <v/>
      </c>
      <c r="E550" t="str">
        <v/>
      </c>
      <c r="F550" t="str">
        <v/>
      </c>
      <c r="G550" t="str">
        <v/>
      </c>
      <c r="H550" t="str">
        <v/>
      </c>
      <c r="I550" s="2" t="str">
        <v/>
      </c>
      <c r="J550" s="2" t="str">
        <v/>
      </c>
      <c r="K550" s="2" t="str">
        <v/>
      </c>
      <c r="L550" s="1" t="str">
        <v/>
      </c>
      <c r="M550" s="2" t="str">
        <v/>
      </c>
      <c r="N550" s="1" t="str">
        <v/>
      </c>
      <c r="O550" s="1" t="str">
        <v/>
      </c>
      <c r="P550" s="1" t="str">
        <v/>
      </c>
      <c r="Q550" s="1">
        <f t="shared" si="32"/>
        <v>0</v>
      </c>
      <c r="R550" s="1">
        <f t="shared" si="33"/>
        <v>0</v>
      </c>
      <c r="T550">
        <f t="shared" si="34"/>
        <v>0</v>
      </c>
      <c r="U550">
        <f t="shared" si="35"/>
        <v>0</v>
      </c>
    </row>
    <row r="551" x14ac:dyDescent="0.35">
      <c r="A551" s="21" t="str">
        <v/>
      </c>
      <c r="B551" s="23" t="str">
        <v/>
      </c>
      <c r="C551" t="str">
        <v/>
      </c>
      <c r="D551" t="str">
        <v/>
      </c>
      <c r="E551" t="str">
        <v/>
      </c>
      <c r="F551" t="str">
        <v/>
      </c>
      <c r="G551" t="str">
        <v/>
      </c>
      <c r="H551" t="str">
        <v/>
      </c>
      <c r="I551" s="2" t="str">
        <v/>
      </c>
      <c r="J551" s="2" t="str">
        <v/>
      </c>
      <c r="K551" s="2" t="str">
        <v/>
      </c>
      <c r="L551" s="1" t="str">
        <v/>
      </c>
      <c r="M551" s="2" t="str">
        <v/>
      </c>
      <c r="N551" s="1" t="str">
        <v/>
      </c>
      <c r="O551" s="1" t="str">
        <v/>
      </c>
      <c r="P551" s="1" t="str">
        <v/>
      </c>
      <c r="Q551" s="1">
        <f t="shared" si="32"/>
        <v>0</v>
      </c>
      <c r="R551" s="1">
        <f t="shared" si="33"/>
        <v>0</v>
      </c>
      <c r="T551">
        <f t="shared" si="34"/>
        <v>0</v>
      </c>
      <c r="U551">
        <f t="shared" si="35"/>
        <v>0</v>
      </c>
    </row>
    <row r="552" x14ac:dyDescent="0.35">
      <c r="A552" s="21" t="str">
        <v/>
      </c>
      <c r="B552" s="23" t="str">
        <v/>
      </c>
      <c r="C552" t="str">
        <v/>
      </c>
      <c r="D552" t="str">
        <v/>
      </c>
      <c r="E552" t="str">
        <v/>
      </c>
      <c r="F552" t="str">
        <v/>
      </c>
      <c r="G552" t="str">
        <v/>
      </c>
      <c r="H552" t="str">
        <v/>
      </c>
      <c r="I552" s="2" t="str">
        <v/>
      </c>
      <c r="J552" s="2" t="str">
        <v/>
      </c>
      <c r="K552" s="2" t="str">
        <v/>
      </c>
      <c r="L552" s="1" t="str">
        <v/>
      </c>
      <c r="M552" s="2" t="str">
        <v/>
      </c>
      <c r="N552" s="1" t="str">
        <v/>
      </c>
      <c r="O552" s="1" t="str">
        <v/>
      </c>
      <c r="P552" s="1" t="str">
        <v/>
      </c>
      <c r="Q552" s="1">
        <f t="shared" si="32"/>
        <v>0</v>
      </c>
      <c r="R552" s="1">
        <f t="shared" si="33"/>
        <v>0</v>
      </c>
      <c r="T552">
        <f t="shared" si="34"/>
        <v>0</v>
      </c>
      <c r="U552">
        <f t="shared" si="35"/>
        <v>0</v>
      </c>
    </row>
    <row r="553" x14ac:dyDescent="0.35">
      <c r="A553" s="21" t="str">
        <v/>
      </c>
      <c r="B553" s="23" t="str">
        <v/>
      </c>
      <c r="C553" t="str">
        <v/>
      </c>
      <c r="D553" t="str">
        <v/>
      </c>
      <c r="E553" t="str">
        <v/>
      </c>
      <c r="F553" t="str">
        <v/>
      </c>
      <c r="G553" t="str">
        <v/>
      </c>
      <c r="H553" t="str">
        <v/>
      </c>
      <c r="I553" s="2" t="str">
        <v/>
      </c>
      <c r="J553" s="2" t="str">
        <v/>
      </c>
      <c r="K553" s="2" t="str">
        <v/>
      </c>
      <c r="L553" s="1" t="str">
        <v/>
      </c>
      <c r="M553" s="2" t="str">
        <v/>
      </c>
      <c r="N553" s="1" t="str">
        <v/>
      </c>
      <c r="O553" s="1" t="str">
        <v/>
      </c>
      <c r="P553" s="1" t="str">
        <v/>
      </c>
      <c r="Q553" s="1">
        <f t="shared" si="32"/>
        <v>0</v>
      </c>
      <c r="R553" s="1">
        <f t="shared" si="33"/>
        <v>0</v>
      </c>
      <c r="T553">
        <f t="shared" si="34"/>
        <v>0</v>
      </c>
      <c r="U553">
        <f t="shared" si="35"/>
        <v>0</v>
      </c>
    </row>
    <row r="554" x14ac:dyDescent="0.35">
      <c r="A554" s="21" t="str">
        <v/>
      </c>
      <c r="B554" s="23" t="str">
        <v/>
      </c>
      <c r="C554" t="str">
        <v/>
      </c>
      <c r="D554" t="str">
        <v/>
      </c>
      <c r="E554" t="str">
        <v/>
      </c>
      <c r="F554" t="str">
        <v/>
      </c>
      <c r="G554" t="str">
        <v/>
      </c>
      <c r="H554" t="str">
        <v/>
      </c>
      <c r="I554" s="2" t="str">
        <v/>
      </c>
      <c r="J554" s="2" t="str">
        <v/>
      </c>
      <c r="K554" s="2" t="str">
        <v/>
      </c>
      <c r="L554" s="1" t="str">
        <v/>
      </c>
      <c r="M554" s="2" t="str">
        <v/>
      </c>
      <c r="N554" s="1" t="str">
        <v/>
      </c>
      <c r="O554" s="1" t="str">
        <v/>
      </c>
      <c r="P554" s="1" t="str">
        <v/>
      </c>
      <c r="Q554" s="1">
        <f t="shared" si="32"/>
        <v>0</v>
      </c>
      <c r="R554" s="1">
        <f t="shared" si="33"/>
        <v>0</v>
      </c>
      <c r="T554">
        <f t="shared" si="34"/>
        <v>0</v>
      </c>
      <c r="U554">
        <f t="shared" si="35"/>
        <v>0</v>
      </c>
    </row>
    <row r="555" x14ac:dyDescent="0.35">
      <c r="A555" s="21" t="str">
        <v/>
      </c>
      <c r="B555" s="23" t="str">
        <v/>
      </c>
      <c r="C555" t="str">
        <v/>
      </c>
      <c r="D555" t="str">
        <v/>
      </c>
      <c r="E555" t="str">
        <v/>
      </c>
      <c r="F555" t="str">
        <v/>
      </c>
      <c r="G555" t="str">
        <v/>
      </c>
      <c r="H555" t="str">
        <v/>
      </c>
      <c r="I555" s="2" t="str">
        <v/>
      </c>
      <c r="J555" s="2" t="str">
        <v/>
      </c>
      <c r="K555" s="2" t="str">
        <v/>
      </c>
      <c r="L555" s="1" t="str">
        <v/>
      </c>
      <c r="M555" s="2" t="str">
        <v/>
      </c>
      <c r="N555" s="1" t="str">
        <v/>
      </c>
      <c r="O555" s="1" t="str">
        <v/>
      </c>
      <c r="P555" s="1" t="str">
        <v/>
      </c>
      <c r="Q555" s="1">
        <f t="shared" si="32"/>
        <v>0</v>
      </c>
      <c r="R555" s="1">
        <f t="shared" si="33"/>
        <v>0</v>
      </c>
      <c r="T555">
        <f t="shared" si="34"/>
        <v>0</v>
      </c>
      <c r="U555">
        <f t="shared" si="35"/>
        <v>0</v>
      </c>
    </row>
    <row r="556" x14ac:dyDescent="0.35">
      <c r="A556" s="21" t="str">
        <v/>
      </c>
      <c r="B556" s="23" t="str">
        <v/>
      </c>
      <c r="C556" t="str">
        <v/>
      </c>
      <c r="D556" t="str">
        <v/>
      </c>
      <c r="E556" t="str">
        <v/>
      </c>
      <c r="F556" t="str">
        <v/>
      </c>
      <c r="G556" t="str">
        <v/>
      </c>
      <c r="H556" t="str">
        <v/>
      </c>
      <c r="I556" s="2" t="str">
        <v/>
      </c>
      <c r="J556" s="2" t="str">
        <v/>
      </c>
      <c r="K556" s="2" t="str">
        <v/>
      </c>
      <c r="L556" s="1" t="str">
        <v/>
      </c>
      <c r="M556" s="2" t="str">
        <v/>
      </c>
      <c r="N556" s="1" t="str">
        <v/>
      </c>
      <c r="O556" s="1" t="str">
        <v/>
      </c>
      <c r="P556" s="1" t="str">
        <v/>
      </c>
      <c r="Q556" s="1">
        <f t="shared" si="32"/>
        <v>0</v>
      </c>
      <c r="R556" s="1">
        <f t="shared" si="33"/>
        <v>0</v>
      </c>
      <c r="T556">
        <f t="shared" si="34"/>
        <v>0</v>
      </c>
      <c r="U556">
        <f t="shared" si="35"/>
        <v>0</v>
      </c>
    </row>
    <row r="557" x14ac:dyDescent="0.35">
      <c r="A557" s="21" t="str">
        <v/>
      </c>
      <c r="B557" s="23" t="str">
        <v/>
      </c>
      <c r="C557" t="str">
        <v/>
      </c>
      <c r="D557" t="str">
        <v/>
      </c>
      <c r="E557" t="str">
        <v/>
      </c>
      <c r="F557" t="str">
        <v/>
      </c>
      <c r="G557" t="str">
        <v/>
      </c>
      <c r="H557" t="str">
        <v/>
      </c>
      <c r="I557" s="2" t="str">
        <v/>
      </c>
      <c r="J557" s="2" t="str">
        <v/>
      </c>
      <c r="K557" s="2" t="str">
        <v/>
      </c>
      <c r="L557" s="1" t="str">
        <v/>
      </c>
      <c r="M557" s="2" t="str">
        <v/>
      </c>
      <c r="N557" s="1" t="str">
        <v/>
      </c>
      <c r="O557" s="1" t="str">
        <v/>
      </c>
      <c r="P557" s="1" t="str">
        <v/>
      </c>
      <c r="Q557" s="1">
        <f t="shared" si="32"/>
        <v>0</v>
      </c>
      <c r="R557" s="1">
        <f t="shared" si="33"/>
        <v>0</v>
      </c>
      <c r="T557">
        <f t="shared" si="34"/>
        <v>0</v>
      </c>
      <c r="U557">
        <f t="shared" si="35"/>
        <v>0</v>
      </c>
    </row>
    <row r="558" x14ac:dyDescent="0.35">
      <c r="A558" s="21" t="str">
        <v/>
      </c>
      <c r="B558" s="23" t="str">
        <v/>
      </c>
      <c r="C558" t="str">
        <v/>
      </c>
      <c r="D558" t="str">
        <v/>
      </c>
      <c r="E558" t="str">
        <v/>
      </c>
      <c r="F558" t="str">
        <v/>
      </c>
      <c r="G558" t="str">
        <v/>
      </c>
      <c r="H558" t="str">
        <v/>
      </c>
      <c r="I558" s="2" t="str">
        <v/>
      </c>
      <c r="J558" s="2" t="str">
        <v/>
      </c>
      <c r="K558" s="2" t="str">
        <v/>
      </c>
      <c r="L558" s="1" t="str">
        <v/>
      </c>
      <c r="M558" s="2" t="str">
        <v/>
      </c>
      <c r="N558" s="1" t="str">
        <v/>
      </c>
      <c r="O558" s="1" t="str">
        <v/>
      </c>
      <c r="P558" s="1" t="str">
        <v/>
      </c>
      <c r="Q558" s="1">
        <f t="shared" si="32"/>
        <v>0</v>
      </c>
      <c r="R558" s="1">
        <f t="shared" si="33"/>
        <v>0</v>
      </c>
      <c r="T558">
        <f t="shared" si="34"/>
        <v>0</v>
      </c>
      <c r="U558">
        <f t="shared" si="35"/>
        <v>0</v>
      </c>
    </row>
    <row r="559" x14ac:dyDescent="0.35">
      <c r="A559" s="21" t="str">
        <v/>
      </c>
      <c r="B559" s="23" t="str">
        <v/>
      </c>
      <c r="C559" t="str">
        <v/>
      </c>
      <c r="D559" t="str">
        <v/>
      </c>
      <c r="E559" t="str">
        <v/>
      </c>
      <c r="F559" t="str">
        <v/>
      </c>
      <c r="G559" t="str">
        <v/>
      </c>
      <c r="H559" t="str">
        <v/>
      </c>
      <c r="I559" s="2" t="str">
        <v/>
      </c>
      <c r="J559" s="2" t="str">
        <v/>
      </c>
      <c r="K559" s="2" t="str">
        <v/>
      </c>
      <c r="L559" s="1" t="str">
        <v/>
      </c>
      <c r="M559" s="2" t="str">
        <v/>
      </c>
      <c r="N559" s="1" t="str">
        <v/>
      </c>
      <c r="O559" s="1" t="str">
        <v/>
      </c>
      <c r="P559" s="1" t="str">
        <v/>
      </c>
      <c r="Q559" s="1">
        <f t="shared" si="32"/>
        <v>0</v>
      </c>
      <c r="R559" s="1">
        <f t="shared" si="33"/>
        <v>0</v>
      </c>
      <c r="T559">
        <f t="shared" si="34"/>
        <v>0</v>
      </c>
      <c r="U559">
        <f t="shared" si="35"/>
        <v>0</v>
      </c>
    </row>
    <row r="560" x14ac:dyDescent="0.35">
      <c r="A560" s="21" t="str">
        <v/>
      </c>
      <c r="B560" s="23" t="str">
        <v/>
      </c>
      <c r="C560" t="str">
        <v/>
      </c>
      <c r="D560" t="str">
        <v/>
      </c>
      <c r="E560" t="str">
        <v/>
      </c>
      <c r="F560" t="str">
        <v/>
      </c>
      <c r="G560" t="str">
        <v/>
      </c>
      <c r="H560" t="str">
        <v/>
      </c>
      <c r="I560" s="2" t="str">
        <v/>
      </c>
      <c r="J560" s="2" t="str">
        <v/>
      </c>
      <c r="K560" s="2" t="str">
        <v/>
      </c>
      <c r="L560" s="1" t="str">
        <v/>
      </c>
      <c r="M560" s="2" t="str">
        <v/>
      </c>
      <c r="N560" s="1" t="str">
        <v/>
      </c>
      <c r="O560" s="1" t="str">
        <v/>
      </c>
      <c r="P560" s="1" t="str">
        <v/>
      </c>
      <c r="Q560" s="1">
        <f t="shared" si="32"/>
        <v>0</v>
      </c>
      <c r="R560" s="1">
        <f t="shared" si="33"/>
        <v>0</v>
      </c>
      <c r="T560">
        <f t="shared" si="34"/>
        <v>0</v>
      </c>
      <c r="U560">
        <f t="shared" si="35"/>
        <v>0</v>
      </c>
    </row>
    <row r="561" x14ac:dyDescent="0.35">
      <c r="A561" s="21" t="str">
        <v/>
      </c>
      <c r="B561" s="23" t="str">
        <v/>
      </c>
      <c r="C561" t="str">
        <v/>
      </c>
      <c r="D561" t="str">
        <v/>
      </c>
      <c r="E561" t="str">
        <v/>
      </c>
      <c r="F561" t="str">
        <v/>
      </c>
      <c r="G561" t="str">
        <v/>
      </c>
      <c r="H561" t="str">
        <v/>
      </c>
      <c r="I561" s="2" t="str">
        <v/>
      </c>
      <c r="J561" s="2" t="str">
        <v/>
      </c>
      <c r="K561" s="2" t="str">
        <v/>
      </c>
      <c r="L561" s="1" t="str">
        <v/>
      </c>
      <c r="M561" s="2" t="str">
        <v/>
      </c>
      <c r="N561" s="1" t="str">
        <v/>
      </c>
      <c r="O561" s="1" t="str">
        <v/>
      </c>
      <c r="P561" s="1" t="str">
        <v/>
      </c>
      <c r="Q561" s="1">
        <f t="shared" si="32"/>
        <v>0</v>
      </c>
      <c r="R561" s="1">
        <f t="shared" si="33"/>
        <v>0</v>
      </c>
      <c r="T561">
        <f t="shared" si="34"/>
        <v>0</v>
      </c>
      <c r="U561">
        <f t="shared" si="35"/>
        <v>0</v>
      </c>
    </row>
    <row r="562" x14ac:dyDescent="0.35">
      <c r="A562" s="21" t="str">
        <v/>
      </c>
      <c r="B562" s="23" t="str">
        <v/>
      </c>
      <c r="C562" t="str">
        <v/>
      </c>
      <c r="D562" t="str">
        <v/>
      </c>
      <c r="E562" t="str">
        <v/>
      </c>
      <c r="F562" t="str">
        <v/>
      </c>
      <c r="G562" t="str">
        <v/>
      </c>
      <c r="H562" t="str">
        <v/>
      </c>
      <c r="I562" s="2" t="str">
        <v/>
      </c>
      <c r="J562" s="2" t="str">
        <v/>
      </c>
      <c r="K562" s="2" t="str">
        <v/>
      </c>
      <c r="L562" s="1" t="str">
        <v/>
      </c>
      <c r="M562" s="2" t="str">
        <v/>
      </c>
      <c r="N562" s="1" t="str">
        <v/>
      </c>
      <c r="O562" s="1" t="str">
        <v/>
      </c>
      <c r="P562" s="1" t="str">
        <v/>
      </c>
      <c r="Q562" s="1">
        <f t="shared" si="32"/>
        <v>0</v>
      </c>
      <c r="R562" s="1">
        <f t="shared" si="33"/>
        <v>0</v>
      </c>
      <c r="T562">
        <f t="shared" si="34"/>
        <v>0</v>
      </c>
      <c r="U562">
        <f t="shared" si="35"/>
        <v>0</v>
      </c>
    </row>
    <row r="563" x14ac:dyDescent="0.35">
      <c r="A563" s="21" t="str">
        <v/>
      </c>
      <c r="B563" s="23" t="str">
        <v/>
      </c>
      <c r="C563" t="str">
        <v/>
      </c>
      <c r="D563" t="str">
        <v/>
      </c>
      <c r="E563" t="str">
        <v/>
      </c>
      <c r="F563" t="str">
        <v/>
      </c>
      <c r="G563" t="str">
        <v/>
      </c>
      <c r="H563" t="str">
        <v/>
      </c>
      <c r="I563" s="2" t="str">
        <v/>
      </c>
      <c r="J563" s="2" t="str">
        <v/>
      </c>
      <c r="K563" s="2" t="str">
        <v/>
      </c>
      <c r="L563" s="1" t="str">
        <v/>
      </c>
      <c r="M563" s="2" t="str">
        <v/>
      </c>
      <c r="N563" s="1" t="str">
        <v/>
      </c>
      <c r="O563" s="1" t="str">
        <v/>
      </c>
      <c r="P563" s="1" t="str">
        <v/>
      </c>
      <c r="Q563" s="1">
        <f t="shared" si="32"/>
        <v>0</v>
      </c>
      <c r="R563" s="1">
        <f t="shared" si="33"/>
        <v>0</v>
      </c>
      <c r="T563">
        <f t="shared" si="34"/>
        <v>0</v>
      </c>
      <c r="U563">
        <f t="shared" si="35"/>
        <v>0</v>
      </c>
    </row>
    <row r="564" x14ac:dyDescent="0.35">
      <c r="A564" s="21" t="str">
        <v/>
      </c>
      <c r="B564" s="23" t="str">
        <v/>
      </c>
      <c r="C564" t="str">
        <v/>
      </c>
      <c r="D564" t="str">
        <v/>
      </c>
      <c r="E564" t="str">
        <v/>
      </c>
      <c r="F564" t="str">
        <v/>
      </c>
      <c r="G564" t="str">
        <v/>
      </c>
      <c r="H564" t="str">
        <v/>
      </c>
      <c r="I564" s="2" t="str">
        <v/>
      </c>
      <c r="J564" s="2" t="str">
        <v/>
      </c>
      <c r="K564" s="2" t="str">
        <v/>
      </c>
      <c r="L564" s="1" t="str">
        <v/>
      </c>
      <c r="M564" s="2" t="str">
        <v/>
      </c>
      <c r="N564" s="1" t="str">
        <v/>
      </c>
      <c r="O564" s="1" t="str">
        <v/>
      </c>
      <c r="P564" s="1" t="str">
        <v/>
      </c>
      <c r="Q564" s="1">
        <f t="shared" si="32"/>
        <v>0</v>
      </c>
      <c r="R564" s="1">
        <f t="shared" si="33"/>
        <v>0</v>
      </c>
      <c r="T564">
        <f t="shared" si="34"/>
        <v>0</v>
      </c>
      <c r="U564">
        <f t="shared" si="35"/>
        <v>0</v>
      </c>
    </row>
    <row r="565" x14ac:dyDescent="0.35">
      <c r="A565" s="21" t="str">
        <v/>
      </c>
      <c r="B565" s="23" t="str">
        <v/>
      </c>
      <c r="C565" t="str">
        <v/>
      </c>
      <c r="D565" t="str">
        <v/>
      </c>
      <c r="E565" t="str">
        <v/>
      </c>
      <c r="F565" t="str">
        <v/>
      </c>
      <c r="G565" t="str">
        <v/>
      </c>
      <c r="H565" t="str">
        <v/>
      </c>
      <c r="I565" s="2" t="str">
        <v/>
      </c>
      <c r="J565" s="2" t="str">
        <v/>
      </c>
      <c r="K565" s="2" t="str">
        <v/>
      </c>
      <c r="L565" s="1" t="str">
        <v/>
      </c>
      <c r="M565" s="2" t="str">
        <v/>
      </c>
      <c r="N565" s="1" t="str">
        <v/>
      </c>
      <c r="O565" s="1" t="str">
        <v/>
      </c>
      <c r="P565" s="1" t="str">
        <v/>
      </c>
      <c r="Q565" s="1">
        <f t="shared" si="32"/>
        <v>0</v>
      </c>
      <c r="R565" s="1">
        <f t="shared" si="33"/>
        <v>0</v>
      </c>
      <c r="T565">
        <f t="shared" si="34"/>
        <v>0</v>
      </c>
      <c r="U565">
        <f t="shared" si="35"/>
        <v>0</v>
      </c>
    </row>
    <row r="566" x14ac:dyDescent="0.35">
      <c r="A566" s="21" t="str">
        <v/>
      </c>
      <c r="B566" s="23" t="str">
        <v/>
      </c>
      <c r="C566" t="str">
        <v/>
      </c>
      <c r="D566" t="str">
        <v/>
      </c>
      <c r="E566" t="str">
        <v/>
      </c>
      <c r="F566" t="str">
        <v/>
      </c>
      <c r="G566" t="str">
        <v/>
      </c>
      <c r="H566" t="str">
        <v/>
      </c>
      <c r="I566" s="2" t="str">
        <v/>
      </c>
      <c r="J566" s="2" t="str">
        <v/>
      </c>
      <c r="K566" s="2" t="str">
        <v/>
      </c>
      <c r="L566" s="1" t="str">
        <v/>
      </c>
      <c r="M566" s="2" t="str">
        <v/>
      </c>
      <c r="N566" s="1" t="str">
        <v/>
      </c>
      <c r="O566" s="1" t="str">
        <v/>
      </c>
      <c r="P566" s="1" t="str">
        <v/>
      </c>
      <c r="Q566" s="1">
        <f t="shared" si="32"/>
        <v>0</v>
      </c>
      <c r="R566" s="1">
        <f t="shared" si="33"/>
        <v>0</v>
      </c>
      <c r="T566">
        <f t="shared" si="34"/>
        <v>0</v>
      </c>
      <c r="U566">
        <f t="shared" si="35"/>
        <v>0</v>
      </c>
    </row>
    <row r="567" x14ac:dyDescent="0.35">
      <c r="A567" s="21" t="str">
        <v/>
      </c>
      <c r="B567" s="23" t="str">
        <v/>
      </c>
      <c r="C567" t="str">
        <v/>
      </c>
      <c r="D567" t="str">
        <v/>
      </c>
      <c r="E567" t="str">
        <v/>
      </c>
      <c r="F567" t="str">
        <v/>
      </c>
      <c r="G567" t="str">
        <v/>
      </c>
      <c r="H567" t="str">
        <v/>
      </c>
      <c r="I567" s="2" t="str">
        <v/>
      </c>
      <c r="J567" s="2" t="str">
        <v/>
      </c>
      <c r="K567" s="2" t="str">
        <v/>
      </c>
      <c r="L567" s="1" t="str">
        <v/>
      </c>
      <c r="M567" s="2" t="str">
        <v/>
      </c>
      <c r="N567" s="1" t="str">
        <v/>
      </c>
      <c r="O567" s="1" t="str">
        <v/>
      </c>
      <c r="P567" s="1" t="str">
        <v/>
      </c>
      <c r="Q567" s="1">
        <f t="shared" si="32"/>
        <v>0</v>
      </c>
      <c r="R567" s="1">
        <f t="shared" si="33"/>
        <v>0</v>
      </c>
      <c r="T567">
        <f t="shared" si="34"/>
        <v>0</v>
      </c>
      <c r="U567">
        <f t="shared" si="35"/>
        <v>0</v>
      </c>
    </row>
    <row r="568" x14ac:dyDescent="0.35">
      <c r="A568" s="21" t="str">
        <v/>
      </c>
      <c r="B568" s="23" t="str">
        <v/>
      </c>
      <c r="C568" t="str">
        <v/>
      </c>
      <c r="D568" t="str">
        <v/>
      </c>
      <c r="E568" t="str">
        <v/>
      </c>
      <c r="F568" t="str">
        <v/>
      </c>
      <c r="G568" t="str">
        <v/>
      </c>
      <c r="H568" t="str">
        <v/>
      </c>
      <c r="I568" s="2" t="str">
        <v/>
      </c>
      <c r="J568" s="2" t="str">
        <v/>
      </c>
      <c r="K568" s="2" t="str">
        <v/>
      </c>
      <c r="L568" s="1" t="str">
        <v/>
      </c>
      <c r="M568" s="2" t="str">
        <v/>
      </c>
      <c r="N568" s="1" t="str">
        <v/>
      </c>
      <c r="O568" s="1" t="str">
        <v/>
      </c>
      <c r="P568" s="1" t="str">
        <v/>
      </c>
      <c r="Q568" s="1">
        <f t="shared" si="32"/>
        <v>0</v>
      </c>
      <c r="R568" s="1">
        <f t="shared" si="33"/>
        <v>0</v>
      </c>
      <c r="T568">
        <f t="shared" si="34"/>
        <v>0</v>
      </c>
      <c r="U568">
        <f t="shared" si="35"/>
        <v>0</v>
      </c>
    </row>
    <row r="569" x14ac:dyDescent="0.35">
      <c r="A569" s="21" t="str">
        <v/>
      </c>
      <c r="B569" s="23" t="str">
        <v/>
      </c>
      <c r="C569" t="str">
        <v/>
      </c>
      <c r="D569" t="str">
        <v/>
      </c>
      <c r="E569" t="str">
        <v/>
      </c>
      <c r="F569" t="str">
        <v/>
      </c>
      <c r="G569" t="str">
        <v/>
      </c>
      <c r="H569" t="str">
        <v/>
      </c>
      <c r="I569" s="2" t="str">
        <v/>
      </c>
      <c r="J569" s="2" t="str">
        <v/>
      </c>
      <c r="K569" s="2" t="str">
        <v/>
      </c>
      <c r="L569" s="1" t="str">
        <v/>
      </c>
      <c r="M569" s="2" t="str">
        <v/>
      </c>
      <c r="N569" s="1" t="str">
        <v/>
      </c>
      <c r="O569" s="1" t="str">
        <v/>
      </c>
      <c r="P569" s="1" t="str">
        <v/>
      </c>
      <c r="Q569" s="1">
        <f t="shared" si="32"/>
        <v>0</v>
      </c>
      <c r="R569" s="1">
        <f t="shared" si="33"/>
        <v>0</v>
      </c>
      <c r="T569">
        <f t="shared" si="34"/>
        <v>0</v>
      </c>
      <c r="U569">
        <f t="shared" si="35"/>
        <v>0</v>
      </c>
    </row>
    <row r="570" x14ac:dyDescent="0.35">
      <c r="A570" s="21" t="str">
        <v/>
      </c>
      <c r="B570" s="23" t="str">
        <v/>
      </c>
      <c r="C570" t="str">
        <v/>
      </c>
      <c r="D570" t="str">
        <v/>
      </c>
      <c r="E570" t="str">
        <v/>
      </c>
      <c r="F570" t="str">
        <v/>
      </c>
      <c r="G570" t="str">
        <v/>
      </c>
      <c r="H570" t="str">
        <v/>
      </c>
      <c r="I570" s="2" t="str">
        <v/>
      </c>
      <c r="J570" s="2" t="str">
        <v/>
      </c>
      <c r="K570" s="2" t="str">
        <v/>
      </c>
      <c r="L570" s="1" t="str">
        <v/>
      </c>
      <c r="M570" s="2" t="str">
        <v/>
      </c>
      <c r="N570" s="1" t="str">
        <v/>
      </c>
      <c r="O570" s="1" t="str">
        <v/>
      </c>
      <c r="P570" s="1" t="str">
        <v/>
      </c>
      <c r="Q570" s="1">
        <f t="shared" si="32"/>
        <v>0</v>
      </c>
      <c r="R570" s="1">
        <f t="shared" si="33"/>
        <v>0</v>
      </c>
      <c r="T570">
        <f t="shared" si="34"/>
        <v>0</v>
      </c>
      <c r="U570">
        <f t="shared" si="35"/>
        <v>0</v>
      </c>
    </row>
    <row r="571" x14ac:dyDescent="0.35">
      <c r="A571" s="21" t="str">
        <v/>
      </c>
      <c r="B571" s="23" t="str">
        <v/>
      </c>
      <c r="C571" t="str">
        <v/>
      </c>
      <c r="D571" t="str">
        <v/>
      </c>
      <c r="E571" t="str">
        <v/>
      </c>
      <c r="F571" t="str">
        <v/>
      </c>
      <c r="G571" t="str">
        <v/>
      </c>
      <c r="H571" t="str">
        <v/>
      </c>
      <c r="I571" s="2" t="str">
        <v/>
      </c>
      <c r="J571" s="2" t="str">
        <v/>
      </c>
      <c r="K571" s="2" t="str">
        <v/>
      </c>
      <c r="L571" s="1" t="str">
        <v/>
      </c>
      <c r="M571" s="2" t="str">
        <v/>
      </c>
      <c r="N571" s="1" t="str">
        <v/>
      </c>
      <c r="O571" s="1" t="str">
        <v/>
      </c>
      <c r="P571" s="1" t="str">
        <v/>
      </c>
      <c r="Q571" s="1">
        <f t="shared" si="32"/>
        <v>0</v>
      </c>
      <c r="R571" s="1">
        <f t="shared" si="33"/>
        <v>0</v>
      </c>
      <c r="T571">
        <f t="shared" si="34"/>
        <v>0</v>
      </c>
      <c r="U571">
        <f t="shared" si="35"/>
        <v>0</v>
      </c>
    </row>
    <row r="572" x14ac:dyDescent="0.35">
      <c r="A572" s="21" t="str">
        <v/>
      </c>
      <c r="B572" s="23" t="str">
        <v/>
      </c>
      <c r="C572" t="str">
        <v/>
      </c>
      <c r="D572" t="str">
        <v/>
      </c>
      <c r="E572" t="str">
        <v/>
      </c>
      <c r="F572" t="str">
        <v/>
      </c>
      <c r="G572" t="str">
        <v/>
      </c>
      <c r="H572" t="str">
        <v/>
      </c>
      <c r="I572" s="2" t="str">
        <v/>
      </c>
      <c r="J572" s="2" t="str">
        <v/>
      </c>
      <c r="K572" s="2" t="str">
        <v/>
      </c>
      <c r="L572" s="1" t="str">
        <v/>
      </c>
      <c r="M572" s="2" t="str">
        <v/>
      </c>
      <c r="N572" s="1" t="str">
        <v/>
      </c>
      <c r="O572" s="1" t="str">
        <v/>
      </c>
      <c r="P572" s="1" t="str">
        <v/>
      </c>
      <c r="Q572" s="1">
        <f t="shared" si="32"/>
        <v>0</v>
      </c>
      <c r="R572" s="1">
        <f t="shared" si="33"/>
        <v>0</v>
      </c>
      <c r="T572">
        <f t="shared" si="34"/>
        <v>0</v>
      </c>
      <c r="U572">
        <f t="shared" si="35"/>
        <v>0</v>
      </c>
    </row>
    <row r="573" x14ac:dyDescent="0.35">
      <c r="A573" s="21" t="str">
        <v/>
      </c>
      <c r="B573" s="23" t="str">
        <v/>
      </c>
      <c r="C573" t="str">
        <v/>
      </c>
      <c r="D573" t="str">
        <v/>
      </c>
      <c r="E573" t="str">
        <v/>
      </c>
      <c r="F573" t="str">
        <v/>
      </c>
      <c r="G573" t="str">
        <v/>
      </c>
      <c r="H573" t="str">
        <v/>
      </c>
      <c r="I573" s="2" t="str">
        <v/>
      </c>
      <c r="J573" s="2" t="str">
        <v/>
      </c>
      <c r="K573" s="2" t="str">
        <v/>
      </c>
      <c r="L573" s="1" t="str">
        <v/>
      </c>
      <c r="M573" s="2" t="str">
        <v/>
      </c>
      <c r="N573" s="1" t="str">
        <v/>
      </c>
      <c r="O573" s="1" t="str">
        <v/>
      </c>
      <c r="P573" s="1" t="str">
        <v/>
      </c>
      <c r="Q573" s="1">
        <f t="shared" si="32"/>
        <v>0</v>
      </c>
      <c r="R573" s="1">
        <f t="shared" si="33"/>
        <v>0</v>
      </c>
      <c r="T573">
        <f t="shared" si="34"/>
        <v>0</v>
      </c>
      <c r="U573">
        <f t="shared" si="35"/>
        <v>0</v>
      </c>
    </row>
    <row r="574" x14ac:dyDescent="0.35">
      <c r="A574" s="21" t="str">
        <v/>
      </c>
      <c r="B574" s="23" t="str">
        <v/>
      </c>
      <c r="C574" t="str">
        <v/>
      </c>
      <c r="D574" t="str">
        <v/>
      </c>
      <c r="E574" t="str">
        <v/>
      </c>
      <c r="F574" t="str">
        <v/>
      </c>
      <c r="G574" t="str">
        <v/>
      </c>
      <c r="H574" t="str">
        <v/>
      </c>
      <c r="I574" s="2" t="str">
        <v/>
      </c>
      <c r="J574" s="2" t="str">
        <v/>
      </c>
      <c r="K574" s="2" t="str">
        <v/>
      </c>
      <c r="L574" s="1" t="str">
        <v/>
      </c>
      <c r="M574" s="2" t="str">
        <v/>
      </c>
      <c r="N574" s="1" t="str">
        <v/>
      </c>
      <c r="O574" s="1" t="str">
        <v/>
      </c>
      <c r="P574" s="1" t="str">
        <v/>
      </c>
      <c r="Q574" s="1">
        <f t="shared" si="32"/>
        <v>0</v>
      </c>
      <c r="R574" s="1">
        <f t="shared" si="33"/>
        <v>0</v>
      </c>
      <c r="T574">
        <f t="shared" si="34"/>
        <v>0</v>
      </c>
      <c r="U574">
        <f t="shared" si="35"/>
        <v>0</v>
      </c>
    </row>
    <row r="575" x14ac:dyDescent="0.35">
      <c r="A575" s="21" t="str">
        <v/>
      </c>
      <c r="B575" s="23" t="str">
        <v/>
      </c>
      <c r="C575" t="str">
        <v/>
      </c>
      <c r="D575" t="str">
        <v/>
      </c>
      <c r="E575" t="str">
        <v/>
      </c>
      <c r="F575" t="str">
        <v/>
      </c>
      <c r="G575" t="str">
        <v/>
      </c>
      <c r="H575" t="str">
        <v/>
      </c>
      <c r="I575" s="2" t="str">
        <v/>
      </c>
      <c r="J575" s="2" t="str">
        <v/>
      </c>
      <c r="K575" s="2" t="str">
        <v/>
      </c>
      <c r="L575" s="1" t="str">
        <v/>
      </c>
      <c r="M575" s="2" t="str">
        <v/>
      </c>
      <c r="N575" s="1" t="str">
        <v/>
      </c>
      <c r="O575" s="1" t="str">
        <v/>
      </c>
      <c r="P575" s="1" t="str">
        <v/>
      </c>
      <c r="Q575" s="1">
        <f t="shared" si="32"/>
        <v>0</v>
      </c>
      <c r="R575" s="1">
        <f t="shared" si="33"/>
        <v>0</v>
      </c>
      <c r="T575">
        <f t="shared" si="34"/>
        <v>0</v>
      </c>
      <c r="U575">
        <f t="shared" si="35"/>
        <v>0</v>
      </c>
    </row>
    <row r="576" x14ac:dyDescent="0.35">
      <c r="A576" s="21" t="str">
        <v/>
      </c>
      <c r="B576" s="23" t="str">
        <v/>
      </c>
      <c r="C576" t="str">
        <v/>
      </c>
      <c r="D576" t="str">
        <v/>
      </c>
      <c r="E576" t="str">
        <v/>
      </c>
      <c r="F576" t="str">
        <v/>
      </c>
      <c r="G576" t="str">
        <v/>
      </c>
      <c r="H576" t="str">
        <v/>
      </c>
      <c r="I576" s="2" t="str">
        <v/>
      </c>
      <c r="J576" s="2" t="str">
        <v/>
      </c>
      <c r="K576" s="2" t="str">
        <v/>
      </c>
      <c r="L576" s="1" t="str">
        <v/>
      </c>
      <c r="M576" s="2" t="str">
        <v/>
      </c>
      <c r="N576" s="1" t="str">
        <v/>
      </c>
      <c r="O576" s="1" t="str">
        <v/>
      </c>
      <c r="P576" s="1" t="str">
        <v/>
      </c>
      <c r="Q576" s="1">
        <f t="shared" si="32"/>
        <v>0</v>
      </c>
      <c r="R576" s="1">
        <f t="shared" si="33"/>
        <v>0</v>
      </c>
      <c r="T576">
        <f t="shared" si="34"/>
        <v>0</v>
      </c>
      <c r="U576">
        <f t="shared" si="35"/>
        <v>0</v>
      </c>
    </row>
    <row r="577" x14ac:dyDescent="0.35">
      <c r="A577" s="21" t="str">
        <v/>
      </c>
      <c r="B577" s="23" t="str">
        <v/>
      </c>
      <c r="C577" t="str">
        <v/>
      </c>
      <c r="D577" t="str">
        <v/>
      </c>
      <c r="E577" t="str">
        <v/>
      </c>
      <c r="F577" t="str">
        <v/>
      </c>
      <c r="G577" t="str">
        <v/>
      </c>
      <c r="H577" t="str">
        <v/>
      </c>
      <c r="I577" s="2" t="str">
        <v/>
      </c>
      <c r="J577" s="2" t="str">
        <v/>
      </c>
      <c r="K577" s="2" t="str">
        <v/>
      </c>
      <c r="L577" s="1" t="str">
        <v/>
      </c>
      <c r="M577" s="2" t="str">
        <v/>
      </c>
      <c r="N577" s="1" t="str">
        <v/>
      </c>
      <c r="O577" s="1" t="str">
        <v/>
      </c>
      <c r="P577" s="1" t="str">
        <v/>
      </c>
      <c r="Q577" s="1">
        <f t="shared" si="32"/>
        <v>0</v>
      </c>
      <c r="R577" s="1">
        <f t="shared" si="33"/>
        <v>0</v>
      </c>
      <c r="T577">
        <f t="shared" si="34"/>
        <v>0</v>
      </c>
      <c r="U577">
        <f t="shared" si="35"/>
        <v>0</v>
      </c>
    </row>
    <row r="578" x14ac:dyDescent="0.35">
      <c r="A578" s="21" t="str">
        <v/>
      </c>
      <c r="B578" s="23" t="str">
        <v/>
      </c>
      <c r="C578" t="str">
        <v/>
      </c>
      <c r="D578" t="str">
        <v/>
      </c>
      <c r="E578" t="str">
        <v/>
      </c>
      <c r="F578" t="str">
        <v/>
      </c>
      <c r="G578" t="str">
        <v/>
      </c>
      <c r="H578" t="str">
        <v/>
      </c>
      <c r="I578" s="2" t="str">
        <v/>
      </c>
      <c r="J578" s="2" t="str">
        <v/>
      </c>
      <c r="K578" s="2" t="str">
        <v/>
      </c>
      <c r="L578" s="1" t="str">
        <v/>
      </c>
      <c r="M578" s="2" t="str">
        <v/>
      </c>
      <c r="N578" s="1" t="str">
        <v/>
      </c>
      <c r="O578" s="1" t="str">
        <v/>
      </c>
      <c r="P578" s="1" t="str">
        <v/>
      </c>
      <c r="Q578" s="1">
        <f t="shared" si="32"/>
        <v>0</v>
      </c>
      <c r="R578" s="1">
        <f t="shared" si="33"/>
        <v>0</v>
      </c>
      <c r="T578">
        <f t="shared" si="34"/>
        <v>0</v>
      </c>
      <c r="U578">
        <f t="shared" si="35"/>
        <v>0</v>
      </c>
    </row>
    <row r="579" x14ac:dyDescent="0.35">
      <c r="A579" s="21" t="str">
        <v/>
      </c>
      <c r="B579" s="23" t="str">
        <v/>
      </c>
      <c r="C579" t="str">
        <v/>
      </c>
      <c r="D579" t="str">
        <v/>
      </c>
      <c r="E579" t="str">
        <v/>
      </c>
      <c r="F579" t="str">
        <v/>
      </c>
      <c r="G579" t="str">
        <v/>
      </c>
      <c r="H579" t="str">
        <v/>
      </c>
      <c r="I579" s="2" t="str">
        <v/>
      </c>
      <c r="J579" s="2" t="str">
        <v/>
      </c>
      <c r="K579" s="2" t="str">
        <v/>
      </c>
      <c r="L579" s="1" t="str">
        <v/>
      </c>
      <c r="M579" s="2" t="str">
        <v/>
      </c>
      <c r="N579" s="1" t="str">
        <v/>
      </c>
      <c r="O579" s="1" t="str">
        <v/>
      </c>
      <c r="P579" s="1" t="str">
        <v/>
      </c>
      <c r="Q579" s="1">
        <f t="shared" ref="Q579:Q642" si="36">IF(H579="Sí",1,0)</f>
        <v>0</v>
      </c>
      <c r="R579" s="1">
        <f t="shared" ref="R579:R642" si="37">IF(L579="En coordinación",1,0)</f>
        <v>0</v>
      </c>
      <c r="T579">
        <f t="shared" ref="T579:T642" si="38">IF(N579="Sí",1,0)</f>
        <v>0</v>
      </c>
      <c r="U579">
        <f t="shared" ref="U579:U642" si="39">IF(L579="Aceptada",1,0)</f>
        <v>0</v>
      </c>
    </row>
    <row r="580" x14ac:dyDescent="0.35">
      <c r="A580" s="21" t="str">
        <v/>
      </c>
      <c r="B580" s="23" t="str">
        <v/>
      </c>
      <c r="C580" t="str">
        <v/>
      </c>
      <c r="D580" t="str">
        <v/>
      </c>
      <c r="E580" t="str">
        <v/>
      </c>
      <c r="F580" t="str">
        <v/>
      </c>
      <c r="G580" t="str">
        <v/>
      </c>
      <c r="H580" t="str">
        <v/>
      </c>
      <c r="I580" s="2" t="str">
        <v/>
      </c>
      <c r="J580" s="2" t="str">
        <v/>
      </c>
      <c r="K580" s="2" t="str">
        <v/>
      </c>
      <c r="L580" s="1" t="str">
        <v/>
      </c>
      <c r="M580" s="2" t="str">
        <v/>
      </c>
      <c r="N580" s="1" t="str">
        <v/>
      </c>
      <c r="O580" s="1" t="str">
        <v/>
      </c>
      <c r="P580" s="1" t="str">
        <v/>
      </c>
      <c r="Q580" s="1">
        <f t="shared" si="36"/>
        <v>0</v>
      </c>
      <c r="R580" s="1">
        <f t="shared" si="37"/>
        <v>0</v>
      </c>
      <c r="T580">
        <f t="shared" si="38"/>
        <v>0</v>
      </c>
      <c r="U580">
        <f t="shared" si="39"/>
        <v>0</v>
      </c>
    </row>
    <row r="581" x14ac:dyDescent="0.35">
      <c r="A581" s="21" t="str">
        <v/>
      </c>
      <c r="B581" s="23" t="str">
        <v/>
      </c>
      <c r="C581" t="str">
        <v/>
      </c>
      <c r="D581" t="str">
        <v/>
      </c>
      <c r="E581" t="str">
        <v/>
      </c>
      <c r="F581" t="str">
        <v/>
      </c>
      <c r="G581" t="str">
        <v/>
      </c>
      <c r="H581" t="str">
        <v/>
      </c>
      <c r="I581" s="2" t="str">
        <v/>
      </c>
      <c r="J581" s="2" t="str">
        <v/>
      </c>
      <c r="K581" s="2" t="str">
        <v/>
      </c>
      <c r="L581" s="1" t="str">
        <v/>
      </c>
      <c r="M581" s="2" t="str">
        <v/>
      </c>
      <c r="N581" s="1" t="str">
        <v/>
      </c>
      <c r="O581" s="1" t="str">
        <v/>
      </c>
      <c r="P581" s="1" t="str">
        <v/>
      </c>
      <c r="Q581" s="1">
        <f t="shared" si="36"/>
        <v>0</v>
      </c>
      <c r="R581" s="1">
        <f t="shared" si="37"/>
        <v>0</v>
      </c>
      <c r="T581">
        <f t="shared" si="38"/>
        <v>0</v>
      </c>
      <c r="U581">
        <f t="shared" si="39"/>
        <v>0</v>
      </c>
    </row>
    <row r="582" x14ac:dyDescent="0.35">
      <c r="A582" s="21" t="str">
        <v/>
      </c>
      <c r="B582" s="23" t="str">
        <v/>
      </c>
      <c r="C582" t="str">
        <v/>
      </c>
      <c r="D582" t="str">
        <v/>
      </c>
      <c r="E582" t="str">
        <v/>
      </c>
      <c r="F582" t="str">
        <v/>
      </c>
      <c r="G582" t="str">
        <v/>
      </c>
      <c r="H582" t="str">
        <v/>
      </c>
      <c r="I582" s="2" t="str">
        <v/>
      </c>
      <c r="J582" s="2" t="str">
        <v/>
      </c>
      <c r="K582" s="2" t="str">
        <v/>
      </c>
      <c r="L582" s="1" t="str">
        <v/>
      </c>
      <c r="M582" s="2" t="str">
        <v/>
      </c>
      <c r="N582" s="1" t="str">
        <v/>
      </c>
      <c r="O582" s="1" t="str">
        <v/>
      </c>
      <c r="P582" s="1" t="str">
        <v/>
      </c>
      <c r="Q582" s="1">
        <f t="shared" si="36"/>
        <v>0</v>
      </c>
      <c r="R582" s="1">
        <f t="shared" si="37"/>
        <v>0</v>
      </c>
      <c r="T582">
        <f t="shared" si="38"/>
        <v>0</v>
      </c>
      <c r="U582">
        <f t="shared" si="39"/>
        <v>0</v>
      </c>
    </row>
    <row r="583" x14ac:dyDescent="0.35">
      <c r="A583" s="21" t="str">
        <v/>
      </c>
      <c r="B583" s="23" t="str">
        <v/>
      </c>
      <c r="C583" t="str">
        <v/>
      </c>
      <c r="D583" t="str">
        <v/>
      </c>
      <c r="E583" t="str">
        <v/>
      </c>
      <c r="F583" t="str">
        <v/>
      </c>
      <c r="G583" t="str">
        <v/>
      </c>
      <c r="H583" t="str">
        <v/>
      </c>
      <c r="I583" s="2" t="str">
        <v/>
      </c>
      <c r="J583" s="2" t="str">
        <v/>
      </c>
      <c r="K583" s="2" t="str">
        <v/>
      </c>
      <c r="L583" s="1" t="str">
        <v/>
      </c>
      <c r="M583" s="2" t="str">
        <v/>
      </c>
      <c r="N583" s="1" t="str">
        <v/>
      </c>
      <c r="O583" s="1" t="str">
        <v/>
      </c>
      <c r="P583" s="1" t="str">
        <v/>
      </c>
      <c r="Q583" s="1">
        <f t="shared" si="36"/>
        <v>0</v>
      </c>
      <c r="R583" s="1">
        <f t="shared" si="37"/>
        <v>0</v>
      </c>
      <c r="T583">
        <f t="shared" si="38"/>
        <v>0</v>
      </c>
      <c r="U583">
        <f t="shared" si="39"/>
        <v>0</v>
      </c>
    </row>
    <row r="584" x14ac:dyDescent="0.35">
      <c r="A584" s="21" t="str">
        <v/>
      </c>
      <c r="B584" s="23" t="str">
        <v/>
      </c>
      <c r="C584" t="str">
        <v/>
      </c>
      <c r="D584" t="str">
        <v/>
      </c>
      <c r="E584" t="str">
        <v/>
      </c>
      <c r="F584" t="str">
        <v/>
      </c>
      <c r="G584" t="str">
        <v/>
      </c>
      <c r="H584" t="str">
        <v/>
      </c>
      <c r="I584" s="2" t="str">
        <v/>
      </c>
      <c r="J584" s="2" t="str">
        <v/>
      </c>
      <c r="K584" s="2" t="str">
        <v/>
      </c>
      <c r="L584" s="1" t="str">
        <v/>
      </c>
      <c r="M584" s="2" t="str">
        <v/>
      </c>
      <c r="N584" s="1" t="str">
        <v/>
      </c>
      <c r="O584" s="1" t="str">
        <v/>
      </c>
      <c r="P584" s="1" t="str">
        <v/>
      </c>
      <c r="Q584" s="1">
        <f t="shared" si="36"/>
        <v>0</v>
      </c>
      <c r="R584" s="1">
        <f t="shared" si="37"/>
        <v>0</v>
      </c>
      <c r="T584">
        <f t="shared" si="38"/>
        <v>0</v>
      </c>
      <c r="U584">
        <f t="shared" si="39"/>
        <v>0</v>
      </c>
    </row>
    <row r="585" x14ac:dyDescent="0.35">
      <c r="A585" s="21" t="str">
        <v/>
      </c>
      <c r="B585" s="23" t="str">
        <v/>
      </c>
      <c r="C585" t="str">
        <v/>
      </c>
      <c r="D585" t="str">
        <v/>
      </c>
      <c r="E585" t="str">
        <v/>
      </c>
      <c r="F585" t="str">
        <v/>
      </c>
      <c r="G585" t="str">
        <v/>
      </c>
      <c r="H585" t="str">
        <v/>
      </c>
      <c r="I585" s="2" t="str">
        <v/>
      </c>
      <c r="J585" s="2" t="str">
        <v/>
      </c>
      <c r="K585" s="2" t="str">
        <v/>
      </c>
      <c r="L585" s="1" t="str">
        <v/>
      </c>
      <c r="M585" s="2" t="str">
        <v/>
      </c>
      <c r="N585" s="1" t="str">
        <v/>
      </c>
      <c r="O585" s="1" t="str">
        <v/>
      </c>
      <c r="P585" s="1" t="str">
        <v/>
      </c>
      <c r="Q585" s="1">
        <f t="shared" si="36"/>
        <v>0</v>
      </c>
      <c r="R585" s="1">
        <f t="shared" si="37"/>
        <v>0</v>
      </c>
      <c r="T585">
        <f t="shared" si="38"/>
        <v>0</v>
      </c>
      <c r="U585">
        <f t="shared" si="39"/>
        <v>0</v>
      </c>
    </row>
    <row r="586" x14ac:dyDescent="0.35">
      <c r="A586" s="21" t="str">
        <v/>
      </c>
      <c r="B586" s="23" t="str">
        <v/>
      </c>
      <c r="C586" t="str">
        <v/>
      </c>
      <c r="D586" t="str">
        <v/>
      </c>
      <c r="E586" t="str">
        <v/>
      </c>
      <c r="F586" t="str">
        <v/>
      </c>
      <c r="G586" t="str">
        <v/>
      </c>
      <c r="H586" t="str">
        <v/>
      </c>
      <c r="I586" s="2" t="str">
        <v/>
      </c>
      <c r="J586" s="2" t="str">
        <v/>
      </c>
      <c r="K586" s="2" t="str">
        <v/>
      </c>
      <c r="L586" s="1" t="str">
        <v/>
      </c>
      <c r="M586" s="2" t="str">
        <v/>
      </c>
      <c r="N586" s="1" t="str">
        <v/>
      </c>
      <c r="O586" s="1" t="str">
        <v/>
      </c>
      <c r="P586" s="1" t="str">
        <v/>
      </c>
      <c r="Q586" s="1">
        <f t="shared" si="36"/>
        <v>0</v>
      </c>
      <c r="R586" s="1">
        <f t="shared" si="37"/>
        <v>0</v>
      </c>
      <c r="T586">
        <f t="shared" si="38"/>
        <v>0</v>
      </c>
      <c r="U586">
        <f t="shared" si="39"/>
        <v>0</v>
      </c>
    </row>
    <row r="587" x14ac:dyDescent="0.35">
      <c r="A587" s="21" t="str">
        <v/>
      </c>
      <c r="B587" s="23" t="str">
        <v/>
      </c>
      <c r="C587" t="str">
        <v/>
      </c>
      <c r="D587" t="str">
        <v/>
      </c>
      <c r="E587" t="str">
        <v/>
      </c>
      <c r="F587" t="str">
        <v/>
      </c>
      <c r="G587" t="str">
        <v/>
      </c>
      <c r="H587" t="str">
        <v/>
      </c>
      <c r="I587" s="2" t="str">
        <v/>
      </c>
      <c r="J587" s="2" t="str">
        <v/>
      </c>
      <c r="K587" s="2" t="str">
        <v/>
      </c>
      <c r="L587" s="1" t="str">
        <v/>
      </c>
      <c r="M587" s="2" t="str">
        <v/>
      </c>
      <c r="N587" s="1" t="str">
        <v/>
      </c>
      <c r="O587" s="1" t="str">
        <v/>
      </c>
      <c r="P587" s="1" t="str">
        <v/>
      </c>
      <c r="Q587" s="1">
        <f t="shared" si="36"/>
        <v>0</v>
      </c>
      <c r="R587" s="1">
        <f t="shared" si="37"/>
        <v>0</v>
      </c>
      <c r="T587">
        <f t="shared" si="38"/>
        <v>0</v>
      </c>
      <c r="U587">
        <f t="shared" si="39"/>
        <v>0</v>
      </c>
    </row>
    <row r="588" x14ac:dyDescent="0.35">
      <c r="A588" s="21" t="str">
        <v/>
      </c>
      <c r="B588" s="23" t="str">
        <v/>
      </c>
      <c r="C588" t="str">
        <v/>
      </c>
      <c r="D588" t="str">
        <v/>
      </c>
      <c r="E588" t="str">
        <v/>
      </c>
      <c r="F588" t="str">
        <v/>
      </c>
      <c r="G588" t="str">
        <v/>
      </c>
      <c r="H588" t="str">
        <v/>
      </c>
      <c r="I588" s="2" t="str">
        <v/>
      </c>
      <c r="J588" s="2" t="str">
        <v/>
      </c>
      <c r="K588" s="2" t="str">
        <v/>
      </c>
      <c r="L588" s="1" t="str">
        <v/>
      </c>
      <c r="M588" s="2" t="str">
        <v/>
      </c>
      <c r="N588" s="1" t="str">
        <v/>
      </c>
      <c r="O588" s="1" t="str">
        <v/>
      </c>
      <c r="P588" s="1" t="str">
        <v/>
      </c>
      <c r="Q588" s="1">
        <f t="shared" si="36"/>
        <v>0</v>
      </c>
      <c r="R588" s="1">
        <f t="shared" si="37"/>
        <v>0</v>
      </c>
      <c r="T588">
        <f t="shared" si="38"/>
        <v>0</v>
      </c>
      <c r="U588">
        <f t="shared" si="39"/>
        <v>0</v>
      </c>
    </row>
    <row r="589" x14ac:dyDescent="0.35">
      <c r="A589" s="21" t="str">
        <v/>
      </c>
      <c r="B589" s="23" t="str">
        <v/>
      </c>
      <c r="C589" t="str">
        <v/>
      </c>
      <c r="D589" t="str">
        <v/>
      </c>
      <c r="E589" t="str">
        <v/>
      </c>
      <c r="F589" t="str">
        <v/>
      </c>
      <c r="G589" t="str">
        <v/>
      </c>
      <c r="H589" t="str">
        <v/>
      </c>
      <c r="I589" s="2" t="str">
        <v/>
      </c>
      <c r="J589" s="2" t="str">
        <v/>
      </c>
      <c r="K589" s="2" t="str">
        <v/>
      </c>
      <c r="L589" s="1" t="str">
        <v/>
      </c>
      <c r="M589" s="2" t="str">
        <v/>
      </c>
      <c r="N589" s="1" t="str">
        <v/>
      </c>
      <c r="O589" s="1" t="str">
        <v/>
      </c>
      <c r="P589" s="1" t="str">
        <v/>
      </c>
      <c r="Q589" s="1">
        <f t="shared" si="36"/>
        <v>0</v>
      </c>
      <c r="R589" s="1">
        <f t="shared" si="37"/>
        <v>0</v>
      </c>
      <c r="T589">
        <f t="shared" si="38"/>
        <v>0</v>
      </c>
      <c r="U589">
        <f t="shared" si="39"/>
        <v>0</v>
      </c>
    </row>
    <row r="590" x14ac:dyDescent="0.35">
      <c r="A590" s="21" t="str">
        <v/>
      </c>
      <c r="B590" s="23" t="str">
        <v/>
      </c>
      <c r="C590" t="str">
        <v/>
      </c>
      <c r="D590" t="str">
        <v/>
      </c>
      <c r="E590" t="str">
        <v/>
      </c>
      <c r="F590" t="str">
        <v/>
      </c>
      <c r="G590" t="str">
        <v/>
      </c>
      <c r="H590" t="str">
        <v/>
      </c>
      <c r="I590" s="2" t="str">
        <v/>
      </c>
      <c r="J590" s="2" t="str">
        <v/>
      </c>
      <c r="K590" s="2" t="str">
        <v/>
      </c>
      <c r="L590" s="1" t="str">
        <v/>
      </c>
      <c r="M590" s="2" t="str">
        <v/>
      </c>
      <c r="N590" s="1" t="str">
        <v/>
      </c>
      <c r="O590" s="1" t="str">
        <v/>
      </c>
      <c r="P590" s="1" t="str">
        <v/>
      </c>
      <c r="Q590" s="1">
        <f t="shared" si="36"/>
        <v>0</v>
      </c>
      <c r="R590" s="1">
        <f t="shared" si="37"/>
        <v>0</v>
      </c>
      <c r="T590">
        <f t="shared" si="38"/>
        <v>0</v>
      </c>
      <c r="U590">
        <f t="shared" si="39"/>
        <v>0</v>
      </c>
    </row>
    <row r="591" x14ac:dyDescent="0.35">
      <c r="A591" s="21" t="str">
        <v/>
      </c>
      <c r="B591" s="23" t="str">
        <v/>
      </c>
      <c r="C591" t="str">
        <v/>
      </c>
      <c r="D591" t="str">
        <v/>
      </c>
      <c r="E591" t="str">
        <v/>
      </c>
      <c r="F591" t="str">
        <v/>
      </c>
      <c r="G591" t="str">
        <v/>
      </c>
      <c r="H591" t="str">
        <v/>
      </c>
      <c r="I591" s="2" t="str">
        <v/>
      </c>
      <c r="J591" s="2" t="str">
        <v/>
      </c>
      <c r="K591" s="2" t="str">
        <v/>
      </c>
      <c r="L591" s="1" t="str">
        <v/>
      </c>
      <c r="M591" s="2" t="str">
        <v/>
      </c>
      <c r="N591" s="1" t="str">
        <v/>
      </c>
      <c r="O591" s="1" t="str">
        <v/>
      </c>
      <c r="P591" s="1" t="str">
        <v/>
      </c>
      <c r="Q591" s="1">
        <f t="shared" si="36"/>
        <v>0</v>
      </c>
      <c r="R591" s="1">
        <f t="shared" si="37"/>
        <v>0</v>
      </c>
      <c r="T591">
        <f t="shared" si="38"/>
        <v>0</v>
      </c>
      <c r="U591">
        <f t="shared" si="39"/>
        <v>0</v>
      </c>
    </row>
    <row r="592" x14ac:dyDescent="0.35">
      <c r="A592" s="21" t="str">
        <v/>
      </c>
      <c r="B592" s="23" t="str">
        <v/>
      </c>
      <c r="C592" t="str">
        <v/>
      </c>
      <c r="D592" t="str">
        <v/>
      </c>
      <c r="E592" t="str">
        <v/>
      </c>
      <c r="F592" t="str">
        <v/>
      </c>
      <c r="G592" t="str">
        <v/>
      </c>
      <c r="H592" t="str">
        <v/>
      </c>
      <c r="I592" s="2" t="str">
        <v/>
      </c>
      <c r="J592" s="2" t="str">
        <v/>
      </c>
      <c r="K592" s="2" t="str">
        <v/>
      </c>
      <c r="L592" s="1" t="str">
        <v/>
      </c>
      <c r="M592" s="2" t="str">
        <v/>
      </c>
      <c r="N592" s="1" t="str">
        <v/>
      </c>
      <c r="O592" s="1" t="str">
        <v/>
      </c>
      <c r="P592" s="1" t="str">
        <v/>
      </c>
      <c r="Q592" s="1">
        <f t="shared" si="36"/>
        <v>0</v>
      </c>
      <c r="R592" s="1">
        <f t="shared" si="37"/>
        <v>0</v>
      </c>
      <c r="T592">
        <f t="shared" si="38"/>
        <v>0</v>
      </c>
      <c r="U592">
        <f t="shared" si="39"/>
        <v>0</v>
      </c>
    </row>
    <row r="593" x14ac:dyDescent="0.35">
      <c r="A593" s="21" t="str">
        <v/>
      </c>
      <c r="B593" s="23" t="str">
        <v/>
      </c>
      <c r="C593" t="str">
        <v/>
      </c>
      <c r="D593" t="str">
        <v/>
      </c>
      <c r="E593" t="str">
        <v/>
      </c>
      <c r="F593" t="str">
        <v/>
      </c>
      <c r="G593" t="str">
        <v/>
      </c>
      <c r="H593" t="str">
        <v/>
      </c>
      <c r="I593" s="2" t="str">
        <v/>
      </c>
      <c r="J593" s="2" t="str">
        <v/>
      </c>
      <c r="K593" s="2" t="str">
        <v/>
      </c>
      <c r="L593" s="1" t="str">
        <v/>
      </c>
      <c r="M593" s="2" t="str">
        <v/>
      </c>
      <c r="N593" s="1" t="str">
        <v/>
      </c>
      <c r="O593" s="1" t="str">
        <v/>
      </c>
      <c r="P593" s="1" t="str">
        <v/>
      </c>
      <c r="Q593" s="1">
        <f t="shared" si="36"/>
        <v>0</v>
      </c>
      <c r="R593" s="1">
        <f t="shared" si="37"/>
        <v>0</v>
      </c>
      <c r="T593">
        <f t="shared" si="38"/>
        <v>0</v>
      </c>
      <c r="U593">
        <f t="shared" si="39"/>
        <v>0</v>
      </c>
    </row>
    <row r="594" x14ac:dyDescent="0.35">
      <c r="A594" s="21" t="str">
        <v/>
      </c>
      <c r="B594" s="23" t="str">
        <v/>
      </c>
      <c r="C594" t="str">
        <v/>
      </c>
      <c r="D594" t="str">
        <v/>
      </c>
      <c r="E594" t="str">
        <v/>
      </c>
      <c r="F594" t="str">
        <v/>
      </c>
      <c r="G594" t="str">
        <v/>
      </c>
      <c r="H594" t="str">
        <v/>
      </c>
      <c r="I594" s="2" t="str">
        <v/>
      </c>
      <c r="J594" s="2" t="str">
        <v/>
      </c>
      <c r="K594" s="2" t="str">
        <v/>
      </c>
      <c r="L594" s="1" t="str">
        <v/>
      </c>
      <c r="M594" s="2" t="str">
        <v/>
      </c>
      <c r="N594" s="1" t="str">
        <v/>
      </c>
      <c r="O594" s="1" t="str">
        <v/>
      </c>
      <c r="P594" s="1" t="str">
        <v/>
      </c>
      <c r="Q594" s="1">
        <f t="shared" si="36"/>
        <v>0</v>
      </c>
      <c r="R594" s="1">
        <f t="shared" si="37"/>
        <v>0</v>
      </c>
      <c r="T594">
        <f t="shared" si="38"/>
        <v>0</v>
      </c>
      <c r="U594">
        <f t="shared" si="39"/>
        <v>0</v>
      </c>
    </row>
    <row r="595" x14ac:dyDescent="0.35">
      <c r="A595" s="21" t="str">
        <v/>
      </c>
      <c r="B595" s="23" t="str">
        <v/>
      </c>
      <c r="C595" t="str">
        <v/>
      </c>
      <c r="D595" t="str">
        <v/>
      </c>
      <c r="E595" t="str">
        <v/>
      </c>
      <c r="F595" t="str">
        <v/>
      </c>
      <c r="G595" t="str">
        <v/>
      </c>
      <c r="H595" t="str">
        <v/>
      </c>
      <c r="I595" s="2" t="str">
        <v/>
      </c>
      <c r="J595" s="2" t="str">
        <v/>
      </c>
      <c r="K595" s="2" t="str">
        <v/>
      </c>
      <c r="L595" s="1" t="str">
        <v/>
      </c>
      <c r="M595" s="2" t="str">
        <v/>
      </c>
      <c r="N595" s="1" t="str">
        <v/>
      </c>
      <c r="O595" s="1" t="str">
        <v/>
      </c>
      <c r="P595" s="1" t="str">
        <v/>
      </c>
      <c r="Q595" s="1">
        <f t="shared" si="36"/>
        <v>0</v>
      </c>
      <c r="R595" s="1">
        <f t="shared" si="37"/>
        <v>0</v>
      </c>
      <c r="T595">
        <f t="shared" si="38"/>
        <v>0</v>
      </c>
      <c r="U595">
        <f t="shared" si="39"/>
        <v>0</v>
      </c>
    </row>
    <row r="596" x14ac:dyDescent="0.35">
      <c r="A596" s="21" t="str">
        <v/>
      </c>
      <c r="B596" s="23" t="str">
        <v/>
      </c>
      <c r="C596" t="str">
        <v/>
      </c>
      <c r="D596" t="str">
        <v/>
      </c>
      <c r="E596" t="str">
        <v/>
      </c>
      <c r="F596" t="str">
        <v/>
      </c>
      <c r="G596" t="str">
        <v/>
      </c>
      <c r="H596" t="str">
        <v/>
      </c>
      <c r="I596" s="2" t="str">
        <v/>
      </c>
      <c r="J596" s="2" t="str">
        <v/>
      </c>
      <c r="K596" s="2" t="str">
        <v/>
      </c>
      <c r="L596" s="1" t="str">
        <v/>
      </c>
      <c r="M596" s="2" t="str">
        <v/>
      </c>
      <c r="N596" s="1" t="str">
        <v/>
      </c>
      <c r="O596" s="1" t="str">
        <v/>
      </c>
      <c r="P596" s="1" t="str">
        <v/>
      </c>
      <c r="Q596" s="1">
        <f t="shared" si="36"/>
        <v>0</v>
      </c>
      <c r="R596" s="1">
        <f t="shared" si="37"/>
        <v>0</v>
      </c>
      <c r="T596">
        <f t="shared" si="38"/>
        <v>0</v>
      </c>
      <c r="U596">
        <f t="shared" si="39"/>
        <v>0</v>
      </c>
    </row>
    <row r="597" x14ac:dyDescent="0.35">
      <c r="A597" s="21" t="str">
        <v/>
      </c>
      <c r="B597" s="23" t="str">
        <v/>
      </c>
      <c r="C597" t="str">
        <v/>
      </c>
      <c r="D597" t="str">
        <v/>
      </c>
      <c r="E597" t="str">
        <v/>
      </c>
      <c r="F597" t="str">
        <v/>
      </c>
      <c r="G597" t="str">
        <v/>
      </c>
      <c r="H597" t="str">
        <v/>
      </c>
      <c r="I597" s="2" t="str">
        <v/>
      </c>
      <c r="J597" s="2" t="str">
        <v/>
      </c>
      <c r="K597" s="2" t="str">
        <v/>
      </c>
      <c r="L597" s="1" t="str">
        <v/>
      </c>
      <c r="M597" s="2" t="str">
        <v/>
      </c>
      <c r="N597" s="1" t="str">
        <v/>
      </c>
      <c r="O597" s="1" t="str">
        <v/>
      </c>
      <c r="P597" s="1" t="str">
        <v/>
      </c>
      <c r="Q597" s="1">
        <f t="shared" si="36"/>
        <v>0</v>
      </c>
      <c r="R597" s="1">
        <f t="shared" si="37"/>
        <v>0</v>
      </c>
      <c r="T597">
        <f t="shared" si="38"/>
        <v>0</v>
      </c>
      <c r="U597">
        <f t="shared" si="39"/>
        <v>0</v>
      </c>
    </row>
    <row r="598" x14ac:dyDescent="0.35">
      <c r="A598" s="21" t="str">
        <v/>
      </c>
      <c r="B598" s="23" t="str">
        <v/>
      </c>
      <c r="C598" t="str">
        <v/>
      </c>
      <c r="D598" t="str">
        <v/>
      </c>
      <c r="E598" t="str">
        <v/>
      </c>
      <c r="F598" t="str">
        <v/>
      </c>
      <c r="G598" t="str">
        <v/>
      </c>
      <c r="H598" t="str">
        <v/>
      </c>
      <c r="I598" s="2" t="str">
        <v/>
      </c>
      <c r="J598" s="2" t="str">
        <v/>
      </c>
      <c r="K598" s="2" t="str">
        <v/>
      </c>
      <c r="L598" s="1" t="str">
        <v/>
      </c>
      <c r="M598" s="2" t="str">
        <v/>
      </c>
      <c r="N598" s="1" t="str">
        <v/>
      </c>
      <c r="O598" s="1" t="str">
        <v/>
      </c>
      <c r="P598" s="1" t="str">
        <v/>
      </c>
      <c r="Q598" s="1">
        <f t="shared" si="36"/>
        <v>0</v>
      </c>
      <c r="R598" s="1">
        <f t="shared" si="37"/>
        <v>0</v>
      </c>
      <c r="T598">
        <f t="shared" si="38"/>
        <v>0</v>
      </c>
      <c r="U598">
        <f t="shared" si="39"/>
        <v>0</v>
      </c>
    </row>
    <row r="599" x14ac:dyDescent="0.35">
      <c r="A599" s="21" t="str">
        <v/>
      </c>
      <c r="B599" s="23" t="str">
        <v/>
      </c>
      <c r="C599" t="str">
        <v/>
      </c>
      <c r="D599" t="str">
        <v/>
      </c>
      <c r="E599" t="str">
        <v/>
      </c>
      <c r="F599" t="str">
        <v/>
      </c>
      <c r="G599" t="str">
        <v/>
      </c>
      <c r="H599" t="str">
        <v/>
      </c>
      <c r="I599" s="2" t="str">
        <v/>
      </c>
      <c r="J599" s="2" t="str">
        <v/>
      </c>
      <c r="K599" s="2" t="str">
        <v/>
      </c>
      <c r="L599" s="1" t="str">
        <v/>
      </c>
      <c r="M599" s="2" t="str">
        <v/>
      </c>
      <c r="N599" s="1" t="str">
        <v/>
      </c>
      <c r="O599" s="1" t="str">
        <v/>
      </c>
      <c r="P599" s="1" t="str">
        <v/>
      </c>
      <c r="Q599" s="1">
        <f t="shared" si="36"/>
        <v>0</v>
      </c>
      <c r="R599" s="1">
        <f t="shared" si="37"/>
        <v>0</v>
      </c>
      <c r="T599">
        <f t="shared" si="38"/>
        <v>0</v>
      </c>
      <c r="U599">
        <f t="shared" si="39"/>
        <v>0</v>
      </c>
    </row>
    <row r="600" x14ac:dyDescent="0.35">
      <c r="A600" s="21" t="str">
        <v/>
      </c>
      <c r="B600" s="23" t="str">
        <v/>
      </c>
      <c r="C600" t="str">
        <v/>
      </c>
      <c r="D600" t="str">
        <v/>
      </c>
      <c r="E600" t="str">
        <v/>
      </c>
      <c r="F600" t="str">
        <v/>
      </c>
      <c r="G600" t="str">
        <v/>
      </c>
      <c r="H600" t="str">
        <v/>
      </c>
      <c r="I600" s="2" t="str">
        <v/>
      </c>
      <c r="J600" s="2" t="str">
        <v/>
      </c>
      <c r="K600" s="2" t="str">
        <v/>
      </c>
      <c r="L600" s="1" t="str">
        <v/>
      </c>
      <c r="M600" s="2" t="str">
        <v/>
      </c>
      <c r="N600" s="1" t="str">
        <v/>
      </c>
      <c r="O600" s="1" t="str">
        <v/>
      </c>
      <c r="P600" s="1" t="str">
        <v/>
      </c>
      <c r="Q600" s="1">
        <f t="shared" si="36"/>
        <v>0</v>
      </c>
      <c r="R600" s="1">
        <f t="shared" si="37"/>
        <v>0</v>
      </c>
      <c r="T600">
        <f t="shared" si="38"/>
        <v>0</v>
      </c>
      <c r="U600">
        <f t="shared" si="39"/>
        <v>0</v>
      </c>
    </row>
    <row r="601" x14ac:dyDescent="0.35">
      <c r="A601" s="21" t="str">
        <v/>
      </c>
      <c r="B601" s="23" t="str">
        <v/>
      </c>
      <c r="C601" t="str">
        <v/>
      </c>
      <c r="D601" t="str">
        <v/>
      </c>
      <c r="E601" t="str">
        <v/>
      </c>
      <c r="F601" t="str">
        <v/>
      </c>
      <c r="G601" t="str">
        <v/>
      </c>
      <c r="H601" t="str">
        <v/>
      </c>
      <c r="I601" s="2" t="str">
        <v/>
      </c>
      <c r="J601" s="2" t="str">
        <v/>
      </c>
      <c r="K601" s="2" t="str">
        <v/>
      </c>
      <c r="L601" s="1" t="str">
        <v/>
      </c>
      <c r="M601" s="2" t="str">
        <v/>
      </c>
      <c r="N601" s="1" t="str">
        <v/>
      </c>
      <c r="O601" s="1" t="str">
        <v/>
      </c>
      <c r="P601" s="1" t="str">
        <v/>
      </c>
      <c r="Q601" s="1">
        <f t="shared" si="36"/>
        <v>0</v>
      </c>
      <c r="R601" s="1">
        <f t="shared" si="37"/>
        <v>0</v>
      </c>
      <c r="T601">
        <f t="shared" si="38"/>
        <v>0</v>
      </c>
      <c r="U601">
        <f t="shared" si="39"/>
        <v>0</v>
      </c>
    </row>
    <row r="602" x14ac:dyDescent="0.35">
      <c r="A602" s="21" t="str">
        <v/>
      </c>
      <c r="B602" s="23" t="str">
        <v/>
      </c>
      <c r="C602" t="str">
        <v/>
      </c>
      <c r="D602" t="str">
        <v/>
      </c>
      <c r="E602" t="str">
        <v/>
      </c>
      <c r="F602" t="str">
        <v/>
      </c>
      <c r="G602" t="str">
        <v/>
      </c>
      <c r="H602" t="str">
        <v/>
      </c>
      <c r="I602" s="2" t="str">
        <v/>
      </c>
      <c r="J602" s="2" t="str">
        <v/>
      </c>
      <c r="K602" s="2" t="str">
        <v/>
      </c>
      <c r="L602" s="1" t="str">
        <v/>
      </c>
      <c r="M602" s="2" t="str">
        <v/>
      </c>
      <c r="N602" s="1" t="str">
        <v/>
      </c>
      <c r="O602" s="1" t="str">
        <v/>
      </c>
      <c r="P602" s="1" t="str">
        <v/>
      </c>
      <c r="Q602" s="1">
        <f t="shared" si="36"/>
        <v>0</v>
      </c>
      <c r="R602" s="1">
        <f t="shared" si="37"/>
        <v>0</v>
      </c>
      <c r="T602">
        <f t="shared" si="38"/>
        <v>0</v>
      </c>
      <c r="U602">
        <f t="shared" si="39"/>
        <v>0</v>
      </c>
    </row>
    <row r="603" x14ac:dyDescent="0.35">
      <c r="A603" s="21" t="str">
        <v/>
      </c>
      <c r="B603" s="23" t="str">
        <v/>
      </c>
      <c r="C603" t="str">
        <v/>
      </c>
      <c r="D603" t="str">
        <v/>
      </c>
      <c r="E603" t="str">
        <v/>
      </c>
      <c r="F603" t="str">
        <v/>
      </c>
      <c r="G603" t="str">
        <v/>
      </c>
      <c r="H603" t="str">
        <v/>
      </c>
      <c r="I603" s="2" t="str">
        <v/>
      </c>
      <c r="J603" s="2" t="str">
        <v/>
      </c>
      <c r="K603" s="2" t="str">
        <v/>
      </c>
      <c r="L603" s="1" t="str">
        <v/>
      </c>
      <c r="M603" s="2" t="str">
        <v/>
      </c>
      <c r="N603" s="1" t="str">
        <v/>
      </c>
      <c r="O603" s="1" t="str">
        <v/>
      </c>
      <c r="P603" s="1" t="str">
        <v/>
      </c>
      <c r="Q603" s="1">
        <f t="shared" si="36"/>
        <v>0</v>
      </c>
      <c r="R603" s="1">
        <f t="shared" si="37"/>
        <v>0</v>
      </c>
      <c r="T603">
        <f t="shared" si="38"/>
        <v>0</v>
      </c>
      <c r="U603">
        <f t="shared" si="39"/>
        <v>0</v>
      </c>
    </row>
    <row r="604" x14ac:dyDescent="0.35">
      <c r="A604" s="21" t="str">
        <v/>
      </c>
      <c r="B604" s="23" t="str">
        <v/>
      </c>
      <c r="C604" t="str">
        <v/>
      </c>
      <c r="D604" t="str">
        <v/>
      </c>
      <c r="E604" t="str">
        <v/>
      </c>
      <c r="F604" t="str">
        <v/>
      </c>
      <c r="G604" t="str">
        <v/>
      </c>
      <c r="H604" t="str">
        <v/>
      </c>
      <c r="I604" s="2" t="str">
        <v/>
      </c>
      <c r="J604" s="2" t="str">
        <v/>
      </c>
      <c r="K604" s="2" t="str">
        <v/>
      </c>
      <c r="L604" s="1" t="str">
        <v/>
      </c>
      <c r="M604" s="2" t="str">
        <v/>
      </c>
      <c r="N604" s="1" t="str">
        <v/>
      </c>
      <c r="O604" s="1" t="str">
        <v/>
      </c>
      <c r="P604" s="1" t="str">
        <v/>
      </c>
      <c r="Q604" s="1">
        <f t="shared" si="36"/>
        <v>0</v>
      </c>
      <c r="R604" s="1">
        <f t="shared" si="37"/>
        <v>0</v>
      </c>
      <c r="T604">
        <f t="shared" si="38"/>
        <v>0</v>
      </c>
      <c r="U604">
        <f t="shared" si="39"/>
        <v>0</v>
      </c>
    </row>
    <row r="605" x14ac:dyDescent="0.35">
      <c r="A605" s="21" t="str">
        <v/>
      </c>
      <c r="B605" s="23" t="str">
        <v/>
      </c>
      <c r="C605" t="str">
        <v/>
      </c>
      <c r="D605" t="str">
        <v/>
      </c>
      <c r="E605" t="str">
        <v/>
      </c>
      <c r="F605" t="str">
        <v/>
      </c>
      <c r="G605" t="str">
        <v/>
      </c>
      <c r="H605" t="str">
        <v/>
      </c>
      <c r="I605" s="2" t="str">
        <v/>
      </c>
      <c r="J605" s="2" t="str">
        <v/>
      </c>
      <c r="K605" s="2" t="str">
        <v/>
      </c>
      <c r="L605" s="1" t="str">
        <v/>
      </c>
      <c r="M605" s="2" t="str">
        <v/>
      </c>
      <c r="N605" s="1" t="str">
        <v/>
      </c>
      <c r="O605" s="1" t="str">
        <v/>
      </c>
      <c r="P605" s="1" t="str">
        <v/>
      </c>
      <c r="Q605" s="1">
        <f t="shared" si="36"/>
        <v>0</v>
      </c>
      <c r="R605" s="1">
        <f t="shared" si="37"/>
        <v>0</v>
      </c>
      <c r="T605">
        <f t="shared" si="38"/>
        <v>0</v>
      </c>
      <c r="U605">
        <f t="shared" si="39"/>
        <v>0</v>
      </c>
    </row>
    <row r="606" x14ac:dyDescent="0.35">
      <c r="A606" s="21" t="str">
        <v/>
      </c>
      <c r="B606" s="23" t="str">
        <v/>
      </c>
      <c r="C606" t="str">
        <v/>
      </c>
      <c r="D606" t="str">
        <v/>
      </c>
      <c r="E606" t="str">
        <v/>
      </c>
      <c r="F606" t="str">
        <v/>
      </c>
      <c r="G606" t="str">
        <v/>
      </c>
      <c r="H606" t="str">
        <v/>
      </c>
      <c r="I606" s="2" t="str">
        <v/>
      </c>
      <c r="J606" s="2" t="str">
        <v/>
      </c>
      <c r="K606" s="2" t="str">
        <v/>
      </c>
      <c r="L606" s="1" t="str">
        <v/>
      </c>
      <c r="M606" s="2" t="str">
        <v/>
      </c>
      <c r="N606" s="1" t="str">
        <v/>
      </c>
      <c r="O606" s="1" t="str">
        <v/>
      </c>
      <c r="P606" s="1" t="str">
        <v/>
      </c>
      <c r="Q606" s="1">
        <f t="shared" si="36"/>
        <v>0</v>
      </c>
      <c r="R606" s="1">
        <f t="shared" si="37"/>
        <v>0</v>
      </c>
      <c r="T606">
        <f t="shared" si="38"/>
        <v>0</v>
      </c>
      <c r="U606">
        <f t="shared" si="39"/>
        <v>0</v>
      </c>
    </row>
    <row r="607" x14ac:dyDescent="0.35">
      <c r="A607" s="21" t="str">
        <v/>
      </c>
      <c r="B607" s="23" t="str">
        <v/>
      </c>
      <c r="C607" t="str">
        <v/>
      </c>
      <c r="D607" t="str">
        <v/>
      </c>
      <c r="E607" t="str">
        <v/>
      </c>
      <c r="F607" t="str">
        <v/>
      </c>
      <c r="G607" t="str">
        <v/>
      </c>
      <c r="H607" t="str">
        <v/>
      </c>
      <c r="I607" s="2" t="str">
        <v/>
      </c>
      <c r="J607" s="2" t="str">
        <v/>
      </c>
      <c r="K607" s="2" t="str">
        <v/>
      </c>
      <c r="L607" s="1" t="str">
        <v/>
      </c>
      <c r="M607" s="2" t="str">
        <v/>
      </c>
      <c r="N607" s="1" t="str">
        <v/>
      </c>
      <c r="O607" s="1" t="str">
        <v/>
      </c>
      <c r="P607" s="1" t="str">
        <v/>
      </c>
      <c r="Q607" s="1">
        <f t="shared" si="36"/>
        <v>0</v>
      </c>
      <c r="R607" s="1">
        <f t="shared" si="37"/>
        <v>0</v>
      </c>
      <c r="T607">
        <f t="shared" si="38"/>
        <v>0</v>
      </c>
      <c r="U607">
        <f t="shared" si="39"/>
        <v>0</v>
      </c>
    </row>
    <row r="608" x14ac:dyDescent="0.35">
      <c r="A608" s="21" t="str">
        <v/>
      </c>
      <c r="B608" s="23" t="str">
        <v/>
      </c>
      <c r="C608" t="str">
        <v/>
      </c>
      <c r="D608" t="str">
        <v/>
      </c>
      <c r="E608" t="str">
        <v/>
      </c>
      <c r="F608" t="str">
        <v/>
      </c>
      <c r="G608" t="str">
        <v/>
      </c>
      <c r="H608" t="str">
        <v/>
      </c>
      <c r="I608" s="2" t="str">
        <v/>
      </c>
      <c r="J608" s="2" t="str">
        <v/>
      </c>
      <c r="K608" s="2" t="str">
        <v/>
      </c>
      <c r="L608" s="1" t="str">
        <v/>
      </c>
      <c r="M608" s="2" t="str">
        <v/>
      </c>
      <c r="N608" s="1" t="str">
        <v/>
      </c>
      <c r="O608" s="1" t="str">
        <v/>
      </c>
      <c r="P608" s="1" t="str">
        <v/>
      </c>
      <c r="Q608" s="1">
        <f t="shared" si="36"/>
        <v>0</v>
      </c>
      <c r="R608" s="1">
        <f t="shared" si="37"/>
        <v>0</v>
      </c>
      <c r="T608">
        <f t="shared" si="38"/>
        <v>0</v>
      </c>
      <c r="U608">
        <f t="shared" si="39"/>
        <v>0</v>
      </c>
    </row>
    <row r="609" x14ac:dyDescent="0.35">
      <c r="A609" s="21" t="str">
        <v/>
      </c>
      <c r="B609" s="23" t="str">
        <v/>
      </c>
      <c r="C609" t="str">
        <v/>
      </c>
      <c r="D609" t="str">
        <v/>
      </c>
      <c r="E609" t="str">
        <v/>
      </c>
      <c r="F609" t="str">
        <v/>
      </c>
      <c r="G609" t="str">
        <v/>
      </c>
      <c r="H609" t="str">
        <v/>
      </c>
      <c r="I609" s="2" t="str">
        <v/>
      </c>
      <c r="J609" s="2" t="str">
        <v/>
      </c>
      <c r="K609" s="2" t="str">
        <v/>
      </c>
      <c r="L609" s="1" t="str">
        <v/>
      </c>
      <c r="M609" s="2" t="str">
        <v/>
      </c>
      <c r="N609" s="1" t="str">
        <v/>
      </c>
      <c r="O609" s="1" t="str">
        <v/>
      </c>
      <c r="P609" s="1" t="str">
        <v/>
      </c>
      <c r="Q609" s="1">
        <f t="shared" si="36"/>
        <v>0</v>
      </c>
      <c r="R609" s="1">
        <f t="shared" si="37"/>
        <v>0</v>
      </c>
      <c r="T609">
        <f t="shared" si="38"/>
        <v>0</v>
      </c>
      <c r="U609">
        <f t="shared" si="39"/>
        <v>0</v>
      </c>
    </row>
    <row r="610" x14ac:dyDescent="0.35">
      <c r="A610" s="21" t="str">
        <v/>
      </c>
      <c r="B610" s="23" t="str">
        <v/>
      </c>
      <c r="C610" t="str">
        <v/>
      </c>
      <c r="D610" t="str">
        <v/>
      </c>
      <c r="E610" t="str">
        <v/>
      </c>
      <c r="F610" t="str">
        <v/>
      </c>
      <c r="G610" t="str">
        <v/>
      </c>
      <c r="H610" t="str">
        <v/>
      </c>
      <c r="I610" s="2" t="str">
        <v/>
      </c>
      <c r="J610" s="2" t="str">
        <v/>
      </c>
      <c r="K610" s="2" t="str">
        <v/>
      </c>
      <c r="L610" s="1" t="str">
        <v/>
      </c>
      <c r="M610" s="2" t="str">
        <v/>
      </c>
      <c r="N610" s="1" t="str">
        <v/>
      </c>
      <c r="O610" s="1" t="str">
        <v/>
      </c>
      <c r="P610" s="1" t="str">
        <v/>
      </c>
      <c r="Q610" s="1">
        <f t="shared" si="36"/>
        <v>0</v>
      </c>
      <c r="R610" s="1">
        <f t="shared" si="37"/>
        <v>0</v>
      </c>
      <c r="T610">
        <f t="shared" si="38"/>
        <v>0</v>
      </c>
      <c r="U610">
        <f t="shared" si="39"/>
        <v>0</v>
      </c>
    </row>
    <row r="611" x14ac:dyDescent="0.35">
      <c r="A611" s="21" t="str">
        <v/>
      </c>
      <c r="B611" s="23" t="str">
        <v/>
      </c>
      <c r="C611" t="str">
        <v/>
      </c>
      <c r="D611" t="str">
        <v/>
      </c>
      <c r="E611" t="str">
        <v/>
      </c>
      <c r="F611" t="str">
        <v/>
      </c>
      <c r="G611" t="str">
        <v/>
      </c>
      <c r="H611" t="str">
        <v/>
      </c>
      <c r="I611" s="2" t="str">
        <v/>
      </c>
      <c r="J611" s="2" t="str">
        <v/>
      </c>
      <c r="K611" s="2" t="str">
        <v/>
      </c>
      <c r="L611" s="1" t="str">
        <v/>
      </c>
      <c r="M611" s="2" t="str">
        <v/>
      </c>
      <c r="N611" s="1" t="str">
        <v/>
      </c>
      <c r="O611" s="1" t="str">
        <v/>
      </c>
      <c r="P611" s="1" t="str">
        <v/>
      </c>
      <c r="Q611" s="1">
        <f t="shared" si="36"/>
        <v>0</v>
      </c>
      <c r="R611" s="1">
        <f t="shared" si="37"/>
        <v>0</v>
      </c>
      <c r="T611">
        <f t="shared" si="38"/>
        <v>0</v>
      </c>
      <c r="U611">
        <f t="shared" si="39"/>
        <v>0</v>
      </c>
    </row>
    <row r="612" x14ac:dyDescent="0.35">
      <c r="A612" s="21" t="str">
        <v/>
      </c>
      <c r="B612" s="23" t="str">
        <v/>
      </c>
      <c r="C612" t="str">
        <v/>
      </c>
      <c r="D612" t="str">
        <v/>
      </c>
      <c r="E612" t="str">
        <v/>
      </c>
      <c r="F612" t="str">
        <v/>
      </c>
      <c r="G612" t="str">
        <v/>
      </c>
      <c r="H612" t="str">
        <v/>
      </c>
      <c r="I612" s="2" t="str">
        <v/>
      </c>
      <c r="J612" s="2" t="str">
        <v/>
      </c>
      <c r="K612" s="2" t="str">
        <v/>
      </c>
      <c r="L612" s="1" t="str">
        <v/>
      </c>
      <c r="M612" s="2" t="str">
        <v/>
      </c>
      <c r="N612" s="1" t="str">
        <v/>
      </c>
      <c r="O612" s="1" t="str">
        <v/>
      </c>
      <c r="P612" s="1" t="str">
        <v/>
      </c>
      <c r="Q612" s="1">
        <f t="shared" si="36"/>
        <v>0</v>
      </c>
      <c r="R612" s="1">
        <f t="shared" si="37"/>
        <v>0</v>
      </c>
      <c r="T612">
        <f t="shared" si="38"/>
        <v>0</v>
      </c>
      <c r="U612">
        <f t="shared" si="39"/>
        <v>0</v>
      </c>
    </row>
    <row r="613" x14ac:dyDescent="0.35">
      <c r="A613" s="21" t="str">
        <v/>
      </c>
      <c r="B613" s="23" t="str">
        <v/>
      </c>
      <c r="C613" t="str">
        <v/>
      </c>
      <c r="D613" t="str">
        <v/>
      </c>
      <c r="E613" t="str">
        <v/>
      </c>
      <c r="F613" t="str">
        <v/>
      </c>
      <c r="G613" t="str">
        <v/>
      </c>
      <c r="H613" t="str">
        <v/>
      </c>
      <c r="I613" s="2" t="str">
        <v/>
      </c>
      <c r="J613" s="2" t="str">
        <v/>
      </c>
      <c r="K613" s="2" t="str">
        <v/>
      </c>
      <c r="L613" s="1" t="str">
        <v/>
      </c>
      <c r="M613" s="2" t="str">
        <v/>
      </c>
      <c r="N613" s="1" t="str">
        <v/>
      </c>
      <c r="O613" s="1" t="str">
        <v/>
      </c>
      <c r="P613" s="1" t="str">
        <v/>
      </c>
      <c r="Q613" s="1">
        <f t="shared" si="36"/>
        <v>0</v>
      </c>
      <c r="R613" s="1">
        <f t="shared" si="37"/>
        <v>0</v>
      </c>
      <c r="T613">
        <f t="shared" si="38"/>
        <v>0</v>
      </c>
      <c r="U613">
        <f t="shared" si="39"/>
        <v>0</v>
      </c>
    </row>
    <row r="614" x14ac:dyDescent="0.35">
      <c r="A614" s="21" t="str">
        <v/>
      </c>
      <c r="B614" s="23" t="str">
        <v/>
      </c>
      <c r="C614" t="str">
        <v/>
      </c>
      <c r="D614" t="str">
        <v/>
      </c>
      <c r="E614" t="str">
        <v/>
      </c>
      <c r="F614" t="str">
        <v/>
      </c>
      <c r="G614" t="str">
        <v/>
      </c>
      <c r="H614" t="str">
        <v/>
      </c>
      <c r="I614" s="2" t="str">
        <v/>
      </c>
      <c r="J614" s="2" t="str">
        <v/>
      </c>
      <c r="K614" s="2" t="str">
        <v/>
      </c>
      <c r="L614" s="1" t="str">
        <v/>
      </c>
      <c r="M614" s="2" t="str">
        <v/>
      </c>
      <c r="N614" s="1" t="str">
        <v/>
      </c>
      <c r="O614" s="1" t="str">
        <v/>
      </c>
      <c r="P614" s="1" t="str">
        <v/>
      </c>
      <c r="Q614" s="1">
        <f t="shared" si="36"/>
        <v>0</v>
      </c>
      <c r="R614" s="1">
        <f t="shared" si="37"/>
        <v>0</v>
      </c>
      <c r="T614">
        <f t="shared" si="38"/>
        <v>0</v>
      </c>
      <c r="U614">
        <f t="shared" si="39"/>
        <v>0</v>
      </c>
    </row>
    <row r="615" x14ac:dyDescent="0.35">
      <c r="A615" s="21" t="str">
        <v/>
      </c>
      <c r="B615" s="23" t="str">
        <v/>
      </c>
      <c r="C615" t="str">
        <v/>
      </c>
      <c r="D615" t="str">
        <v/>
      </c>
      <c r="E615" t="str">
        <v/>
      </c>
      <c r="F615" t="str">
        <v/>
      </c>
      <c r="G615" t="str">
        <v/>
      </c>
      <c r="H615" t="str">
        <v/>
      </c>
      <c r="I615" s="2" t="str">
        <v/>
      </c>
      <c r="J615" s="2" t="str">
        <v/>
      </c>
      <c r="K615" s="2" t="str">
        <v/>
      </c>
      <c r="L615" s="1" t="str">
        <v/>
      </c>
      <c r="M615" s="2" t="str">
        <v/>
      </c>
      <c r="N615" s="1" t="str">
        <v/>
      </c>
      <c r="O615" s="1" t="str">
        <v/>
      </c>
      <c r="P615" s="1" t="str">
        <v/>
      </c>
      <c r="Q615" s="1">
        <f t="shared" si="36"/>
        <v>0</v>
      </c>
      <c r="R615" s="1">
        <f t="shared" si="37"/>
        <v>0</v>
      </c>
      <c r="T615">
        <f t="shared" si="38"/>
        <v>0</v>
      </c>
      <c r="U615">
        <f t="shared" si="39"/>
        <v>0</v>
      </c>
    </row>
    <row r="616" x14ac:dyDescent="0.35">
      <c r="A616" s="21" t="str">
        <v/>
      </c>
      <c r="B616" s="23" t="str">
        <v/>
      </c>
      <c r="C616" t="str">
        <v/>
      </c>
      <c r="D616" t="str">
        <v/>
      </c>
      <c r="E616" t="str">
        <v/>
      </c>
      <c r="F616" t="str">
        <v/>
      </c>
      <c r="G616" t="str">
        <v/>
      </c>
      <c r="H616" t="str">
        <v/>
      </c>
      <c r="I616" s="2" t="str">
        <v/>
      </c>
      <c r="J616" s="2" t="str">
        <v/>
      </c>
      <c r="K616" s="2" t="str">
        <v/>
      </c>
      <c r="L616" s="1" t="str">
        <v/>
      </c>
      <c r="M616" s="2" t="str">
        <v/>
      </c>
      <c r="N616" s="1" t="str">
        <v/>
      </c>
      <c r="O616" s="1" t="str">
        <v/>
      </c>
      <c r="P616" s="1" t="str">
        <v/>
      </c>
      <c r="Q616" s="1">
        <f t="shared" si="36"/>
        <v>0</v>
      </c>
      <c r="R616" s="1">
        <f t="shared" si="37"/>
        <v>0</v>
      </c>
      <c r="T616">
        <f t="shared" si="38"/>
        <v>0</v>
      </c>
      <c r="U616">
        <f t="shared" si="39"/>
        <v>0</v>
      </c>
    </row>
    <row r="617" x14ac:dyDescent="0.35">
      <c r="A617" s="21" t="str">
        <v/>
      </c>
      <c r="B617" s="23" t="str">
        <v/>
      </c>
      <c r="C617" t="str">
        <v/>
      </c>
      <c r="D617" t="str">
        <v/>
      </c>
      <c r="E617" t="str">
        <v/>
      </c>
      <c r="F617" t="str">
        <v/>
      </c>
      <c r="G617" t="str">
        <v/>
      </c>
      <c r="H617" t="str">
        <v/>
      </c>
      <c r="I617" s="2" t="str">
        <v/>
      </c>
      <c r="J617" s="2" t="str">
        <v/>
      </c>
      <c r="K617" s="2" t="str">
        <v/>
      </c>
      <c r="L617" s="1" t="str">
        <v/>
      </c>
      <c r="M617" s="2" t="str">
        <v/>
      </c>
      <c r="N617" s="1" t="str">
        <v/>
      </c>
      <c r="O617" s="1" t="str">
        <v/>
      </c>
      <c r="P617" s="1" t="str">
        <v/>
      </c>
      <c r="Q617" s="1">
        <f t="shared" si="36"/>
        <v>0</v>
      </c>
      <c r="R617" s="1">
        <f t="shared" si="37"/>
        <v>0</v>
      </c>
      <c r="T617">
        <f t="shared" si="38"/>
        <v>0</v>
      </c>
      <c r="U617">
        <f t="shared" si="39"/>
        <v>0</v>
      </c>
    </row>
    <row r="618" x14ac:dyDescent="0.35">
      <c r="A618" s="21" t="str">
        <v/>
      </c>
      <c r="B618" s="23" t="str">
        <v/>
      </c>
      <c r="C618" t="str">
        <v/>
      </c>
      <c r="D618" t="str">
        <v/>
      </c>
      <c r="E618" t="str">
        <v/>
      </c>
      <c r="F618" t="str">
        <v/>
      </c>
      <c r="G618" t="str">
        <v/>
      </c>
      <c r="H618" t="str">
        <v/>
      </c>
      <c r="I618" s="2" t="str">
        <v/>
      </c>
      <c r="J618" s="2" t="str">
        <v/>
      </c>
      <c r="K618" s="2" t="str">
        <v/>
      </c>
      <c r="L618" s="1" t="str">
        <v/>
      </c>
      <c r="M618" s="2" t="str">
        <v/>
      </c>
      <c r="N618" s="1" t="str">
        <v/>
      </c>
      <c r="O618" s="1" t="str">
        <v/>
      </c>
      <c r="P618" s="1" t="str">
        <v/>
      </c>
      <c r="Q618" s="1">
        <f t="shared" si="36"/>
        <v>0</v>
      </c>
      <c r="R618" s="1">
        <f t="shared" si="37"/>
        <v>0</v>
      </c>
      <c r="T618">
        <f t="shared" si="38"/>
        <v>0</v>
      </c>
      <c r="U618">
        <f t="shared" si="39"/>
        <v>0</v>
      </c>
    </row>
    <row r="619" x14ac:dyDescent="0.35">
      <c r="A619" s="21" t="str">
        <v/>
      </c>
      <c r="B619" s="23" t="str">
        <v/>
      </c>
      <c r="C619" t="str">
        <v/>
      </c>
      <c r="D619" t="str">
        <v/>
      </c>
      <c r="E619" t="str">
        <v/>
      </c>
      <c r="F619" t="str">
        <v/>
      </c>
      <c r="G619" t="str">
        <v/>
      </c>
      <c r="H619" t="str">
        <v/>
      </c>
      <c r="I619" s="2" t="str">
        <v/>
      </c>
      <c r="J619" s="2" t="str">
        <v/>
      </c>
      <c r="K619" s="2" t="str">
        <v/>
      </c>
      <c r="L619" s="1" t="str">
        <v/>
      </c>
      <c r="M619" s="2" t="str">
        <v/>
      </c>
      <c r="N619" s="1" t="str">
        <v/>
      </c>
      <c r="O619" s="1" t="str">
        <v/>
      </c>
      <c r="P619" s="1" t="str">
        <v/>
      </c>
      <c r="Q619" s="1">
        <f t="shared" si="36"/>
        <v>0</v>
      </c>
      <c r="R619" s="1">
        <f t="shared" si="37"/>
        <v>0</v>
      </c>
      <c r="T619">
        <f t="shared" si="38"/>
        <v>0</v>
      </c>
      <c r="U619">
        <f t="shared" si="39"/>
        <v>0</v>
      </c>
    </row>
    <row r="620" x14ac:dyDescent="0.35">
      <c r="A620" s="21" t="str">
        <v/>
      </c>
      <c r="B620" s="23" t="str">
        <v/>
      </c>
      <c r="C620" t="str">
        <v/>
      </c>
      <c r="D620" t="str">
        <v/>
      </c>
      <c r="E620" t="str">
        <v/>
      </c>
      <c r="F620" t="str">
        <v/>
      </c>
      <c r="G620" t="str">
        <v/>
      </c>
      <c r="H620" t="str">
        <v/>
      </c>
      <c r="I620" s="2" t="str">
        <v/>
      </c>
      <c r="J620" s="2" t="str">
        <v/>
      </c>
      <c r="K620" s="2" t="str">
        <v/>
      </c>
      <c r="L620" s="1" t="str">
        <v/>
      </c>
      <c r="M620" s="2" t="str">
        <v/>
      </c>
      <c r="N620" s="1" t="str">
        <v/>
      </c>
      <c r="O620" s="1" t="str">
        <v/>
      </c>
      <c r="P620" s="1" t="str">
        <v/>
      </c>
      <c r="Q620" s="1">
        <f t="shared" si="36"/>
        <v>0</v>
      </c>
      <c r="R620" s="1">
        <f t="shared" si="37"/>
        <v>0</v>
      </c>
      <c r="T620">
        <f t="shared" si="38"/>
        <v>0</v>
      </c>
      <c r="U620">
        <f t="shared" si="39"/>
        <v>0</v>
      </c>
    </row>
    <row r="621" x14ac:dyDescent="0.35">
      <c r="A621" s="21" t="str">
        <v/>
      </c>
      <c r="B621" s="23" t="str">
        <v/>
      </c>
      <c r="C621" t="str">
        <v/>
      </c>
      <c r="D621" t="str">
        <v/>
      </c>
      <c r="E621" t="str">
        <v/>
      </c>
      <c r="F621" t="str">
        <v/>
      </c>
      <c r="G621" t="str">
        <v/>
      </c>
      <c r="H621" t="str">
        <v/>
      </c>
      <c r="I621" s="2" t="str">
        <v/>
      </c>
      <c r="J621" s="2" t="str">
        <v/>
      </c>
      <c r="K621" s="2" t="str">
        <v/>
      </c>
      <c r="L621" s="1" t="str">
        <v/>
      </c>
      <c r="M621" s="2" t="str">
        <v/>
      </c>
      <c r="N621" s="1" t="str">
        <v/>
      </c>
      <c r="O621" s="1" t="str">
        <v/>
      </c>
      <c r="P621" s="1" t="str">
        <v/>
      </c>
      <c r="Q621" s="1">
        <f t="shared" si="36"/>
        <v>0</v>
      </c>
      <c r="R621" s="1">
        <f t="shared" si="37"/>
        <v>0</v>
      </c>
      <c r="T621">
        <f t="shared" si="38"/>
        <v>0</v>
      </c>
      <c r="U621">
        <f t="shared" si="39"/>
        <v>0</v>
      </c>
    </row>
    <row r="622" x14ac:dyDescent="0.35">
      <c r="A622" s="21" t="str">
        <v/>
      </c>
      <c r="B622" s="23" t="str">
        <v/>
      </c>
      <c r="C622" t="str">
        <v/>
      </c>
      <c r="D622" t="str">
        <v/>
      </c>
      <c r="E622" t="str">
        <v/>
      </c>
      <c r="F622" t="str">
        <v/>
      </c>
      <c r="G622" t="str">
        <v/>
      </c>
      <c r="H622" t="str">
        <v/>
      </c>
      <c r="I622" s="2" t="str">
        <v/>
      </c>
      <c r="J622" s="2" t="str">
        <v/>
      </c>
      <c r="K622" s="2" t="str">
        <v/>
      </c>
      <c r="L622" s="1" t="str">
        <v/>
      </c>
      <c r="M622" s="2" t="str">
        <v/>
      </c>
      <c r="N622" s="1" t="str">
        <v/>
      </c>
      <c r="O622" s="1" t="str">
        <v/>
      </c>
      <c r="P622" s="1" t="str">
        <v/>
      </c>
      <c r="Q622" s="1">
        <f t="shared" si="36"/>
        <v>0</v>
      </c>
      <c r="R622" s="1">
        <f t="shared" si="37"/>
        <v>0</v>
      </c>
      <c r="T622">
        <f t="shared" si="38"/>
        <v>0</v>
      </c>
      <c r="U622">
        <f t="shared" si="39"/>
        <v>0</v>
      </c>
    </row>
    <row r="623" x14ac:dyDescent="0.35">
      <c r="A623" s="21" t="str">
        <v/>
      </c>
      <c r="B623" s="23" t="str">
        <v/>
      </c>
      <c r="C623" t="str">
        <v/>
      </c>
      <c r="D623" t="str">
        <v/>
      </c>
      <c r="E623" t="str">
        <v/>
      </c>
      <c r="F623" t="str">
        <v/>
      </c>
      <c r="G623" t="str">
        <v/>
      </c>
      <c r="H623" t="str">
        <v/>
      </c>
      <c r="I623" s="2" t="str">
        <v/>
      </c>
      <c r="J623" s="2" t="str">
        <v/>
      </c>
      <c r="K623" s="2" t="str">
        <v/>
      </c>
      <c r="L623" s="1" t="str">
        <v/>
      </c>
      <c r="M623" s="2" t="str">
        <v/>
      </c>
      <c r="N623" s="1" t="str">
        <v/>
      </c>
      <c r="O623" s="1" t="str">
        <v/>
      </c>
      <c r="P623" s="1" t="str">
        <v/>
      </c>
      <c r="Q623" s="1">
        <f t="shared" si="36"/>
        <v>0</v>
      </c>
      <c r="R623" s="1">
        <f t="shared" si="37"/>
        <v>0</v>
      </c>
      <c r="T623">
        <f t="shared" si="38"/>
        <v>0</v>
      </c>
      <c r="U623">
        <f t="shared" si="39"/>
        <v>0</v>
      </c>
    </row>
    <row r="624" x14ac:dyDescent="0.35">
      <c r="A624" s="21" t="str">
        <v/>
      </c>
      <c r="B624" s="23" t="str">
        <v/>
      </c>
      <c r="C624" t="str">
        <v/>
      </c>
      <c r="D624" t="str">
        <v/>
      </c>
      <c r="E624" t="str">
        <v/>
      </c>
      <c r="F624" t="str">
        <v/>
      </c>
      <c r="G624" t="str">
        <v/>
      </c>
      <c r="H624" t="str">
        <v/>
      </c>
      <c r="I624" s="2" t="str">
        <v/>
      </c>
      <c r="J624" s="2" t="str">
        <v/>
      </c>
      <c r="K624" s="2" t="str">
        <v/>
      </c>
      <c r="L624" s="1" t="str">
        <v/>
      </c>
      <c r="M624" s="2" t="str">
        <v/>
      </c>
      <c r="N624" s="1" t="str">
        <v/>
      </c>
      <c r="O624" s="1" t="str">
        <v/>
      </c>
      <c r="P624" s="1" t="str">
        <v/>
      </c>
      <c r="Q624" s="1">
        <f t="shared" si="36"/>
        <v>0</v>
      </c>
      <c r="R624" s="1">
        <f t="shared" si="37"/>
        <v>0</v>
      </c>
      <c r="T624">
        <f t="shared" si="38"/>
        <v>0</v>
      </c>
      <c r="U624">
        <f t="shared" si="39"/>
        <v>0</v>
      </c>
    </row>
    <row r="625" x14ac:dyDescent="0.35">
      <c r="A625" s="21" t="str">
        <v/>
      </c>
      <c r="B625" s="23" t="str">
        <v/>
      </c>
      <c r="C625" t="str">
        <v/>
      </c>
      <c r="D625" t="str">
        <v/>
      </c>
      <c r="E625" t="str">
        <v/>
      </c>
      <c r="F625" t="str">
        <v/>
      </c>
      <c r="G625" t="str">
        <v/>
      </c>
      <c r="H625" t="str">
        <v/>
      </c>
      <c r="I625" s="2" t="str">
        <v/>
      </c>
      <c r="J625" s="2" t="str">
        <v/>
      </c>
      <c r="K625" s="2" t="str">
        <v/>
      </c>
      <c r="L625" s="1" t="str">
        <v/>
      </c>
      <c r="M625" s="2" t="str">
        <v/>
      </c>
      <c r="N625" s="1" t="str">
        <v/>
      </c>
      <c r="O625" s="1" t="str">
        <v/>
      </c>
      <c r="P625" s="1" t="str">
        <v/>
      </c>
      <c r="Q625" s="1">
        <f t="shared" si="36"/>
        <v>0</v>
      </c>
      <c r="R625" s="1">
        <f t="shared" si="37"/>
        <v>0</v>
      </c>
      <c r="T625">
        <f t="shared" si="38"/>
        <v>0</v>
      </c>
      <c r="U625">
        <f t="shared" si="39"/>
        <v>0</v>
      </c>
    </row>
    <row r="626" x14ac:dyDescent="0.35">
      <c r="A626" s="21" t="str">
        <v/>
      </c>
      <c r="B626" s="23" t="str">
        <v/>
      </c>
      <c r="C626" t="str">
        <v/>
      </c>
      <c r="D626" t="str">
        <v/>
      </c>
      <c r="E626" t="str">
        <v/>
      </c>
      <c r="F626" t="str">
        <v/>
      </c>
      <c r="G626" t="str">
        <v/>
      </c>
      <c r="H626" t="str">
        <v/>
      </c>
      <c r="I626" s="2" t="str">
        <v/>
      </c>
      <c r="J626" s="2" t="str">
        <v/>
      </c>
      <c r="K626" s="2" t="str">
        <v/>
      </c>
      <c r="L626" s="1" t="str">
        <v/>
      </c>
      <c r="M626" s="2" t="str">
        <v/>
      </c>
      <c r="N626" s="1" t="str">
        <v/>
      </c>
      <c r="O626" s="1" t="str">
        <v/>
      </c>
      <c r="P626" s="1" t="str">
        <v/>
      </c>
      <c r="Q626" s="1">
        <f t="shared" si="36"/>
        <v>0</v>
      </c>
      <c r="R626" s="1">
        <f t="shared" si="37"/>
        <v>0</v>
      </c>
      <c r="T626">
        <f t="shared" si="38"/>
        <v>0</v>
      </c>
      <c r="U626">
        <f t="shared" si="39"/>
        <v>0</v>
      </c>
    </row>
    <row r="627" x14ac:dyDescent="0.35">
      <c r="A627" s="21" t="str">
        <v/>
      </c>
      <c r="B627" s="23" t="str">
        <v/>
      </c>
      <c r="C627" t="str">
        <v/>
      </c>
      <c r="D627" t="str">
        <v/>
      </c>
      <c r="E627" t="str">
        <v/>
      </c>
      <c r="F627" t="str">
        <v/>
      </c>
      <c r="G627" t="str">
        <v/>
      </c>
      <c r="H627" t="str">
        <v/>
      </c>
      <c r="I627" s="2" t="str">
        <v/>
      </c>
      <c r="J627" s="2" t="str">
        <v/>
      </c>
      <c r="K627" s="2" t="str">
        <v/>
      </c>
      <c r="L627" s="1" t="str">
        <v/>
      </c>
      <c r="M627" s="2" t="str">
        <v/>
      </c>
      <c r="N627" s="1" t="str">
        <v/>
      </c>
      <c r="O627" s="1" t="str">
        <v/>
      </c>
      <c r="P627" s="1" t="str">
        <v/>
      </c>
      <c r="Q627" s="1">
        <f t="shared" si="36"/>
        <v>0</v>
      </c>
      <c r="R627" s="1">
        <f t="shared" si="37"/>
        <v>0</v>
      </c>
      <c r="T627">
        <f t="shared" si="38"/>
        <v>0</v>
      </c>
      <c r="U627">
        <f t="shared" si="39"/>
        <v>0</v>
      </c>
    </row>
    <row r="628" x14ac:dyDescent="0.35">
      <c r="A628" s="21" t="str">
        <v/>
      </c>
      <c r="B628" s="23" t="str">
        <v/>
      </c>
      <c r="C628" t="str">
        <v/>
      </c>
      <c r="D628" t="str">
        <v/>
      </c>
      <c r="E628" t="str">
        <v/>
      </c>
      <c r="F628" t="str">
        <v/>
      </c>
      <c r="G628" t="str">
        <v/>
      </c>
      <c r="H628" t="str">
        <v/>
      </c>
      <c r="I628" s="2" t="str">
        <v/>
      </c>
      <c r="J628" s="2" t="str">
        <v/>
      </c>
      <c r="K628" s="2" t="str">
        <v/>
      </c>
      <c r="L628" s="1" t="str">
        <v/>
      </c>
      <c r="M628" s="2" t="str">
        <v/>
      </c>
      <c r="N628" s="1" t="str">
        <v/>
      </c>
      <c r="O628" s="1" t="str">
        <v/>
      </c>
      <c r="P628" s="1" t="str">
        <v/>
      </c>
      <c r="Q628" s="1">
        <f t="shared" si="36"/>
        <v>0</v>
      </c>
      <c r="R628" s="1">
        <f t="shared" si="37"/>
        <v>0</v>
      </c>
      <c r="T628">
        <f t="shared" si="38"/>
        <v>0</v>
      </c>
      <c r="U628">
        <f t="shared" si="39"/>
        <v>0</v>
      </c>
    </row>
    <row r="629" x14ac:dyDescent="0.35">
      <c r="A629" s="21" t="str">
        <v/>
      </c>
      <c r="B629" s="23" t="str">
        <v/>
      </c>
      <c r="C629" t="str">
        <v/>
      </c>
      <c r="D629" t="str">
        <v/>
      </c>
      <c r="E629" t="str">
        <v/>
      </c>
      <c r="F629" t="str">
        <v/>
      </c>
      <c r="G629" t="str">
        <v/>
      </c>
      <c r="H629" t="str">
        <v/>
      </c>
      <c r="I629" s="2" t="str">
        <v/>
      </c>
      <c r="J629" s="2" t="str">
        <v/>
      </c>
      <c r="K629" s="2" t="str">
        <v/>
      </c>
      <c r="L629" s="1" t="str">
        <v/>
      </c>
      <c r="M629" s="2" t="str">
        <v/>
      </c>
      <c r="N629" s="1" t="str">
        <v/>
      </c>
      <c r="O629" s="1" t="str">
        <v/>
      </c>
      <c r="P629" s="1" t="str">
        <v/>
      </c>
      <c r="Q629" s="1">
        <f t="shared" si="36"/>
        <v>0</v>
      </c>
      <c r="R629" s="1">
        <f t="shared" si="37"/>
        <v>0</v>
      </c>
      <c r="T629">
        <f t="shared" si="38"/>
        <v>0</v>
      </c>
      <c r="U629">
        <f t="shared" si="39"/>
        <v>0</v>
      </c>
    </row>
    <row r="630" x14ac:dyDescent="0.35">
      <c r="A630" s="21" t="str">
        <v/>
      </c>
      <c r="B630" s="23" t="str">
        <v/>
      </c>
      <c r="C630" t="str">
        <v/>
      </c>
      <c r="D630" t="str">
        <v/>
      </c>
      <c r="E630" t="str">
        <v/>
      </c>
      <c r="F630" t="str">
        <v/>
      </c>
      <c r="G630" t="str">
        <v/>
      </c>
      <c r="H630" t="str">
        <v/>
      </c>
      <c r="I630" s="2" t="str">
        <v/>
      </c>
      <c r="J630" s="2" t="str">
        <v/>
      </c>
      <c r="K630" s="2" t="str">
        <v/>
      </c>
      <c r="L630" s="1" t="str">
        <v/>
      </c>
      <c r="M630" s="2" t="str">
        <v/>
      </c>
      <c r="N630" s="1" t="str">
        <v/>
      </c>
      <c r="O630" s="1" t="str">
        <v/>
      </c>
      <c r="P630" s="1" t="str">
        <v/>
      </c>
      <c r="Q630" s="1">
        <f t="shared" si="36"/>
        <v>0</v>
      </c>
      <c r="R630" s="1">
        <f t="shared" si="37"/>
        <v>0</v>
      </c>
      <c r="T630">
        <f t="shared" si="38"/>
        <v>0</v>
      </c>
      <c r="U630">
        <f t="shared" si="39"/>
        <v>0</v>
      </c>
    </row>
    <row r="631" x14ac:dyDescent="0.35">
      <c r="A631" s="21" t="str">
        <v/>
      </c>
      <c r="B631" s="23" t="str">
        <v/>
      </c>
      <c r="C631" t="str">
        <v/>
      </c>
      <c r="D631" t="str">
        <v/>
      </c>
      <c r="E631" t="str">
        <v/>
      </c>
      <c r="F631" t="str">
        <v/>
      </c>
      <c r="G631" t="str">
        <v/>
      </c>
      <c r="H631" t="str">
        <v/>
      </c>
      <c r="I631" s="2" t="str">
        <v/>
      </c>
      <c r="J631" s="2" t="str">
        <v/>
      </c>
      <c r="K631" s="2" t="str">
        <v/>
      </c>
      <c r="L631" s="1" t="str">
        <v/>
      </c>
      <c r="M631" s="2" t="str">
        <v/>
      </c>
      <c r="N631" s="1" t="str">
        <v/>
      </c>
      <c r="O631" s="1" t="str">
        <v/>
      </c>
      <c r="P631" s="1" t="str">
        <v/>
      </c>
      <c r="Q631" s="1">
        <f t="shared" si="36"/>
        <v>0</v>
      </c>
      <c r="R631" s="1">
        <f t="shared" si="37"/>
        <v>0</v>
      </c>
      <c r="T631">
        <f t="shared" si="38"/>
        <v>0</v>
      </c>
      <c r="U631">
        <f t="shared" si="39"/>
        <v>0</v>
      </c>
    </row>
    <row r="632" x14ac:dyDescent="0.35">
      <c r="A632" s="21" t="str">
        <v/>
      </c>
      <c r="B632" s="23" t="str">
        <v/>
      </c>
      <c r="C632" t="str">
        <v/>
      </c>
      <c r="D632" t="str">
        <v/>
      </c>
      <c r="E632" t="str">
        <v/>
      </c>
      <c r="F632" t="str">
        <v/>
      </c>
      <c r="G632" t="str">
        <v/>
      </c>
      <c r="H632" t="str">
        <v/>
      </c>
      <c r="I632" s="2" t="str">
        <v/>
      </c>
      <c r="J632" s="2" t="str">
        <v/>
      </c>
      <c r="K632" s="2" t="str">
        <v/>
      </c>
      <c r="L632" s="1" t="str">
        <v/>
      </c>
      <c r="M632" s="2" t="str">
        <v/>
      </c>
      <c r="N632" s="1" t="str">
        <v/>
      </c>
      <c r="O632" s="1" t="str">
        <v/>
      </c>
      <c r="P632" s="1" t="str">
        <v/>
      </c>
      <c r="Q632" s="1">
        <f t="shared" si="36"/>
        <v>0</v>
      </c>
      <c r="R632" s="1">
        <f t="shared" si="37"/>
        <v>0</v>
      </c>
      <c r="T632">
        <f t="shared" si="38"/>
        <v>0</v>
      </c>
      <c r="U632">
        <f t="shared" si="39"/>
        <v>0</v>
      </c>
    </row>
    <row r="633" x14ac:dyDescent="0.35">
      <c r="A633" s="21" t="str">
        <v/>
      </c>
      <c r="B633" s="23" t="str">
        <v/>
      </c>
      <c r="C633" t="str">
        <v/>
      </c>
      <c r="D633" t="str">
        <v/>
      </c>
      <c r="E633" t="str">
        <v/>
      </c>
      <c r="F633" t="str">
        <v/>
      </c>
      <c r="G633" t="str">
        <v/>
      </c>
      <c r="H633" t="str">
        <v/>
      </c>
      <c r="I633" s="2" t="str">
        <v/>
      </c>
      <c r="J633" s="2" t="str">
        <v/>
      </c>
      <c r="K633" s="2" t="str">
        <v/>
      </c>
      <c r="L633" s="1" t="str">
        <v/>
      </c>
      <c r="M633" s="2" t="str">
        <v/>
      </c>
      <c r="N633" s="1" t="str">
        <v/>
      </c>
      <c r="O633" s="1" t="str">
        <v/>
      </c>
      <c r="P633" s="1" t="str">
        <v/>
      </c>
      <c r="Q633" s="1">
        <f t="shared" si="36"/>
        <v>0</v>
      </c>
      <c r="R633" s="1">
        <f t="shared" si="37"/>
        <v>0</v>
      </c>
      <c r="T633">
        <f t="shared" si="38"/>
        <v>0</v>
      </c>
      <c r="U633">
        <f t="shared" si="39"/>
        <v>0</v>
      </c>
    </row>
    <row r="634" x14ac:dyDescent="0.35">
      <c r="A634" s="21" t="str">
        <v/>
      </c>
      <c r="B634" s="23" t="str">
        <v/>
      </c>
      <c r="C634" t="str">
        <v/>
      </c>
      <c r="D634" t="str">
        <v/>
      </c>
      <c r="E634" t="str">
        <v/>
      </c>
      <c r="F634" t="str">
        <v/>
      </c>
      <c r="G634" t="str">
        <v/>
      </c>
      <c r="H634" t="str">
        <v/>
      </c>
      <c r="I634" s="2" t="str">
        <v/>
      </c>
      <c r="J634" s="2" t="str">
        <v/>
      </c>
      <c r="K634" s="2" t="str">
        <v/>
      </c>
      <c r="L634" s="1" t="str">
        <v/>
      </c>
      <c r="M634" s="2" t="str">
        <v/>
      </c>
      <c r="N634" s="1" t="str">
        <v/>
      </c>
      <c r="O634" s="1" t="str">
        <v/>
      </c>
      <c r="P634" s="1" t="str">
        <v/>
      </c>
      <c r="Q634" s="1">
        <f t="shared" si="36"/>
        <v>0</v>
      </c>
      <c r="R634" s="1">
        <f t="shared" si="37"/>
        <v>0</v>
      </c>
      <c r="T634">
        <f t="shared" si="38"/>
        <v>0</v>
      </c>
      <c r="U634">
        <f t="shared" si="39"/>
        <v>0</v>
      </c>
    </row>
    <row r="635" x14ac:dyDescent="0.35">
      <c r="A635" s="21" t="str">
        <v/>
      </c>
      <c r="B635" s="23" t="str">
        <v/>
      </c>
      <c r="C635" t="str">
        <v/>
      </c>
      <c r="D635" t="str">
        <v/>
      </c>
      <c r="E635" t="str">
        <v/>
      </c>
      <c r="F635" t="str">
        <v/>
      </c>
      <c r="G635" t="str">
        <v/>
      </c>
      <c r="H635" t="str">
        <v/>
      </c>
      <c r="I635" s="2" t="str">
        <v/>
      </c>
      <c r="J635" s="2" t="str">
        <v/>
      </c>
      <c r="K635" s="2" t="str">
        <v/>
      </c>
      <c r="L635" s="1" t="str">
        <v/>
      </c>
      <c r="M635" s="2" t="str">
        <v/>
      </c>
      <c r="N635" s="1" t="str">
        <v/>
      </c>
      <c r="O635" s="1" t="str">
        <v/>
      </c>
      <c r="P635" s="1" t="str">
        <v/>
      </c>
      <c r="Q635" s="1">
        <f t="shared" si="36"/>
        <v>0</v>
      </c>
      <c r="R635" s="1">
        <f t="shared" si="37"/>
        <v>0</v>
      </c>
      <c r="T635">
        <f t="shared" si="38"/>
        <v>0</v>
      </c>
      <c r="U635">
        <f t="shared" si="39"/>
        <v>0</v>
      </c>
    </row>
    <row r="636" x14ac:dyDescent="0.35">
      <c r="A636" s="21" t="str">
        <v/>
      </c>
      <c r="B636" s="23" t="str">
        <v/>
      </c>
      <c r="C636" t="str">
        <v/>
      </c>
      <c r="D636" t="str">
        <v/>
      </c>
      <c r="E636" t="str">
        <v/>
      </c>
      <c r="F636" t="str">
        <v/>
      </c>
      <c r="G636" t="str">
        <v/>
      </c>
      <c r="H636" t="str">
        <v/>
      </c>
      <c r="I636" s="2" t="str">
        <v/>
      </c>
      <c r="J636" s="2" t="str">
        <v/>
      </c>
      <c r="K636" s="2" t="str">
        <v/>
      </c>
      <c r="L636" s="1" t="str">
        <v/>
      </c>
      <c r="M636" s="2" t="str">
        <v/>
      </c>
      <c r="N636" s="1" t="str">
        <v/>
      </c>
      <c r="O636" s="1" t="str">
        <v/>
      </c>
      <c r="P636" s="1" t="str">
        <v/>
      </c>
      <c r="Q636" s="1">
        <f t="shared" si="36"/>
        <v>0</v>
      </c>
      <c r="R636" s="1">
        <f t="shared" si="37"/>
        <v>0</v>
      </c>
      <c r="T636">
        <f t="shared" si="38"/>
        <v>0</v>
      </c>
      <c r="U636">
        <f t="shared" si="39"/>
        <v>0</v>
      </c>
    </row>
    <row r="637" x14ac:dyDescent="0.35">
      <c r="A637" s="21" t="str">
        <v/>
      </c>
      <c r="B637" s="23" t="str">
        <v/>
      </c>
      <c r="C637" t="str">
        <v/>
      </c>
      <c r="D637" t="str">
        <v/>
      </c>
      <c r="E637" t="str">
        <v/>
      </c>
      <c r="F637" t="str">
        <v/>
      </c>
      <c r="G637" t="str">
        <v/>
      </c>
      <c r="H637" t="str">
        <v/>
      </c>
      <c r="I637" s="2" t="str">
        <v/>
      </c>
      <c r="J637" s="2" t="str">
        <v/>
      </c>
      <c r="K637" s="2" t="str">
        <v/>
      </c>
      <c r="L637" s="1" t="str">
        <v/>
      </c>
      <c r="M637" s="2" t="str">
        <v/>
      </c>
      <c r="N637" s="1" t="str">
        <v/>
      </c>
      <c r="O637" s="1" t="str">
        <v/>
      </c>
      <c r="P637" s="1" t="str">
        <v/>
      </c>
      <c r="Q637" s="1">
        <f t="shared" si="36"/>
        <v>0</v>
      </c>
      <c r="R637" s="1">
        <f t="shared" si="37"/>
        <v>0</v>
      </c>
      <c r="T637">
        <f t="shared" si="38"/>
        <v>0</v>
      </c>
      <c r="U637">
        <f t="shared" si="39"/>
        <v>0</v>
      </c>
    </row>
    <row r="638" x14ac:dyDescent="0.35">
      <c r="A638" s="21" t="str">
        <v/>
      </c>
      <c r="B638" s="23" t="str">
        <v/>
      </c>
      <c r="C638" t="str">
        <v/>
      </c>
      <c r="D638" t="str">
        <v/>
      </c>
      <c r="E638" t="str">
        <v/>
      </c>
      <c r="F638" t="str">
        <v/>
      </c>
      <c r="G638" t="str">
        <v/>
      </c>
      <c r="H638" t="str">
        <v/>
      </c>
      <c r="I638" s="2" t="str">
        <v/>
      </c>
      <c r="J638" s="2" t="str">
        <v/>
      </c>
      <c r="K638" s="2" t="str">
        <v/>
      </c>
      <c r="L638" s="1" t="str">
        <v/>
      </c>
      <c r="M638" s="2" t="str">
        <v/>
      </c>
      <c r="N638" s="1" t="str">
        <v/>
      </c>
      <c r="O638" s="1" t="str">
        <v/>
      </c>
      <c r="P638" s="1" t="str">
        <v/>
      </c>
      <c r="Q638" s="1">
        <f t="shared" si="36"/>
        <v>0</v>
      </c>
      <c r="R638" s="1">
        <f t="shared" si="37"/>
        <v>0</v>
      </c>
      <c r="T638">
        <f t="shared" si="38"/>
        <v>0</v>
      </c>
      <c r="U638">
        <f t="shared" si="39"/>
        <v>0</v>
      </c>
    </row>
    <row r="639" x14ac:dyDescent="0.35">
      <c r="A639" s="21" t="str">
        <v/>
      </c>
      <c r="B639" s="23" t="str">
        <v/>
      </c>
      <c r="C639" t="str">
        <v/>
      </c>
      <c r="D639" t="str">
        <v/>
      </c>
      <c r="E639" t="str">
        <v/>
      </c>
      <c r="F639" t="str">
        <v/>
      </c>
      <c r="G639" t="str">
        <v/>
      </c>
      <c r="H639" t="str">
        <v/>
      </c>
      <c r="I639" s="2" t="str">
        <v/>
      </c>
      <c r="J639" s="2" t="str">
        <v/>
      </c>
      <c r="K639" s="2" t="str">
        <v/>
      </c>
      <c r="L639" s="1" t="str">
        <v/>
      </c>
      <c r="M639" s="2" t="str">
        <v/>
      </c>
      <c r="N639" s="1" t="str">
        <v/>
      </c>
      <c r="O639" s="1" t="str">
        <v/>
      </c>
      <c r="P639" s="1" t="str">
        <v/>
      </c>
      <c r="Q639" s="1">
        <f t="shared" si="36"/>
        <v>0</v>
      </c>
      <c r="R639" s="1">
        <f t="shared" si="37"/>
        <v>0</v>
      </c>
      <c r="T639">
        <f t="shared" si="38"/>
        <v>0</v>
      </c>
      <c r="U639">
        <f t="shared" si="39"/>
        <v>0</v>
      </c>
    </row>
    <row r="640" x14ac:dyDescent="0.35">
      <c r="A640" s="21" t="str">
        <v/>
      </c>
      <c r="B640" s="23" t="str">
        <v/>
      </c>
      <c r="C640" t="str">
        <v/>
      </c>
      <c r="D640" t="str">
        <v/>
      </c>
      <c r="E640" t="str">
        <v/>
      </c>
      <c r="F640" t="str">
        <v/>
      </c>
      <c r="G640" t="str">
        <v/>
      </c>
      <c r="H640" t="str">
        <v/>
      </c>
      <c r="I640" s="2" t="str">
        <v/>
      </c>
      <c r="J640" s="2" t="str">
        <v/>
      </c>
      <c r="K640" s="2" t="str">
        <v/>
      </c>
      <c r="L640" s="1" t="str">
        <v/>
      </c>
      <c r="M640" s="2" t="str">
        <v/>
      </c>
      <c r="N640" s="1" t="str">
        <v/>
      </c>
      <c r="O640" s="1" t="str">
        <v/>
      </c>
      <c r="P640" s="1" t="str">
        <v/>
      </c>
      <c r="Q640" s="1">
        <f t="shared" si="36"/>
        <v>0</v>
      </c>
      <c r="R640" s="1">
        <f t="shared" si="37"/>
        <v>0</v>
      </c>
      <c r="T640">
        <f t="shared" si="38"/>
        <v>0</v>
      </c>
      <c r="U640">
        <f t="shared" si="39"/>
        <v>0</v>
      </c>
    </row>
    <row r="641" x14ac:dyDescent="0.35">
      <c r="A641" s="21" t="str">
        <v/>
      </c>
      <c r="B641" s="23" t="str">
        <v/>
      </c>
      <c r="C641" t="str">
        <v/>
      </c>
      <c r="D641" t="str">
        <v/>
      </c>
      <c r="E641" t="str">
        <v/>
      </c>
      <c r="F641" t="str">
        <v/>
      </c>
      <c r="G641" t="str">
        <v/>
      </c>
      <c r="H641" t="str">
        <v/>
      </c>
      <c r="I641" s="2" t="str">
        <v/>
      </c>
      <c r="J641" s="2" t="str">
        <v/>
      </c>
      <c r="K641" s="2" t="str">
        <v/>
      </c>
      <c r="L641" s="1" t="str">
        <v/>
      </c>
      <c r="M641" s="2" t="str">
        <v/>
      </c>
      <c r="N641" s="1" t="str">
        <v/>
      </c>
      <c r="O641" s="1" t="str">
        <v/>
      </c>
      <c r="P641" s="1" t="str">
        <v/>
      </c>
      <c r="Q641" s="1">
        <f t="shared" si="36"/>
        <v>0</v>
      </c>
      <c r="R641" s="1">
        <f t="shared" si="37"/>
        <v>0</v>
      </c>
      <c r="T641">
        <f t="shared" si="38"/>
        <v>0</v>
      </c>
      <c r="U641">
        <f t="shared" si="39"/>
        <v>0</v>
      </c>
    </row>
    <row r="642" x14ac:dyDescent="0.35">
      <c r="A642" s="21" t="str">
        <v/>
      </c>
      <c r="B642" s="23" t="str">
        <v/>
      </c>
      <c r="C642" t="str">
        <v/>
      </c>
      <c r="D642" t="str">
        <v/>
      </c>
      <c r="E642" t="str">
        <v/>
      </c>
      <c r="F642" t="str">
        <v/>
      </c>
      <c r="G642" t="str">
        <v/>
      </c>
      <c r="H642" t="str">
        <v/>
      </c>
      <c r="I642" s="2" t="str">
        <v/>
      </c>
      <c r="J642" s="2" t="str">
        <v/>
      </c>
      <c r="K642" s="2" t="str">
        <v/>
      </c>
      <c r="L642" s="1" t="str">
        <v/>
      </c>
      <c r="M642" s="2" t="str">
        <v/>
      </c>
      <c r="N642" s="1" t="str">
        <v/>
      </c>
      <c r="O642" s="1" t="str">
        <v/>
      </c>
      <c r="P642" s="1" t="str">
        <v/>
      </c>
      <c r="Q642" s="1">
        <f t="shared" si="36"/>
        <v>0</v>
      </c>
      <c r="R642" s="1">
        <f t="shared" si="37"/>
        <v>0</v>
      </c>
      <c r="T642">
        <f t="shared" si="38"/>
        <v>0</v>
      </c>
      <c r="U642">
        <f t="shared" si="39"/>
        <v>0</v>
      </c>
    </row>
    <row r="643" x14ac:dyDescent="0.35">
      <c r="A643" s="21" t="str">
        <v/>
      </c>
      <c r="B643" s="23" t="str">
        <v/>
      </c>
      <c r="C643" t="str">
        <v/>
      </c>
      <c r="D643" t="str">
        <v/>
      </c>
      <c r="E643" t="str">
        <v/>
      </c>
      <c r="F643" t="str">
        <v/>
      </c>
      <c r="G643" t="str">
        <v/>
      </c>
      <c r="H643" t="str">
        <v/>
      </c>
      <c r="I643" s="2" t="str">
        <v/>
      </c>
      <c r="J643" s="2" t="str">
        <v/>
      </c>
      <c r="K643" s="2" t="str">
        <v/>
      </c>
      <c r="L643" s="1" t="str">
        <v/>
      </c>
      <c r="M643" s="2" t="str">
        <v/>
      </c>
      <c r="N643" s="1" t="str">
        <v/>
      </c>
      <c r="O643" s="1" t="str">
        <v/>
      </c>
      <c r="P643" s="1" t="str">
        <v/>
      </c>
      <c r="Q643" s="1">
        <f t="shared" ref="Q643:Q706" si="40">IF(H643="Sí",1,0)</f>
        <v>0</v>
      </c>
      <c r="R643" s="1">
        <f t="shared" ref="R643:R706" si="41">IF(L643="En coordinación",1,0)</f>
        <v>0</v>
      </c>
      <c r="T643">
        <f t="shared" ref="T643:T706" si="42">IF(N643="Sí",1,0)</f>
        <v>0</v>
      </c>
      <c r="U643">
        <f t="shared" ref="U643:U706" si="43">IF(L643="Aceptada",1,0)</f>
        <v>0</v>
      </c>
    </row>
    <row r="644" x14ac:dyDescent="0.35">
      <c r="A644" s="21" t="str">
        <v/>
      </c>
      <c r="B644" s="23" t="str">
        <v/>
      </c>
      <c r="C644" t="str">
        <v/>
      </c>
      <c r="D644" t="str">
        <v/>
      </c>
      <c r="E644" t="str">
        <v/>
      </c>
      <c r="F644" t="str">
        <v/>
      </c>
      <c r="G644" t="str">
        <v/>
      </c>
      <c r="H644" t="str">
        <v/>
      </c>
      <c r="I644" s="2" t="str">
        <v/>
      </c>
      <c r="J644" s="2" t="str">
        <v/>
      </c>
      <c r="K644" s="2" t="str">
        <v/>
      </c>
      <c r="L644" s="1" t="str">
        <v/>
      </c>
      <c r="M644" s="2" t="str">
        <v/>
      </c>
      <c r="N644" s="1" t="str">
        <v/>
      </c>
      <c r="O644" s="1" t="str">
        <v/>
      </c>
      <c r="P644" s="1" t="str">
        <v/>
      </c>
      <c r="Q644" s="1">
        <f t="shared" si="40"/>
        <v>0</v>
      </c>
      <c r="R644" s="1">
        <f t="shared" si="41"/>
        <v>0</v>
      </c>
      <c r="T644">
        <f t="shared" si="42"/>
        <v>0</v>
      </c>
      <c r="U644">
        <f t="shared" si="43"/>
        <v>0</v>
      </c>
    </row>
    <row r="645" x14ac:dyDescent="0.35">
      <c r="A645" s="21" t="str">
        <v/>
      </c>
      <c r="B645" s="23" t="str">
        <v/>
      </c>
      <c r="C645" t="str">
        <v/>
      </c>
      <c r="D645" t="str">
        <v/>
      </c>
      <c r="E645" t="str">
        <v/>
      </c>
      <c r="F645" t="str">
        <v/>
      </c>
      <c r="G645" t="str">
        <v/>
      </c>
      <c r="H645" t="str">
        <v/>
      </c>
      <c r="I645" s="2" t="str">
        <v/>
      </c>
      <c r="J645" s="2" t="str">
        <v/>
      </c>
      <c r="K645" s="2" t="str">
        <v/>
      </c>
      <c r="L645" s="1" t="str">
        <v/>
      </c>
      <c r="M645" s="2" t="str">
        <v/>
      </c>
      <c r="N645" s="1" t="str">
        <v/>
      </c>
      <c r="O645" s="1" t="str">
        <v/>
      </c>
      <c r="P645" s="1" t="str">
        <v/>
      </c>
      <c r="Q645" s="1">
        <f t="shared" si="40"/>
        <v>0</v>
      </c>
      <c r="R645" s="1">
        <f t="shared" si="41"/>
        <v>0</v>
      </c>
      <c r="T645">
        <f t="shared" si="42"/>
        <v>0</v>
      </c>
      <c r="U645">
        <f t="shared" si="43"/>
        <v>0</v>
      </c>
    </row>
    <row r="646" x14ac:dyDescent="0.35">
      <c r="A646" s="21" t="str">
        <v/>
      </c>
      <c r="B646" s="23" t="str">
        <v/>
      </c>
      <c r="C646" t="str">
        <v/>
      </c>
      <c r="D646" t="str">
        <v/>
      </c>
      <c r="E646" t="str">
        <v/>
      </c>
      <c r="F646" t="str">
        <v/>
      </c>
      <c r="G646" t="str">
        <v/>
      </c>
      <c r="H646" t="str">
        <v/>
      </c>
      <c r="I646" s="2" t="str">
        <v/>
      </c>
      <c r="J646" s="2" t="str">
        <v/>
      </c>
      <c r="K646" s="2" t="str">
        <v/>
      </c>
      <c r="L646" s="1" t="str">
        <v/>
      </c>
      <c r="M646" s="2" t="str">
        <v/>
      </c>
      <c r="N646" s="1" t="str">
        <v/>
      </c>
      <c r="O646" s="1" t="str">
        <v/>
      </c>
      <c r="P646" s="1" t="str">
        <v/>
      </c>
      <c r="Q646" s="1">
        <f t="shared" si="40"/>
        <v>0</v>
      </c>
      <c r="R646" s="1">
        <f t="shared" si="41"/>
        <v>0</v>
      </c>
      <c r="T646">
        <f t="shared" si="42"/>
        <v>0</v>
      </c>
      <c r="U646">
        <f t="shared" si="43"/>
        <v>0</v>
      </c>
    </row>
    <row r="647" x14ac:dyDescent="0.35">
      <c r="A647" s="21" t="str">
        <v/>
      </c>
      <c r="B647" s="23" t="str">
        <v/>
      </c>
      <c r="C647" t="str">
        <v/>
      </c>
      <c r="D647" t="str">
        <v/>
      </c>
      <c r="E647" t="str">
        <v/>
      </c>
      <c r="F647" t="str">
        <v/>
      </c>
      <c r="G647" t="str">
        <v/>
      </c>
      <c r="H647" t="str">
        <v/>
      </c>
      <c r="I647" s="2" t="str">
        <v/>
      </c>
      <c r="J647" s="2" t="str">
        <v/>
      </c>
      <c r="K647" s="2" t="str">
        <v/>
      </c>
      <c r="L647" s="1" t="str">
        <v/>
      </c>
      <c r="M647" s="2" t="str">
        <v/>
      </c>
      <c r="N647" s="1" t="str">
        <v/>
      </c>
      <c r="O647" s="1" t="str">
        <v/>
      </c>
      <c r="P647" s="1" t="str">
        <v/>
      </c>
      <c r="Q647" s="1">
        <f t="shared" si="40"/>
        <v>0</v>
      </c>
      <c r="R647" s="1">
        <f t="shared" si="41"/>
        <v>0</v>
      </c>
      <c r="T647">
        <f t="shared" si="42"/>
        <v>0</v>
      </c>
      <c r="U647">
        <f t="shared" si="43"/>
        <v>0</v>
      </c>
    </row>
    <row r="648" x14ac:dyDescent="0.35">
      <c r="A648" s="21" t="str">
        <v/>
      </c>
      <c r="B648" s="23" t="str">
        <v/>
      </c>
      <c r="C648" t="str">
        <v/>
      </c>
      <c r="D648" t="str">
        <v/>
      </c>
      <c r="E648" t="str">
        <v/>
      </c>
      <c r="F648" t="str">
        <v/>
      </c>
      <c r="G648" t="str">
        <v/>
      </c>
      <c r="H648" t="str">
        <v/>
      </c>
      <c r="I648" s="2" t="str">
        <v/>
      </c>
      <c r="J648" s="2" t="str">
        <v/>
      </c>
      <c r="K648" s="2" t="str">
        <v/>
      </c>
      <c r="L648" s="1" t="str">
        <v/>
      </c>
      <c r="M648" s="2" t="str">
        <v/>
      </c>
      <c r="N648" s="1" t="str">
        <v/>
      </c>
      <c r="O648" s="1" t="str">
        <v/>
      </c>
      <c r="P648" s="1" t="str">
        <v/>
      </c>
      <c r="Q648" s="1">
        <f t="shared" si="40"/>
        <v>0</v>
      </c>
      <c r="R648" s="1">
        <f t="shared" si="41"/>
        <v>0</v>
      </c>
      <c r="T648">
        <f t="shared" si="42"/>
        <v>0</v>
      </c>
      <c r="U648">
        <f t="shared" si="43"/>
        <v>0</v>
      </c>
    </row>
    <row r="649" x14ac:dyDescent="0.35">
      <c r="A649" s="21" t="str">
        <v/>
      </c>
      <c r="B649" s="23" t="str">
        <v/>
      </c>
      <c r="C649" t="str">
        <v/>
      </c>
      <c r="D649" t="str">
        <v/>
      </c>
      <c r="E649" t="str">
        <v/>
      </c>
      <c r="F649" t="str">
        <v/>
      </c>
      <c r="G649" t="str">
        <v/>
      </c>
      <c r="H649" t="str">
        <v/>
      </c>
      <c r="I649" s="2" t="str">
        <v/>
      </c>
      <c r="J649" s="2" t="str">
        <v/>
      </c>
      <c r="K649" s="2" t="str">
        <v/>
      </c>
      <c r="L649" s="1" t="str">
        <v/>
      </c>
      <c r="M649" s="2" t="str">
        <v/>
      </c>
      <c r="N649" s="1" t="str">
        <v/>
      </c>
      <c r="O649" s="1" t="str">
        <v/>
      </c>
      <c r="P649" s="1" t="str">
        <v/>
      </c>
      <c r="Q649" s="1">
        <f t="shared" si="40"/>
        <v>0</v>
      </c>
      <c r="R649" s="1">
        <f t="shared" si="41"/>
        <v>0</v>
      </c>
      <c r="T649">
        <f t="shared" si="42"/>
        <v>0</v>
      </c>
      <c r="U649">
        <f t="shared" si="43"/>
        <v>0</v>
      </c>
    </row>
    <row r="650" x14ac:dyDescent="0.35">
      <c r="A650" s="21" t="str">
        <v/>
      </c>
      <c r="B650" s="23" t="str">
        <v/>
      </c>
      <c r="C650" t="str">
        <v/>
      </c>
      <c r="D650" t="str">
        <v/>
      </c>
      <c r="E650" t="str">
        <v/>
      </c>
      <c r="F650" t="str">
        <v/>
      </c>
      <c r="G650" t="str">
        <v/>
      </c>
      <c r="H650" t="str">
        <v/>
      </c>
      <c r="I650" s="2" t="str">
        <v/>
      </c>
      <c r="J650" s="2" t="str">
        <v/>
      </c>
      <c r="K650" s="2" t="str">
        <v/>
      </c>
      <c r="L650" s="1" t="str">
        <v/>
      </c>
      <c r="M650" s="2" t="str">
        <v/>
      </c>
      <c r="N650" s="1" t="str">
        <v/>
      </c>
      <c r="O650" s="1" t="str">
        <v/>
      </c>
      <c r="P650" s="1" t="str">
        <v/>
      </c>
      <c r="Q650" s="1">
        <f t="shared" si="40"/>
        <v>0</v>
      </c>
      <c r="R650" s="1">
        <f t="shared" si="41"/>
        <v>0</v>
      </c>
      <c r="T650">
        <f t="shared" si="42"/>
        <v>0</v>
      </c>
      <c r="U650">
        <f t="shared" si="43"/>
        <v>0</v>
      </c>
    </row>
    <row r="651" x14ac:dyDescent="0.35">
      <c r="A651" s="21" t="str">
        <v/>
      </c>
      <c r="B651" s="23" t="str">
        <v/>
      </c>
      <c r="C651" t="str">
        <v/>
      </c>
      <c r="D651" t="str">
        <v/>
      </c>
      <c r="E651" t="str">
        <v/>
      </c>
      <c r="F651" t="str">
        <v/>
      </c>
      <c r="G651" t="str">
        <v/>
      </c>
      <c r="H651" t="str">
        <v/>
      </c>
      <c r="I651" s="2" t="str">
        <v/>
      </c>
      <c r="J651" s="2" t="str">
        <v/>
      </c>
      <c r="K651" s="2" t="str">
        <v/>
      </c>
      <c r="L651" s="1" t="str">
        <v/>
      </c>
      <c r="M651" s="2" t="str">
        <v/>
      </c>
      <c r="N651" s="1" t="str">
        <v/>
      </c>
      <c r="O651" s="1" t="str">
        <v/>
      </c>
      <c r="P651" s="1" t="str">
        <v/>
      </c>
      <c r="Q651" s="1">
        <f t="shared" si="40"/>
        <v>0</v>
      </c>
      <c r="R651" s="1">
        <f t="shared" si="41"/>
        <v>0</v>
      </c>
      <c r="T651">
        <f t="shared" si="42"/>
        <v>0</v>
      </c>
      <c r="U651">
        <f t="shared" si="43"/>
        <v>0</v>
      </c>
    </row>
    <row r="652" x14ac:dyDescent="0.35">
      <c r="A652" s="21" t="str">
        <v/>
      </c>
      <c r="B652" s="23" t="str">
        <v/>
      </c>
      <c r="C652" t="str">
        <v/>
      </c>
      <c r="D652" t="str">
        <v/>
      </c>
      <c r="E652" t="str">
        <v/>
      </c>
      <c r="F652" t="str">
        <v/>
      </c>
      <c r="G652" t="str">
        <v/>
      </c>
      <c r="H652" t="str">
        <v/>
      </c>
      <c r="I652" s="2" t="str">
        <v/>
      </c>
      <c r="J652" s="2" t="str">
        <v/>
      </c>
      <c r="K652" s="2" t="str">
        <v/>
      </c>
      <c r="L652" s="1" t="str">
        <v/>
      </c>
      <c r="M652" s="2" t="str">
        <v/>
      </c>
      <c r="N652" s="1" t="str">
        <v/>
      </c>
      <c r="O652" s="1" t="str">
        <v/>
      </c>
      <c r="P652" s="1" t="str">
        <v/>
      </c>
      <c r="Q652" s="1">
        <f t="shared" si="40"/>
        <v>0</v>
      </c>
      <c r="R652" s="1">
        <f t="shared" si="41"/>
        <v>0</v>
      </c>
      <c r="T652">
        <f t="shared" si="42"/>
        <v>0</v>
      </c>
      <c r="U652">
        <f t="shared" si="43"/>
        <v>0</v>
      </c>
    </row>
    <row r="653" x14ac:dyDescent="0.35">
      <c r="A653" s="21" t="str">
        <v/>
      </c>
      <c r="B653" s="23" t="str">
        <v/>
      </c>
      <c r="C653" t="str">
        <v/>
      </c>
      <c r="D653" t="str">
        <v/>
      </c>
      <c r="E653" t="str">
        <v/>
      </c>
      <c r="F653" t="str">
        <v/>
      </c>
      <c r="G653" t="str">
        <v/>
      </c>
      <c r="H653" t="str">
        <v/>
      </c>
      <c r="I653" s="2" t="str">
        <v/>
      </c>
      <c r="J653" s="2" t="str">
        <v/>
      </c>
      <c r="K653" s="2" t="str">
        <v/>
      </c>
      <c r="L653" s="1" t="str">
        <v/>
      </c>
      <c r="M653" s="2" t="str">
        <v/>
      </c>
      <c r="N653" s="1" t="str">
        <v/>
      </c>
      <c r="O653" s="1" t="str">
        <v/>
      </c>
      <c r="P653" s="1" t="str">
        <v/>
      </c>
      <c r="Q653" s="1">
        <f t="shared" si="40"/>
        <v>0</v>
      </c>
      <c r="R653" s="1">
        <f t="shared" si="41"/>
        <v>0</v>
      </c>
      <c r="T653">
        <f t="shared" si="42"/>
        <v>0</v>
      </c>
      <c r="U653">
        <f t="shared" si="43"/>
        <v>0</v>
      </c>
    </row>
    <row r="654" x14ac:dyDescent="0.35">
      <c r="A654" s="21" t="str">
        <v/>
      </c>
      <c r="B654" s="23" t="str">
        <v/>
      </c>
      <c r="C654" t="str">
        <v/>
      </c>
      <c r="D654" t="str">
        <v/>
      </c>
      <c r="E654" t="str">
        <v/>
      </c>
      <c r="F654" t="str">
        <v/>
      </c>
      <c r="G654" t="str">
        <v/>
      </c>
      <c r="H654" t="str">
        <v/>
      </c>
      <c r="I654" s="2" t="str">
        <v/>
      </c>
      <c r="J654" s="2" t="str">
        <v/>
      </c>
      <c r="K654" s="2" t="str">
        <v/>
      </c>
      <c r="L654" s="1" t="str">
        <v/>
      </c>
      <c r="M654" s="2" t="str">
        <v/>
      </c>
      <c r="N654" s="1" t="str">
        <v/>
      </c>
      <c r="O654" s="1" t="str">
        <v/>
      </c>
      <c r="P654" s="1" t="str">
        <v/>
      </c>
      <c r="Q654" s="1">
        <f t="shared" si="40"/>
        <v>0</v>
      </c>
      <c r="R654" s="1">
        <f t="shared" si="41"/>
        <v>0</v>
      </c>
      <c r="T654">
        <f t="shared" si="42"/>
        <v>0</v>
      </c>
      <c r="U654">
        <f t="shared" si="43"/>
        <v>0</v>
      </c>
    </row>
    <row r="655" x14ac:dyDescent="0.35">
      <c r="A655" s="21" t="str">
        <v/>
      </c>
      <c r="B655" s="23" t="str">
        <v/>
      </c>
      <c r="C655" t="str">
        <v/>
      </c>
      <c r="D655" t="str">
        <v/>
      </c>
      <c r="E655" t="str">
        <v/>
      </c>
      <c r="F655" t="str">
        <v/>
      </c>
      <c r="G655" t="str">
        <v/>
      </c>
      <c r="H655" t="str">
        <v/>
      </c>
      <c r="I655" s="2" t="str">
        <v/>
      </c>
      <c r="J655" s="2" t="str">
        <v/>
      </c>
      <c r="K655" s="2" t="str">
        <v/>
      </c>
      <c r="L655" s="1" t="str">
        <v/>
      </c>
      <c r="M655" s="2" t="str">
        <v/>
      </c>
      <c r="N655" s="1" t="str">
        <v/>
      </c>
      <c r="O655" s="1" t="str">
        <v/>
      </c>
      <c r="P655" s="1" t="str">
        <v/>
      </c>
      <c r="Q655" s="1">
        <f t="shared" si="40"/>
        <v>0</v>
      </c>
      <c r="R655" s="1">
        <f t="shared" si="41"/>
        <v>0</v>
      </c>
      <c r="T655">
        <f t="shared" si="42"/>
        <v>0</v>
      </c>
      <c r="U655">
        <f t="shared" si="43"/>
        <v>0</v>
      </c>
    </row>
    <row r="656" x14ac:dyDescent="0.35">
      <c r="A656" s="21" t="str">
        <v/>
      </c>
      <c r="B656" s="23" t="str">
        <v/>
      </c>
      <c r="C656" t="str">
        <v/>
      </c>
      <c r="D656" t="str">
        <v/>
      </c>
      <c r="E656" t="str">
        <v/>
      </c>
      <c r="F656" t="str">
        <v/>
      </c>
      <c r="G656" t="str">
        <v/>
      </c>
      <c r="H656" t="str">
        <v/>
      </c>
      <c r="I656" s="2" t="str">
        <v/>
      </c>
      <c r="J656" s="2" t="str">
        <v/>
      </c>
      <c r="K656" s="2" t="str">
        <v/>
      </c>
      <c r="L656" s="1" t="str">
        <v/>
      </c>
      <c r="M656" s="2" t="str">
        <v/>
      </c>
      <c r="N656" s="1" t="str">
        <v/>
      </c>
      <c r="O656" s="1" t="str">
        <v/>
      </c>
      <c r="P656" s="1" t="str">
        <v/>
      </c>
      <c r="Q656" s="1">
        <f t="shared" si="40"/>
        <v>0</v>
      </c>
      <c r="R656" s="1">
        <f t="shared" si="41"/>
        <v>0</v>
      </c>
      <c r="T656">
        <f t="shared" si="42"/>
        <v>0</v>
      </c>
      <c r="U656">
        <f t="shared" si="43"/>
        <v>0</v>
      </c>
    </row>
    <row r="657" x14ac:dyDescent="0.35">
      <c r="A657" s="21" t="str">
        <v/>
      </c>
      <c r="B657" s="23" t="str">
        <v/>
      </c>
      <c r="C657" t="str">
        <v/>
      </c>
      <c r="D657" t="str">
        <v/>
      </c>
      <c r="E657" t="str">
        <v/>
      </c>
      <c r="F657" t="str">
        <v/>
      </c>
      <c r="G657" t="str">
        <v/>
      </c>
      <c r="H657" t="str">
        <v/>
      </c>
      <c r="I657" s="2" t="str">
        <v/>
      </c>
      <c r="J657" s="2" t="str">
        <v/>
      </c>
      <c r="K657" s="2" t="str">
        <v/>
      </c>
      <c r="L657" s="1" t="str">
        <v/>
      </c>
      <c r="M657" s="2" t="str">
        <v/>
      </c>
      <c r="N657" s="1" t="str">
        <v/>
      </c>
      <c r="O657" s="1" t="str">
        <v/>
      </c>
      <c r="P657" s="1" t="str">
        <v/>
      </c>
      <c r="Q657" s="1">
        <f t="shared" si="40"/>
        <v>0</v>
      </c>
      <c r="R657" s="1">
        <f t="shared" si="41"/>
        <v>0</v>
      </c>
      <c r="T657">
        <f t="shared" si="42"/>
        <v>0</v>
      </c>
      <c r="U657">
        <f t="shared" si="43"/>
        <v>0</v>
      </c>
    </row>
    <row r="658" x14ac:dyDescent="0.35">
      <c r="A658" s="21" t="str">
        <v/>
      </c>
      <c r="B658" s="23" t="str">
        <v/>
      </c>
      <c r="C658" t="str">
        <v/>
      </c>
      <c r="D658" t="str">
        <v/>
      </c>
      <c r="E658" t="str">
        <v/>
      </c>
      <c r="F658" t="str">
        <v/>
      </c>
      <c r="G658" t="str">
        <v/>
      </c>
      <c r="H658" t="str">
        <v/>
      </c>
      <c r="I658" s="2" t="str">
        <v/>
      </c>
      <c r="J658" s="2" t="str">
        <v/>
      </c>
      <c r="K658" s="2" t="str">
        <v/>
      </c>
      <c r="L658" s="1" t="str">
        <v/>
      </c>
      <c r="M658" s="2" t="str">
        <v/>
      </c>
      <c r="N658" s="1" t="str">
        <v/>
      </c>
      <c r="O658" s="1" t="str">
        <v/>
      </c>
      <c r="P658" s="1" t="str">
        <v/>
      </c>
      <c r="Q658" s="1">
        <f t="shared" si="40"/>
        <v>0</v>
      </c>
      <c r="R658" s="1">
        <f t="shared" si="41"/>
        <v>0</v>
      </c>
      <c r="T658">
        <f t="shared" si="42"/>
        <v>0</v>
      </c>
      <c r="U658">
        <f t="shared" si="43"/>
        <v>0</v>
      </c>
    </row>
    <row r="659" x14ac:dyDescent="0.35">
      <c r="A659" s="21" t="str">
        <v/>
      </c>
      <c r="B659" s="23" t="str">
        <v/>
      </c>
      <c r="C659" t="str">
        <v/>
      </c>
      <c r="D659" t="str">
        <v/>
      </c>
      <c r="E659" t="str">
        <v/>
      </c>
      <c r="F659" t="str">
        <v/>
      </c>
      <c r="G659" t="str">
        <v/>
      </c>
      <c r="H659" t="str">
        <v/>
      </c>
      <c r="I659" s="2" t="str">
        <v/>
      </c>
      <c r="J659" s="2" t="str">
        <v/>
      </c>
      <c r="K659" s="2" t="str">
        <v/>
      </c>
      <c r="L659" s="1" t="str">
        <v/>
      </c>
      <c r="M659" s="2" t="str">
        <v/>
      </c>
      <c r="N659" s="1" t="str">
        <v/>
      </c>
      <c r="O659" s="1" t="str">
        <v/>
      </c>
      <c r="P659" s="1" t="str">
        <v/>
      </c>
      <c r="Q659" s="1">
        <f t="shared" si="40"/>
        <v>0</v>
      </c>
      <c r="R659" s="1">
        <f t="shared" si="41"/>
        <v>0</v>
      </c>
      <c r="T659">
        <f t="shared" si="42"/>
        <v>0</v>
      </c>
      <c r="U659">
        <f t="shared" si="43"/>
        <v>0</v>
      </c>
    </row>
    <row r="660" x14ac:dyDescent="0.35">
      <c r="A660" s="21" t="str">
        <v/>
      </c>
      <c r="B660" s="23" t="str">
        <v/>
      </c>
      <c r="C660" t="str">
        <v/>
      </c>
      <c r="D660" t="str">
        <v/>
      </c>
      <c r="E660" t="str">
        <v/>
      </c>
      <c r="F660" t="str">
        <v/>
      </c>
      <c r="G660" t="str">
        <v/>
      </c>
      <c r="H660" t="str">
        <v/>
      </c>
      <c r="I660" s="2" t="str">
        <v/>
      </c>
      <c r="J660" s="2" t="str">
        <v/>
      </c>
      <c r="K660" s="2" t="str">
        <v/>
      </c>
      <c r="L660" s="1" t="str">
        <v/>
      </c>
      <c r="M660" s="2" t="str">
        <v/>
      </c>
      <c r="N660" s="1" t="str">
        <v/>
      </c>
      <c r="O660" s="1" t="str">
        <v/>
      </c>
      <c r="P660" s="1" t="str">
        <v/>
      </c>
      <c r="Q660" s="1">
        <f t="shared" si="40"/>
        <v>0</v>
      </c>
      <c r="R660" s="1">
        <f t="shared" si="41"/>
        <v>0</v>
      </c>
      <c r="T660">
        <f t="shared" si="42"/>
        <v>0</v>
      </c>
      <c r="U660">
        <f t="shared" si="43"/>
        <v>0</v>
      </c>
    </row>
    <row r="661" x14ac:dyDescent="0.35">
      <c r="A661" s="21" t="str">
        <v/>
      </c>
      <c r="B661" s="23" t="str">
        <v/>
      </c>
      <c r="C661" t="str">
        <v/>
      </c>
      <c r="D661" t="str">
        <v/>
      </c>
      <c r="E661" t="str">
        <v/>
      </c>
      <c r="F661" t="str">
        <v/>
      </c>
      <c r="G661" t="str">
        <v/>
      </c>
      <c r="H661" t="str">
        <v/>
      </c>
      <c r="I661" s="2" t="str">
        <v/>
      </c>
      <c r="J661" s="2" t="str">
        <v/>
      </c>
      <c r="K661" s="2" t="str">
        <v/>
      </c>
      <c r="L661" s="1" t="str">
        <v/>
      </c>
      <c r="M661" s="2" t="str">
        <v/>
      </c>
      <c r="N661" s="1" t="str">
        <v/>
      </c>
      <c r="O661" s="1" t="str">
        <v/>
      </c>
      <c r="P661" s="1" t="str">
        <v/>
      </c>
      <c r="Q661" s="1">
        <f t="shared" si="40"/>
        <v>0</v>
      </c>
      <c r="R661" s="1">
        <f t="shared" si="41"/>
        <v>0</v>
      </c>
      <c r="T661">
        <f t="shared" si="42"/>
        <v>0</v>
      </c>
      <c r="U661">
        <f t="shared" si="43"/>
        <v>0</v>
      </c>
    </row>
    <row r="662" x14ac:dyDescent="0.35">
      <c r="A662" s="21" t="str">
        <v/>
      </c>
      <c r="B662" s="23" t="str">
        <v/>
      </c>
      <c r="C662" t="str">
        <v/>
      </c>
      <c r="D662" t="str">
        <v/>
      </c>
      <c r="E662" t="str">
        <v/>
      </c>
      <c r="F662" t="str">
        <v/>
      </c>
      <c r="G662" t="str">
        <v/>
      </c>
      <c r="H662" t="str">
        <v/>
      </c>
      <c r="I662" s="2" t="str">
        <v/>
      </c>
      <c r="J662" s="2" t="str">
        <v/>
      </c>
      <c r="K662" s="2" t="str">
        <v/>
      </c>
      <c r="L662" s="1" t="str">
        <v/>
      </c>
      <c r="M662" s="2" t="str">
        <v/>
      </c>
      <c r="N662" s="1" t="str">
        <v/>
      </c>
      <c r="O662" s="1" t="str">
        <v/>
      </c>
      <c r="P662" s="1" t="str">
        <v/>
      </c>
      <c r="Q662" s="1">
        <f t="shared" si="40"/>
        <v>0</v>
      </c>
      <c r="R662" s="1">
        <f t="shared" si="41"/>
        <v>0</v>
      </c>
      <c r="T662">
        <f t="shared" si="42"/>
        <v>0</v>
      </c>
      <c r="U662">
        <f t="shared" si="43"/>
        <v>0</v>
      </c>
    </row>
    <row r="663" x14ac:dyDescent="0.35">
      <c r="A663" s="21" t="str">
        <v/>
      </c>
      <c r="B663" s="23" t="str">
        <v/>
      </c>
      <c r="C663" t="str">
        <v/>
      </c>
      <c r="D663" t="str">
        <v/>
      </c>
      <c r="E663" t="str">
        <v/>
      </c>
      <c r="F663" t="str">
        <v/>
      </c>
      <c r="G663" t="str">
        <v/>
      </c>
      <c r="H663" t="str">
        <v/>
      </c>
      <c r="I663" s="2" t="str">
        <v/>
      </c>
      <c r="J663" s="2" t="str">
        <v/>
      </c>
      <c r="K663" s="2" t="str">
        <v/>
      </c>
      <c r="L663" s="1" t="str">
        <v/>
      </c>
      <c r="M663" s="2" t="str">
        <v/>
      </c>
      <c r="N663" s="1" t="str">
        <v/>
      </c>
      <c r="O663" s="1" t="str">
        <v/>
      </c>
      <c r="P663" s="1" t="str">
        <v/>
      </c>
      <c r="Q663" s="1">
        <f t="shared" si="40"/>
        <v>0</v>
      </c>
      <c r="R663" s="1">
        <f t="shared" si="41"/>
        <v>0</v>
      </c>
      <c r="T663">
        <f t="shared" si="42"/>
        <v>0</v>
      </c>
      <c r="U663">
        <f t="shared" si="43"/>
        <v>0</v>
      </c>
    </row>
    <row r="664" x14ac:dyDescent="0.35">
      <c r="A664" s="21" t="str">
        <v/>
      </c>
      <c r="B664" s="23" t="str">
        <v/>
      </c>
      <c r="C664" t="str">
        <v/>
      </c>
      <c r="D664" t="str">
        <v/>
      </c>
      <c r="E664" t="str">
        <v/>
      </c>
      <c r="F664" t="str">
        <v/>
      </c>
      <c r="G664" t="str">
        <v/>
      </c>
      <c r="H664" t="str">
        <v/>
      </c>
      <c r="I664" s="2" t="str">
        <v/>
      </c>
      <c r="J664" s="2" t="str">
        <v/>
      </c>
      <c r="K664" s="2" t="str">
        <v/>
      </c>
      <c r="L664" s="1" t="str">
        <v/>
      </c>
      <c r="M664" s="2" t="str">
        <v/>
      </c>
      <c r="N664" s="1" t="str">
        <v/>
      </c>
      <c r="O664" s="1" t="str">
        <v/>
      </c>
      <c r="P664" s="1" t="str">
        <v/>
      </c>
      <c r="Q664" s="1">
        <f t="shared" si="40"/>
        <v>0</v>
      </c>
      <c r="R664" s="1">
        <f t="shared" si="41"/>
        <v>0</v>
      </c>
      <c r="T664">
        <f t="shared" si="42"/>
        <v>0</v>
      </c>
      <c r="U664">
        <f t="shared" si="43"/>
        <v>0</v>
      </c>
    </row>
    <row r="665" x14ac:dyDescent="0.35">
      <c r="A665" s="21" t="str">
        <v/>
      </c>
      <c r="B665" s="23" t="str">
        <v/>
      </c>
      <c r="C665" t="str">
        <v/>
      </c>
      <c r="D665" t="str">
        <v/>
      </c>
      <c r="E665" t="str">
        <v/>
      </c>
      <c r="F665" t="str">
        <v/>
      </c>
      <c r="G665" t="str">
        <v/>
      </c>
      <c r="H665" t="str">
        <v/>
      </c>
      <c r="I665" s="2" t="str">
        <v/>
      </c>
      <c r="J665" s="2" t="str">
        <v/>
      </c>
      <c r="K665" s="2" t="str">
        <v/>
      </c>
      <c r="L665" s="1" t="str">
        <v/>
      </c>
      <c r="M665" s="2" t="str">
        <v/>
      </c>
      <c r="N665" s="1" t="str">
        <v/>
      </c>
      <c r="O665" s="1" t="str">
        <v/>
      </c>
      <c r="P665" s="1" t="str">
        <v/>
      </c>
      <c r="Q665" s="1">
        <f t="shared" si="40"/>
        <v>0</v>
      </c>
      <c r="R665" s="1">
        <f t="shared" si="41"/>
        <v>0</v>
      </c>
      <c r="T665">
        <f t="shared" si="42"/>
        <v>0</v>
      </c>
      <c r="U665">
        <f t="shared" si="43"/>
        <v>0</v>
      </c>
    </row>
    <row r="666" x14ac:dyDescent="0.35">
      <c r="A666" s="21" t="str">
        <v/>
      </c>
      <c r="B666" s="23" t="str">
        <v/>
      </c>
      <c r="C666" t="str">
        <v/>
      </c>
      <c r="D666" t="str">
        <v/>
      </c>
      <c r="E666" t="str">
        <v/>
      </c>
      <c r="F666" t="str">
        <v/>
      </c>
      <c r="G666" t="str">
        <v/>
      </c>
      <c r="H666" t="str">
        <v/>
      </c>
      <c r="I666" s="2" t="str">
        <v/>
      </c>
      <c r="J666" s="2" t="str">
        <v/>
      </c>
      <c r="K666" s="2" t="str">
        <v/>
      </c>
      <c r="L666" s="1" t="str">
        <v/>
      </c>
      <c r="M666" s="2" t="str">
        <v/>
      </c>
      <c r="N666" s="1" t="str">
        <v/>
      </c>
      <c r="O666" s="1" t="str">
        <v/>
      </c>
      <c r="P666" s="1" t="str">
        <v/>
      </c>
      <c r="Q666" s="1">
        <f t="shared" si="40"/>
        <v>0</v>
      </c>
      <c r="R666" s="1">
        <f t="shared" si="41"/>
        <v>0</v>
      </c>
      <c r="T666">
        <f t="shared" si="42"/>
        <v>0</v>
      </c>
      <c r="U666">
        <f t="shared" si="43"/>
        <v>0</v>
      </c>
    </row>
    <row r="667" x14ac:dyDescent="0.35">
      <c r="A667" s="21" t="str">
        <v/>
      </c>
      <c r="B667" s="23" t="str">
        <v/>
      </c>
      <c r="C667" t="str">
        <v/>
      </c>
      <c r="D667" t="str">
        <v/>
      </c>
      <c r="E667" t="str">
        <v/>
      </c>
      <c r="F667" t="str">
        <v/>
      </c>
      <c r="G667" t="str">
        <v/>
      </c>
      <c r="H667" t="str">
        <v/>
      </c>
      <c r="I667" s="2" t="str">
        <v/>
      </c>
      <c r="J667" s="2" t="str">
        <v/>
      </c>
      <c r="K667" s="2" t="str">
        <v/>
      </c>
      <c r="L667" s="1" t="str">
        <v/>
      </c>
      <c r="M667" s="2" t="str">
        <v/>
      </c>
      <c r="N667" s="1" t="str">
        <v/>
      </c>
      <c r="O667" s="1" t="str">
        <v/>
      </c>
      <c r="P667" s="1" t="str">
        <v/>
      </c>
      <c r="Q667" s="1">
        <f t="shared" si="40"/>
        <v>0</v>
      </c>
      <c r="R667" s="1">
        <f t="shared" si="41"/>
        <v>0</v>
      </c>
      <c r="T667">
        <f t="shared" si="42"/>
        <v>0</v>
      </c>
      <c r="U667">
        <f t="shared" si="43"/>
        <v>0</v>
      </c>
    </row>
    <row r="668" x14ac:dyDescent="0.35">
      <c r="A668" s="21" t="str">
        <v/>
      </c>
      <c r="B668" s="23" t="str">
        <v/>
      </c>
      <c r="C668" t="str">
        <v/>
      </c>
      <c r="D668" t="str">
        <v/>
      </c>
      <c r="E668" t="str">
        <v/>
      </c>
      <c r="F668" t="str">
        <v/>
      </c>
      <c r="G668" t="str">
        <v/>
      </c>
      <c r="H668" t="str">
        <v/>
      </c>
      <c r="I668" s="2" t="str">
        <v/>
      </c>
      <c r="J668" s="2" t="str">
        <v/>
      </c>
      <c r="K668" s="2" t="str">
        <v/>
      </c>
      <c r="L668" s="1" t="str">
        <v/>
      </c>
      <c r="M668" s="2" t="str">
        <v/>
      </c>
      <c r="N668" s="1" t="str">
        <v/>
      </c>
      <c r="O668" s="1" t="str">
        <v/>
      </c>
      <c r="P668" s="1" t="str">
        <v/>
      </c>
      <c r="Q668" s="1">
        <f t="shared" si="40"/>
        <v>0</v>
      </c>
      <c r="R668" s="1">
        <f t="shared" si="41"/>
        <v>0</v>
      </c>
      <c r="T668">
        <f t="shared" si="42"/>
        <v>0</v>
      </c>
      <c r="U668">
        <f t="shared" si="43"/>
        <v>0</v>
      </c>
    </row>
    <row r="669" x14ac:dyDescent="0.35">
      <c r="A669" s="21" t="str">
        <v/>
      </c>
      <c r="B669" s="23" t="str">
        <v/>
      </c>
      <c r="C669" t="str">
        <v/>
      </c>
      <c r="D669" t="str">
        <v/>
      </c>
      <c r="E669" t="str">
        <v/>
      </c>
      <c r="F669" t="str">
        <v/>
      </c>
      <c r="G669" t="str">
        <v/>
      </c>
      <c r="H669" t="str">
        <v/>
      </c>
      <c r="I669" s="2" t="str">
        <v/>
      </c>
      <c r="J669" s="2" t="str">
        <v/>
      </c>
      <c r="K669" s="2" t="str">
        <v/>
      </c>
      <c r="L669" s="1" t="str">
        <v/>
      </c>
      <c r="M669" s="2" t="str">
        <v/>
      </c>
      <c r="N669" s="1" t="str">
        <v/>
      </c>
      <c r="O669" s="1" t="str">
        <v/>
      </c>
      <c r="P669" s="1" t="str">
        <v/>
      </c>
      <c r="Q669" s="1">
        <f t="shared" si="40"/>
        <v>0</v>
      </c>
      <c r="R669" s="1">
        <f t="shared" si="41"/>
        <v>0</v>
      </c>
      <c r="T669">
        <f t="shared" si="42"/>
        <v>0</v>
      </c>
      <c r="U669">
        <f t="shared" si="43"/>
        <v>0</v>
      </c>
    </row>
    <row r="670" x14ac:dyDescent="0.35">
      <c r="A670" s="21" t="str">
        <v/>
      </c>
      <c r="B670" s="23" t="str">
        <v/>
      </c>
      <c r="C670" t="str">
        <v/>
      </c>
      <c r="D670" t="str">
        <v/>
      </c>
      <c r="E670" t="str">
        <v/>
      </c>
      <c r="F670" t="str">
        <v/>
      </c>
      <c r="G670" t="str">
        <v/>
      </c>
      <c r="H670" t="str">
        <v/>
      </c>
      <c r="I670" s="2" t="str">
        <v/>
      </c>
      <c r="J670" s="2" t="str">
        <v/>
      </c>
      <c r="K670" s="2" t="str">
        <v/>
      </c>
      <c r="L670" s="1" t="str">
        <v/>
      </c>
      <c r="M670" s="2" t="str">
        <v/>
      </c>
      <c r="N670" s="1" t="str">
        <v/>
      </c>
      <c r="O670" s="1" t="str">
        <v/>
      </c>
      <c r="P670" s="1" t="str">
        <v/>
      </c>
      <c r="Q670" s="1">
        <f t="shared" si="40"/>
        <v>0</v>
      </c>
      <c r="R670" s="1">
        <f t="shared" si="41"/>
        <v>0</v>
      </c>
      <c r="T670">
        <f t="shared" si="42"/>
        <v>0</v>
      </c>
      <c r="U670">
        <f t="shared" si="43"/>
        <v>0</v>
      </c>
    </row>
    <row r="671" x14ac:dyDescent="0.35">
      <c r="A671" s="21" t="str">
        <v/>
      </c>
      <c r="B671" s="23" t="str">
        <v/>
      </c>
      <c r="C671" t="str">
        <v/>
      </c>
      <c r="D671" t="str">
        <v/>
      </c>
      <c r="E671" t="str">
        <v/>
      </c>
      <c r="F671" t="str">
        <v/>
      </c>
      <c r="G671" t="str">
        <v/>
      </c>
      <c r="H671" t="str">
        <v/>
      </c>
      <c r="I671" s="2" t="str">
        <v/>
      </c>
      <c r="J671" s="2" t="str">
        <v/>
      </c>
      <c r="K671" s="2" t="str">
        <v/>
      </c>
      <c r="L671" s="1" t="str">
        <v/>
      </c>
      <c r="M671" s="2" t="str">
        <v/>
      </c>
      <c r="N671" s="1" t="str">
        <v/>
      </c>
      <c r="O671" s="1" t="str">
        <v/>
      </c>
      <c r="P671" s="1" t="str">
        <v/>
      </c>
      <c r="Q671" s="1">
        <f t="shared" si="40"/>
        <v>0</v>
      </c>
      <c r="R671" s="1">
        <f t="shared" si="41"/>
        <v>0</v>
      </c>
      <c r="T671">
        <f t="shared" si="42"/>
        <v>0</v>
      </c>
      <c r="U671">
        <f t="shared" si="43"/>
        <v>0</v>
      </c>
    </row>
    <row r="672" x14ac:dyDescent="0.35">
      <c r="A672" s="21" t="str">
        <v/>
      </c>
      <c r="B672" s="23" t="str">
        <v/>
      </c>
      <c r="C672" t="str">
        <v/>
      </c>
      <c r="D672" t="str">
        <v/>
      </c>
      <c r="E672" t="str">
        <v/>
      </c>
      <c r="F672" t="str">
        <v/>
      </c>
      <c r="G672" t="str">
        <v/>
      </c>
      <c r="H672" t="str">
        <v/>
      </c>
      <c r="I672" s="2" t="str">
        <v/>
      </c>
      <c r="J672" s="2" t="str">
        <v/>
      </c>
      <c r="K672" s="2" t="str">
        <v/>
      </c>
      <c r="L672" s="1" t="str">
        <v/>
      </c>
      <c r="M672" s="2" t="str">
        <v/>
      </c>
      <c r="N672" s="1" t="str">
        <v/>
      </c>
      <c r="O672" s="1" t="str">
        <v/>
      </c>
      <c r="P672" s="1" t="str">
        <v/>
      </c>
      <c r="Q672" s="1">
        <f t="shared" si="40"/>
        <v>0</v>
      </c>
      <c r="R672" s="1">
        <f t="shared" si="41"/>
        <v>0</v>
      </c>
      <c r="T672">
        <f t="shared" si="42"/>
        <v>0</v>
      </c>
      <c r="U672">
        <f t="shared" si="43"/>
        <v>0</v>
      </c>
    </row>
    <row r="673" x14ac:dyDescent="0.35">
      <c r="A673" s="21" t="str">
        <v/>
      </c>
      <c r="B673" s="23" t="str">
        <v/>
      </c>
      <c r="C673" t="str">
        <v/>
      </c>
      <c r="D673" t="str">
        <v/>
      </c>
      <c r="E673" t="str">
        <v/>
      </c>
      <c r="F673" t="str">
        <v/>
      </c>
      <c r="G673" t="str">
        <v/>
      </c>
      <c r="H673" t="str">
        <v/>
      </c>
      <c r="I673" s="2" t="str">
        <v/>
      </c>
      <c r="J673" s="2" t="str">
        <v/>
      </c>
      <c r="K673" s="2" t="str">
        <v/>
      </c>
      <c r="L673" s="1" t="str">
        <v/>
      </c>
      <c r="M673" s="2" t="str">
        <v/>
      </c>
      <c r="N673" s="1" t="str">
        <v/>
      </c>
      <c r="O673" s="1" t="str">
        <v/>
      </c>
      <c r="P673" s="1" t="str">
        <v/>
      </c>
      <c r="Q673" s="1">
        <f t="shared" si="40"/>
        <v>0</v>
      </c>
      <c r="R673" s="1">
        <f t="shared" si="41"/>
        <v>0</v>
      </c>
      <c r="T673">
        <f t="shared" si="42"/>
        <v>0</v>
      </c>
      <c r="U673">
        <f t="shared" si="43"/>
        <v>0</v>
      </c>
    </row>
    <row r="674" x14ac:dyDescent="0.35">
      <c r="A674" s="21" t="str">
        <v/>
      </c>
      <c r="B674" s="23" t="str">
        <v/>
      </c>
      <c r="C674" t="str">
        <v/>
      </c>
      <c r="D674" t="str">
        <v/>
      </c>
      <c r="E674" t="str">
        <v/>
      </c>
      <c r="F674" t="str">
        <v/>
      </c>
      <c r="G674" t="str">
        <v/>
      </c>
      <c r="H674" t="str">
        <v/>
      </c>
      <c r="I674" s="2" t="str">
        <v/>
      </c>
      <c r="J674" s="2" t="str">
        <v/>
      </c>
      <c r="K674" s="2" t="str">
        <v/>
      </c>
      <c r="L674" s="1" t="str">
        <v/>
      </c>
      <c r="M674" s="2" t="str">
        <v/>
      </c>
      <c r="N674" s="1" t="str">
        <v/>
      </c>
      <c r="O674" s="1" t="str">
        <v/>
      </c>
      <c r="P674" s="1" t="str">
        <v/>
      </c>
      <c r="Q674" s="1">
        <f t="shared" si="40"/>
        <v>0</v>
      </c>
      <c r="R674" s="1">
        <f t="shared" si="41"/>
        <v>0</v>
      </c>
      <c r="T674">
        <f t="shared" si="42"/>
        <v>0</v>
      </c>
      <c r="U674">
        <f t="shared" si="43"/>
        <v>0</v>
      </c>
    </row>
    <row r="675" x14ac:dyDescent="0.35">
      <c r="A675" s="21" t="str">
        <v/>
      </c>
      <c r="B675" s="23" t="str">
        <v/>
      </c>
      <c r="C675" t="str">
        <v/>
      </c>
      <c r="D675" t="str">
        <v/>
      </c>
      <c r="E675" t="str">
        <v/>
      </c>
      <c r="F675" t="str">
        <v/>
      </c>
      <c r="G675" t="str">
        <v/>
      </c>
      <c r="H675" t="str">
        <v/>
      </c>
      <c r="I675" s="2" t="str">
        <v/>
      </c>
      <c r="J675" s="2" t="str">
        <v/>
      </c>
      <c r="K675" s="2" t="str">
        <v/>
      </c>
      <c r="L675" s="1" t="str">
        <v/>
      </c>
      <c r="M675" s="2" t="str">
        <v/>
      </c>
      <c r="N675" s="1" t="str">
        <v/>
      </c>
      <c r="O675" s="1" t="str">
        <v/>
      </c>
      <c r="P675" s="1" t="str">
        <v/>
      </c>
      <c r="Q675" s="1">
        <f t="shared" si="40"/>
        <v>0</v>
      </c>
      <c r="R675" s="1">
        <f t="shared" si="41"/>
        <v>0</v>
      </c>
      <c r="T675">
        <f t="shared" si="42"/>
        <v>0</v>
      </c>
      <c r="U675">
        <f t="shared" si="43"/>
        <v>0</v>
      </c>
    </row>
    <row r="676" x14ac:dyDescent="0.35">
      <c r="A676" s="21" t="str">
        <v/>
      </c>
      <c r="B676" s="23" t="str">
        <v/>
      </c>
      <c r="C676" t="str">
        <v/>
      </c>
      <c r="D676" t="str">
        <v/>
      </c>
      <c r="E676" t="str">
        <v/>
      </c>
      <c r="F676" t="str">
        <v/>
      </c>
      <c r="G676" t="str">
        <v/>
      </c>
      <c r="H676" t="str">
        <v/>
      </c>
      <c r="I676" s="2" t="str">
        <v/>
      </c>
      <c r="J676" s="2" t="str">
        <v/>
      </c>
      <c r="K676" s="2" t="str">
        <v/>
      </c>
      <c r="L676" s="1" t="str">
        <v/>
      </c>
      <c r="M676" s="2" t="str">
        <v/>
      </c>
      <c r="N676" s="1" t="str">
        <v/>
      </c>
      <c r="O676" s="1" t="str">
        <v/>
      </c>
      <c r="P676" s="1" t="str">
        <v/>
      </c>
      <c r="Q676" s="1">
        <f t="shared" si="40"/>
        <v>0</v>
      </c>
      <c r="R676" s="1">
        <f t="shared" si="41"/>
        <v>0</v>
      </c>
      <c r="T676">
        <f t="shared" si="42"/>
        <v>0</v>
      </c>
      <c r="U676">
        <f t="shared" si="43"/>
        <v>0</v>
      </c>
    </row>
    <row r="677" x14ac:dyDescent="0.35">
      <c r="A677" s="21" t="str">
        <v/>
      </c>
      <c r="B677" s="23" t="str">
        <v/>
      </c>
      <c r="C677" t="str">
        <v/>
      </c>
      <c r="D677" t="str">
        <v/>
      </c>
      <c r="E677" t="str">
        <v/>
      </c>
      <c r="F677" t="str">
        <v/>
      </c>
      <c r="G677" t="str">
        <v/>
      </c>
      <c r="H677" t="str">
        <v/>
      </c>
      <c r="I677" s="2" t="str">
        <v/>
      </c>
      <c r="J677" s="2" t="str">
        <v/>
      </c>
      <c r="K677" s="2" t="str">
        <v/>
      </c>
      <c r="L677" s="1" t="str">
        <v/>
      </c>
      <c r="M677" s="2" t="str">
        <v/>
      </c>
      <c r="N677" s="1" t="str">
        <v/>
      </c>
      <c r="O677" s="1" t="str">
        <v/>
      </c>
      <c r="P677" s="1" t="str">
        <v/>
      </c>
      <c r="Q677" s="1">
        <f t="shared" si="40"/>
        <v>0</v>
      </c>
      <c r="R677" s="1">
        <f t="shared" si="41"/>
        <v>0</v>
      </c>
      <c r="T677">
        <f t="shared" si="42"/>
        <v>0</v>
      </c>
      <c r="U677">
        <f t="shared" si="43"/>
        <v>0</v>
      </c>
    </row>
    <row r="678" x14ac:dyDescent="0.35">
      <c r="A678" s="21" t="str">
        <v/>
      </c>
      <c r="B678" s="23" t="str">
        <v/>
      </c>
      <c r="C678" t="str">
        <v/>
      </c>
      <c r="D678" t="str">
        <v/>
      </c>
      <c r="E678" t="str">
        <v/>
      </c>
      <c r="F678" t="str">
        <v/>
      </c>
      <c r="G678" t="str">
        <v/>
      </c>
      <c r="H678" t="str">
        <v/>
      </c>
      <c r="I678" s="2" t="str">
        <v/>
      </c>
      <c r="J678" s="2" t="str">
        <v/>
      </c>
      <c r="K678" s="2" t="str">
        <v/>
      </c>
      <c r="L678" s="1" t="str">
        <v/>
      </c>
      <c r="M678" s="2" t="str">
        <v/>
      </c>
      <c r="N678" s="1" t="str">
        <v/>
      </c>
      <c r="O678" s="1" t="str">
        <v/>
      </c>
      <c r="P678" s="1" t="str">
        <v/>
      </c>
      <c r="Q678" s="1">
        <f t="shared" si="40"/>
        <v>0</v>
      </c>
      <c r="R678" s="1">
        <f t="shared" si="41"/>
        <v>0</v>
      </c>
      <c r="T678">
        <f t="shared" si="42"/>
        <v>0</v>
      </c>
      <c r="U678">
        <f t="shared" si="43"/>
        <v>0</v>
      </c>
    </row>
    <row r="679" x14ac:dyDescent="0.35">
      <c r="A679" s="21" t="str">
        <v/>
      </c>
      <c r="B679" s="23" t="str">
        <v/>
      </c>
      <c r="C679" t="str">
        <v/>
      </c>
      <c r="D679" t="str">
        <v/>
      </c>
      <c r="E679" t="str">
        <v/>
      </c>
      <c r="F679" t="str">
        <v/>
      </c>
      <c r="G679" t="str">
        <v/>
      </c>
      <c r="H679" t="str">
        <v/>
      </c>
      <c r="I679" s="2" t="str">
        <v/>
      </c>
      <c r="J679" s="2" t="str">
        <v/>
      </c>
      <c r="K679" s="2" t="str">
        <v/>
      </c>
      <c r="L679" s="1" t="str">
        <v/>
      </c>
      <c r="M679" s="2" t="str">
        <v/>
      </c>
      <c r="N679" s="1" t="str">
        <v/>
      </c>
      <c r="O679" s="1" t="str">
        <v/>
      </c>
      <c r="P679" s="1" t="str">
        <v/>
      </c>
      <c r="Q679" s="1">
        <f t="shared" si="40"/>
        <v>0</v>
      </c>
      <c r="R679" s="1">
        <f t="shared" si="41"/>
        <v>0</v>
      </c>
      <c r="T679">
        <f t="shared" si="42"/>
        <v>0</v>
      </c>
      <c r="U679">
        <f t="shared" si="43"/>
        <v>0</v>
      </c>
    </row>
    <row r="680" x14ac:dyDescent="0.35">
      <c r="A680" s="21" t="str">
        <v/>
      </c>
      <c r="B680" s="23" t="str">
        <v/>
      </c>
      <c r="C680" t="str">
        <v/>
      </c>
      <c r="D680" t="str">
        <v/>
      </c>
      <c r="E680" t="str">
        <v/>
      </c>
      <c r="F680" t="str">
        <v/>
      </c>
      <c r="G680" t="str">
        <v/>
      </c>
      <c r="H680" t="str">
        <v/>
      </c>
      <c r="I680" s="2" t="str">
        <v/>
      </c>
      <c r="J680" s="2" t="str">
        <v/>
      </c>
      <c r="K680" s="2" t="str">
        <v/>
      </c>
      <c r="L680" s="1" t="str">
        <v/>
      </c>
      <c r="M680" s="2" t="str">
        <v/>
      </c>
      <c r="N680" s="1" t="str">
        <v/>
      </c>
      <c r="O680" s="1" t="str">
        <v/>
      </c>
      <c r="P680" s="1" t="str">
        <v/>
      </c>
      <c r="Q680" s="1">
        <f t="shared" si="40"/>
        <v>0</v>
      </c>
      <c r="R680" s="1">
        <f t="shared" si="41"/>
        <v>0</v>
      </c>
      <c r="T680">
        <f t="shared" si="42"/>
        <v>0</v>
      </c>
      <c r="U680">
        <f t="shared" si="43"/>
        <v>0</v>
      </c>
    </row>
    <row r="681" x14ac:dyDescent="0.35">
      <c r="A681" s="21" t="str">
        <v/>
      </c>
      <c r="B681" s="23" t="str">
        <v/>
      </c>
      <c r="C681" t="str">
        <v/>
      </c>
      <c r="D681" t="str">
        <v/>
      </c>
      <c r="E681" t="str">
        <v/>
      </c>
      <c r="F681" t="str">
        <v/>
      </c>
      <c r="G681" t="str">
        <v/>
      </c>
      <c r="H681" t="str">
        <v/>
      </c>
      <c r="I681" s="2" t="str">
        <v/>
      </c>
      <c r="J681" s="2" t="str">
        <v/>
      </c>
      <c r="K681" s="2" t="str">
        <v/>
      </c>
      <c r="L681" s="1" t="str">
        <v/>
      </c>
      <c r="M681" s="2" t="str">
        <v/>
      </c>
      <c r="N681" s="1" t="str">
        <v/>
      </c>
      <c r="O681" s="1" t="str">
        <v/>
      </c>
      <c r="P681" s="1" t="str">
        <v/>
      </c>
      <c r="Q681" s="1">
        <f t="shared" si="40"/>
        <v>0</v>
      </c>
      <c r="R681" s="1">
        <f t="shared" si="41"/>
        <v>0</v>
      </c>
      <c r="T681">
        <f t="shared" si="42"/>
        <v>0</v>
      </c>
      <c r="U681">
        <f t="shared" si="43"/>
        <v>0</v>
      </c>
    </row>
    <row r="682" x14ac:dyDescent="0.35">
      <c r="A682" s="21" t="str">
        <v/>
      </c>
      <c r="B682" s="23" t="str">
        <v/>
      </c>
      <c r="C682" t="str">
        <v/>
      </c>
      <c r="D682" t="str">
        <v/>
      </c>
      <c r="E682" t="str">
        <v/>
      </c>
      <c r="F682" t="str">
        <v/>
      </c>
      <c r="G682" t="str">
        <v/>
      </c>
      <c r="H682" t="str">
        <v/>
      </c>
      <c r="I682" s="2" t="str">
        <v/>
      </c>
      <c r="J682" s="2" t="str">
        <v/>
      </c>
      <c r="K682" s="2" t="str">
        <v/>
      </c>
      <c r="L682" s="1" t="str">
        <v/>
      </c>
      <c r="M682" s="2" t="str">
        <v/>
      </c>
      <c r="N682" s="1" t="str">
        <v/>
      </c>
      <c r="O682" s="1" t="str">
        <v/>
      </c>
      <c r="P682" s="1" t="str">
        <v/>
      </c>
      <c r="Q682" s="1">
        <f t="shared" si="40"/>
        <v>0</v>
      </c>
      <c r="R682" s="1">
        <f t="shared" si="41"/>
        <v>0</v>
      </c>
      <c r="T682">
        <f t="shared" si="42"/>
        <v>0</v>
      </c>
      <c r="U682">
        <f t="shared" si="43"/>
        <v>0</v>
      </c>
    </row>
    <row r="683" x14ac:dyDescent="0.35">
      <c r="A683" s="21" t="str">
        <v/>
      </c>
      <c r="B683" s="23" t="str">
        <v/>
      </c>
      <c r="C683" t="str">
        <v/>
      </c>
      <c r="D683" t="str">
        <v/>
      </c>
      <c r="E683" t="str">
        <v/>
      </c>
      <c r="F683" t="str">
        <v/>
      </c>
      <c r="G683" t="str">
        <v/>
      </c>
      <c r="H683" t="str">
        <v/>
      </c>
      <c r="I683" s="2" t="str">
        <v/>
      </c>
      <c r="J683" s="2" t="str">
        <v/>
      </c>
      <c r="K683" s="2" t="str">
        <v/>
      </c>
      <c r="L683" s="1" t="str">
        <v/>
      </c>
      <c r="M683" s="2" t="str">
        <v/>
      </c>
      <c r="N683" s="1" t="str">
        <v/>
      </c>
      <c r="O683" s="1" t="str">
        <v/>
      </c>
      <c r="P683" s="1" t="str">
        <v/>
      </c>
      <c r="Q683" s="1">
        <f t="shared" si="40"/>
        <v>0</v>
      </c>
      <c r="R683" s="1">
        <f t="shared" si="41"/>
        <v>0</v>
      </c>
      <c r="T683">
        <f t="shared" si="42"/>
        <v>0</v>
      </c>
      <c r="U683">
        <f t="shared" si="43"/>
        <v>0</v>
      </c>
    </row>
    <row r="684" x14ac:dyDescent="0.35">
      <c r="A684" s="21" t="str">
        <v/>
      </c>
      <c r="B684" s="23" t="str">
        <v/>
      </c>
      <c r="C684" t="str">
        <v/>
      </c>
      <c r="D684" t="str">
        <v/>
      </c>
      <c r="E684" t="str">
        <v/>
      </c>
      <c r="F684" t="str">
        <v/>
      </c>
      <c r="G684" t="str">
        <v/>
      </c>
      <c r="H684" t="str">
        <v/>
      </c>
      <c r="I684" s="2" t="str">
        <v/>
      </c>
      <c r="J684" s="2" t="str">
        <v/>
      </c>
      <c r="K684" s="2" t="str">
        <v/>
      </c>
      <c r="L684" s="1" t="str">
        <v/>
      </c>
      <c r="M684" s="2" t="str">
        <v/>
      </c>
      <c r="N684" s="1" t="str">
        <v/>
      </c>
      <c r="O684" s="1" t="str">
        <v/>
      </c>
      <c r="P684" s="1" t="str">
        <v/>
      </c>
      <c r="Q684" s="1">
        <f t="shared" si="40"/>
        <v>0</v>
      </c>
      <c r="R684" s="1">
        <f t="shared" si="41"/>
        <v>0</v>
      </c>
      <c r="T684">
        <f t="shared" si="42"/>
        <v>0</v>
      </c>
      <c r="U684">
        <f t="shared" si="43"/>
        <v>0</v>
      </c>
    </row>
    <row r="685" x14ac:dyDescent="0.35">
      <c r="A685" s="21" t="str">
        <v/>
      </c>
      <c r="B685" s="23" t="str">
        <v/>
      </c>
      <c r="C685" t="str">
        <v/>
      </c>
      <c r="D685" t="str">
        <v/>
      </c>
      <c r="E685" t="str">
        <v/>
      </c>
      <c r="F685" t="str">
        <v/>
      </c>
      <c r="G685" t="str">
        <v/>
      </c>
      <c r="H685" t="str">
        <v/>
      </c>
      <c r="I685" s="2" t="str">
        <v/>
      </c>
      <c r="J685" s="2" t="str">
        <v/>
      </c>
      <c r="K685" s="2" t="str">
        <v/>
      </c>
      <c r="L685" s="1" t="str">
        <v/>
      </c>
      <c r="M685" s="2" t="str">
        <v/>
      </c>
      <c r="N685" s="1" t="str">
        <v/>
      </c>
      <c r="O685" s="1" t="str">
        <v/>
      </c>
      <c r="P685" s="1" t="str">
        <v/>
      </c>
      <c r="Q685" s="1">
        <f t="shared" si="40"/>
        <v>0</v>
      </c>
      <c r="R685" s="1">
        <f t="shared" si="41"/>
        <v>0</v>
      </c>
      <c r="T685">
        <f t="shared" si="42"/>
        <v>0</v>
      </c>
      <c r="U685">
        <f t="shared" si="43"/>
        <v>0</v>
      </c>
    </row>
    <row r="686" x14ac:dyDescent="0.35">
      <c r="A686" s="21" t="str">
        <v/>
      </c>
      <c r="B686" s="23" t="str">
        <v/>
      </c>
      <c r="C686" t="str">
        <v/>
      </c>
      <c r="D686" t="str">
        <v/>
      </c>
      <c r="E686" t="str">
        <v/>
      </c>
      <c r="F686" t="str">
        <v/>
      </c>
      <c r="G686" t="str">
        <v/>
      </c>
      <c r="H686" t="str">
        <v/>
      </c>
      <c r="I686" s="2" t="str">
        <v/>
      </c>
      <c r="J686" s="2" t="str">
        <v/>
      </c>
      <c r="K686" s="2" t="str">
        <v/>
      </c>
      <c r="L686" s="1" t="str">
        <v/>
      </c>
      <c r="M686" s="2" t="str">
        <v/>
      </c>
      <c r="N686" s="1" t="str">
        <v/>
      </c>
      <c r="O686" s="1" t="str">
        <v/>
      </c>
      <c r="P686" s="1" t="str">
        <v/>
      </c>
      <c r="Q686" s="1">
        <f t="shared" si="40"/>
        <v>0</v>
      </c>
      <c r="R686" s="1">
        <f t="shared" si="41"/>
        <v>0</v>
      </c>
      <c r="T686">
        <f t="shared" si="42"/>
        <v>0</v>
      </c>
      <c r="U686">
        <f t="shared" si="43"/>
        <v>0</v>
      </c>
    </row>
    <row r="687" x14ac:dyDescent="0.35">
      <c r="A687" s="21" t="str">
        <v/>
      </c>
      <c r="B687" s="23" t="str">
        <v/>
      </c>
      <c r="C687" t="str">
        <v/>
      </c>
      <c r="D687" t="str">
        <v/>
      </c>
      <c r="E687" t="str">
        <v/>
      </c>
      <c r="F687" t="str">
        <v/>
      </c>
      <c r="G687" t="str">
        <v/>
      </c>
      <c r="H687" t="str">
        <v/>
      </c>
      <c r="I687" s="2" t="str">
        <v/>
      </c>
      <c r="J687" s="2" t="str">
        <v/>
      </c>
      <c r="K687" s="2" t="str">
        <v/>
      </c>
      <c r="L687" s="1" t="str">
        <v/>
      </c>
      <c r="M687" s="2" t="str">
        <v/>
      </c>
      <c r="N687" s="1" t="str">
        <v/>
      </c>
      <c r="O687" s="1" t="str">
        <v/>
      </c>
      <c r="P687" s="1" t="str">
        <v/>
      </c>
      <c r="Q687" s="1">
        <f t="shared" si="40"/>
        <v>0</v>
      </c>
      <c r="R687" s="1">
        <f t="shared" si="41"/>
        <v>0</v>
      </c>
      <c r="T687">
        <f t="shared" si="42"/>
        <v>0</v>
      </c>
      <c r="U687">
        <f t="shared" si="43"/>
        <v>0</v>
      </c>
    </row>
    <row r="688" x14ac:dyDescent="0.35">
      <c r="A688" s="21" t="str">
        <v/>
      </c>
      <c r="B688" s="23" t="str">
        <v/>
      </c>
      <c r="C688" t="str">
        <v/>
      </c>
      <c r="D688" t="str">
        <v/>
      </c>
      <c r="E688" t="str">
        <v/>
      </c>
      <c r="F688" t="str">
        <v/>
      </c>
      <c r="G688" t="str">
        <v/>
      </c>
      <c r="H688" t="str">
        <v/>
      </c>
      <c r="I688" s="2" t="str">
        <v/>
      </c>
      <c r="J688" s="2" t="str">
        <v/>
      </c>
      <c r="K688" s="2" t="str">
        <v/>
      </c>
      <c r="L688" s="1" t="str">
        <v/>
      </c>
      <c r="M688" s="2" t="str">
        <v/>
      </c>
      <c r="N688" s="1" t="str">
        <v/>
      </c>
      <c r="O688" s="1" t="str">
        <v/>
      </c>
      <c r="P688" s="1" t="str">
        <v/>
      </c>
      <c r="Q688" s="1">
        <f t="shared" si="40"/>
        <v>0</v>
      </c>
      <c r="R688" s="1">
        <f t="shared" si="41"/>
        <v>0</v>
      </c>
      <c r="T688">
        <f t="shared" si="42"/>
        <v>0</v>
      </c>
      <c r="U688">
        <f t="shared" si="43"/>
        <v>0</v>
      </c>
    </row>
    <row r="689" x14ac:dyDescent="0.35">
      <c r="A689" s="21" t="str">
        <v/>
      </c>
      <c r="B689" s="23" t="str">
        <v/>
      </c>
      <c r="C689" t="str">
        <v/>
      </c>
      <c r="D689" t="str">
        <v/>
      </c>
      <c r="E689" t="str">
        <v/>
      </c>
      <c r="F689" t="str">
        <v/>
      </c>
      <c r="G689" t="str">
        <v/>
      </c>
      <c r="H689" t="str">
        <v/>
      </c>
      <c r="I689" s="2" t="str">
        <v/>
      </c>
      <c r="J689" s="2" t="str">
        <v/>
      </c>
      <c r="K689" s="2" t="str">
        <v/>
      </c>
      <c r="L689" s="1" t="str">
        <v/>
      </c>
      <c r="M689" s="2" t="str">
        <v/>
      </c>
      <c r="N689" s="1" t="str">
        <v/>
      </c>
      <c r="O689" s="1" t="str">
        <v/>
      </c>
      <c r="P689" s="1" t="str">
        <v/>
      </c>
      <c r="Q689" s="1">
        <f t="shared" si="40"/>
        <v>0</v>
      </c>
      <c r="R689" s="1">
        <f t="shared" si="41"/>
        <v>0</v>
      </c>
      <c r="T689">
        <f t="shared" si="42"/>
        <v>0</v>
      </c>
      <c r="U689">
        <f t="shared" si="43"/>
        <v>0</v>
      </c>
    </row>
    <row r="690" x14ac:dyDescent="0.35">
      <c r="A690" s="21" t="str">
        <v/>
      </c>
      <c r="B690" s="23" t="str">
        <v/>
      </c>
      <c r="C690" t="str">
        <v/>
      </c>
      <c r="D690" t="str">
        <v/>
      </c>
      <c r="E690" t="str">
        <v/>
      </c>
      <c r="F690" t="str">
        <v/>
      </c>
      <c r="G690" t="str">
        <v/>
      </c>
      <c r="H690" t="str">
        <v/>
      </c>
      <c r="I690" s="2" t="str">
        <v/>
      </c>
      <c r="J690" s="2" t="str">
        <v/>
      </c>
      <c r="K690" s="2" t="str">
        <v/>
      </c>
      <c r="L690" s="1" t="str">
        <v/>
      </c>
      <c r="M690" s="2" t="str">
        <v/>
      </c>
      <c r="N690" s="1" t="str">
        <v/>
      </c>
      <c r="O690" s="1" t="str">
        <v/>
      </c>
      <c r="P690" s="1" t="str">
        <v/>
      </c>
      <c r="Q690" s="1">
        <f t="shared" si="40"/>
        <v>0</v>
      </c>
      <c r="R690" s="1">
        <f t="shared" si="41"/>
        <v>0</v>
      </c>
      <c r="T690">
        <f t="shared" si="42"/>
        <v>0</v>
      </c>
      <c r="U690">
        <f t="shared" si="43"/>
        <v>0</v>
      </c>
    </row>
    <row r="691" x14ac:dyDescent="0.35">
      <c r="A691" s="21" t="str">
        <v/>
      </c>
      <c r="B691" s="23" t="str">
        <v/>
      </c>
      <c r="C691" t="str">
        <v/>
      </c>
      <c r="D691" t="str">
        <v/>
      </c>
      <c r="E691" t="str">
        <v/>
      </c>
      <c r="F691" t="str">
        <v/>
      </c>
      <c r="G691" t="str">
        <v/>
      </c>
      <c r="H691" t="str">
        <v/>
      </c>
      <c r="I691" s="2" t="str">
        <v/>
      </c>
      <c r="J691" s="2" t="str">
        <v/>
      </c>
      <c r="K691" s="2" t="str">
        <v/>
      </c>
      <c r="L691" s="1" t="str">
        <v/>
      </c>
      <c r="M691" s="2" t="str">
        <v/>
      </c>
      <c r="N691" s="1" t="str">
        <v/>
      </c>
      <c r="O691" s="1" t="str">
        <v/>
      </c>
      <c r="P691" s="1" t="str">
        <v/>
      </c>
      <c r="Q691" s="1">
        <f t="shared" si="40"/>
        <v>0</v>
      </c>
      <c r="R691" s="1">
        <f t="shared" si="41"/>
        <v>0</v>
      </c>
      <c r="T691">
        <f t="shared" si="42"/>
        <v>0</v>
      </c>
      <c r="U691">
        <f t="shared" si="43"/>
        <v>0</v>
      </c>
    </row>
    <row r="692" x14ac:dyDescent="0.35">
      <c r="A692" s="21" t="str">
        <v/>
      </c>
      <c r="B692" s="23" t="str">
        <v/>
      </c>
      <c r="C692" t="str">
        <v/>
      </c>
      <c r="D692" t="str">
        <v/>
      </c>
      <c r="E692" t="str">
        <v/>
      </c>
      <c r="F692" t="str">
        <v/>
      </c>
      <c r="G692" t="str">
        <v/>
      </c>
      <c r="H692" t="str">
        <v/>
      </c>
      <c r="I692" s="2" t="str">
        <v/>
      </c>
      <c r="J692" s="2" t="str">
        <v/>
      </c>
      <c r="K692" s="2" t="str">
        <v/>
      </c>
      <c r="L692" s="1" t="str">
        <v/>
      </c>
      <c r="M692" s="2" t="str">
        <v/>
      </c>
      <c r="N692" s="1" t="str">
        <v/>
      </c>
      <c r="O692" s="1" t="str">
        <v/>
      </c>
      <c r="P692" s="1" t="str">
        <v/>
      </c>
      <c r="Q692" s="1">
        <f t="shared" si="40"/>
        <v>0</v>
      </c>
      <c r="R692" s="1">
        <f t="shared" si="41"/>
        <v>0</v>
      </c>
      <c r="T692">
        <f t="shared" si="42"/>
        <v>0</v>
      </c>
      <c r="U692">
        <f t="shared" si="43"/>
        <v>0</v>
      </c>
    </row>
    <row r="693" x14ac:dyDescent="0.35">
      <c r="A693" s="21" t="str">
        <v/>
      </c>
      <c r="B693" s="23" t="str">
        <v/>
      </c>
      <c r="C693" t="str">
        <v/>
      </c>
      <c r="D693" t="str">
        <v/>
      </c>
      <c r="E693" t="str">
        <v/>
      </c>
      <c r="F693" t="str">
        <v/>
      </c>
      <c r="G693" t="str">
        <v/>
      </c>
      <c r="H693" t="str">
        <v/>
      </c>
      <c r="I693" s="2" t="str">
        <v/>
      </c>
      <c r="J693" s="2" t="str">
        <v/>
      </c>
      <c r="K693" s="2" t="str">
        <v/>
      </c>
      <c r="L693" s="1" t="str">
        <v/>
      </c>
      <c r="M693" s="2" t="str">
        <v/>
      </c>
      <c r="N693" s="1" t="str">
        <v/>
      </c>
      <c r="O693" s="1" t="str">
        <v/>
      </c>
      <c r="P693" s="1" t="str">
        <v/>
      </c>
      <c r="Q693" s="1">
        <f t="shared" si="40"/>
        <v>0</v>
      </c>
      <c r="R693" s="1">
        <f t="shared" si="41"/>
        <v>0</v>
      </c>
      <c r="T693">
        <f t="shared" si="42"/>
        <v>0</v>
      </c>
      <c r="U693">
        <f t="shared" si="43"/>
        <v>0</v>
      </c>
    </row>
    <row r="694" x14ac:dyDescent="0.35">
      <c r="A694" s="21" t="str">
        <v/>
      </c>
      <c r="B694" s="23" t="str">
        <v/>
      </c>
      <c r="C694" t="str">
        <v/>
      </c>
      <c r="D694" t="str">
        <v/>
      </c>
      <c r="E694" t="str">
        <v/>
      </c>
      <c r="F694" t="str">
        <v/>
      </c>
      <c r="G694" t="str">
        <v/>
      </c>
      <c r="H694" t="str">
        <v/>
      </c>
      <c r="I694" s="2" t="str">
        <v/>
      </c>
      <c r="J694" s="2" t="str">
        <v/>
      </c>
      <c r="K694" s="2" t="str">
        <v/>
      </c>
      <c r="L694" s="1" t="str">
        <v/>
      </c>
      <c r="M694" s="2" t="str">
        <v/>
      </c>
      <c r="N694" s="1" t="str">
        <v/>
      </c>
      <c r="O694" s="1" t="str">
        <v/>
      </c>
      <c r="P694" s="1" t="str">
        <v/>
      </c>
      <c r="Q694" s="1">
        <f t="shared" si="40"/>
        <v>0</v>
      </c>
      <c r="R694" s="1">
        <f t="shared" si="41"/>
        <v>0</v>
      </c>
      <c r="T694">
        <f t="shared" si="42"/>
        <v>0</v>
      </c>
      <c r="U694">
        <f t="shared" si="43"/>
        <v>0</v>
      </c>
    </row>
    <row r="695" x14ac:dyDescent="0.35">
      <c r="A695" s="21" t="str">
        <v/>
      </c>
      <c r="B695" s="23" t="str">
        <v/>
      </c>
      <c r="C695" t="str">
        <v/>
      </c>
      <c r="D695" t="str">
        <v/>
      </c>
      <c r="E695" t="str">
        <v/>
      </c>
      <c r="F695" t="str">
        <v/>
      </c>
      <c r="G695" t="str">
        <v/>
      </c>
      <c r="H695" t="str">
        <v/>
      </c>
      <c r="I695" s="2" t="str">
        <v/>
      </c>
      <c r="J695" s="2" t="str">
        <v/>
      </c>
      <c r="K695" s="2" t="str">
        <v/>
      </c>
      <c r="L695" s="1" t="str">
        <v/>
      </c>
      <c r="M695" s="2" t="str">
        <v/>
      </c>
      <c r="N695" s="1" t="str">
        <v/>
      </c>
      <c r="O695" s="1" t="str">
        <v/>
      </c>
      <c r="P695" s="1" t="str">
        <v/>
      </c>
      <c r="Q695" s="1">
        <f t="shared" si="40"/>
        <v>0</v>
      </c>
      <c r="R695" s="1">
        <f t="shared" si="41"/>
        <v>0</v>
      </c>
      <c r="T695">
        <f t="shared" si="42"/>
        <v>0</v>
      </c>
      <c r="U695">
        <f t="shared" si="43"/>
        <v>0</v>
      </c>
    </row>
    <row r="696" x14ac:dyDescent="0.35">
      <c r="A696" s="21" t="str">
        <v/>
      </c>
      <c r="B696" s="23" t="str">
        <v/>
      </c>
      <c r="C696" t="str">
        <v/>
      </c>
      <c r="D696" t="str">
        <v/>
      </c>
      <c r="E696" t="str">
        <v/>
      </c>
      <c r="F696" t="str">
        <v/>
      </c>
      <c r="G696" t="str">
        <v/>
      </c>
      <c r="H696" t="str">
        <v/>
      </c>
      <c r="I696" s="2" t="str">
        <v/>
      </c>
      <c r="J696" s="2" t="str">
        <v/>
      </c>
      <c r="K696" s="2" t="str">
        <v/>
      </c>
      <c r="L696" s="1" t="str">
        <v/>
      </c>
      <c r="M696" s="2" t="str">
        <v/>
      </c>
      <c r="N696" s="1" t="str">
        <v/>
      </c>
      <c r="O696" s="1" t="str">
        <v/>
      </c>
      <c r="P696" s="1" t="str">
        <v/>
      </c>
      <c r="Q696" s="1">
        <f t="shared" si="40"/>
        <v>0</v>
      </c>
      <c r="R696" s="1">
        <f t="shared" si="41"/>
        <v>0</v>
      </c>
      <c r="T696">
        <f t="shared" si="42"/>
        <v>0</v>
      </c>
      <c r="U696">
        <f t="shared" si="43"/>
        <v>0</v>
      </c>
    </row>
    <row r="697" x14ac:dyDescent="0.35">
      <c r="A697" s="21" t="str">
        <v/>
      </c>
      <c r="B697" s="23" t="str">
        <v/>
      </c>
      <c r="C697" t="str">
        <v/>
      </c>
      <c r="D697" t="str">
        <v/>
      </c>
      <c r="E697" t="str">
        <v/>
      </c>
      <c r="F697" t="str">
        <v/>
      </c>
      <c r="G697" t="str">
        <v/>
      </c>
      <c r="H697" t="str">
        <v/>
      </c>
      <c r="I697" s="2" t="str">
        <v/>
      </c>
      <c r="J697" s="2" t="str">
        <v/>
      </c>
      <c r="K697" s="2" t="str">
        <v/>
      </c>
      <c r="L697" s="1" t="str">
        <v/>
      </c>
      <c r="M697" s="2" t="str">
        <v/>
      </c>
      <c r="N697" s="1" t="str">
        <v/>
      </c>
      <c r="O697" s="1" t="str">
        <v/>
      </c>
      <c r="P697" s="1" t="str">
        <v/>
      </c>
      <c r="Q697" s="1">
        <f t="shared" si="40"/>
        <v>0</v>
      </c>
      <c r="R697" s="1">
        <f t="shared" si="41"/>
        <v>0</v>
      </c>
      <c r="T697">
        <f t="shared" si="42"/>
        <v>0</v>
      </c>
      <c r="U697">
        <f t="shared" si="43"/>
        <v>0</v>
      </c>
    </row>
    <row r="698" x14ac:dyDescent="0.35">
      <c r="A698" s="21" t="str">
        <v/>
      </c>
      <c r="B698" s="23" t="str">
        <v/>
      </c>
      <c r="C698" t="str">
        <v/>
      </c>
      <c r="D698" t="str">
        <v/>
      </c>
      <c r="E698" t="str">
        <v/>
      </c>
      <c r="F698" t="str">
        <v/>
      </c>
      <c r="G698" t="str">
        <v/>
      </c>
      <c r="H698" t="str">
        <v/>
      </c>
      <c r="I698" s="2" t="str">
        <v/>
      </c>
      <c r="J698" s="2" t="str">
        <v/>
      </c>
      <c r="K698" s="2" t="str">
        <v/>
      </c>
      <c r="L698" s="1" t="str">
        <v/>
      </c>
      <c r="M698" s="2" t="str">
        <v/>
      </c>
      <c r="N698" s="1" t="str">
        <v/>
      </c>
      <c r="O698" s="1" t="str">
        <v/>
      </c>
      <c r="P698" s="1" t="str">
        <v/>
      </c>
      <c r="Q698" s="1">
        <f t="shared" si="40"/>
        <v>0</v>
      </c>
      <c r="R698" s="1">
        <f t="shared" si="41"/>
        <v>0</v>
      </c>
      <c r="T698">
        <f t="shared" si="42"/>
        <v>0</v>
      </c>
      <c r="U698">
        <f t="shared" si="43"/>
        <v>0</v>
      </c>
    </row>
    <row r="699" x14ac:dyDescent="0.35">
      <c r="A699" s="21" t="str">
        <v/>
      </c>
      <c r="B699" s="23" t="str">
        <v/>
      </c>
      <c r="C699" t="str">
        <v/>
      </c>
      <c r="D699" t="str">
        <v/>
      </c>
      <c r="E699" t="str">
        <v/>
      </c>
      <c r="F699" t="str">
        <v/>
      </c>
      <c r="G699" t="str">
        <v/>
      </c>
      <c r="H699" t="str">
        <v/>
      </c>
      <c r="I699" s="2" t="str">
        <v/>
      </c>
      <c r="J699" s="2" t="str">
        <v/>
      </c>
      <c r="K699" s="2" t="str">
        <v/>
      </c>
      <c r="L699" s="1" t="str">
        <v/>
      </c>
      <c r="M699" s="2" t="str">
        <v/>
      </c>
      <c r="N699" s="1" t="str">
        <v/>
      </c>
      <c r="O699" s="1" t="str">
        <v/>
      </c>
      <c r="P699" s="1" t="str">
        <v/>
      </c>
      <c r="Q699" s="1">
        <f t="shared" si="40"/>
        <v>0</v>
      </c>
      <c r="R699" s="1">
        <f t="shared" si="41"/>
        <v>0</v>
      </c>
      <c r="T699">
        <f t="shared" si="42"/>
        <v>0</v>
      </c>
      <c r="U699">
        <f t="shared" si="43"/>
        <v>0</v>
      </c>
    </row>
    <row r="700" x14ac:dyDescent="0.35">
      <c r="A700" s="21" t="str">
        <v/>
      </c>
      <c r="B700" s="23" t="str">
        <v/>
      </c>
      <c r="C700" t="str">
        <v/>
      </c>
      <c r="D700" t="str">
        <v/>
      </c>
      <c r="E700" t="str">
        <v/>
      </c>
      <c r="F700" t="str">
        <v/>
      </c>
      <c r="G700" t="str">
        <v/>
      </c>
      <c r="H700" t="str">
        <v/>
      </c>
      <c r="I700" s="2" t="str">
        <v/>
      </c>
      <c r="J700" s="2" t="str">
        <v/>
      </c>
      <c r="K700" s="2" t="str">
        <v/>
      </c>
      <c r="L700" s="1" t="str">
        <v/>
      </c>
      <c r="M700" s="2" t="str">
        <v/>
      </c>
      <c r="N700" s="1" t="str">
        <v/>
      </c>
      <c r="O700" s="1" t="str">
        <v/>
      </c>
      <c r="P700" s="1" t="str">
        <v/>
      </c>
      <c r="Q700" s="1">
        <f t="shared" si="40"/>
        <v>0</v>
      </c>
      <c r="R700" s="1">
        <f t="shared" si="41"/>
        <v>0</v>
      </c>
      <c r="T700">
        <f t="shared" si="42"/>
        <v>0</v>
      </c>
      <c r="U700">
        <f t="shared" si="43"/>
        <v>0</v>
      </c>
    </row>
    <row r="701" x14ac:dyDescent="0.35">
      <c r="A701" s="21" t="str">
        <v/>
      </c>
      <c r="B701" s="23" t="str">
        <v/>
      </c>
      <c r="C701" t="str">
        <v/>
      </c>
      <c r="D701" t="str">
        <v/>
      </c>
      <c r="E701" t="str">
        <v/>
      </c>
      <c r="F701" t="str">
        <v/>
      </c>
      <c r="G701" t="str">
        <v/>
      </c>
      <c r="H701" t="str">
        <v/>
      </c>
      <c r="I701" s="2" t="str">
        <v/>
      </c>
      <c r="J701" s="2" t="str">
        <v/>
      </c>
      <c r="K701" s="2" t="str">
        <v/>
      </c>
      <c r="L701" s="1" t="str">
        <v/>
      </c>
      <c r="M701" s="2" t="str">
        <v/>
      </c>
      <c r="N701" s="1" t="str">
        <v/>
      </c>
      <c r="O701" s="1" t="str">
        <v/>
      </c>
      <c r="P701" s="1" t="str">
        <v/>
      </c>
      <c r="Q701" s="1">
        <f t="shared" si="40"/>
        <v>0</v>
      </c>
      <c r="R701" s="1">
        <f t="shared" si="41"/>
        <v>0</v>
      </c>
      <c r="T701">
        <f t="shared" si="42"/>
        <v>0</v>
      </c>
      <c r="U701">
        <f t="shared" si="43"/>
        <v>0</v>
      </c>
    </row>
    <row r="702" x14ac:dyDescent="0.35">
      <c r="A702" s="21" t="str">
        <v/>
      </c>
      <c r="B702" s="23" t="str">
        <v/>
      </c>
      <c r="C702" t="str">
        <v/>
      </c>
      <c r="D702" t="str">
        <v/>
      </c>
      <c r="E702" t="str">
        <v/>
      </c>
      <c r="F702" t="str">
        <v/>
      </c>
      <c r="G702" t="str">
        <v/>
      </c>
      <c r="H702" t="str">
        <v/>
      </c>
      <c r="I702" s="2" t="str">
        <v/>
      </c>
      <c r="J702" s="2" t="str">
        <v/>
      </c>
      <c r="K702" s="2" t="str">
        <v/>
      </c>
      <c r="L702" s="1" t="str">
        <v/>
      </c>
      <c r="M702" s="2" t="str">
        <v/>
      </c>
      <c r="N702" s="1" t="str">
        <v/>
      </c>
      <c r="O702" s="1" t="str">
        <v/>
      </c>
      <c r="P702" s="1" t="str">
        <v/>
      </c>
      <c r="Q702" s="1">
        <f t="shared" si="40"/>
        <v>0</v>
      </c>
      <c r="R702" s="1">
        <f t="shared" si="41"/>
        <v>0</v>
      </c>
      <c r="T702">
        <f t="shared" si="42"/>
        <v>0</v>
      </c>
      <c r="U702">
        <f t="shared" si="43"/>
        <v>0</v>
      </c>
    </row>
    <row r="703" x14ac:dyDescent="0.35">
      <c r="A703" s="21" t="str">
        <v/>
      </c>
      <c r="B703" s="23" t="str">
        <v/>
      </c>
      <c r="C703" t="str">
        <v/>
      </c>
      <c r="D703" t="str">
        <v/>
      </c>
      <c r="E703" t="str">
        <v/>
      </c>
      <c r="F703" t="str">
        <v/>
      </c>
      <c r="G703" t="str">
        <v/>
      </c>
      <c r="H703" t="str">
        <v/>
      </c>
      <c r="I703" s="2" t="str">
        <v/>
      </c>
      <c r="J703" s="2" t="str">
        <v/>
      </c>
      <c r="K703" s="2" t="str">
        <v/>
      </c>
      <c r="L703" s="1" t="str">
        <v/>
      </c>
      <c r="M703" s="2" t="str">
        <v/>
      </c>
      <c r="N703" s="1" t="str">
        <v/>
      </c>
      <c r="O703" s="1" t="str">
        <v/>
      </c>
      <c r="P703" s="1" t="str">
        <v/>
      </c>
      <c r="Q703" s="1">
        <f t="shared" si="40"/>
        <v>0</v>
      </c>
      <c r="R703" s="1">
        <f t="shared" si="41"/>
        <v>0</v>
      </c>
      <c r="T703">
        <f t="shared" si="42"/>
        <v>0</v>
      </c>
      <c r="U703">
        <f t="shared" si="43"/>
        <v>0</v>
      </c>
    </row>
    <row r="704" x14ac:dyDescent="0.35">
      <c r="A704" s="21" t="str">
        <v/>
      </c>
      <c r="B704" s="23" t="str">
        <v/>
      </c>
      <c r="C704" t="str">
        <v/>
      </c>
      <c r="D704" t="str">
        <v/>
      </c>
      <c r="E704" t="str">
        <v/>
      </c>
      <c r="F704" t="str">
        <v/>
      </c>
      <c r="G704" t="str">
        <v/>
      </c>
      <c r="H704" t="str">
        <v/>
      </c>
      <c r="I704" s="2" t="str">
        <v/>
      </c>
      <c r="J704" s="2" t="str">
        <v/>
      </c>
      <c r="K704" s="2" t="str">
        <v/>
      </c>
      <c r="L704" s="1" t="str">
        <v/>
      </c>
      <c r="M704" s="2" t="str">
        <v/>
      </c>
      <c r="N704" s="1" t="str">
        <v/>
      </c>
      <c r="O704" s="1" t="str">
        <v/>
      </c>
      <c r="P704" s="1" t="str">
        <v/>
      </c>
      <c r="Q704" s="1">
        <f t="shared" si="40"/>
        <v>0</v>
      </c>
      <c r="R704" s="1">
        <f t="shared" si="41"/>
        <v>0</v>
      </c>
      <c r="T704">
        <f t="shared" si="42"/>
        <v>0</v>
      </c>
      <c r="U704">
        <f t="shared" si="43"/>
        <v>0</v>
      </c>
    </row>
    <row r="705" x14ac:dyDescent="0.35">
      <c r="A705" s="21" t="str">
        <v/>
      </c>
      <c r="B705" s="23" t="str">
        <v/>
      </c>
      <c r="C705" t="str">
        <v/>
      </c>
      <c r="D705" t="str">
        <v/>
      </c>
      <c r="E705" t="str">
        <v/>
      </c>
      <c r="F705" t="str">
        <v/>
      </c>
      <c r="G705" t="str">
        <v/>
      </c>
      <c r="H705" t="str">
        <v/>
      </c>
      <c r="I705" s="2" t="str">
        <v/>
      </c>
      <c r="J705" s="2" t="str">
        <v/>
      </c>
      <c r="K705" s="2" t="str">
        <v/>
      </c>
      <c r="L705" s="1" t="str">
        <v/>
      </c>
      <c r="M705" s="2" t="str">
        <v/>
      </c>
      <c r="N705" s="1" t="str">
        <v/>
      </c>
      <c r="O705" s="1" t="str">
        <v/>
      </c>
      <c r="P705" s="1" t="str">
        <v/>
      </c>
      <c r="Q705" s="1">
        <f t="shared" si="40"/>
        <v>0</v>
      </c>
      <c r="R705" s="1">
        <f t="shared" si="41"/>
        <v>0</v>
      </c>
      <c r="T705">
        <f t="shared" si="42"/>
        <v>0</v>
      </c>
      <c r="U705">
        <f t="shared" si="43"/>
        <v>0</v>
      </c>
    </row>
    <row r="706" x14ac:dyDescent="0.35">
      <c r="A706" s="21" t="str">
        <v/>
      </c>
      <c r="B706" s="23" t="str">
        <v/>
      </c>
      <c r="C706" t="str">
        <v/>
      </c>
      <c r="D706" t="str">
        <v/>
      </c>
      <c r="E706" t="str">
        <v/>
      </c>
      <c r="F706" t="str">
        <v/>
      </c>
      <c r="G706" t="str">
        <v/>
      </c>
      <c r="H706" t="str">
        <v/>
      </c>
      <c r="I706" s="2" t="str">
        <v/>
      </c>
      <c r="J706" s="2" t="str">
        <v/>
      </c>
      <c r="K706" s="2" t="str">
        <v/>
      </c>
      <c r="L706" s="1" t="str">
        <v/>
      </c>
      <c r="M706" s="2" t="str">
        <v/>
      </c>
      <c r="N706" s="1" t="str">
        <v/>
      </c>
      <c r="O706" s="1" t="str">
        <v/>
      </c>
      <c r="P706" s="1" t="str">
        <v/>
      </c>
      <c r="Q706" s="1">
        <f t="shared" si="40"/>
        <v>0</v>
      </c>
      <c r="R706" s="1">
        <f t="shared" si="41"/>
        <v>0</v>
      </c>
      <c r="T706">
        <f t="shared" si="42"/>
        <v>0</v>
      </c>
      <c r="U706">
        <f t="shared" si="43"/>
        <v>0</v>
      </c>
    </row>
    <row r="707" x14ac:dyDescent="0.35">
      <c r="A707" s="21" t="str">
        <v/>
      </c>
      <c r="B707" s="23" t="str">
        <v/>
      </c>
      <c r="C707" t="str">
        <v/>
      </c>
      <c r="D707" t="str">
        <v/>
      </c>
      <c r="E707" t="str">
        <v/>
      </c>
      <c r="F707" t="str">
        <v/>
      </c>
      <c r="G707" t="str">
        <v/>
      </c>
      <c r="H707" t="str">
        <v/>
      </c>
      <c r="I707" s="2" t="str">
        <v/>
      </c>
      <c r="J707" s="2" t="str">
        <v/>
      </c>
      <c r="K707" s="2" t="str">
        <v/>
      </c>
      <c r="L707" s="1" t="str">
        <v/>
      </c>
      <c r="M707" s="2" t="str">
        <v/>
      </c>
      <c r="N707" s="1" t="str">
        <v/>
      </c>
      <c r="O707" s="1" t="str">
        <v/>
      </c>
      <c r="P707" s="1" t="str">
        <v/>
      </c>
      <c r="Q707" s="1">
        <f t="shared" ref="Q707:Q770" si="44">IF(H707="Sí",1,0)</f>
        <v>0</v>
      </c>
      <c r="R707" s="1">
        <f t="shared" ref="R707:R770" si="45">IF(L707="En coordinación",1,0)</f>
        <v>0</v>
      </c>
      <c r="T707">
        <f t="shared" ref="T707:T770" si="46">IF(N707="Sí",1,0)</f>
        <v>0</v>
      </c>
      <c r="U707">
        <f t="shared" ref="U707:U770" si="47">IF(L707="Aceptada",1,0)</f>
        <v>0</v>
      </c>
    </row>
    <row r="708" x14ac:dyDescent="0.35">
      <c r="A708" s="21" t="str">
        <v/>
      </c>
      <c r="B708" s="23" t="str">
        <v/>
      </c>
      <c r="C708" t="str">
        <v/>
      </c>
      <c r="D708" t="str">
        <v/>
      </c>
      <c r="E708" t="str">
        <v/>
      </c>
      <c r="F708" t="str">
        <v/>
      </c>
      <c r="G708" t="str">
        <v/>
      </c>
      <c r="H708" t="str">
        <v/>
      </c>
      <c r="I708" s="2" t="str">
        <v/>
      </c>
      <c r="J708" s="2" t="str">
        <v/>
      </c>
      <c r="K708" s="2" t="str">
        <v/>
      </c>
      <c r="L708" s="1" t="str">
        <v/>
      </c>
      <c r="M708" s="2" t="str">
        <v/>
      </c>
      <c r="N708" s="1" t="str">
        <v/>
      </c>
      <c r="O708" s="1" t="str">
        <v/>
      </c>
      <c r="P708" s="1" t="str">
        <v/>
      </c>
      <c r="Q708" s="1">
        <f t="shared" si="44"/>
        <v>0</v>
      </c>
      <c r="R708" s="1">
        <f t="shared" si="45"/>
        <v>0</v>
      </c>
      <c r="T708">
        <f t="shared" si="46"/>
        <v>0</v>
      </c>
      <c r="U708">
        <f t="shared" si="47"/>
        <v>0</v>
      </c>
    </row>
    <row r="709" x14ac:dyDescent="0.35">
      <c r="A709" s="21" t="str">
        <v/>
      </c>
      <c r="B709" s="23" t="str">
        <v/>
      </c>
      <c r="C709" t="str">
        <v/>
      </c>
      <c r="D709" t="str">
        <v/>
      </c>
      <c r="E709" t="str">
        <v/>
      </c>
      <c r="F709" t="str">
        <v/>
      </c>
      <c r="G709" t="str">
        <v/>
      </c>
      <c r="H709" t="str">
        <v/>
      </c>
      <c r="I709" s="2" t="str">
        <v/>
      </c>
      <c r="J709" s="2" t="str">
        <v/>
      </c>
      <c r="K709" s="2" t="str">
        <v/>
      </c>
      <c r="L709" s="1" t="str">
        <v/>
      </c>
      <c r="M709" s="2" t="str">
        <v/>
      </c>
      <c r="N709" s="1" t="str">
        <v/>
      </c>
      <c r="O709" s="1" t="str">
        <v/>
      </c>
      <c r="P709" s="1" t="str">
        <v/>
      </c>
      <c r="Q709" s="1">
        <f t="shared" si="44"/>
        <v>0</v>
      </c>
      <c r="R709" s="1">
        <f t="shared" si="45"/>
        <v>0</v>
      </c>
      <c r="T709">
        <f t="shared" si="46"/>
        <v>0</v>
      </c>
      <c r="U709">
        <f t="shared" si="47"/>
        <v>0</v>
      </c>
    </row>
    <row r="710" x14ac:dyDescent="0.35">
      <c r="A710" s="21" t="str">
        <v/>
      </c>
      <c r="B710" s="23" t="str">
        <v/>
      </c>
      <c r="C710" t="str">
        <v/>
      </c>
      <c r="D710" t="str">
        <v/>
      </c>
      <c r="E710" t="str">
        <v/>
      </c>
      <c r="F710" t="str">
        <v/>
      </c>
      <c r="G710" t="str">
        <v/>
      </c>
      <c r="H710" t="str">
        <v/>
      </c>
      <c r="I710" s="2" t="str">
        <v/>
      </c>
      <c r="J710" s="2" t="str">
        <v/>
      </c>
      <c r="K710" s="2" t="str">
        <v/>
      </c>
      <c r="L710" s="1" t="str">
        <v/>
      </c>
      <c r="M710" s="2" t="str">
        <v/>
      </c>
      <c r="N710" s="1" t="str">
        <v/>
      </c>
      <c r="O710" s="1" t="str">
        <v/>
      </c>
      <c r="P710" s="1" t="str">
        <v/>
      </c>
      <c r="Q710" s="1">
        <f t="shared" si="44"/>
        <v>0</v>
      </c>
      <c r="R710" s="1">
        <f t="shared" si="45"/>
        <v>0</v>
      </c>
      <c r="T710">
        <f t="shared" si="46"/>
        <v>0</v>
      </c>
      <c r="U710">
        <f t="shared" si="47"/>
        <v>0</v>
      </c>
    </row>
    <row r="711" x14ac:dyDescent="0.35">
      <c r="A711" s="21" t="str">
        <v/>
      </c>
      <c r="B711" s="23" t="str">
        <v/>
      </c>
      <c r="C711" t="str">
        <v/>
      </c>
      <c r="D711" t="str">
        <v/>
      </c>
      <c r="E711" t="str">
        <v/>
      </c>
      <c r="F711" t="str">
        <v/>
      </c>
      <c r="G711" t="str">
        <v/>
      </c>
      <c r="H711" t="str">
        <v/>
      </c>
      <c r="I711" s="2" t="str">
        <v/>
      </c>
      <c r="J711" s="2" t="str">
        <v/>
      </c>
      <c r="K711" s="2" t="str">
        <v/>
      </c>
      <c r="L711" s="1" t="str">
        <v/>
      </c>
      <c r="M711" s="2" t="str">
        <v/>
      </c>
      <c r="N711" s="1" t="str">
        <v/>
      </c>
      <c r="O711" s="1" t="str">
        <v/>
      </c>
      <c r="P711" s="1" t="str">
        <v/>
      </c>
      <c r="Q711" s="1">
        <f t="shared" si="44"/>
        <v>0</v>
      </c>
      <c r="R711" s="1">
        <f t="shared" si="45"/>
        <v>0</v>
      </c>
      <c r="T711">
        <f t="shared" si="46"/>
        <v>0</v>
      </c>
      <c r="U711">
        <f t="shared" si="47"/>
        <v>0</v>
      </c>
    </row>
    <row r="712" x14ac:dyDescent="0.35">
      <c r="A712" s="21" t="str">
        <v/>
      </c>
      <c r="B712" s="23" t="str">
        <v/>
      </c>
      <c r="C712" t="str">
        <v/>
      </c>
      <c r="D712" t="str">
        <v/>
      </c>
      <c r="E712" t="str">
        <v/>
      </c>
      <c r="F712" t="str">
        <v/>
      </c>
      <c r="G712" t="str">
        <v/>
      </c>
      <c r="H712" t="str">
        <v/>
      </c>
      <c r="I712" s="2" t="str">
        <v/>
      </c>
      <c r="J712" s="2" t="str">
        <v/>
      </c>
      <c r="K712" s="2" t="str">
        <v/>
      </c>
      <c r="L712" s="1" t="str">
        <v/>
      </c>
      <c r="M712" s="2" t="str">
        <v/>
      </c>
      <c r="N712" s="1" t="str">
        <v/>
      </c>
      <c r="O712" s="1" t="str">
        <v/>
      </c>
      <c r="P712" s="1" t="str">
        <v/>
      </c>
      <c r="Q712" s="1">
        <f t="shared" si="44"/>
        <v>0</v>
      </c>
      <c r="R712" s="1">
        <f t="shared" si="45"/>
        <v>0</v>
      </c>
      <c r="T712">
        <f t="shared" si="46"/>
        <v>0</v>
      </c>
      <c r="U712">
        <f t="shared" si="47"/>
        <v>0</v>
      </c>
    </row>
    <row r="713" x14ac:dyDescent="0.35">
      <c r="A713" s="21" t="str">
        <v/>
      </c>
      <c r="B713" s="23" t="str">
        <v/>
      </c>
      <c r="C713" t="str">
        <v/>
      </c>
      <c r="D713" t="str">
        <v/>
      </c>
      <c r="E713" t="str">
        <v/>
      </c>
      <c r="F713" t="str">
        <v/>
      </c>
      <c r="G713" t="str">
        <v/>
      </c>
      <c r="H713" t="str">
        <v/>
      </c>
      <c r="I713" s="2" t="str">
        <v/>
      </c>
      <c r="J713" s="2" t="str">
        <v/>
      </c>
      <c r="K713" s="2" t="str">
        <v/>
      </c>
      <c r="L713" s="1" t="str">
        <v/>
      </c>
      <c r="M713" s="2" t="str">
        <v/>
      </c>
      <c r="N713" s="1" t="str">
        <v/>
      </c>
      <c r="O713" s="1" t="str">
        <v/>
      </c>
      <c r="P713" s="1" t="str">
        <v/>
      </c>
      <c r="Q713" s="1">
        <f t="shared" si="44"/>
        <v>0</v>
      </c>
      <c r="R713" s="1">
        <f t="shared" si="45"/>
        <v>0</v>
      </c>
      <c r="T713">
        <f t="shared" si="46"/>
        <v>0</v>
      </c>
      <c r="U713">
        <f t="shared" si="47"/>
        <v>0</v>
      </c>
    </row>
    <row r="714" x14ac:dyDescent="0.35">
      <c r="A714" s="21" t="str">
        <v/>
      </c>
      <c r="B714" s="23" t="str">
        <v/>
      </c>
      <c r="C714" t="str">
        <v/>
      </c>
      <c r="D714" t="str">
        <v/>
      </c>
      <c r="E714" t="str">
        <v/>
      </c>
      <c r="F714" t="str">
        <v/>
      </c>
      <c r="G714" t="str">
        <v/>
      </c>
      <c r="H714" t="str">
        <v/>
      </c>
      <c r="I714" s="2" t="str">
        <v/>
      </c>
      <c r="J714" s="2" t="str">
        <v/>
      </c>
      <c r="K714" s="2" t="str">
        <v/>
      </c>
      <c r="L714" s="1" t="str">
        <v/>
      </c>
      <c r="M714" s="2" t="str">
        <v/>
      </c>
      <c r="N714" s="1" t="str">
        <v/>
      </c>
      <c r="O714" s="1" t="str">
        <v/>
      </c>
      <c r="P714" s="1" t="str">
        <v/>
      </c>
      <c r="Q714" s="1">
        <f t="shared" si="44"/>
        <v>0</v>
      </c>
      <c r="R714" s="1">
        <f t="shared" si="45"/>
        <v>0</v>
      </c>
      <c r="T714">
        <f t="shared" si="46"/>
        <v>0</v>
      </c>
      <c r="U714">
        <f t="shared" si="47"/>
        <v>0</v>
      </c>
    </row>
    <row r="715" x14ac:dyDescent="0.35">
      <c r="A715" s="21" t="str">
        <v/>
      </c>
      <c r="B715" s="23" t="str">
        <v/>
      </c>
      <c r="C715" t="str">
        <v/>
      </c>
      <c r="D715" t="str">
        <v/>
      </c>
      <c r="E715" t="str">
        <v/>
      </c>
      <c r="F715" t="str">
        <v/>
      </c>
      <c r="G715" t="str">
        <v/>
      </c>
      <c r="H715" t="str">
        <v/>
      </c>
      <c r="I715" s="2" t="str">
        <v/>
      </c>
      <c r="J715" s="2" t="str">
        <v/>
      </c>
      <c r="K715" s="2" t="str">
        <v/>
      </c>
      <c r="L715" s="1" t="str">
        <v/>
      </c>
      <c r="M715" s="2" t="str">
        <v/>
      </c>
      <c r="N715" s="1" t="str">
        <v/>
      </c>
      <c r="O715" s="1" t="str">
        <v/>
      </c>
      <c r="P715" s="1" t="str">
        <v/>
      </c>
      <c r="Q715" s="1">
        <f t="shared" si="44"/>
        <v>0</v>
      </c>
      <c r="R715" s="1">
        <f t="shared" si="45"/>
        <v>0</v>
      </c>
      <c r="T715">
        <f t="shared" si="46"/>
        <v>0</v>
      </c>
      <c r="U715">
        <f t="shared" si="47"/>
        <v>0</v>
      </c>
    </row>
    <row r="716" x14ac:dyDescent="0.35">
      <c r="A716" s="21" t="str">
        <v/>
      </c>
      <c r="B716" s="23" t="str">
        <v/>
      </c>
      <c r="C716" t="str">
        <v/>
      </c>
      <c r="D716" t="str">
        <v/>
      </c>
      <c r="E716" t="str">
        <v/>
      </c>
      <c r="F716" t="str">
        <v/>
      </c>
      <c r="G716" t="str">
        <v/>
      </c>
      <c r="H716" t="str">
        <v/>
      </c>
      <c r="I716" s="2" t="str">
        <v/>
      </c>
      <c r="J716" s="2" t="str">
        <v/>
      </c>
      <c r="K716" s="2" t="str">
        <v/>
      </c>
      <c r="L716" s="1" t="str">
        <v/>
      </c>
      <c r="M716" s="2" t="str">
        <v/>
      </c>
      <c r="N716" s="1" t="str">
        <v/>
      </c>
      <c r="O716" s="1" t="str">
        <v/>
      </c>
      <c r="P716" s="1" t="str">
        <v/>
      </c>
      <c r="Q716" s="1">
        <f t="shared" si="44"/>
        <v>0</v>
      </c>
      <c r="R716" s="1">
        <f t="shared" si="45"/>
        <v>0</v>
      </c>
      <c r="T716">
        <f t="shared" si="46"/>
        <v>0</v>
      </c>
      <c r="U716">
        <f t="shared" si="47"/>
        <v>0</v>
      </c>
    </row>
    <row r="717" x14ac:dyDescent="0.35">
      <c r="A717" s="21" t="str">
        <v/>
      </c>
      <c r="B717" s="23" t="str">
        <v/>
      </c>
      <c r="C717" t="str">
        <v/>
      </c>
      <c r="D717" t="str">
        <v/>
      </c>
      <c r="E717" t="str">
        <v/>
      </c>
      <c r="F717" t="str">
        <v/>
      </c>
      <c r="G717" t="str">
        <v/>
      </c>
      <c r="H717" t="str">
        <v/>
      </c>
      <c r="I717" s="2" t="str">
        <v/>
      </c>
      <c r="J717" s="2" t="str">
        <v/>
      </c>
      <c r="K717" s="2" t="str">
        <v/>
      </c>
      <c r="L717" s="1" t="str">
        <v/>
      </c>
      <c r="M717" s="2" t="str">
        <v/>
      </c>
      <c r="N717" s="1" t="str">
        <v/>
      </c>
      <c r="O717" s="1" t="str">
        <v/>
      </c>
      <c r="P717" s="1" t="str">
        <v/>
      </c>
      <c r="Q717" s="1">
        <f t="shared" si="44"/>
        <v>0</v>
      </c>
      <c r="R717" s="1">
        <f t="shared" si="45"/>
        <v>0</v>
      </c>
      <c r="T717">
        <f t="shared" si="46"/>
        <v>0</v>
      </c>
      <c r="U717">
        <f t="shared" si="47"/>
        <v>0</v>
      </c>
    </row>
    <row r="718" x14ac:dyDescent="0.35">
      <c r="A718" s="21" t="str">
        <v/>
      </c>
      <c r="B718" s="23" t="str">
        <v/>
      </c>
      <c r="C718" t="str">
        <v/>
      </c>
      <c r="D718" t="str">
        <v/>
      </c>
      <c r="E718" t="str">
        <v/>
      </c>
      <c r="F718" t="str">
        <v/>
      </c>
      <c r="G718" t="str">
        <v/>
      </c>
      <c r="H718" t="str">
        <v/>
      </c>
      <c r="I718" s="2" t="str">
        <v/>
      </c>
      <c r="J718" s="2" t="str">
        <v/>
      </c>
      <c r="K718" s="2" t="str">
        <v/>
      </c>
      <c r="L718" s="1" t="str">
        <v/>
      </c>
      <c r="M718" s="2" t="str">
        <v/>
      </c>
      <c r="N718" s="1" t="str">
        <v/>
      </c>
      <c r="O718" s="1" t="str">
        <v/>
      </c>
      <c r="P718" s="1" t="str">
        <v/>
      </c>
      <c r="Q718" s="1">
        <f t="shared" si="44"/>
        <v>0</v>
      </c>
      <c r="R718" s="1">
        <f t="shared" si="45"/>
        <v>0</v>
      </c>
      <c r="T718">
        <f t="shared" si="46"/>
        <v>0</v>
      </c>
      <c r="U718">
        <f t="shared" si="47"/>
        <v>0</v>
      </c>
    </row>
    <row r="719" x14ac:dyDescent="0.35">
      <c r="A719" s="21" t="str">
        <v/>
      </c>
      <c r="B719" s="23" t="str">
        <v/>
      </c>
      <c r="C719" t="str">
        <v/>
      </c>
      <c r="D719" t="str">
        <v/>
      </c>
      <c r="E719" t="str">
        <v/>
      </c>
      <c r="F719" t="str">
        <v/>
      </c>
      <c r="G719" t="str">
        <v/>
      </c>
      <c r="H719" t="str">
        <v/>
      </c>
      <c r="I719" s="2" t="str">
        <v/>
      </c>
      <c r="J719" s="2" t="str">
        <v/>
      </c>
      <c r="K719" s="2" t="str">
        <v/>
      </c>
      <c r="L719" s="1" t="str">
        <v/>
      </c>
      <c r="M719" s="2" t="str">
        <v/>
      </c>
      <c r="N719" s="1" t="str">
        <v/>
      </c>
      <c r="O719" s="1" t="str">
        <v/>
      </c>
      <c r="P719" s="1" t="str">
        <v/>
      </c>
      <c r="Q719" s="1">
        <f t="shared" si="44"/>
        <v>0</v>
      </c>
      <c r="R719" s="1">
        <f t="shared" si="45"/>
        <v>0</v>
      </c>
      <c r="T719">
        <f t="shared" si="46"/>
        <v>0</v>
      </c>
      <c r="U719">
        <f t="shared" si="47"/>
        <v>0</v>
      </c>
    </row>
    <row r="720" x14ac:dyDescent="0.35">
      <c r="A720" s="21" t="str">
        <v/>
      </c>
      <c r="B720" s="23" t="str">
        <v/>
      </c>
      <c r="C720" t="str">
        <v/>
      </c>
      <c r="D720" t="str">
        <v/>
      </c>
      <c r="E720" t="str">
        <v/>
      </c>
      <c r="F720" t="str">
        <v/>
      </c>
      <c r="G720" t="str">
        <v/>
      </c>
      <c r="H720" t="str">
        <v/>
      </c>
      <c r="I720" s="2" t="str">
        <v/>
      </c>
      <c r="J720" s="2" t="str">
        <v/>
      </c>
      <c r="K720" s="2" t="str">
        <v/>
      </c>
      <c r="L720" s="1" t="str">
        <v/>
      </c>
      <c r="M720" s="2" t="str">
        <v/>
      </c>
      <c r="N720" s="1" t="str">
        <v/>
      </c>
      <c r="O720" s="1" t="str">
        <v/>
      </c>
      <c r="P720" s="1" t="str">
        <v/>
      </c>
      <c r="Q720" s="1">
        <f t="shared" si="44"/>
        <v>0</v>
      </c>
      <c r="R720" s="1">
        <f t="shared" si="45"/>
        <v>0</v>
      </c>
      <c r="T720">
        <f t="shared" si="46"/>
        <v>0</v>
      </c>
      <c r="U720">
        <f t="shared" si="47"/>
        <v>0</v>
      </c>
    </row>
    <row r="721" x14ac:dyDescent="0.35">
      <c r="A721" s="21" t="str">
        <v/>
      </c>
      <c r="B721" s="23" t="str">
        <v/>
      </c>
      <c r="C721" t="str">
        <v/>
      </c>
      <c r="D721" t="str">
        <v/>
      </c>
      <c r="E721" t="str">
        <v/>
      </c>
      <c r="F721" t="str">
        <v/>
      </c>
      <c r="G721" t="str">
        <v/>
      </c>
      <c r="H721" t="str">
        <v/>
      </c>
      <c r="I721" s="2" t="str">
        <v/>
      </c>
      <c r="J721" s="2" t="str">
        <v/>
      </c>
      <c r="K721" s="2" t="str">
        <v/>
      </c>
      <c r="L721" s="1" t="str">
        <v/>
      </c>
      <c r="M721" s="2" t="str">
        <v/>
      </c>
      <c r="N721" s="1" t="str">
        <v/>
      </c>
      <c r="O721" s="1" t="str">
        <v/>
      </c>
      <c r="P721" s="1" t="str">
        <v/>
      </c>
      <c r="Q721" s="1">
        <f t="shared" si="44"/>
        <v>0</v>
      </c>
      <c r="R721" s="1">
        <f t="shared" si="45"/>
        <v>0</v>
      </c>
      <c r="T721">
        <f t="shared" si="46"/>
        <v>0</v>
      </c>
      <c r="U721">
        <f t="shared" si="47"/>
        <v>0</v>
      </c>
    </row>
    <row r="722" x14ac:dyDescent="0.35">
      <c r="A722" s="21" t="str">
        <v/>
      </c>
      <c r="B722" s="23" t="str">
        <v/>
      </c>
      <c r="C722" t="str">
        <v/>
      </c>
      <c r="D722" t="str">
        <v/>
      </c>
      <c r="E722" t="str">
        <v/>
      </c>
      <c r="F722" t="str">
        <v/>
      </c>
      <c r="G722" t="str">
        <v/>
      </c>
      <c r="H722" t="str">
        <v/>
      </c>
      <c r="I722" s="2" t="str">
        <v/>
      </c>
      <c r="J722" s="2" t="str">
        <v/>
      </c>
      <c r="K722" s="2" t="str">
        <v/>
      </c>
      <c r="L722" s="1" t="str">
        <v/>
      </c>
      <c r="M722" s="2" t="str">
        <v/>
      </c>
      <c r="N722" s="1" t="str">
        <v/>
      </c>
      <c r="O722" s="1" t="str">
        <v/>
      </c>
      <c r="P722" s="1" t="str">
        <v/>
      </c>
      <c r="Q722" s="1">
        <f t="shared" si="44"/>
        <v>0</v>
      </c>
      <c r="R722" s="1">
        <f t="shared" si="45"/>
        <v>0</v>
      </c>
      <c r="T722">
        <f t="shared" si="46"/>
        <v>0</v>
      </c>
      <c r="U722">
        <f t="shared" si="47"/>
        <v>0</v>
      </c>
    </row>
    <row r="723" x14ac:dyDescent="0.35">
      <c r="A723" s="21" t="str">
        <v/>
      </c>
      <c r="B723" s="23" t="str">
        <v/>
      </c>
      <c r="C723" t="str">
        <v/>
      </c>
      <c r="D723" t="str">
        <v/>
      </c>
      <c r="E723" t="str">
        <v/>
      </c>
      <c r="F723" t="str">
        <v/>
      </c>
      <c r="G723" t="str">
        <v/>
      </c>
      <c r="H723" t="str">
        <v/>
      </c>
      <c r="I723" s="2" t="str">
        <v/>
      </c>
      <c r="J723" s="2" t="str">
        <v/>
      </c>
      <c r="K723" s="2" t="str">
        <v/>
      </c>
      <c r="L723" s="1" t="str">
        <v/>
      </c>
      <c r="M723" s="2" t="str">
        <v/>
      </c>
      <c r="N723" s="1" t="str">
        <v/>
      </c>
      <c r="O723" s="1" t="str">
        <v/>
      </c>
      <c r="P723" s="1" t="str">
        <v/>
      </c>
      <c r="Q723" s="1">
        <f t="shared" si="44"/>
        <v>0</v>
      </c>
      <c r="R723" s="1">
        <f t="shared" si="45"/>
        <v>0</v>
      </c>
      <c r="T723">
        <f t="shared" si="46"/>
        <v>0</v>
      </c>
      <c r="U723">
        <f t="shared" si="47"/>
        <v>0</v>
      </c>
    </row>
    <row r="724" x14ac:dyDescent="0.35">
      <c r="A724" s="21" t="str">
        <v/>
      </c>
      <c r="B724" s="23" t="str">
        <v/>
      </c>
      <c r="C724" t="str">
        <v/>
      </c>
      <c r="D724" t="str">
        <v/>
      </c>
      <c r="E724" t="str">
        <v/>
      </c>
      <c r="F724" t="str">
        <v/>
      </c>
      <c r="G724" t="str">
        <v/>
      </c>
      <c r="H724" t="str">
        <v/>
      </c>
      <c r="I724" s="2" t="str">
        <v/>
      </c>
      <c r="J724" s="2" t="str">
        <v/>
      </c>
      <c r="K724" s="2" t="str">
        <v/>
      </c>
      <c r="L724" s="1" t="str">
        <v/>
      </c>
      <c r="M724" s="2" t="str">
        <v/>
      </c>
      <c r="N724" s="1" t="str">
        <v/>
      </c>
      <c r="O724" s="1" t="str">
        <v/>
      </c>
      <c r="P724" s="1" t="str">
        <v/>
      </c>
      <c r="Q724" s="1">
        <f t="shared" si="44"/>
        <v>0</v>
      </c>
      <c r="R724" s="1">
        <f t="shared" si="45"/>
        <v>0</v>
      </c>
      <c r="T724">
        <f t="shared" si="46"/>
        <v>0</v>
      </c>
      <c r="U724">
        <f t="shared" si="47"/>
        <v>0</v>
      </c>
    </row>
    <row r="725" x14ac:dyDescent="0.35">
      <c r="A725" s="21" t="str">
        <v/>
      </c>
      <c r="B725" s="23" t="str">
        <v/>
      </c>
      <c r="C725" t="str">
        <v/>
      </c>
      <c r="D725" t="str">
        <v/>
      </c>
      <c r="E725" t="str">
        <v/>
      </c>
      <c r="F725" t="str">
        <v/>
      </c>
      <c r="G725" t="str">
        <v/>
      </c>
      <c r="H725" t="str">
        <v/>
      </c>
      <c r="I725" s="2" t="str">
        <v/>
      </c>
      <c r="J725" s="2" t="str">
        <v/>
      </c>
      <c r="K725" s="2" t="str">
        <v/>
      </c>
      <c r="L725" s="1" t="str">
        <v/>
      </c>
      <c r="M725" s="2" t="str">
        <v/>
      </c>
      <c r="N725" s="1" t="str">
        <v/>
      </c>
      <c r="O725" s="1" t="str">
        <v/>
      </c>
      <c r="P725" s="1" t="str">
        <v/>
      </c>
      <c r="Q725" s="1">
        <f t="shared" si="44"/>
        <v>0</v>
      </c>
      <c r="R725" s="1">
        <f t="shared" si="45"/>
        <v>0</v>
      </c>
      <c r="T725">
        <f t="shared" si="46"/>
        <v>0</v>
      </c>
      <c r="U725">
        <f t="shared" si="47"/>
        <v>0</v>
      </c>
    </row>
    <row r="726" x14ac:dyDescent="0.35">
      <c r="A726" s="21" t="str">
        <v/>
      </c>
      <c r="B726" s="23" t="str">
        <v/>
      </c>
      <c r="C726" t="str">
        <v/>
      </c>
      <c r="D726" t="str">
        <v/>
      </c>
      <c r="E726" t="str">
        <v/>
      </c>
      <c r="F726" t="str">
        <v/>
      </c>
      <c r="G726" t="str">
        <v/>
      </c>
      <c r="H726" t="str">
        <v/>
      </c>
      <c r="I726" s="2" t="str">
        <v/>
      </c>
      <c r="J726" s="2" t="str">
        <v/>
      </c>
      <c r="K726" s="2" t="str">
        <v/>
      </c>
      <c r="L726" s="1" t="str">
        <v/>
      </c>
      <c r="M726" s="2" t="str">
        <v/>
      </c>
      <c r="N726" s="1" t="str">
        <v/>
      </c>
      <c r="O726" s="1" t="str">
        <v/>
      </c>
      <c r="P726" s="1" t="str">
        <v/>
      </c>
      <c r="Q726" s="1">
        <f t="shared" si="44"/>
        <v>0</v>
      </c>
      <c r="R726" s="1">
        <f t="shared" si="45"/>
        <v>0</v>
      </c>
      <c r="T726">
        <f t="shared" si="46"/>
        <v>0</v>
      </c>
      <c r="U726">
        <f t="shared" si="47"/>
        <v>0</v>
      </c>
    </row>
    <row r="727" x14ac:dyDescent="0.35">
      <c r="A727" s="21" t="str">
        <v/>
      </c>
      <c r="B727" s="23" t="str">
        <v/>
      </c>
      <c r="C727" t="str">
        <v/>
      </c>
      <c r="D727" t="str">
        <v/>
      </c>
      <c r="E727" t="str">
        <v/>
      </c>
      <c r="F727" t="str">
        <v/>
      </c>
      <c r="G727" t="str">
        <v/>
      </c>
      <c r="H727" t="str">
        <v/>
      </c>
      <c r="I727" s="2" t="str">
        <v/>
      </c>
      <c r="J727" s="2" t="str">
        <v/>
      </c>
      <c r="K727" s="2" t="str">
        <v/>
      </c>
      <c r="L727" s="1" t="str">
        <v/>
      </c>
      <c r="M727" s="2" t="str">
        <v/>
      </c>
      <c r="N727" s="1" t="str">
        <v/>
      </c>
      <c r="O727" s="1" t="str">
        <v/>
      </c>
      <c r="P727" s="1" t="str">
        <v/>
      </c>
      <c r="Q727" s="1">
        <f t="shared" si="44"/>
        <v>0</v>
      </c>
      <c r="R727" s="1">
        <f t="shared" si="45"/>
        <v>0</v>
      </c>
      <c r="T727">
        <f t="shared" si="46"/>
        <v>0</v>
      </c>
      <c r="U727">
        <f t="shared" si="47"/>
        <v>0</v>
      </c>
    </row>
    <row r="728" x14ac:dyDescent="0.35">
      <c r="A728" s="21" t="str">
        <v/>
      </c>
      <c r="B728" s="23" t="str">
        <v/>
      </c>
      <c r="C728" t="str">
        <v/>
      </c>
      <c r="D728" t="str">
        <v/>
      </c>
      <c r="E728" t="str">
        <v/>
      </c>
      <c r="F728" t="str">
        <v/>
      </c>
      <c r="G728" t="str">
        <v/>
      </c>
      <c r="H728" t="str">
        <v/>
      </c>
      <c r="I728" s="2" t="str">
        <v/>
      </c>
      <c r="J728" s="2" t="str">
        <v/>
      </c>
      <c r="K728" s="2" t="str">
        <v/>
      </c>
      <c r="L728" s="1" t="str">
        <v/>
      </c>
      <c r="M728" s="2" t="str">
        <v/>
      </c>
      <c r="N728" s="1" t="str">
        <v/>
      </c>
      <c r="O728" s="1" t="str">
        <v/>
      </c>
      <c r="P728" s="1" t="str">
        <v/>
      </c>
      <c r="Q728" s="1">
        <f t="shared" si="44"/>
        <v>0</v>
      </c>
      <c r="R728" s="1">
        <f t="shared" si="45"/>
        <v>0</v>
      </c>
      <c r="T728">
        <f t="shared" si="46"/>
        <v>0</v>
      </c>
      <c r="U728">
        <f t="shared" si="47"/>
        <v>0</v>
      </c>
    </row>
    <row r="729" x14ac:dyDescent="0.35">
      <c r="A729" s="21" t="str">
        <v/>
      </c>
      <c r="B729" s="23" t="str">
        <v/>
      </c>
      <c r="C729" t="str">
        <v/>
      </c>
      <c r="D729" t="str">
        <v/>
      </c>
      <c r="E729" t="str">
        <v/>
      </c>
      <c r="F729" t="str">
        <v/>
      </c>
      <c r="G729" t="str">
        <v/>
      </c>
      <c r="H729" t="str">
        <v/>
      </c>
      <c r="I729" s="2" t="str">
        <v/>
      </c>
      <c r="J729" s="2" t="str">
        <v/>
      </c>
      <c r="K729" s="2" t="str">
        <v/>
      </c>
      <c r="L729" s="1" t="str">
        <v/>
      </c>
      <c r="M729" s="2" t="str">
        <v/>
      </c>
      <c r="N729" s="1" t="str">
        <v/>
      </c>
      <c r="O729" s="1" t="str">
        <v/>
      </c>
      <c r="P729" s="1" t="str">
        <v/>
      </c>
      <c r="Q729" s="1">
        <f t="shared" si="44"/>
        <v>0</v>
      </c>
      <c r="R729" s="1">
        <f t="shared" si="45"/>
        <v>0</v>
      </c>
      <c r="T729">
        <f t="shared" si="46"/>
        <v>0</v>
      </c>
      <c r="U729">
        <f t="shared" si="47"/>
        <v>0</v>
      </c>
    </row>
    <row r="730" x14ac:dyDescent="0.35">
      <c r="A730" s="21" t="str">
        <v/>
      </c>
      <c r="B730" s="23" t="str">
        <v/>
      </c>
      <c r="C730" t="str">
        <v/>
      </c>
      <c r="D730" t="str">
        <v/>
      </c>
      <c r="E730" t="str">
        <v/>
      </c>
      <c r="F730" t="str">
        <v/>
      </c>
      <c r="G730" t="str">
        <v/>
      </c>
      <c r="H730" t="str">
        <v/>
      </c>
      <c r="I730" s="2" t="str">
        <v/>
      </c>
      <c r="J730" s="2" t="str">
        <v/>
      </c>
      <c r="K730" s="2" t="str">
        <v/>
      </c>
      <c r="L730" s="1" t="str">
        <v/>
      </c>
      <c r="M730" s="2" t="str">
        <v/>
      </c>
      <c r="N730" s="1" t="str">
        <v/>
      </c>
      <c r="O730" s="1" t="str">
        <v/>
      </c>
      <c r="P730" s="1" t="str">
        <v/>
      </c>
      <c r="Q730" s="1">
        <f t="shared" si="44"/>
        <v>0</v>
      </c>
      <c r="R730" s="1">
        <f t="shared" si="45"/>
        <v>0</v>
      </c>
      <c r="T730">
        <f t="shared" si="46"/>
        <v>0</v>
      </c>
      <c r="U730">
        <f t="shared" si="47"/>
        <v>0</v>
      </c>
    </row>
    <row r="731" x14ac:dyDescent="0.35">
      <c r="A731" s="21" t="str">
        <v/>
      </c>
      <c r="B731" s="23" t="str">
        <v/>
      </c>
      <c r="C731" t="str">
        <v/>
      </c>
      <c r="D731" t="str">
        <v/>
      </c>
      <c r="E731" t="str">
        <v/>
      </c>
      <c r="F731" t="str">
        <v/>
      </c>
      <c r="G731" t="str">
        <v/>
      </c>
      <c r="H731" t="str">
        <v/>
      </c>
      <c r="I731" s="2" t="str">
        <v/>
      </c>
      <c r="J731" s="2" t="str">
        <v/>
      </c>
      <c r="K731" s="2" t="str">
        <v/>
      </c>
      <c r="L731" s="1" t="str">
        <v/>
      </c>
      <c r="M731" s="2" t="str">
        <v/>
      </c>
      <c r="N731" s="1" t="str">
        <v/>
      </c>
      <c r="O731" s="1" t="str">
        <v/>
      </c>
      <c r="P731" s="1" t="str">
        <v/>
      </c>
      <c r="Q731" s="1">
        <f t="shared" si="44"/>
        <v>0</v>
      </c>
      <c r="R731" s="1">
        <f t="shared" si="45"/>
        <v>0</v>
      </c>
      <c r="T731">
        <f t="shared" si="46"/>
        <v>0</v>
      </c>
      <c r="U731">
        <f t="shared" si="47"/>
        <v>0</v>
      </c>
    </row>
    <row r="732" x14ac:dyDescent="0.35">
      <c r="A732" s="21" t="str">
        <v/>
      </c>
      <c r="B732" s="23" t="str">
        <v/>
      </c>
      <c r="C732" t="str">
        <v/>
      </c>
      <c r="D732" t="str">
        <v/>
      </c>
      <c r="E732" t="str">
        <v/>
      </c>
      <c r="F732" t="str">
        <v/>
      </c>
      <c r="G732" t="str">
        <v/>
      </c>
      <c r="H732" t="str">
        <v/>
      </c>
      <c r="I732" s="2" t="str">
        <v/>
      </c>
      <c r="J732" s="2" t="str">
        <v/>
      </c>
      <c r="K732" s="2" t="str">
        <v/>
      </c>
      <c r="L732" s="1" t="str">
        <v/>
      </c>
      <c r="M732" s="2" t="str">
        <v/>
      </c>
      <c r="N732" s="1" t="str">
        <v/>
      </c>
      <c r="O732" s="1" t="str">
        <v/>
      </c>
      <c r="P732" s="1" t="str">
        <v/>
      </c>
      <c r="Q732" s="1">
        <f t="shared" si="44"/>
        <v>0</v>
      </c>
      <c r="R732" s="1">
        <f t="shared" si="45"/>
        <v>0</v>
      </c>
      <c r="T732">
        <f t="shared" si="46"/>
        <v>0</v>
      </c>
      <c r="U732">
        <f t="shared" si="47"/>
        <v>0</v>
      </c>
    </row>
    <row r="733" x14ac:dyDescent="0.35">
      <c r="A733" s="21" t="str">
        <v/>
      </c>
      <c r="B733" s="23" t="str">
        <v/>
      </c>
      <c r="C733" t="str">
        <v/>
      </c>
      <c r="D733" t="str">
        <v/>
      </c>
      <c r="E733" t="str">
        <v/>
      </c>
      <c r="F733" t="str">
        <v/>
      </c>
      <c r="G733" t="str">
        <v/>
      </c>
      <c r="H733" t="str">
        <v/>
      </c>
      <c r="I733" s="2" t="str">
        <v/>
      </c>
      <c r="J733" s="2" t="str">
        <v/>
      </c>
      <c r="K733" s="2" t="str">
        <v/>
      </c>
      <c r="L733" s="1" t="str">
        <v/>
      </c>
      <c r="M733" s="2" t="str">
        <v/>
      </c>
      <c r="N733" s="1" t="str">
        <v/>
      </c>
      <c r="O733" s="1" t="str">
        <v/>
      </c>
      <c r="P733" s="1" t="str">
        <v/>
      </c>
      <c r="Q733" s="1">
        <f t="shared" si="44"/>
        <v>0</v>
      </c>
      <c r="R733" s="1">
        <f t="shared" si="45"/>
        <v>0</v>
      </c>
      <c r="T733">
        <f t="shared" si="46"/>
        <v>0</v>
      </c>
      <c r="U733">
        <f t="shared" si="47"/>
        <v>0</v>
      </c>
    </row>
    <row r="734" x14ac:dyDescent="0.35">
      <c r="A734" s="21" t="str">
        <v/>
      </c>
      <c r="B734" s="23" t="str">
        <v/>
      </c>
      <c r="C734" t="str">
        <v/>
      </c>
      <c r="D734" t="str">
        <v/>
      </c>
      <c r="E734" t="str">
        <v/>
      </c>
      <c r="F734" t="str">
        <v/>
      </c>
      <c r="G734" t="str">
        <v/>
      </c>
      <c r="H734" t="str">
        <v/>
      </c>
      <c r="I734" s="2" t="str">
        <v/>
      </c>
      <c r="J734" s="2" t="str">
        <v/>
      </c>
      <c r="K734" s="2" t="str">
        <v/>
      </c>
      <c r="L734" s="1" t="str">
        <v/>
      </c>
      <c r="M734" s="2" t="str">
        <v/>
      </c>
      <c r="N734" s="1" t="str">
        <v/>
      </c>
      <c r="O734" s="1" t="str">
        <v/>
      </c>
      <c r="P734" s="1" t="str">
        <v/>
      </c>
      <c r="Q734" s="1">
        <f t="shared" si="44"/>
        <v>0</v>
      </c>
      <c r="R734" s="1">
        <f t="shared" si="45"/>
        <v>0</v>
      </c>
      <c r="T734">
        <f t="shared" si="46"/>
        <v>0</v>
      </c>
      <c r="U734">
        <f t="shared" si="47"/>
        <v>0</v>
      </c>
    </row>
    <row r="735" x14ac:dyDescent="0.35">
      <c r="A735" s="21" t="str">
        <v/>
      </c>
      <c r="B735" s="23" t="str">
        <v/>
      </c>
      <c r="C735" t="str">
        <v/>
      </c>
      <c r="D735" t="str">
        <v/>
      </c>
      <c r="E735" t="str">
        <v/>
      </c>
      <c r="F735" t="str">
        <v/>
      </c>
      <c r="G735" t="str">
        <v/>
      </c>
      <c r="H735" t="str">
        <v/>
      </c>
      <c r="I735" s="2" t="str">
        <v/>
      </c>
      <c r="J735" s="2" t="str">
        <v/>
      </c>
      <c r="K735" s="2" t="str">
        <v/>
      </c>
      <c r="L735" s="1" t="str">
        <v/>
      </c>
      <c r="M735" s="2" t="str">
        <v/>
      </c>
      <c r="N735" s="1" t="str">
        <v/>
      </c>
      <c r="O735" s="1" t="str">
        <v/>
      </c>
      <c r="P735" s="1" t="str">
        <v/>
      </c>
      <c r="Q735" s="1">
        <f t="shared" si="44"/>
        <v>0</v>
      </c>
      <c r="R735" s="1">
        <f t="shared" si="45"/>
        <v>0</v>
      </c>
      <c r="T735">
        <f t="shared" si="46"/>
        <v>0</v>
      </c>
      <c r="U735">
        <f t="shared" si="47"/>
        <v>0</v>
      </c>
    </row>
    <row r="736" x14ac:dyDescent="0.35">
      <c r="A736" s="21" t="str">
        <v/>
      </c>
      <c r="B736" s="23" t="str">
        <v/>
      </c>
      <c r="C736" t="str">
        <v/>
      </c>
      <c r="D736" t="str">
        <v/>
      </c>
      <c r="E736" t="str">
        <v/>
      </c>
      <c r="F736" t="str">
        <v/>
      </c>
      <c r="G736" t="str">
        <v/>
      </c>
      <c r="H736" t="str">
        <v/>
      </c>
      <c r="I736" s="2" t="str">
        <v/>
      </c>
      <c r="J736" s="2" t="str">
        <v/>
      </c>
      <c r="K736" s="2" t="str">
        <v/>
      </c>
      <c r="L736" s="1" t="str">
        <v/>
      </c>
      <c r="M736" s="2" t="str">
        <v/>
      </c>
      <c r="N736" s="1" t="str">
        <v/>
      </c>
      <c r="O736" s="1" t="str">
        <v/>
      </c>
      <c r="P736" s="1" t="str">
        <v/>
      </c>
      <c r="Q736" s="1">
        <f t="shared" si="44"/>
        <v>0</v>
      </c>
      <c r="R736" s="1">
        <f t="shared" si="45"/>
        <v>0</v>
      </c>
      <c r="T736">
        <f t="shared" si="46"/>
        <v>0</v>
      </c>
      <c r="U736">
        <f t="shared" si="47"/>
        <v>0</v>
      </c>
    </row>
    <row r="737" x14ac:dyDescent="0.35">
      <c r="A737" s="21" t="str">
        <v/>
      </c>
      <c r="B737" s="23" t="str">
        <v/>
      </c>
      <c r="C737" t="str">
        <v/>
      </c>
      <c r="D737" t="str">
        <v/>
      </c>
      <c r="E737" t="str">
        <v/>
      </c>
      <c r="F737" t="str">
        <v/>
      </c>
      <c r="G737" t="str">
        <v/>
      </c>
      <c r="H737" t="str">
        <v/>
      </c>
      <c r="I737" s="2" t="str">
        <v/>
      </c>
      <c r="J737" s="2" t="str">
        <v/>
      </c>
      <c r="K737" s="2" t="str">
        <v/>
      </c>
      <c r="L737" s="1" t="str">
        <v/>
      </c>
      <c r="M737" s="2" t="str">
        <v/>
      </c>
      <c r="N737" s="1" t="str">
        <v/>
      </c>
      <c r="O737" s="1" t="str">
        <v/>
      </c>
      <c r="P737" s="1" t="str">
        <v/>
      </c>
      <c r="Q737" s="1">
        <f t="shared" si="44"/>
        <v>0</v>
      </c>
      <c r="R737" s="1">
        <f t="shared" si="45"/>
        <v>0</v>
      </c>
      <c r="T737">
        <f t="shared" si="46"/>
        <v>0</v>
      </c>
      <c r="U737">
        <f t="shared" si="47"/>
        <v>0</v>
      </c>
    </row>
    <row r="738" x14ac:dyDescent="0.35">
      <c r="A738" s="21" t="str">
        <v/>
      </c>
      <c r="B738" s="23" t="str">
        <v/>
      </c>
      <c r="C738" t="str">
        <v/>
      </c>
      <c r="D738" t="str">
        <v/>
      </c>
      <c r="E738" t="str">
        <v/>
      </c>
      <c r="F738" t="str">
        <v/>
      </c>
      <c r="G738" t="str">
        <v/>
      </c>
      <c r="H738" t="str">
        <v/>
      </c>
      <c r="I738" s="2" t="str">
        <v/>
      </c>
      <c r="J738" s="2" t="str">
        <v/>
      </c>
      <c r="K738" s="2" t="str">
        <v/>
      </c>
      <c r="L738" s="1" t="str">
        <v/>
      </c>
      <c r="M738" s="2" t="str">
        <v/>
      </c>
      <c r="N738" s="1" t="str">
        <v/>
      </c>
      <c r="O738" s="1" t="str">
        <v/>
      </c>
      <c r="P738" s="1" t="str">
        <v/>
      </c>
      <c r="Q738" s="1">
        <f t="shared" si="44"/>
        <v>0</v>
      </c>
      <c r="R738" s="1">
        <f t="shared" si="45"/>
        <v>0</v>
      </c>
      <c r="T738">
        <f t="shared" si="46"/>
        <v>0</v>
      </c>
      <c r="U738">
        <f t="shared" si="47"/>
        <v>0</v>
      </c>
    </row>
    <row r="739" x14ac:dyDescent="0.35">
      <c r="A739" s="21" t="str">
        <v/>
      </c>
      <c r="B739" s="23" t="str">
        <v/>
      </c>
      <c r="C739" t="str">
        <v/>
      </c>
      <c r="D739" t="str">
        <v/>
      </c>
      <c r="E739" t="str">
        <v/>
      </c>
      <c r="F739" t="str">
        <v/>
      </c>
      <c r="G739" t="str">
        <v/>
      </c>
      <c r="H739" t="str">
        <v/>
      </c>
      <c r="I739" s="2" t="str">
        <v/>
      </c>
      <c r="J739" s="2" t="str">
        <v/>
      </c>
      <c r="K739" s="2" t="str">
        <v/>
      </c>
      <c r="L739" s="1" t="str">
        <v/>
      </c>
      <c r="M739" s="2" t="str">
        <v/>
      </c>
      <c r="N739" s="1" t="str">
        <v/>
      </c>
      <c r="O739" s="1" t="str">
        <v/>
      </c>
      <c r="P739" s="1" t="str">
        <v/>
      </c>
      <c r="Q739" s="1">
        <f t="shared" si="44"/>
        <v>0</v>
      </c>
      <c r="R739" s="1">
        <f t="shared" si="45"/>
        <v>0</v>
      </c>
      <c r="T739">
        <f t="shared" si="46"/>
        <v>0</v>
      </c>
      <c r="U739">
        <f t="shared" si="47"/>
        <v>0</v>
      </c>
    </row>
    <row r="740" x14ac:dyDescent="0.35">
      <c r="A740" s="21" t="str">
        <v/>
      </c>
      <c r="B740" s="23" t="str">
        <v/>
      </c>
      <c r="C740" t="str">
        <v/>
      </c>
      <c r="D740" t="str">
        <v/>
      </c>
      <c r="E740" t="str">
        <v/>
      </c>
      <c r="F740" t="str">
        <v/>
      </c>
      <c r="G740" t="str">
        <v/>
      </c>
      <c r="H740" t="str">
        <v/>
      </c>
      <c r="I740" s="2" t="str">
        <v/>
      </c>
      <c r="J740" s="2" t="str">
        <v/>
      </c>
      <c r="K740" s="2" t="str">
        <v/>
      </c>
      <c r="L740" s="1" t="str">
        <v/>
      </c>
      <c r="M740" s="2" t="str">
        <v/>
      </c>
      <c r="N740" s="1" t="str">
        <v/>
      </c>
      <c r="O740" s="1" t="str">
        <v/>
      </c>
      <c r="P740" s="1" t="str">
        <v/>
      </c>
      <c r="Q740" s="1">
        <f t="shared" si="44"/>
        <v>0</v>
      </c>
      <c r="R740" s="1">
        <f t="shared" si="45"/>
        <v>0</v>
      </c>
      <c r="T740">
        <f t="shared" si="46"/>
        <v>0</v>
      </c>
      <c r="U740">
        <f t="shared" si="47"/>
        <v>0</v>
      </c>
    </row>
    <row r="741" x14ac:dyDescent="0.35">
      <c r="A741" s="21" t="str">
        <v/>
      </c>
      <c r="B741" s="23" t="str">
        <v/>
      </c>
      <c r="C741" t="str">
        <v/>
      </c>
      <c r="D741" t="str">
        <v/>
      </c>
      <c r="E741" t="str">
        <v/>
      </c>
      <c r="F741" t="str">
        <v/>
      </c>
      <c r="G741" t="str">
        <v/>
      </c>
      <c r="H741" t="str">
        <v/>
      </c>
      <c r="I741" s="2" t="str">
        <v/>
      </c>
      <c r="J741" s="2" t="str">
        <v/>
      </c>
      <c r="K741" s="2" t="str">
        <v/>
      </c>
      <c r="L741" s="1" t="str">
        <v/>
      </c>
      <c r="M741" s="2" t="str">
        <v/>
      </c>
      <c r="N741" s="1" t="str">
        <v/>
      </c>
      <c r="O741" s="1" t="str">
        <v/>
      </c>
      <c r="P741" s="1" t="str">
        <v/>
      </c>
      <c r="Q741" s="1">
        <f t="shared" si="44"/>
        <v>0</v>
      </c>
      <c r="R741" s="1">
        <f t="shared" si="45"/>
        <v>0</v>
      </c>
      <c r="T741">
        <f t="shared" si="46"/>
        <v>0</v>
      </c>
      <c r="U741">
        <f t="shared" si="47"/>
        <v>0</v>
      </c>
    </row>
    <row r="742" x14ac:dyDescent="0.35">
      <c r="A742" s="21" t="str">
        <v/>
      </c>
      <c r="B742" s="23" t="str">
        <v/>
      </c>
      <c r="C742" t="str">
        <v/>
      </c>
      <c r="D742" t="str">
        <v/>
      </c>
      <c r="E742" t="str">
        <v/>
      </c>
      <c r="F742" t="str">
        <v/>
      </c>
      <c r="G742" t="str">
        <v/>
      </c>
      <c r="H742" t="str">
        <v/>
      </c>
      <c r="I742" s="2" t="str">
        <v/>
      </c>
      <c r="J742" s="2" t="str">
        <v/>
      </c>
      <c r="K742" s="2" t="str">
        <v/>
      </c>
      <c r="L742" s="1" t="str">
        <v/>
      </c>
      <c r="M742" s="2" t="str">
        <v/>
      </c>
      <c r="N742" s="1" t="str">
        <v/>
      </c>
      <c r="O742" s="1" t="str">
        <v/>
      </c>
      <c r="P742" s="1" t="str">
        <v/>
      </c>
      <c r="Q742" s="1">
        <f t="shared" si="44"/>
        <v>0</v>
      </c>
      <c r="R742" s="1">
        <f t="shared" si="45"/>
        <v>0</v>
      </c>
      <c r="T742">
        <f t="shared" si="46"/>
        <v>0</v>
      </c>
      <c r="U742">
        <f t="shared" si="47"/>
        <v>0</v>
      </c>
    </row>
    <row r="743" x14ac:dyDescent="0.35">
      <c r="A743" s="21" t="str">
        <v/>
      </c>
      <c r="B743" s="23" t="str">
        <v/>
      </c>
      <c r="C743" t="str">
        <v/>
      </c>
      <c r="D743" t="str">
        <v/>
      </c>
      <c r="E743" t="str">
        <v/>
      </c>
      <c r="F743" t="str">
        <v/>
      </c>
      <c r="G743" t="str">
        <v/>
      </c>
      <c r="H743" t="str">
        <v/>
      </c>
      <c r="I743" s="2" t="str">
        <v/>
      </c>
      <c r="J743" s="2" t="str">
        <v/>
      </c>
      <c r="K743" s="2" t="str">
        <v/>
      </c>
      <c r="L743" s="1" t="str">
        <v/>
      </c>
      <c r="M743" s="2" t="str">
        <v/>
      </c>
      <c r="N743" s="1" t="str">
        <v/>
      </c>
      <c r="O743" s="1" t="str">
        <v/>
      </c>
      <c r="P743" s="1" t="str">
        <v/>
      </c>
      <c r="Q743" s="1">
        <f t="shared" si="44"/>
        <v>0</v>
      </c>
      <c r="R743" s="1">
        <f t="shared" si="45"/>
        <v>0</v>
      </c>
      <c r="T743">
        <f t="shared" si="46"/>
        <v>0</v>
      </c>
      <c r="U743">
        <f t="shared" si="47"/>
        <v>0</v>
      </c>
    </row>
    <row r="744" x14ac:dyDescent="0.35">
      <c r="A744" s="21" t="str">
        <v/>
      </c>
      <c r="B744" s="23" t="str">
        <v/>
      </c>
      <c r="C744" t="str">
        <v/>
      </c>
      <c r="D744" t="str">
        <v/>
      </c>
      <c r="E744" t="str">
        <v/>
      </c>
      <c r="F744" t="str">
        <v/>
      </c>
      <c r="G744" t="str">
        <v/>
      </c>
      <c r="H744" t="str">
        <v/>
      </c>
      <c r="I744" s="2" t="str">
        <v/>
      </c>
      <c r="J744" s="2" t="str">
        <v/>
      </c>
      <c r="K744" s="2" t="str">
        <v/>
      </c>
      <c r="L744" s="1" t="str">
        <v/>
      </c>
      <c r="M744" s="2" t="str">
        <v/>
      </c>
      <c r="N744" s="1" t="str">
        <v/>
      </c>
      <c r="O744" s="1" t="str">
        <v/>
      </c>
      <c r="P744" s="1" t="str">
        <v/>
      </c>
      <c r="Q744" s="1">
        <f t="shared" si="44"/>
        <v>0</v>
      </c>
      <c r="R744" s="1">
        <f t="shared" si="45"/>
        <v>0</v>
      </c>
      <c r="T744">
        <f t="shared" si="46"/>
        <v>0</v>
      </c>
      <c r="U744">
        <f t="shared" si="47"/>
        <v>0</v>
      </c>
    </row>
    <row r="745" x14ac:dyDescent="0.35">
      <c r="A745" s="21" t="str">
        <v/>
      </c>
      <c r="B745" s="23" t="str">
        <v/>
      </c>
      <c r="C745" t="str">
        <v/>
      </c>
      <c r="D745" t="str">
        <v/>
      </c>
      <c r="E745" t="str">
        <v/>
      </c>
      <c r="F745" t="str">
        <v/>
      </c>
      <c r="G745" t="str">
        <v/>
      </c>
      <c r="H745" t="str">
        <v/>
      </c>
      <c r="I745" s="2" t="str">
        <v/>
      </c>
      <c r="J745" s="2" t="str">
        <v/>
      </c>
      <c r="K745" s="2" t="str">
        <v/>
      </c>
      <c r="L745" s="1" t="str">
        <v/>
      </c>
      <c r="M745" s="2" t="str">
        <v/>
      </c>
      <c r="N745" s="1" t="str">
        <v/>
      </c>
      <c r="O745" s="1" t="str">
        <v/>
      </c>
      <c r="P745" s="1" t="str">
        <v/>
      </c>
      <c r="Q745" s="1">
        <f t="shared" si="44"/>
        <v>0</v>
      </c>
      <c r="R745" s="1">
        <f t="shared" si="45"/>
        <v>0</v>
      </c>
      <c r="T745">
        <f t="shared" si="46"/>
        <v>0</v>
      </c>
      <c r="U745">
        <f t="shared" si="47"/>
        <v>0</v>
      </c>
    </row>
    <row r="746" x14ac:dyDescent="0.35">
      <c r="A746" s="21" t="str">
        <v/>
      </c>
      <c r="B746" s="23" t="str">
        <v/>
      </c>
      <c r="C746" t="str">
        <v/>
      </c>
      <c r="D746" t="str">
        <v/>
      </c>
      <c r="E746" t="str">
        <v/>
      </c>
      <c r="F746" t="str">
        <v/>
      </c>
      <c r="G746" t="str">
        <v/>
      </c>
      <c r="H746" t="str">
        <v/>
      </c>
      <c r="I746" s="2" t="str">
        <v/>
      </c>
      <c r="J746" s="2" t="str">
        <v/>
      </c>
      <c r="K746" s="2" t="str">
        <v/>
      </c>
      <c r="L746" s="1" t="str">
        <v/>
      </c>
      <c r="M746" s="2" t="str">
        <v/>
      </c>
      <c r="N746" s="1" t="str">
        <v/>
      </c>
      <c r="O746" s="1" t="str">
        <v/>
      </c>
      <c r="P746" s="1" t="str">
        <v/>
      </c>
      <c r="Q746" s="1">
        <f t="shared" si="44"/>
        <v>0</v>
      </c>
      <c r="R746" s="1">
        <f t="shared" si="45"/>
        <v>0</v>
      </c>
      <c r="T746">
        <f t="shared" si="46"/>
        <v>0</v>
      </c>
      <c r="U746">
        <f t="shared" si="47"/>
        <v>0</v>
      </c>
    </row>
    <row r="747" x14ac:dyDescent="0.35">
      <c r="A747" s="21" t="str">
        <v/>
      </c>
      <c r="B747" s="23" t="str">
        <v/>
      </c>
      <c r="C747" t="str">
        <v/>
      </c>
      <c r="D747" t="str">
        <v/>
      </c>
      <c r="E747" t="str">
        <v/>
      </c>
      <c r="F747" t="str">
        <v/>
      </c>
      <c r="G747" t="str">
        <v/>
      </c>
      <c r="H747" t="str">
        <v/>
      </c>
      <c r="I747" s="2" t="str">
        <v/>
      </c>
      <c r="J747" s="2" t="str">
        <v/>
      </c>
      <c r="K747" s="2" t="str">
        <v/>
      </c>
      <c r="L747" s="1" t="str">
        <v/>
      </c>
      <c r="M747" s="2" t="str">
        <v/>
      </c>
      <c r="N747" s="1" t="str">
        <v/>
      </c>
      <c r="O747" s="1" t="str">
        <v/>
      </c>
      <c r="P747" s="1" t="str">
        <v/>
      </c>
      <c r="Q747" s="1">
        <f t="shared" si="44"/>
        <v>0</v>
      </c>
      <c r="R747" s="1">
        <f t="shared" si="45"/>
        <v>0</v>
      </c>
      <c r="T747">
        <f t="shared" si="46"/>
        <v>0</v>
      </c>
      <c r="U747">
        <f t="shared" si="47"/>
        <v>0</v>
      </c>
    </row>
    <row r="748" x14ac:dyDescent="0.35">
      <c r="A748" s="21" t="str">
        <v/>
      </c>
      <c r="B748" s="23" t="str">
        <v/>
      </c>
      <c r="C748" t="str">
        <v/>
      </c>
      <c r="D748" t="str">
        <v/>
      </c>
      <c r="E748" t="str">
        <v/>
      </c>
      <c r="F748" t="str">
        <v/>
      </c>
      <c r="G748" t="str">
        <v/>
      </c>
      <c r="H748" t="str">
        <v/>
      </c>
      <c r="I748" s="2" t="str">
        <v/>
      </c>
      <c r="J748" s="2" t="str">
        <v/>
      </c>
      <c r="K748" s="2" t="str">
        <v/>
      </c>
      <c r="L748" s="1" t="str">
        <v/>
      </c>
      <c r="M748" s="2" t="str">
        <v/>
      </c>
      <c r="N748" s="1" t="str">
        <v/>
      </c>
      <c r="O748" s="1" t="str">
        <v/>
      </c>
      <c r="P748" s="1" t="str">
        <v/>
      </c>
      <c r="Q748" s="1">
        <f t="shared" si="44"/>
        <v>0</v>
      </c>
      <c r="R748" s="1">
        <f t="shared" si="45"/>
        <v>0</v>
      </c>
      <c r="T748">
        <f t="shared" si="46"/>
        <v>0</v>
      </c>
      <c r="U748">
        <f t="shared" si="47"/>
        <v>0</v>
      </c>
    </row>
    <row r="749" x14ac:dyDescent="0.35">
      <c r="A749" s="21" t="str">
        <v/>
      </c>
      <c r="B749" s="23" t="str">
        <v/>
      </c>
      <c r="C749" t="str">
        <v/>
      </c>
      <c r="D749" t="str">
        <v/>
      </c>
      <c r="E749" t="str">
        <v/>
      </c>
      <c r="F749" t="str">
        <v/>
      </c>
      <c r="G749" t="str">
        <v/>
      </c>
      <c r="H749" t="str">
        <v/>
      </c>
      <c r="I749" s="2" t="str">
        <v/>
      </c>
      <c r="J749" s="2" t="str">
        <v/>
      </c>
      <c r="K749" s="2" t="str">
        <v/>
      </c>
      <c r="L749" s="1" t="str">
        <v/>
      </c>
      <c r="M749" s="2" t="str">
        <v/>
      </c>
      <c r="N749" s="1" t="str">
        <v/>
      </c>
      <c r="O749" s="1" t="str">
        <v/>
      </c>
      <c r="P749" s="1" t="str">
        <v/>
      </c>
      <c r="Q749" s="1">
        <f t="shared" si="44"/>
        <v>0</v>
      </c>
      <c r="R749" s="1">
        <f t="shared" si="45"/>
        <v>0</v>
      </c>
      <c r="T749">
        <f t="shared" si="46"/>
        <v>0</v>
      </c>
      <c r="U749">
        <f t="shared" si="47"/>
        <v>0</v>
      </c>
    </row>
    <row r="750" x14ac:dyDescent="0.35">
      <c r="A750" s="21" t="str">
        <v/>
      </c>
      <c r="B750" s="23" t="str">
        <v/>
      </c>
      <c r="C750" t="str">
        <v/>
      </c>
      <c r="D750" t="str">
        <v/>
      </c>
      <c r="E750" t="str">
        <v/>
      </c>
      <c r="F750" t="str">
        <v/>
      </c>
      <c r="G750" t="str">
        <v/>
      </c>
      <c r="H750" t="str">
        <v/>
      </c>
      <c r="I750" s="2" t="str">
        <v/>
      </c>
      <c r="J750" s="2" t="str">
        <v/>
      </c>
      <c r="K750" s="2" t="str">
        <v/>
      </c>
      <c r="L750" s="1" t="str">
        <v/>
      </c>
      <c r="M750" s="2" t="str">
        <v/>
      </c>
      <c r="N750" s="1" t="str">
        <v/>
      </c>
      <c r="O750" s="1" t="str">
        <v/>
      </c>
      <c r="P750" s="1" t="str">
        <v/>
      </c>
      <c r="Q750" s="1">
        <f t="shared" si="44"/>
        <v>0</v>
      </c>
      <c r="R750" s="1">
        <f t="shared" si="45"/>
        <v>0</v>
      </c>
      <c r="T750">
        <f t="shared" si="46"/>
        <v>0</v>
      </c>
      <c r="U750">
        <f t="shared" si="47"/>
        <v>0</v>
      </c>
    </row>
    <row r="751" x14ac:dyDescent="0.35">
      <c r="A751" s="21" t="str">
        <v/>
      </c>
      <c r="B751" s="23" t="str">
        <v/>
      </c>
      <c r="C751" t="str">
        <v/>
      </c>
      <c r="D751" t="str">
        <v/>
      </c>
      <c r="E751" t="str">
        <v/>
      </c>
      <c r="F751" t="str">
        <v/>
      </c>
      <c r="G751" t="str">
        <v/>
      </c>
      <c r="H751" t="str">
        <v/>
      </c>
      <c r="I751" s="2" t="str">
        <v/>
      </c>
      <c r="J751" s="2" t="str">
        <v/>
      </c>
      <c r="K751" s="2" t="str">
        <v/>
      </c>
      <c r="L751" s="1" t="str">
        <v/>
      </c>
      <c r="M751" s="2" t="str">
        <v/>
      </c>
      <c r="N751" s="1" t="str">
        <v/>
      </c>
      <c r="O751" s="1" t="str">
        <v/>
      </c>
      <c r="P751" s="1" t="str">
        <v/>
      </c>
      <c r="Q751" s="1">
        <f t="shared" si="44"/>
        <v>0</v>
      </c>
      <c r="R751" s="1">
        <f t="shared" si="45"/>
        <v>0</v>
      </c>
      <c r="T751">
        <f t="shared" si="46"/>
        <v>0</v>
      </c>
      <c r="U751">
        <f t="shared" si="47"/>
        <v>0</v>
      </c>
    </row>
    <row r="752" x14ac:dyDescent="0.35">
      <c r="A752" s="21" t="str">
        <v/>
      </c>
      <c r="B752" s="23" t="str">
        <v/>
      </c>
      <c r="C752" t="str">
        <v/>
      </c>
      <c r="D752" t="str">
        <v/>
      </c>
      <c r="E752" t="str">
        <v/>
      </c>
      <c r="F752" t="str">
        <v/>
      </c>
      <c r="G752" t="str">
        <v/>
      </c>
      <c r="H752" t="str">
        <v/>
      </c>
      <c r="I752" s="2" t="str">
        <v/>
      </c>
      <c r="J752" s="2" t="str">
        <v/>
      </c>
      <c r="K752" s="2" t="str">
        <v/>
      </c>
      <c r="L752" s="1" t="str">
        <v/>
      </c>
      <c r="M752" s="2" t="str">
        <v/>
      </c>
      <c r="N752" s="1" t="str">
        <v/>
      </c>
      <c r="O752" s="1" t="str">
        <v/>
      </c>
      <c r="P752" s="1" t="str">
        <v/>
      </c>
      <c r="Q752" s="1">
        <f t="shared" si="44"/>
        <v>0</v>
      </c>
      <c r="R752" s="1">
        <f t="shared" si="45"/>
        <v>0</v>
      </c>
      <c r="T752">
        <f t="shared" si="46"/>
        <v>0</v>
      </c>
      <c r="U752">
        <f t="shared" si="47"/>
        <v>0</v>
      </c>
    </row>
    <row r="753" x14ac:dyDescent="0.35">
      <c r="A753" s="21" t="str">
        <v/>
      </c>
      <c r="B753" s="23" t="str">
        <v/>
      </c>
      <c r="C753" t="str">
        <v/>
      </c>
      <c r="D753" t="str">
        <v/>
      </c>
      <c r="E753" t="str">
        <v/>
      </c>
      <c r="F753" t="str">
        <v/>
      </c>
      <c r="G753" t="str">
        <v/>
      </c>
      <c r="H753" t="str">
        <v/>
      </c>
      <c r="I753" s="2" t="str">
        <v/>
      </c>
      <c r="J753" s="2" t="str">
        <v/>
      </c>
      <c r="K753" s="2" t="str">
        <v/>
      </c>
      <c r="L753" s="1" t="str">
        <v/>
      </c>
      <c r="M753" s="2" t="str">
        <v/>
      </c>
      <c r="N753" s="1" t="str">
        <v/>
      </c>
      <c r="O753" s="1" t="str">
        <v/>
      </c>
      <c r="P753" s="1" t="str">
        <v/>
      </c>
      <c r="Q753" s="1">
        <f t="shared" si="44"/>
        <v>0</v>
      </c>
      <c r="R753" s="1">
        <f t="shared" si="45"/>
        <v>0</v>
      </c>
      <c r="T753">
        <f t="shared" si="46"/>
        <v>0</v>
      </c>
      <c r="U753">
        <f t="shared" si="47"/>
        <v>0</v>
      </c>
    </row>
    <row r="754" x14ac:dyDescent="0.35">
      <c r="A754" s="21" t="str">
        <v/>
      </c>
      <c r="B754" s="23" t="str">
        <v/>
      </c>
      <c r="C754" t="str">
        <v/>
      </c>
      <c r="D754" t="str">
        <v/>
      </c>
      <c r="E754" t="str">
        <v/>
      </c>
      <c r="F754" t="str">
        <v/>
      </c>
      <c r="G754" t="str">
        <v/>
      </c>
      <c r="H754" t="str">
        <v/>
      </c>
      <c r="I754" s="2" t="str">
        <v/>
      </c>
      <c r="J754" s="2" t="str">
        <v/>
      </c>
      <c r="K754" s="2" t="str">
        <v/>
      </c>
      <c r="L754" s="1" t="str">
        <v/>
      </c>
      <c r="M754" s="2" t="str">
        <v/>
      </c>
      <c r="N754" s="1" t="str">
        <v/>
      </c>
      <c r="O754" s="1" t="str">
        <v/>
      </c>
      <c r="P754" s="1" t="str">
        <v/>
      </c>
      <c r="Q754" s="1">
        <f t="shared" si="44"/>
        <v>0</v>
      </c>
      <c r="R754" s="1">
        <f t="shared" si="45"/>
        <v>0</v>
      </c>
      <c r="T754">
        <f t="shared" si="46"/>
        <v>0</v>
      </c>
      <c r="U754">
        <f t="shared" si="47"/>
        <v>0</v>
      </c>
    </row>
    <row r="755" x14ac:dyDescent="0.35">
      <c r="A755" s="21" t="str">
        <v/>
      </c>
      <c r="B755" s="23" t="str">
        <v/>
      </c>
      <c r="C755" t="str">
        <v/>
      </c>
      <c r="D755" t="str">
        <v/>
      </c>
      <c r="E755" t="str">
        <v/>
      </c>
      <c r="F755" t="str">
        <v/>
      </c>
      <c r="G755" t="str">
        <v/>
      </c>
      <c r="H755" t="str">
        <v/>
      </c>
      <c r="I755" s="2" t="str">
        <v/>
      </c>
      <c r="J755" s="2" t="str">
        <v/>
      </c>
      <c r="K755" s="2" t="str">
        <v/>
      </c>
      <c r="L755" s="1" t="str">
        <v/>
      </c>
      <c r="M755" s="2" t="str">
        <v/>
      </c>
      <c r="N755" s="1" t="str">
        <v/>
      </c>
      <c r="O755" s="1" t="str">
        <v/>
      </c>
      <c r="P755" s="1" t="str">
        <v/>
      </c>
      <c r="Q755" s="1">
        <f t="shared" si="44"/>
        <v>0</v>
      </c>
      <c r="R755" s="1">
        <f t="shared" si="45"/>
        <v>0</v>
      </c>
      <c r="T755">
        <f t="shared" si="46"/>
        <v>0</v>
      </c>
      <c r="U755">
        <f t="shared" si="47"/>
        <v>0</v>
      </c>
    </row>
    <row r="756" x14ac:dyDescent="0.35">
      <c r="A756" s="21" t="str">
        <v/>
      </c>
      <c r="B756" s="23" t="str">
        <v/>
      </c>
      <c r="C756" t="str">
        <v/>
      </c>
      <c r="D756" t="str">
        <v/>
      </c>
      <c r="E756" t="str">
        <v/>
      </c>
      <c r="F756" t="str">
        <v/>
      </c>
      <c r="G756" t="str">
        <v/>
      </c>
      <c r="H756" t="str">
        <v/>
      </c>
      <c r="I756" s="2" t="str">
        <v/>
      </c>
      <c r="J756" s="2" t="str">
        <v/>
      </c>
      <c r="K756" s="2" t="str">
        <v/>
      </c>
      <c r="L756" s="1" t="str">
        <v/>
      </c>
      <c r="M756" s="2" t="str">
        <v/>
      </c>
      <c r="N756" s="1" t="str">
        <v/>
      </c>
      <c r="O756" s="1" t="str">
        <v/>
      </c>
      <c r="P756" s="1" t="str">
        <v/>
      </c>
      <c r="Q756" s="1">
        <f t="shared" si="44"/>
        <v>0</v>
      </c>
      <c r="R756" s="1">
        <f t="shared" si="45"/>
        <v>0</v>
      </c>
      <c r="T756">
        <f t="shared" si="46"/>
        <v>0</v>
      </c>
      <c r="U756">
        <f t="shared" si="47"/>
        <v>0</v>
      </c>
    </row>
    <row r="757" x14ac:dyDescent="0.35">
      <c r="A757" s="21" t="str">
        <v/>
      </c>
      <c r="B757" s="23" t="str">
        <v/>
      </c>
      <c r="C757" t="str">
        <v/>
      </c>
      <c r="D757" t="str">
        <v/>
      </c>
      <c r="E757" t="str">
        <v/>
      </c>
      <c r="F757" t="str">
        <v/>
      </c>
      <c r="G757" t="str">
        <v/>
      </c>
      <c r="H757" t="str">
        <v/>
      </c>
      <c r="I757" s="2" t="str">
        <v/>
      </c>
      <c r="J757" s="2" t="str">
        <v/>
      </c>
      <c r="K757" s="2" t="str">
        <v/>
      </c>
      <c r="L757" s="1" t="str">
        <v/>
      </c>
      <c r="M757" s="2" t="str">
        <v/>
      </c>
      <c r="N757" s="1" t="str">
        <v/>
      </c>
      <c r="O757" s="1" t="str">
        <v/>
      </c>
      <c r="P757" s="1" t="str">
        <v/>
      </c>
      <c r="Q757" s="1">
        <f t="shared" si="44"/>
        <v>0</v>
      </c>
      <c r="R757" s="1">
        <f t="shared" si="45"/>
        <v>0</v>
      </c>
      <c r="T757">
        <f t="shared" si="46"/>
        <v>0</v>
      </c>
      <c r="U757">
        <f t="shared" si="47"/>
        <v>0</v>
      </c>
    </row>
    <row r="758" x14ac:dyDescent="0.35">
      <c r="A758" s="21" t="str">
        <v/>
      </c>
      <c r="B758" s="23" t="str">
        <v/>
      </c>
      <c r="C758" t="str">
        <v/>
      </c>
      <c r="D758" t="str">
        <v/>
      </c>
      <c r="E758" t="str">
        <v/>
      </c>
      <c r="F758" t="str">
        <v/>
      </c>
      <c r="G758" t="str">
        <v/>
      </c>
      <c r="H758" t="str">
        <v/>
      </c>
      <c r="I758" s="2" t="str">
        <v/>
      </c>
      <c r="J758" s="2" t="str">
        <v/>
      </c>
      <c r="K758" s="2" t="str">
        <v/>
      </c>
      <c r="L758" s="1" t="str">
        <v/>
      </c>
      <c r="M758" s="2" t="str">
        <v/>
      </c>
      <c r="N758" s="1" t="str">
        <v/>
      </c>
      <c r="O758" s="1" t="str">
        <v/>
      </c>
      <c r="P758" s="1" t="str">
        <v/>
      </c>
      <c r="Q758" s="1">
        <f t="shared" si="44"/>
        <v>0</v>
      </c>
      <c r="R758" s="1">
        <f t="shared" si="45"/>
        <v>0</v>
      </c>
      <c r="T758">
        <f t="shared" si="46"/>
        <v>0</v>
      </c>
      <c r="U758">
        <f t="shared" si="47"/>
        <v>0</v>
      </c>
    </row>
    <row r="759" x14ac:dyDescent="0.35">
      <c r="A759" s="21" t="str">
        <v/>
      </c>
      <c r="B759" s="23" t="str">
        <v/>
      </c>
      <c r="C759" t="str">
        <v/>
      </c>
      <c r="D759" t="str">
        <v/>
      </c>
      <c r="E759" t="str">
        <v/>
      </c>
      <c r="F759" t="str">
        <v/>
      </c>
      <c r="G759" t="str">
        <v/>
      </c>
      <c r="H759" t="str">
        <v/>
      </c>
      <c r="I759" s="2" t="str">
        <v/>
      </c>
      <c r="J759" s="2" t="str">
        <v/>
      </c>
      <c r="K759" s="2" t="str">
        <v/>
      </c>
      <c r="L759" s="1" t="str">
        <v/>
      </c>
      <c r="M759" s="2" t="str">
        <v/>
      </c>
      <c r="N759" s="1" t="str">
        <v/>
      </c>
      <c r="O759" s="1" t="str">
        <v/>
      </c>
      <c r="P759" s="1" t="str">
        <v/>
      </c>
      <c r="Q759" s="1">
        <f t="shared" si="44"/>
        <v>0</v>
      </c>
      <c r="R759" s="1">
        <f t="shared" si="45"/>
        <v>0</v>
      </c>
      <c r="T759">
        <f t="shared" si="46"/>
        <v>0</v>
      </c>
      <c r="U759">
        <f t="shared" si="47"/>
        <v>0</v>
      </c>
    </row>
    <row r="760" x14ac:dyDescent="0.35">
      <c r="A760" s="21" t="str">
        <v/>
      </c>
      <c r="B760" s="23" t="str">
        <v/>
      </c>
      <c r="C760" t="str">
        <v/>
      </c>
      <c r="D760" t="str">
        <v/>
      </c>
      <c r="E760" t="str">
        <v/>
      </c>
      <c r="F760" t="str">
        <v/>
      </c>
      <c r="G760" t="str">
        <v/>
      </c>
      <c r="H760" t="str">
        <v/>
      </c>
      <c r="I760" s="2" t="str">
        <v/>
      </c>
      <c r="J760" s="2" t="str">
        <v/>
      </c>
      <c r="K760" s="2" t="str">
        <v/>
      </c>
      <c r="L760" s="1" t="str">
        <v/>
      </c>
      <c r="M760" s="2" t="str">
        <v/>
      </c>
      <c r="N760" s="1" t="str">
        <v/>
      </c>
      <c r="O760" s="1" t="str">
        <v/>
      </c>
      <c r="P760" s="1" t="str">
        <v/>
      </c>
      <c r="Q760" s="1">
        <f t="shared" si="44"/>
        <v>0</v>
      </c>
      <c r="R760" s="1">
        <f t="shared" si="45"/>
        <v>0</v>
      </c>
      <c r="T760">
        <f t="shared" si="46"/>
        <v>0</v>
      </c>
      <c r="U760">
        <f t="shared" si="47"/>
        <v>0</v>
      </c>
    </row>
    <row r="761" x14ac:dyDescent="0.35">
      <c r="A761" s="21" t="str">
        <v/>
      </c>
      <c r="B761" s="23" t="str">
        <v/>
      </c>
      <c r="C761" t="str">
        <v/>
      </c>
      <c r="D761" t="str">
        <v/>
      </c>
      <c r="E761" t="str">
        <v/>
      </c>
      <c r="F761" t="str">
        <v/>
      </c>
      <c r="G761" t="str">
        <v/>
      </c>
      <c r="H761" t="str">
        <v/>
      </c>
      <c r="I761" s="2" t="str">
        <v/>
      </c>
      <c r="J761" s="2" t="str">
        <v/>
      </c>
      <c r="K761" s="2" t="str">
        <v/>
      </c>
      <c r="L761" s="1" t="str">
        <v/>
      </c>
      <c r="M761" s="2" t="str">
        <v/>
      </c>
      <c r="N761" s="1" t="str">
        <v/>
      </c>
      <c r="O761" s="1" t="str">
        <v/>
      </c>
      <c r="P761" s="1" t="str">
        <v/>
      </c>
      <c r="Q761" s="1">
        <f t="shared" si="44"/>
        <v>0</v>
      </c>
      <c r="R761" s="1">
        <f t="shared" si="45"/>
        <v>0</v>
      </c>
      <c r="T761">
        <f t="shared" si="46"/>
        <v>0</v>
      </c>
      <c r="U761">
        <f t="shared" si="47"/>
        <v>0</v>
      </c>
    </row>
    <row r="762" x14ac:dyDescent="0.35">
      <c r="A762" s="21" t="str">
        <v/>
      </c>
      <c r="B762" s="23" t="str">
        <v/>
      </c>
      <c r="C762" t="str">
        <v/>
      </c>
      <c r="D762" t="str">
        <v/>
      </c>
      <c r="E762" t="str">
        <v/>
      </c>
      <c r="F762" t="str">
        <v/>
      </c>
      <c r="G762" t="str">
        <v/>
      </c>
      <c r="H762" t="str">
        <v/>
      </c>
      <c r="I762" s="2" t="str">
        <v/>
      </c>
      <c r="J762" s="2" t="str">
        <v/>
      </c>
      <c r="K762" s="2" t="str">
        <v/>
      </c>
      <c r="L762" s="1" t="str">
        <v/>
      </c>
      <c r="M762" s="2" t="str">
        <v/>
      </c>
      <c r="N762" s="1" t="str">
        <v/>
      </c>
      <c r="O762" s="1" t="str">
        <v/>
      </c>
      <c r="P762" s="1" t="str">
        <v/>
      </c>
      <c r="Q762" s="1">
        <f t="shared" si="44"/>
        <v>0</v>
      </c>
      <c r="R762" s="1">
        <f t="shared" si="45"/>
        <v>0</v>
      </c>
      <c r="T762">
        <f t="shared" si="46"/>
        <v>0</v>
      </c>
      <c r="U762">
        <f t="shared" si="47"/>
        <v>0</v>
      </c>
    </row>
    <row r="763" x14ac:dyDescent="0.35">
      <c r="A763" s="21" t="str">
        <v/>
      </c>
      <c r="B763" s="23" t="str">
        <v/>
      </c>
      <c r="C763" t="str">
        <v/>
      </c>
      <c r="D763" t="str">
        <v/>
      </c>
      <c r="E763" t="str">
        <v/>
      </c>
      <c r="F763" t="str">
        <v/>
      </c>
      <c r="G763" t="str">
        <v/>
      </c>
      <c r="H763" t="str">
        <v/>
      </c>
      <c r="I763" s="2" t="str">
        <v/>
      </c>
      <c r="J763" s="2" t="str">
        <v/>
      </c>
      <c r="K763" s="2" t="str">
        <v/>
      </c>
      <c r="L763" s="1" t="str">
        <v/>
      </c>
      <c r="M763" s="2" t="str">
        <v/>
      </c>
      <c r="N763" s="1" t="str">
        <v/>
      </c>
      <c r="O763" s="1" t="str">
        <v/>
      </c>
      <c r="P763" s="1" t="str">
        <v/>
      </c>
      <c r="Q763" s="1">
        <f t="shared" si="44"/>
        <v>0</v>
      </c>
      <c r="R763" s="1">
        <f t="shared" si="45"/>
        <v>0</v>
      </c>
      <c r="T763">
        <f t="shared" si="46"/>
        <v>0</v>
      </c>
      <c r="U763">
        <f t="shared" si="47"/>
        <v>0</v>
      </c>
    </row>
    <row r="764" x14ac:dyDescent="0.35">
      <c r="A764" s="21" t="str">
        <v/>
      </c>
      <c r="B764" s="23" t="str">
        <v/>
      </c>
      <c r="C764" t="str">
        <v/>
      </c>
      <c r="D764" t="str">
        <v/>
      </c>
      <c r="E764" t="str">
        <v/>
      </c>
      <c r="F764" t="str">
        <v/>
      </c>
      <c r="G764" t="str">
        <v/>
      </c>
      <c r="H764" t="str">
        <v/>
      </c>
      <c r="I764" s="2" t="str">
        <v/>
      </c>
      <c r="J764" s="2" t="str">
        <v/>
      </c>
      <c r="K764" s="2" t="str">
        <v/>
      </c>
      <c r="L764" s="1" t="str">
        <v/>
      </c>
      <c r="M764" s="2" t="str">
        <v/>
      </c>
      <c r="N764" s="1" t="str">
        <v/>
      </c>
      <c r="O764" s="1" t="str">
        <v/>
      </c>
      <c r="P764" s="1" t="str">
        <v/>
      </c>
      <c r="Q764" s="1">
        <f t="shared" si="44"/>
        <v>0</v>
      </c>
      <c r="R764" s="1">
        <f t="shared" si="45"/>
        <v>0</v>
      </c>
      <c r="T764">
        <f t="shared" si="46"/>
        <v>0</v>
      </c>
      <c r="U764">
        <f t="shared" si="47"/>
        <v>0</v>
      </c>
    </row>
    <row r="765" x14ac:dyDescent="0.35">
      <c r="A765" s="21" t="str">
        <v/>
      </c>
      <c r="B765" s="23" t="str">
        <v/>
      </c>
      <c r="C765" t="str">
        <v/>
      </c>
      <c r="D765" t="str">
        <v/>
      </c>
      <c r="E765" t="str">
        <v/>
      </c>
      <c r="F765" t="str">
        <v/>
      </c>
      <c r="G765" t="str">
        <v/>
      </c>
      <c r="H765" t="str">
        <v/>
      </c>
      <c r="I765" s="2" t="str">
        <v/>
      </c>
      <c r="J765" s="2" t="str">
        <v/>
      </c>
      <c r="K765" s="2" t="str">
        <v/>
      </c>
      <c r="L765" s="1" t="str">
        <v/>
      </c>
      <c r="M765" s="2" t="str">
        <v/>
      </c>
      <c r="N765" s="1" t="str">
        <v/>
      </c>
      <c r="O765" s="1" t="str">
        <v/>
      </c>
      <c r="P765" s="1" t="str">
        <v/>
      </c>
      <c r="Q765" s="1">
        <f t="shared" si="44"/>
        <v>0</v>
      </c>
      <c r="R765" s="1">
        <f t="shared" si="45"/>
        <v>0</v>
      </c>
      <c r="T765">
        <f t="shared" si="46"/>
        <v>0</v>
      </c>
      <c r="U765">
        <f t="shared" si="47"/>
        <v>0</v>
      </c>
    </row>
    <row r="766" x14ac:dyDescent="0.35">
      <c r="A766" s="21" t="str">
        <v/>
      </c>
      <c r="B766" s="23" t="str">
        <v/>
      </c>
      <c r="C766" t="str">
        <v/>
      </c>
      <c r="D766" t="str">
        <v/>
      </c>
      <c r="E766" t="str">
        <v/>
      </c>
      <c r="F766" t="str">
        <v/>
      </c>
      <c r="G766" t="str">
        <v/>
      </c>
      <c r="H766" t="str">
        <v/>
      </c>
      <c r="I766" s="2" t="str">
        <v/>
      </c>
      <c r="J766" s="2" t="str">
        <v/>
      </c>
      <c r="K766" s="2" t="str">
        <v/>
      </c>
      <c r="L766" s="1" t="str">
        <v/>
      </c>
      <c r="M766" s="2" t="str">
        <v/>
      </c>
      <c r="N766" s="1" t="str">
        <v/>
      </c>
      <c r="O766" s="1" t="str">
        <v/>
      </c>
      <c r="P766" s="1" t="str">
        <v/>
      </c>
      <c r="Q766" s="1">
        <f t="shared" si="44"/>
        <v>0</v>
      </c>
      <c r="R766" s="1">
        <f t="shared" si="45"/>
        <v>0</v>
      </c>
      <c r="T766">
        <f t="shared" si="46"/>
        <v>0</v>
      </c>
      <c r="U766">
        <f t="shared" si="47"/>
        <v>0</v>
      </c>
    </row>
    <row r="767" x14ac:dyDescent="0.35">
      <c r="A767" s="21" t="str">
        <v/>
      </c>
      <c r="B767" s="23" t="str">
        <v/>
      </c>
      <c r="C767" t="str">
        <v/>
      </c>
      <c r="D767" t="str">
        <v/>
      </c>
      <c r="E767" t="str">
        <v/>
      </c>
      <c r="F767" t="str">
        <v/>
      </c>
      <c r="G767" t="str">
        <v/>
      </c>
      <c r="H767" t="str">
        <v/>
      </c>
      <c r="I767" s="2" t="str">
        <v/>
      </c>
      <c r="J767" s="2" t="str">
        <v/>
      </c>
      <c r="K767" s="2" t="str">
        <v/>
      </c>
      <c r="L767" s="1" t="str">
        <v/>
      </c>
      <c r="M767" s="2" t="str">
        <v/>
      </c>
      <c r="N767" s="1" t="str">
        <v/>
      </c>
      <c r="O767" s="1" t="str">
        <v/>
      </c>
      <c r="P767" s="1" t="str">
        <v/>
      </c>
      <c r="Q767" s="1">
        <f t="shared" si="44"/>
        <v>0</v>
      </c>
      <c r="R767" s="1">
        <f t="shared" si="45"/>
        <v>0</v>
      </c>
      <c r="T767">
        <f t="shared" si="46"/>
        <v>0</v>
      </c>
      <c r="U767">
        <f t="shared" si="47"/>
        <v>0</v>
      </c>
    </row>
    <row r="768" x14ac:dyDescent="0.35">
      <c r="A768" s="21" t="str">
        <v/>
      </c>
      <c r="B768" s="23" t="str">
        <v/>
      </c>
      <c r="C768" t="str">
        <v/>
      </c>
      <c r="D768" t="str">
        <v/>
      </c>
      <c r="E768" t="str">
        <v/>
      </c>
      <c r="F768" t="str">
        <v/>
      </c>
      <c r="G768" t="str">
        <v/>
      </c>
      <c r="H768" t="str">
        <v/>
      </c>
      <c r="I768" s="2" t="str">
        <v/>
      </c>
      <c r="J768" s="2" t="str">
        <v/>
      </c>
      <c r="K768" s="2" t="str">
        <v/>
      </c>
      <c r="L768" s="1" t="str">
        <v/>
      </c>
      <c r="M768" s="2" t="str">
        <v/>
      </c>
      <c r="N768" s="1" t="str">
        <v/>
      </c>
      <c r="O768" s="1" t="str">
        <v/>
      </c>
      <c r="P768" s="1" t="str">
        <v/>
      </c>
      <c r="Q768" s="1">
        <f t="shared" si="44"/>
        <v>0</v>
      </c>
      <c r="R768" s="1">
        <f t="shared" si="45"/>
        <v>0</v>
      </c>
      <c r="T768">
        <f t="shared" si="46"/>
        <v>0</v>
      </c>
      <c r="U768">
        <f t="shared" si="47"/>
        <v>0</v>
      </c>
    </row>
    <row r="769" x14ac:dyDescent="0.35">
      <c r="A769" s="21" t="str">
        <v/>
      </c>
      <c r="B769" s="23" t="str">
        <v/>
      </c>
      <c r="C769" t="str">
        <v/>
      </c>
      <c r="D769" t="str">
        <v/>
      </c>
      <c r="E769" t="str">
        <v/>
      </c>
      <c r="F769" t="str">
        <v/>
      </c>
      <c r="G769" t="str">
        <v/>
      </c>
      <c r="H769" t="str">
        <v/>
      </c>
      <c r="I769" s="2" t="str">
        <v/>
      </c>
      <c r="J769" s="2" t="str">
        <v/>
      </c>
      <c r="K769" s="2" t="str">
        <v/>
      </c>
      <c r="L769" s="1" t="str">
        <v/>
      </c>
      <c r="M769" s="2" t="str">
        <v/>
      </c>
      <c r="N769" s="1" t="str">
        <v/>
      </c>
      <c r="O769" s="1" t="str">
        <v/>
      </c>
      <c r="P769" s="1" t="str">
        <v/>
      </c>
      <c r="Q769" s="1">
        <f t="shared" si="44"/>
        <v>0</v>
      </c>
      <c r="R769" s="1">
        <f t="shared" si="45"/>
        <v>0</v>
      </c>
      <c r="T769">
        <f t="shared" si="46"/>
        <v>0</v>
      </c>
      <c r="U769">
        <f t="shared" si="47"/>
        <v>0</v>
      </c>
    </row>
    <row r="770" x14ac:dyDescent="0.35">
      <c r="A770" s="21" t="str">
        <v/>
      </c>
      <c r="B770" s="23" t="str">
        <v/>
      </c>
      <c r="C770" t="str">
        <v/>
      </c>
      <c r="D770" t="str">
        <v/>
      </c>
      <c r="E770" t="str">
        <v/>
      </c>
      <c r="F770" t="str">
        <v/>
      </c>
      <c r="G770" t="str">
        <v/>
      </c>
      <c r="H770" t="str">
        <v/>
      </c>
      <c r="I770" s="2" t="str">
        <v/>
      </c>
      <c r="J770" s="2" t="str">
        <v/>
      </c>
      <c r="K770" s="2" t="str">
        <v/>
      </c>
      <c r="L770" s="1" t="str">
        <v/>
      </c>
      <c r="M770" s="2" t="str">
        <v/>
      </c>
      <c r="N770" s="1" t="str">
        <v/>
      </c>
      <c r="O770" s="1" t="str">
        <v/>
      </c>
      <c r="P770" s="1" t="str">
        <v/>
      </c>
      <c r="Q770" s="1">
        <f t="shared" si="44"/>
        <v>0</v>
      </c>
      <c r="R770" s="1">
        <f t="shared" si="45"/>
        <v>0</v>
      </c>
      <c r="T770">
        <f t="shared" si="46"/>
        <v>0</v>
      </c>
      <c r="U770">
        <f t="shared" si="47"/>
        <v>0</v>
      </c>
    </row>
    <row r="771" x14ac:dyDescent="0.35">
      <c r="A771" s="21" t="str">
        <v/>
      </c>
      <c r="B771" s="23" t="str">
        <v/>
      </c>
      <c r="C771" t="str">
        <v/>
      </c>
      <c r="D771" t="str">
        <v/>
      </c>
      <c r="E771" t="str">
        <v/>
      </c>
      <c r="F771" t="str">
        <v/>
      </c>
      <c r="G771" t="str">
        <v/>
      </c>
      <c r="H771" t="str">
        <v/>
      </c>
      <c r="I771" s="2" t="str">
        <v/>
      </c>
      <c r="J771" s="2" t="str">
        <v/>
      </c>
      <c r="K771" s="2" t="str">
        <v/>
      </c>
      <c r="L771" s="1" t="str">
        <v/>
      </c>
      <c r="M771" s="2" t="str">
        <v/>
      </c>
      <c r="N771" s="1" t="str">
        <v/>
      </c>
      <c r="O771" s="1" t="str">
        <v/>
      </c>
      <c r="P771" s="1" t="str">
        <v/>
      </c>
      <c r="Q771" s="1">
        <f t="shared" ref="Q771:Q834" si="48">IF(H771="Sí",1,0)</f>
        <v>0</v>
      </c>
      <c r="R771" s="1">
        <f t="shared" ref="R771:R834" si="49">IF(L771="En coordinación",1,0)</f>
        <v>0</v>
      </c>
      <c r="T771">
        <f t="shared" ref="T771:T834" si="50">IF(N771="Sí",1,0)</f>
        <v>0</v>
      </c>
      <c r="U771">
        <f t="shared" ref="U771:U834" si="51">IF(L771="Aceptada",1,0)</f>
        <v>0</v>
      </c>
    </row>
    <row r="772" x14ac:dyDescent="0.35">
      <c r="A772" s="21" t="str">
        <v/>
      </c>
      <c r="B772" s="23" t="str">
        <v/>
      </c>
      <c r="C772" t="str">
        <v/>
      </c>
      <c r="D772" t="str">
        <v/>
      </c>
      <c r="E772" t="str">
        <v/>
      </c>
      <c r="F772" t="str">
        <v/>
      </c>
      <c r="G772" t="str">
        <v/>
      </c>
      <c r="H772" t="str">
        <v/>
      </c>
      <c r="I772" s="2" t="str">
        <v/>
      </c>
      <c r="J772" s="2" t="str">
        <v/>
      </c>
      <c r="K772" s="2" t="str">
        <v/>
      </c>
      <c r="L772" s="1" t="str">
        <v/>
      </c>
      <c r="M772" s="2" t="str">
        <v/>
      </c>
      <c r="N772" s="1" t="str">
        <v/>
      </c>
      <c r="O772" s="1" t="str">
        <v/>
      </c>
      <c r="P772" s="1" t="str">
        <v/>
      </c>
      <c r="Q772" s="1">
        <f t="shared" si="48"/>
        <v>0</v>
      </c>
      <c r="R772" s="1">
        <f t="shared" si="49"/>
        <v>0</v>
      </c>
      <c r="T772">
        <f t="shared" si="50"/>
        <v>0</v>
      </c>
      <c r="U772">
        <f t="shared" si="51"/>
        <v>0</v>
      </c>
    </row>
    <row r="773" x14ac:dyDescent="0.35">
      <c r="A773" s="21" t="str">
        <v/>
      </c>
      <c r="B773" s="23" t="str">
        <v/>
      </c>
      <c r="C773" t="str">
        <v/>
      </c>
      <c r="D773" t="str">
        <v/>
      </c>
      <c r="E773" t="str">
        <v/>
      </c>
      <c r="F773" t="str">
        <v/>
      </c>
      <c r="G773" t="str">
        <v/>
      </c>
      <c r="H773" t="str">
        <v/>
      </c>
      <c r="I773" s="2" t="str">
        <v/>
      </c>
      <c r="J773" s="2" t="str">
        <v/>
      </c>
      <c r="K773" s="2" t="str">
        <v/>
      </c>
      <c r="L773" s="1" t="str">
        <v/>
      </c>
      <c r="M773" s="2" t="str">
        <v/>
      </c>
      <c r="N773" s="1" t="str">
        <v/>
      </c>
      <c r="O773" s="1" t="str">
        <v/>
      </c>
      <c r="P773" s="1" t="str">
        <v/>
      </c>
      <c r="Q773" s="1">
        <f t="shared" si="48"/>
        <v>0</v>
      </c>
      <c r="R773" s="1">
        <f t="shared" si="49"/>
        <v>0</v>
      </c>
      <c r="T773">
        <f t="shared" si="50"/>
        <v>0</v>
      </c>
      <c r="U773">
        <f t="shared" si="51"/>
        <v>0</v>
      </c>
    </row>
    <row r="774" x14ac:dyDescent="0.35">
      <c r="A774" s="21" t="str">
        <v/>
      </c>
      <c r="B774" s="23" t="str">
        <v/>
      </c>
      <c r="C774" t="str">
        <v/>
      </c>
      <c r="D774" t="str">
        <v/>
      </c>
      <c r="E774" t="str">
        <v/>
      </c>
      <c r="F774" t="str">
        <v/>
      </c>
      <c r="G774" t="str">
        <v/>
      </c>
      <c r="H774" t="str">
        <v/>
      </c>
      <c r="I774" s="2" t="str">
        <v/>
      </c>
      <c r="J774" s="2" t="str">
        <v/>
      </c>
      <c r="K774" s="2" t="str">
        <v/>
      </c>
      <c r="L774" s="1" t="str">
        <v/>
      </c>
      <c r="M774" s="2" t="str">
        <v/>
      </c>
      <c r="N774" s="1" t="str">
        <v/>
      </c>
      <c r="O774" s="1" t="str">
        <v/>
      </c>
      <c r="P774" s="1" t="str">
        <v/>
      </c>
      <c r="Q774" s="1">
        <f t="shared" si="48"/>
        <v>0</v>
      </c>
      <c r="R774" s="1">
        <f t="shared" si="49"/>
        <v>0</v>
      </c>
      <c r="T774">
        <f t="shared" si="50"/>
        <v>0</v>
      </c>
      <c r="U774">
        <f t="shared" si="51"/>
        <v>0</v>
      </c>
    </row>
    <row r="775" x14ac:dyDescent="0.35">
      <c r="A775" s="21" t="str">
        <v/>
      </c>
      <c r="B775" s="23" t="str">
        <v/>
      </c>
      <c r="C775" t="str">
        <v/>
      </c>
      <c r="D775" t="str">
        <v/>
      </c>
      <c r="E775" t="str">
        <v/>
      </c>
      <c r="F775" t="str">
        <v/>
      </c>
      <c r="G775" t="str">
        <v/>
      </c>
      <c r="H775" t="str">
        <v/>
      </c>
      <c r="I775" s="2" t="str">
        <v/>
      </c>
      <c r="J775" s="2" t="str">
        <v/>
      </c>
      <c r="K775" s="2" t="str">
        <v/>
      </c>
      <c r="L775" s="1" t="str">
        <v/>
      </c>
      <c r="M775" s="2" t="str">
        <v/>
      </c>
      <c r="N775" s="1" t="str">
        <v/>
      </c>
      <c r="O775" s="1" t="str">
        <v/>
      </c>
      <c r="P775" s="1" t="str">
        <v/>
      </c>
      <c r="Q775" s="1">
        <f t="shared" si="48"/>
        <v>0</v>
      </c>
      <c r="R775" s="1">
        <f t="shared" si="49"/>
        <v>0</v>
      </c>
      <c r="T775">
        <f t="shared" si="50"/>
        <v>0</v>
      </c>
      <c r="U775">
        <f t="shared" si="51"/>
        <v>0</v>
      </c>
    </row>
    <row r="776" x14ac:dyDescent="0.35">
      <c r="A776" s="21" t="str">
        <v/>
      </c>
      <c r="B776" s="23" t="str">
        <v/>
      </c>
      <c r="C776" t="str">
        <v/>
      </c>
      <c r="D776" t="str">
        <v/>
      </c>
      <c r="E776" t="str">
        <v/>
      </c>
      <c r="F776" t="str">
        <v/>
      </c>
      <c r="G776" t="str">
        <v/>
      </c>
      <c r="H776" t="str">
        <v/>
      </c>
      <c r="I776" s="2" t="str">
        <v/>
      </c>
      <c r="J776" s="2" t="str">
        <v/>
      </c>
      <c r="K776" s="2" t="str">
        <v/>
      </c>
      <c r="L776" s="1" t="str">
        <v/>
      </c>
      <c r="M776" s="2" t="str">
        <v/>
      </c>
      <c r="N776" s="1" t="str">
        <v/>
      </c>
      <c r="O776" s="1" t="str">
        <v/>
      </c>
      <c r="P776" s="1" t="str">
        <v/>
      </c>
      <c r="Q776" s="1">
        <f t="shared" si="48"/>
        <v>0</v>
      </c>
      <c r="R776" s="1">
        <f t="shared" si="49"/>
        <v>0</v>
      </c>
      <c r="T776">
        <f t="shared" si="50"/>
        <v>0</v>
      </c>
      <c r="U776">
        <f t="shared" si="51"/>
        <v>0</v>
      </c>
    </row>
    <row r="777" x14ac:dyDescent="0.35">
      <c r="A777" s="21" t="str">
        <v/>
      </c>
      <c r="B777" s="23" t="str">
        <v/>
      </c>
      <c r="C777" t="str">
        <v/>
      </c>
      <c r="D777" t="str">
        <v/>
      </c>
      <c r="E777" t="str">
        <v/>
      </c>
      <c r="F777" t="str">
        <v/>
      </c>
      <c r="G777" t="str">
        <v/>
      </c>
      <c r="H777" t="str">
        <v/>
      </c>
      <c r="I777" s="2" t="str">
        <v/>
      </c>
      <c r="J777" s="2" t="str">
        <v/>
      </c>
      <c r="K777" s="2" t="str">
        <v/>
      </c>
      <c r="L777" s="1" t="str">
        <v/>
      </c>
      <c r="M777" s="2" t="str">
        <v/>
      </c>
      <c r="N777" s="1" t="str">
        <v/>
      </c>
      <c r="O777" s="1" t="str">
        <v/>
      </c>
      <c r="P777" s="1" t="str">
        <v/>
      </c>
      <c r="Q777" s="1">
        <f t="shared" si="48"/>
        <v>0</v>
      </c>
      <c r="R777" s="1">
        <f t="shared" si="49"/>
        <v>0</v>
      </c>
      <c r="T777">
        <f t="shared" si="50"/>
        <v>0</v>
      </c>
      <c r="U777">
        <f t="shared" si="51"/>
        <v>0</v>
      </c>
    </row>
    <row r="778" x14ac:dyDescent="0.35">
      <c r="A778" s="21" t="str">
        <v/>
      </c>
      <c r="B778" s="23" t="str">
        <v/>
      </c>
      <c r="C778" t="str">
        <v/>
      </c>
      <c r="D778" t="str">
        <v/>
      </c>
      <c r="E778" t="str">
        <v/>
      </c>
      <c r="F778" t="str">
        <v/>
      </c>
      <c r="G778" t="str">
        <v/>
      </c>
      <c r="H778" t="str">
        <v/>
      </c>
      <c r="I778" s="2" t="str">
        <v/>
      </c>
      <c r="J778" s="2" t="str">
        <v/>
      </c>
      <c r="K778" s="2" t="str">
        <v/>
      </c>
      <c r="L778" s="1" t="str">
        <v/>
      </c>
      <c r="M778" s="2" t="str">
        <v/>
      </c>
      <c r="N778" s="1" t="str">
        <v/>
      </c>
      <c r="O778" s="1" t="str">
        <v/>
      </c>
      <c r="P778" s="1" t="str">
        <v/>
      </c>
      <c r="Q778" s="1">
        <f t="shared" si="48"/>
        <v>0</v>
      </c>
      <c r="R778" s="1">
        <f t="shared" si="49"/>
        <v>0</v>
      </c>
      <c r="T778">
        <f t="shared" si="50"/>
        <v>0</v>
      </c>
      <c r="U778">
        <f t="shared" si="51"/>
        <v>0</v>
      </c>
    </row>
    <row r="779" x14ac:dyDescent="0.35">
      <c r="A779" s="21" t="str">
        <v/>
      </c>
      <c r="B779" s="23" t="str">
        <v/>
      </c>
      <c r="C779" t="str">
        <v/>
      </c>
      <c r="D779" t="str">
        <v/>
      </c>
      <c r="E779" t="str">
        <v/>
      </c>
      <c r="F779" t="str">
        <v/>
      </c>
      <c r="G779" t="str">
        <v/>
      </c>
      <c r="H779" t="str">
        <v/>
      </c>
      <c r="I779" s="2" t="str">
        <v/>
      </c>
      <c r="J779" s="2" t="str">
        <v/>
      </c>
      <c r="K779" s="2" t="str">
        <v/>
      </c>
      <c r="L779" s="1" t="str">
        <v/>
      </c>
      <c r="M779" s="2" t="str">
        <v/>
      </c>
      <c r="N779" s="1" t="str">
        <v/>
      </c>
      <c r="O779" s="1" t="str">
        <v/>
      </c>
      <c r="P779" s="1" t="str">
        <v/>
      </c>
      <c r="Q779" s="1">
        <f t="shared" si="48"/>
        <v>0</v>
      </c>
      <c r="R779" s="1">
        <f t="shared" si="49"/>
        <v>0</v>
      </c>
      <c r="T779">
        <f t="shared" si="50"/>
        <v>0</v>
      </c>
      <c r="U779">
        <f t="shared" si="51"/>
        <v>0</v>
      </c>
    </row>
    <row r="780" x14ac:dyDescent="0.35">
      <c r="A780" s="21" t="str">
        <v/>
      </c>
      <c r="B780" s="23" t="str">
        <v/>
      </c>
      <c r="C780" t="str">
        <v/>
      </c>
      <c r="D780" t="str">
        <v/>
      </c>
      <c r="E780" t="str">
        <v/>
      </c>
      <c r="F780" t="str">
        <v/>
      </c>
      <c r="G780" t="str">
        <v/>
      </c>
      <c r="H780" t="str">
        <v/>
      </c>
      <c r="I780" s="2" t="str">
        <v/>
      </c>
      <c r="J780" s="2" t="str">
        <v/>
      </c>
      <c r="K780" s="2" t="str">
        <v/>
      </c>
      <c r="L780" s="1" t="str">
        <v/>
      </c>
      <c r="M780" s="2" t="str">
        <v/>
      </c>
      <c r="N780" s="1" t="str">
        <v/>
      </c>
      <c r="O780" s="1" t="str">
        <v/>
      </c>
      <c r="P780" s="1" t="str">
        <v/>
      </c>
      <c r="Q780" s="1">
        <f t="shared" si="48"/>
        <v>0</v>
      </c>
      <c r="R780" s="1">
        <f t="shared" si="49"/>
        <v>0</v>
      </c>
      <c r="T780">
        <f t="shared" si="50"/>
        <v>0</v>
      </c>
      <c r="U780">
        <f t="shared" si="51"/>
        <v>0</v>
      </c>
    </row>
    <row r="781" x14ac:dyDescent="0.35">
      <c r="A781" s="21" t="str">
        <v/>
      </c>
      <c r="B781" s="23" t="str">
        <v/>
      </c>
      <c r="C781" t="str">
        <v/>
      </c>
      <c r="D781" t="str">
        <v/>
      </c>
      <c r="E781" t="str">
        <v/>
      </c>
      <c r="F781" t="str">
        <v/>
      </c>
      <c r="G781" t="str">
        <v/>
      </c>
      <c r="H781" t="str">
        <v/>
      </c>
      <c r="I781" s="2" t="str">
        <v/>
      </c>
      <c r="J781" s="2" t="str">
        <v/>
      </c>
      <c r="K781" s="2" t="str">
        <v/>
      </c>
      <c r="L781" s="1" t="str">
        <v/>
      </c>
      <c r="M781" s="2" t="str">
        <v/>
      </c>
      <c r="N781" s="1" t="str">
        <v/>
      </c>
      <c r="O781" s="1" t="str">
        <v/>
      </c>
      <c r="P781" s="1" t="str">
        <v/>
      </c>
      <c r="Q781" s="1">
        <f t="shared" si="48"/>
        <v>0</v>
      </c>
      <c r="R781" s="1">
        <f t="shared" si="49"/>
        <v>0</v>
      </c>
      <c r="T781">
        <f t="shared" si="50"/>
        <v>0</v>
      </c>
      <c r="U781">
        <f t="shared" si="51"/>
        <v>0</v>
      </c>
    </row>
    <row r="782" x14ac:dyDescent="0.35">
      <c r="A782" s="21" t="str">
        <v/>
      </c>
      <c r="B782" s="23" t="str">
        <v/>
      </c>
      <c r="C782" t="str">
        <v/>
      </c>
      <c r="D782" t="str">
        <v/>
      </c>
      <c r="E782" t="str">
        <v/>
      </c>
      <c r="F782" t="str">
        <v/>
      </c>
      <c r="G782" t="str">
        <v/>
      </c>
      <c r="H782" t="str">
        <v/>
      </c>
      <c r="I782" s="2" t="str">
        <v/>
      </c>
      <c r="J782" s="2" t="str">
        <v/>
      </c>
      <c r="K782" s="2" t="str">
        <v/>
      </c>
      <c r="L782" s="1" t="str">
        <v/>
      </c>
      <c r="M782" s="2" t="str">
        <v/>
      </c>
      <c r="N782" s="1" t="str">
        <v/>
      </c>
      <c r="O782" s="1" t="str">
        <v/>
      </c>
      <c r="P782" s="1" t="str">
        <v/>
      </c>
      <c r="Q782" s="1">
        <f t="shared" si="48"/>
        <v>0</v>
      </c>
      <c r="R782" s="1">
        <f t="shared" si="49"/>
        <v>0</v>
      </c>
      <c r="T782">
        <f t="shared" si="50"/>
        <v>0</v>
      </c>
      <c r="U782">
        <f t="shared" si="51"/>
        <v>0</v>
      </c>
    </row>
    <row r="783" x14ac:dyDescent="0.35">
      <c r="A783" s="21" t="str">
        <v/>
      </c>
      <c r="B783" s="23" t="str">
        <v/>
      </c>
      <c r="C783" t="str">
        <v/>
      </c>
      <c r="D783" t="str">
        <v/>
      </c>
      <c r="E783" t="str">
        <v/>
      </c>
      <c r="F783" t="str">
        <v/>
      </c>
      <c r="G783" t="str">
        <v/>
      </c>
      <c r="H783" t="str">
        <v/>
      </c>
      <c r="I783" s="2" t="str">
        <v/>
      </c>
      <c r="J783" s="2" t="str">
        <v/>
      </c>
      <c r="K783" s="2" t="str">
        <v/>
      </c>
      <c r="L783" s="1" t="str">
        <v/>
      </c>
      <c r="M783" s="2" t="str">
        <v/>
      </c>
      <c r="N783" s="1" t="str">
        <v/>
      </c>
      <c r="O783" s="1" t="str">
        <v/>
      </c>
      <c r="P783" s="1" t="str">
        <v/>
      </c>
      <c r="Q783" s="1">
        <f t="shared" si="48"/>
        <v>0</v>
      </c>
      <c r="R783" s="1">
        <f t="shared" si="49"/>
        <v>0</v>
      </c>
      <c r="T783">
        <f t="shared" si="50"/>
        <v>0</v>
      </c>
      <c r="U783">
        <f t="shared" si="51"/>
        <v>0</v>
      </c>
    </row>
    <row r="784" x14ac:dyDescent="0.35">
      <c r="A784" s="21" t="str">
        <v/>
      </c>
      <c r="B784" s="23" t="str">
        <v/>
      </c>
      <c r="C784" t="str">
        <v/>
      </c>
      <c r="D784" t="str">
        <v/>
      </c>
      <c r="E784" t="str">
        <v/>
      </c>
      <c r="F784" t="str">
        <v/>
      </c>
      <c r="G784" t="str">
        <v/>
      </c>
      <c r="H784" t="str">
        <v/>
      </c>
      <c r="I784" s="2" t="str">
        <v/>
      </c>
      <c r="J784" s="2" t="str">
        <v/>
      </c>
      <c r="K784" s="2" t="str">
        <v/>
      </c>
      <c r="L784" s="1" t="str">
        <v/>
      </c>
      <c r="M784" s="2" t="str">
        <v/>
      </c>
      <c r="N784" s="1" t="str">
        <v/>
      </c>
      <c r="O784" s="1" t="str">
        <v/>
      </c>
      <c r="P784" s="1" t="str">
        <v/>
      </c>
      <c r="Q784" s="1">
        <f t="shared" si="48"/>
        <v>0</v>
      </c>
      <c r="R784" s="1">
        <f t="shared" si="49"/>
        <v>0</v>
      </c>
      <c r="T784">
        <f t="shared" si="50"/>
        <v>0</v>
      </c>
      <c r="U784">
        <f t="shared" si="51"/>
        <v>0</v>
      </c>
    </row>
    <row r="785" x14ac:dyDescent="0.35">
      <c r="A785" s="21" t="str">
        <v/>
      </c>
      <c r="B785" s="23" t="str">
        <v/>
      </c>
      <c r="C785" t="str">
        <v/>
      </c>
      <c r="D785" t="str">
        <v/>
      </c>
      <c r="E785" t="str">
        <v/>
      </c>
      <c r="F785" t="str">
        <v/>
      </c>
      <c r="G785" t="str">
        <v/>
      </c>
      <c r="H785" t="str">
        <v/>
      </c>
      <c r="I785" s="2" t="str">
        <v/>
      </c>
      <c r="J785" s="2" t="str">
        <v/>
      </c>
      <c r="K785" s="2" t="str">
        <v/>
      </c>
      <c r="L785" s="1" t="str">
        <v/>
      </c>
      <c r="M785" s="2" t="str">
        <v/>
      </c>
      <c r="N785" s="1" t="str">
        <v/>
      </c>
      <c r="O785" s="1" t="str">
        <v/>
      </c>
      <c r="P785" s="1" t="str">
        <v/>
      </c>
      <c r="Q785" s="1">
        <f t="shared" si="48"/>
        <v>0</v>
      </c>
      <c r="R785" s="1">
        <f t="shared" si="49"/>
        <v>0</v>
      </c>
      <c r="T785">
        <f t="shared" si="50"/>
        <v>0</v>
      </c>
      <c r="U785">
        <f t="shared" si="51"/>
        <v>0</v>
      </c>
    </row>
    <row r="786" x14ac:dyDescent="0.35">
      <c r="A786" s="21" t="str">
        <v/>
      </c>
      <c r="B786" s="23" t="str">
        <v/>
      </c>
      <c r="C786" t="str">
        <v/>
      </c>
      <c r="D786" t="str">
        <v/>
      </c>
      <c r="E786" t="str">
        <v/>
      </c>
      <c r="F786" t="str">
        <v/>
      </c>
      <c r="G786" t="str">
        <v/>
      </c>
      <c r="H786" t="str">
        <v/>
      </c>
      <c r="I786" s="2" t="str">
        <v/>
      </c>
      <c r="J786" s="2" t="str">
        <v/>
      </c>
      <c r="K786" s="2" t="str">
        <v/>
      </c>
      <c r="L786" s="1" t="str">
        <v/>
      </c>
      <c r="M786" s="2" t="str">
        <v/>
      </c>
      <c r="N786" s="1" t="str">
        <v/>
      </c>
      <c r="O786" s="1" t="str">
        <v/>
      </c>
      <c r="P786" s="1" t="str">
        <v/>
      </c>
      <c r="Q786" s="1">
        <f t="shared" si="48"/>
        <v>0</v>
      </c>
      <c r="R786" s="1">
        <f t="shared" si="49"/>
        <v>0</v>
      </c>
      <c r="T786">
        <f t="shared" si="50"/>
        <v>0</v>
      </c>
      <c r="U786">
        <f t="shared" si="51"/>
        <v>0</v>
      </c>
    </row>
    <row r="787" x14ac:dyDescent="0.35">
      <c r="A787" s="21" t="str">
        <v/>
      </c>
      <c r="B787" s="23" t="str">
        <v/>
      </c>
      <c r="C787" t="str">
        <v/>
      </c>
      <c r="D787" t="str">
        <v/>
      </c>
      <c r="E787" t="str">
        <v/>
      </c>
      <c r="F787" t="str">
        <v/>
      </c>
      <c r="G787" t="str">
        <v/>
      </c>
      <c r="H787" t="str">
        <v/>
      </c>
      <c r="I787" s="2" t="str">
        <v/>
      </c>
      <c r="J787" s="2" t="str">
        <v/>
      </c>
      <c r="K787" s="2" t="str">
        <v/>
      </c>
      <c r="L787" s="1" t="str">
        <v/>
      </c>
      <c r="M787" s="2" t="str">
        <v/>
      </c>
      <c r="N787" s="1" t="str">
        <v/>
      </c>
      <c r="O787" s="1" t="str">
        <v/>
      </c>
      <c r="P787" s="1" t="str">
        <v/>
      </c>
      <c r="Q787" s="1">
        <f t="shared" si="48"/>
        <v>0</v>
      </c>
      <c r="R787" s="1">
        <f t="shared" si="49"/>
        <v>0</v>
      </c>
      <c r="T787">
        <f t="shared" si="50"/>
        <v>0</v>
      </c>
      <c r="U787">
        <f t="shared" si="51"/>
        <v>0</v>
      </c>
    </row>
    <row r="788" x14ac:dyDescent="0.35">
      <c r="A788" s="21" t="str">
        <v/>
      </c>
      <c r="B788" s="23" t="str">
        <v/>
      </c>
      <c r="C788" t="str">
        <v/>
      </c>
      <c r="D788" t="str">
        <v/>
      </c>
      <c r="E788" t="str">
        <v/>
      </c>
      <c r="F788" t="str">
        <v/>
      </c>
      <c r="G788" t="str">
        <v/>
      </c>
      <c r="H788" t="str">
        <v/>
      </c>
      <c r="I788" s="2" t="str">
        <v/>
      </c>
      <c r="J788" s="2" t="str">
        <v/>
      </c>
      <c r="K788" s="2" t="str">
        <v/>
      </c>
      <c r="L788" s="1" t="str">
        <v/>
      </c>
      <c r="M788" s="2" t="str">
        <v/>
      </c>
      <c r="N788" s="1" t="str">
        <v/>
      </c>
      <c r="O788" s="1" t="str">
        <v/>
      </c>
      <c r="P788" s="1" t="str">
        <v/>
      </c>
      <c r="Q788" s="1">
        <f t="shared" si="48"/>
        <v>0</v>
      </c>
      <c r="R788" s="1">
        <f t="shared" si="49"/>
        <v>0</v>
      </c>
      <c r="T788">
        <f t="shared" si="50"/>
        <v>0</v>
      </c>
      <c r="U788">
        <f t="shared" si="51"/>
        <v>0</v>
      </c>
    </row>
    <row r="789" x14ac:dyDescent="0.35">
      <c r="A789" s="21" t="str">
        <v/>
      </c>
      <c r="B789" s="23" t="str">
        <v/>
      </c>
      <c r="C789" t="str">
        <v/>
      </c>
      <c r="D789" t="str">
        <v/>
      </c>
      <c r="E789" t="str">
        <v/>
      </c>
      <c r="F789" t="str">
        <v/>
      </c>
      <c r="G789" t="str">
        <v/>
      </c>
      <c r="H789" t="str">
        <v/>
      </c>
      <c r="I789" s="2" t="str">
        <v/>
      </c>
      <c r="J789" s="2" t="str">
        <v/>
      </c>
      <c r="K789" s="2" t="str">
        <v/>
      </c>
      <c r="L789" s="1" t="str">
        <v/>
      </c>
      <c r="M789" s="2" t="str">
        <v/>
      </c>
      <c r="N789" s="1" t="str">
        <v/>
      </c>
      <c r="O789" s="1" t="str">
        <v/>
      </c>
      <c r="P789" s="1" t="str">
        <v/>
      </c>
      <c r="Q789" s="1">
        <f t="shared" si="48"/>
        <v>0</v>
      </c>
      <c r="R789" s="1">
        <f t="shared" si="49"/>
        <v>0</v>
      </c>
      <c r="T789">
        <f t="shared" si="50"/>
        <v>0</v>
      </c>
      <c r="U789">
        <f t="shared" si="51"/>
        <v>0</v>
      </c>
    </row>
    <row r="790" x14ac:dyDescent="0.35">
      <c r="A790" s="21" t="str">
        <v/>
      </c>
      <c r="B790" s="23" t="str">
        <v/>
      </c>
      <c r="C790" t="str">
        <v/>
      </c>
      <c r="D790" t="str">
        <v/>
      </c>
      <c r="E790" t="str">
        <v/>
      </c>
      <c r="F790" t="str">
        <v/>
      </c>
      <c r="G790" t="str">
        <v/>
      </c>
      <c r="H790" t="str">
        <v/>
      </c>
      <c r="I790" s="2" t="str">
        <v/>
      </c>
      <c r="J790" s="2" t="str">
        <v/>
      </c>
      <c r="K790" s="2" t="str">
        <v/>
      </c>
      <c r="L790" s="1" t="str">
        <v/>
      </c>
      <c r="M790" s="2" t="str">
        <v/>
      </c>
      <c r="N790" s="1" t="str">
        <v/>
      </c>
      <c r="O790" s="1" t="str">
        <v/>
      </c>
      <c r="P790" s="1" t="str">
        <v/>
      </c>
      <c r="Q790" s="1">
        <f t="shared" si="48"/>
        <v>0</v>
      </c>
      <c r="R790" s="1">
        <f t="shared" si="49"/>
        <v>0</v>
      </c>
      <c r="T790">
        <f t="shared" si="50"/>
        <v>0</v>
      </c>
      <c r="U790">
        <f t="shared" si="51"/>
        <v>0</v>
      </c>
    </row>
    <row r="791" x14ac:dyDescent="0.35">
      <c r="A791" s="21" t="str">
        <v/>
      </c>
      <c r="B791" s="23" t="str">
        <v/>
      </c>
      <c r="C791" t="str">
        <v/>
      </c>
      <c r="D791" t="str">
        <v/>
      </c>
      <c r="E791" t="str">
        <v/>
      </c>
      <c r="F791" t="str">
        <v/>
      </c>
      <c r="G791" t="str">
        <v/>
      </c>
      <c r="H791" t="str">
        <v/>
      </c>
      <c r="I791" s="2" t="str">
        <v/>
      </c>
      <c r="J791" s="2" t="str">
        <v/>
      </c>
      <c r="K791" s="2" t="str">
        <v/>
      </c>
      <c r="L791" s="1" t="str">
        <v/>
      </c>
      <c r="M791" s="2" t="str">
        <v/>
      </c>
      <c r="N791" s="1" t="str">
        <v/>
      </c>
      <c r="O791" s="1" t="str">
        <v/>
      </c>
      <c r="P791" s="1" t="str">
        <v/>
      </c>
      <c r="Q791" s="1">
        <f t="shared" si="48"/>
        <v>0</v>
      </c>
      <c r="R791" s="1">
        <f t="shared" si="49"/>
        <v>0</v>
      </c>
      <c r="T791">
        <f t="shared" si="50"/>
        <v>0</v>
      </c>
      <c r="U791">
        <f t="shared" si="51"/>
        <v>0</v>
      </c>
    </row>
    <row r="792" x14ac:dyDescent="0.35">
      <c r="A792" s="21" t="str">
        <v/>
      </c>
      <c r="B792" s="23" t="str">
        <v/>
      </c>
      <c r="C792" t="str">
        <v/>
      </c>
      <c r="D792" t="str">
        <v/>
      </c>
      <c r="E792" t="str">
        <v/>
      </c>
      <c r="F792" t="str">
        <v/>
      </c>
      <c r="G792" t="str">
        <v/>
      </c>
      <c r="H792" t="str">
        <v/>
      </c>
      <c r="I792" s="2" t="str">
        <v/>
      </c>
      <c r="J792" s="2" t="str">
        <v/>
      </c>
      <c r="K792" s="2" t="str">
        <v/>
      </c>
      <c r="L792" s="1" t="str">
        <v/>
      </c>
      <c r="M792" s="2" t="str">
        <v/>
      </c>
      <c r="N792" s="1" t="str">
        <v/>
      </c>
      <c r="O792" s="1" t="str">
        <v/>
      </c>
      <c r="P792" s="1" t="str">
        <v/>
      </c>
      <c r="Q792" s="1">
        <f t="shared" si="48"/>
        <v>0</v>
      </c>
      <c r="R792" s="1">
        <f t="shared" si="49"/>
        <v>0</v>
      </c>
      <c r="T792">
        <f t="shared" si="50"/>
        <v>0</v>
      </c>
      <c r="U792">
        <f t="shared" si="51"/>
        <v>0</v>
      </c>
    </row>
    <row r="793" x14ac:dyDescent="0.35">
      <c r="A793" s="21" t="str">
        <v/>
      </c>
      <c r="B793" s="23" t="str">
        <v/>
      </c>
      <c r="C793" t="str">
        <v/>
      </c>
      <c r="D793" t="str">
        <v/>
      </c>
      <c r="E793" t="str">
        <v/>
      </c>
      <c r="F793" t="str">
        <v/>
      </c>
      <c r="G793" t="str">
        <v/>
      </c>
      <c r="H793" t="str">
        <v/>
      </c>
      <c r="I793" s="2" t="str">
        <v/>
      </c>
      <c r="J793" s="2" t="str">
        <v/>
      </c>
      <c r="K793" s="2" t="str">
        <v/>
      </c>
      <c r="L793" s="1" t="str">
        <v/>
      </c>
      <c r="M793" s="2" t="str">
        <v/>
      </c>
      <c r="N793" s="1" t="str">
        <v/>
      </c>
      <c r="O793" s="1" t="str">
        <v/>
      </c>
      <c r="P793" s="1" t="str">
        <v/>
      </c>
      <c r="Q793" s="1">
        <f t="shared" si="48"/>
        <v>0</v>
      </c>
      <c r="R793" s="1">
        <f t="shared" si="49"/>
        <v>0</v>
      </c>
      <c r="T793">
        <f t="shared" si="50"/>
        <v>0</v>
      </c>
      <c r="U793">
        <f t="shared" si="51"/>
        <v>0</v>
      </c>
    </row>
    <row r="794" x14ac:dyDescent="0.35">
      <c r="A794" s="21" t="str">
        <v/>
      </c>
      <c r="B794" s="23" t="str">
        <v/>
      </c>
      <c r="C794" t="str">
        <v/>
      </c>
      <c r="D794" t="str">
        <v/>
      </c>
      <c r="E794" t="str">
        <v/>
      </c>
      <c r="F794" t="str">
        <v/>
      </c>
      <c r="G794" t="str">
        <v/>
      </c>
      <c r="H794" t="str">
        <v/>
      </c>
      <c r="I794" s="2" t="str">
        <v/>
      </c>
      <c r="J794" s="2" t="str">
        <v/>
      </c>
      <c r="K794" s="2" t="str">
        <v/>
      </c>
      <c r="L794" s="1" t="str">
        <v/>
      </c>
      <c r="M794" s="2" t="str">
        <v/>
      </c>
      <c r="N794" s="1" t="str">
        <v/>
      </c>
      <c r="O794" s="1" t="str">
        <v/>
      </c>
      <c r="P794" s="1" t="str">
        <v/>
      </c>
      <c r="Q794" s="1">
        <f t="shared" si="48"/>
        <v>0</v>
      </c>
      <c r="R794" s="1">
        <f t="shared" si="49"/>
        <v>0</v>
      </c>
      <c r="T794">
        <f t="shared" si="50"/>
        <v>0</v>
      </c>
      <c r="U794">
        <f t="shared" si="51"/>
        <v>0</v>
      </c>
    </row>
    <row r="795" x14ac:dyDescent="0.35">
      <c r="A795" s="21" t="str">
        <v/>
      </c>
      <c r="B795" s="23" t="str">
        <v/>
      </c>
      <c r="C795" t="str">
        <v/>
      </c>
      <c r="D795" t="str">
        <v/>
      </c>
      <c r="E795" t="str">
        <v/>
      </c>
      <c r="F795" t="str">
        <v/>
      </c>
      <c r="G795" t="str">
        <v/>
      </c>
      <c r="H795" t="str">
        <v/>
      </c>
      <c r="I795" s="2" t="str">
        <v/>
      </c>
      <c r="J795" s="2" t="str">
        <v/>
      </c>
      <c r="K795" s="2" t="str">
        <v/>
      </c>
      <c r="L795" s="1" t="str">
        <v/>
      </c>
      <c r="M795" s="2" t="str">
        <v/>
      </c>
      <c r="N795" s="1" t="str">
        <v/>
      </c>
      <c r="O795" s="1" t="str">
        <v/>
      </c>
      <c r="P795" s="1" t="str">
        <v/>
      </c>
      <c r="Q795" s="1">
        <f t="shared" si="48"/>
        <v>0</v>
      </c>
      <c r="R795" s="1">
        <f t="shared" si="49"/>
        <v>0</v>
      </c>
      <c r="T795">
        <f t="shared" si="50"/>
        <v>0</v>
      </c>
      <c r="U795">
        <f t="shared" si="51"/>
        <v>0</v>
      </c>
    </row>
    <row r="796" x14ac:dyDescent="0.35">
      <c r="A796" s="21" t="str">
        <v/>
      </c>
      <c r="B796" s="23" t="str">
        <v/>
      </c>
      <c r="C796" t="str">
        <v/>
      </c>
      <c r="D796" t="str">
        <v/>
      </c>
      <c r="E796" t="str">
        <v/>
      </c>
      <c r="F796" t="str">
        <v/>
      </c>
      <c r="G796" t="str">
        <v/>
      </c>
      <c r="H796" t="str">
        <v/>
      </c>
      <c r="I796" s="2" t="str">
        <v/>
      </c>
      <c r="J796" s="2" t="str">
        <v/>
      </c>
      <c r="K796" s="2" t="str">
        <v/>
      </c>
      <c r="L796" s="1" t="str">
        <v/>
      </c>
      <c r="M796" s="2" t="str">
        <v/>
      </c>
      <c r="N796" s="1" t="str">
        <v/>
      </c>
      <c r="O796" s="1" t="str">
        <v/>
      </c>
      <c r="P796" s="1" t="str">
        <v/>
      </c>
      <c r="Q796" s="1">
        <f t="shared" si="48"/>
        <v>0</v>
      </c>
      <c r="R796" s="1">
        <f t="shared" si="49"/>
        <v>0</v>
      </c>
      <c r="T796">
        <f t="shared" si="50"/>
        <v>0</v>
      </c>
      <c r="U796">
        <f t="shared" si="51"/>
        <v>0</v>
      </c>
    </row>
    <row r="797" x14ac:dyDescent="0.35">
      <c r="A797" s="21" t="str">
        <v/>
      </c>
      <c r="B797" s="23" t="str">
        <v/>
      </c>
      <c r="C797" t="str">
        <v/>
      </c>
      <c r="D797" t="str">
        <v/>
      </c>
      <c r="E797" t="str">
        <v/>
      </c>
      <c r="F797" t="str">
        <v/>
      </c>
      <c r="G797" t="str">
        <v/>
      </c>
      <c r="H797" t="str">
        <v/>
      </c>
      <c r="I797" s="2" t="str">
        <v/>
      </c>
      <c r="J797" s="2" t="str">
        <v/>
      </c>
      <c r="K797" s="2" t="str">
        <v/>
      </c>
      <c r="L797" s="1" t="str">
        <v/>
      </c>
      <c r="M797" s="2" t="str">
        <v/>
      </c>
      <c r="N797" s="1" t="str">
        <v/>
      </c>
      <c r="O797" s="1" t="str">
        <v/>
      </c>
      <c r="P797" s="1" t="str">
        <v/>
      </c>
      <c r="Q797" s="1">
        <f t="shared" si="48"/>
        <v>0</v>
      </c>
      <c r="R797" s="1">
        <f t="shared" si="49"/>
        <v>0</v>
      </c>
      <c r="T797">
        <f t="shared" si="50"/>
        <v>0</v>
      </c>
      <c r="U797">
        <f t="shared" si="51"/>
        <v>0</v>
      </c>
    </row>
    <row r="798" x14ac:dyDescent="0.35">
      <c r="A798" s="21" t="str">
        <v/>
      </c>
      <c r="B798" s="23" t="str">
        <v/>
      </c>
      <c r="C798" t="str">
        <v/>
      </c>
      <c r="D798" t="str">
        <v/>
      </c>
      <c r="E798" t="str">
        <v/>
      </c>
      <c r="F798" t="str">
        <v/>
      </c>
      <c r="G798" t="str">
        <v/>
      </c>
      <c r="H798" t="str">
        <v/>
      </c>
      <c r="I798" s="2" t="str">
        <v/>
      </c>
      <c r="J798" s="2" t="str">
        <v/>
      </c>
      <c r="K798" s="2" t="str">
        <v/>
      </c>
      <c r="L798" s="1" t="str">
        <v/>
      </c>
      <c r="M798" s="2" t="str">
        <v/>
      </c>
      <c r="N798" s="1" t="str">
        <v/>
      </c>
      <c r="O798" s="1" t="str">
        <v/>
      </c>
      <c r="P798" s="1" t="str">
        <v/>
      </c>
      <c r="Q798" s="1">
        <f t="shared" si="48"/>
        <v>0</v>
      </c>
      <c r="R798" s="1">
        <f t="shared" si="49"/>
        <v>0</v>
      </c>
      <c r="T798">
        <f t="shared" si="50"/>
        <v>0</v>
      </c>
      <c r="U798">
        <f t="shared" si="51"/>
        <v>0</v>
      </c>
    </row>
    <row r="799" x14ac:dyDescent="0.35">
      <c r="A799" s="21" t="str">
        <v/>
      </c>
      <c r="B799" s="23" t="str">
        <v/>
      </c>
      <c r="C799" t="str">
        <v/>
      </c>
      <c r="D799" t="str">
        <v/>
      </c>
      <c r="E799" t="str">
        <v/>
      </c>
      <c r="F799" t="str">
        <v/>
      </c>
      <c r="G799" t="str">
        <v/>
      </c>
      <c r="H799" t="str">
        <v/>
      </c>
      <c r="I799" s="2" t="str">
        <v/>
      </c>
      <c r="J799" s="2" t="str">
        <v/>
      </c>
      <c r="K799" s="2" t="str">
        <v/>
      </c>
      <c r="L799" s="1" t="str">
        <v/>
      </c>
      <c r="M799" s="2" t="str">
        <v/>
      </c>
      <c r="N799" s="1" t="str">
        <v/>
      </c>
      <c r="O799" s="1" t="str">
        <v/>
      </c>
      <c r="P799" s="1" t="str">
        <v/>
      </c>
      <c r="Q799" s="1">
        <f t="shared" si="48"/>
        <v>0</v>
      </c>
      <c r="R799" s="1">
        <f t="shared" si="49"/>
        <v>0</v>
      </c>
      <c r="T799">
        <f t="shared" si="50"/>
        <v>0</v>
      </c>
      <c r="U799">
        <f t="shared" si="51"/>
        <v>0</v>
      </c>
    </row>
    <row r="800" x14ac:dyDescent="0.35">
      <c r="A800" s="21" t="str">
        <v/>
      </c>
      <c r="B800" s="23" t="str">
        <v/>
      </c>
      <c r="C800" t="str">
        <v/>
      </c>
      <c r="D800" t="str">
        <v/>
      </c>
      <c r="E800" t="str">
        <v/>
      </c>
      <c r="F800" t="str">
        <v/>
      </c>
      <c r="G800" t="str">
        <v/>
      </c>
      <c r="H800" t="str">
        <v/>
      </c>
      <c r="I800" s="2" t="str">
        <v/>
      </c>
      <c r="J800" s="2" t="str">
        <v/>
      </c>
      <c r="K800" s="2" t="str">
        <v/>
      </c>
      <c r="L800" s="1" t="str">
        <v/>
      </c>
      <c r="M800" s="2" t="str">
        <v/>
      </c>
      <c r="N800" s="1" t="str">
        <v/>
      </c>
      <c r="O800" s="1" t="str">
        <v/>
      </c>
      <c r="P800" s="1" t="str">
        <v/>
      </c>
      <c r="Q800" s="1">
        <f t="shared" si="48"/>
        <v>0</v>
      </c>
      <c r="R800" s="1">
        <f t="shared" si="49"/>
        <v>0</v>
      </c>
      <c r="T800">
        <f t="shared" si="50"/>
        <v>0</v>
      </c>
      <c r="U800">
        <f t="shared" si="51"/>
        <v>0</v>
      </c>
    </row>
    <row r="801" x14ac:dyDescent="0.35">
      <c r="A801" s="21" t="str">
        <v/>
      </c>
      <c r="B801" s="23" t="str">
        <v/>
      </c>
      <c r="C801" t="str">
        <v/>
      </c>
      <c r="D801" t="str">
        <v/>
      </c>
      <c r="E801" t="str">
        <v/>
      </c>
      <c r="F801" t="str">
        <v/>
      </c>
      <c r="G801" t="str">
        <v/>
      </c>
      <c r="H801" t="str">
        <v/>
      </c>
      <c r="I801" s="2" t="str">
        <v/>
      </c>
      <c r="J801" s="2" t="str">
        <v/>
      </c>
      <c r="K801" s="2" t="str">
        <v/>
      </c>
      <c r="L801" s="1" t="str">
        <v/>
      </c>
      <c r="M801" s="2" t="str">
        <v/>
      </c>
      <c r="N801" s="1" t="str">
        <v/>
      </c>
      <c r="O801" s="1" t="str">
        <v/>
      </c>
      <c r="P801" s="1" t="str">
        <v/>
      </c>
      <c r="Q801" s="1">
        <f t="shared" si="48"/>
        <v>0</v>
      </c>
      <c r="R801" s="1">
        <f t="shared" si="49"/>
        <v>0</v>
      </c>
      <c r="T801">
        <f t="shared" si="50"/>
        <v>0</v>
      </c>
      <c r="U801">
        <f t="shared" si="51"/>
        <v>0</v>
      </c>
    </row>
    <row r="802" x14ac:dyDescent="0.35">
      <c r="A802" s="21" t="str">
        <v/>
      </c>
      <c r="B802" s="23" t="str">
        <v/>
      </c>
      <c r="C802" t="str">
        <v/>
      </c>
      <c r="D802" t="str">
        <v/>
      </c>
      <c r="E802" t="str">
        <v/>
      </c>
      <c r="F802" t="str">
        <v/>
      </c>
      <c r="G802" t="str">
        <v/>
      </c>
      <c r="H802" t="str">
        <v/>
      </c>
      <c r="I802" s="2" t="str">
        <v/>
      </c>
      <c r="J802" s="2" t="str">
        <v/>
      </c>
      <c r="K802" s="2" t="str">
        <v/>
      </c>
      <c r="L802" s="1" t="str">
        <v/>
      </c>
      <c r="M802" s="2" t="str">
        <v/>
      </c>
      <c r="N802" s="1" t="str">
        <v/>
      </c>
      <c r="O802" s="1" t="str">
        <v/>
      </c>
      <c r="P802" s="1" t="str">
        <v/>
      </c>
      <c r="Q802" s="1">
        <f t="shared" si="48"/>
        <v>0</v>
      </c>
      <c r="R802" s="1">
        <f t="shared" si="49"/>
        <v>0</v>
      </c>
      <c r="T802">
        <f t="shared" si="50"/>
        <v>0</v>
      </c>
      <c r="U802">
        <f t="shared" si="51"/>
        <v>0</v>
      </c>
    </row>
    <row r="803" x14ac:dyDescent="0.35">
      <c r="A803" s="21" t="str">
        <v/>
      </c>
      <c r="B803" s="23" t="str">
        <v/>
      </c>
      <c r="C803" t="str">
        <v/>
      </c>
      <c r="D803" t="str">
        <v/>
      </c>
      <c r="E803" t="str">
        <v/>
      </c>
      <c r="F803" t="str">
        <v/>
      </c>
      <c r="G803" t="str">
        <v/>
      </c>
      <c r="H803" t="str">
        <v/>
      </c>
      <c r="I803" s="2" t="str">
        <v/>
      </c>
      <c r="J803" s="2" t="str">
        <v/>
      </c>
      <c r="K803" s="2" t="str">
        <v/>
      </c>
      <c r="L803" s="1" t="str">
        <v/>
      </c>
      <c r="M803" s="2" t="str">
        <v/>
      </c>
      <c r="N803" s="1" t="str">
        <v/>
      </c>
      <c r="O803" s="1" t="str">
        <v/>
      </c>
      <c r="P803" s="1" t="str">
        <v/>
      </c>
      <c r="Q803" s="1">
        <f t="shared" si="48"/>
        <v>0</v>
      </c>
      <c r="R803" s="1">
        <f t="shared" si="49"/>
        <v>0</v>
      </c>
      <c r="T803">
        <f t="shared" si="50"/>
        <v>0</v>
      </c>
      <c r="U803">
        <f t="shared" si="51"/>
        <v>0</v>
      </c>
    </row>
    <row r="804" x14ac:dyDescent="0.35">
      <c r="A804" s="21" t="str">
        <v/>
      </c>
      <c r="B804" s="23" t="str">
        <v/>
      </c>
      <c r="C804" t="str">
        <v/>
      </c>
      <c r="D804" t="str">
        <v/>
      </c>
      <c r="E804" t="str">
        <v/>
      </c>
      <c r="F804" t="str">
        <v/>
      </c>
      <c r="G804" t="str">
        <v/>
      </c>
      <c r="H804" t="str">
        <v/>
      </c>
      <c r="I804" s="2" t="str">
        <v/>
      </c>
      <c r="J804" s="2" t="str">
        <v/>
      </c>
      <c r="K804" s="2" t="str">
        <v/>
      </c>
      <c r="L804" s="1" t="str">
        <v/>
      </c>
      <c r="M804" s="2" t="str">
        <v/>
      </c>
      <c r="N804" s="1" t="str">
        <v/>
      </c>
      <c r="O804" s="1" t="str">
        <v/>
      </c>
      <c r="P804" s="1" t="str">
        <v/>
      </c>
      <c r="Q804" s="1">
        <f t="shared" si="48"/>
        <v>0</v>
      </c>
      <c r="R804" s="1">
        <f t="shared" si="49"/>
        <v>0</v>
      </c>
      <c r="T804">
        <f t="shared" si="50"/>
        <v>0</v>
      </c>
      <c r="U804">
        <f t="shared" si="51"/>
        <v>0</v>
      </c>
    </row>
    <row r="805" x14ac:dyDescent="0.35">
      <c r="A805" s="21" t="str">
        <v/>
      </c>
      <c r="B805" s="23" t="str">
        <v/>
      </c>
      <c r="C805" t="str">
        <v/>
      </c>
      <c r="D805" t="str">
        <v/>
      </c>
      <c r="E805" t="str">
        <v/>
      </c>
      <c r="F805" t="str">
        <v/>
      </c>
      <c r="G805" t="str">
        <v/>
      </c>
      <c r="H805" t="str">
        <v/>
      </c>
      <c r="I805" s="2" t="str">
        <v/>
      </c>
      <c r="J805" s="2" t="str">
        <v/>
      </c>
      <c r="K805" s="2" t="str">
        <v/>
      </c>
      <c r="L805" s="1" t="str">
        <v/>
      </c>
      <c r="M805" s="2" t="str">
        <v/>
      </c>
      <c r="N805" s="1" t="str">
        <v/>
      </c>
      <c r="O805" s="1" t="str">
        <v/>
      </c>
      <c r="P805" s="1" t="str">
        <v/>
      </c>
      <c r="Q805" s="1">
        <f t="shared" si="48"/>
        <v>0</v>
      </c>
      <c r="R805" s="1">
        <f t="shared" si="49"/>
        <v>0</v>
      </c>
      <c r="T805">
        <f t="shared" si="50"/>
        <v>0</v>
      </c>
      <c r="U805">
        <f t="shared" si="51"/>
        <v>0</v>
      </c>
    </row>
    <row r="806" x14ac:dyDescent="0.35">
      <c r="A806" s="21" t="str">
        <v/>
      </c>
      <c r="B806" s="23" t="str">
        <v/>
      </c>
      <c r="C806" t="str">
        <v/>
      </c>
      <c r="D806" t="str">
        <v/>
      </c>
      <c r="E806" t="str">
        <v/>
      </c>
      <c r="F806" t="str">
        <v/>
      </c>
      <c r="G806" t="str">
        <v/>
      </c>
      <c r="H806" t="str">
        <v/>
      </c>
      <c r="I806" s="2" t="str">
        <v/>
      </c>
      <c r="J806" s="2" t="str">
        <v/>
      </c>
      <c r="K806" s="2" t="str">
        <v/>
      </c>
      <c r="L806" s="1" t="str">
        <v/>
      </c>
      <c r="M806" s="2" t="str">
        <v/>
      </c>
      <c r="N806" s="1" t="str">
        <v/>
      </c>
      <c r="O806" s="1" t="str">
        <v/>
      </c>
      <c r="P806" s="1" t="str">
        <v/>
      </c>
      <c r="Q806" s="1">
        <f t="shared" si="48"/>
        <v>0</v>
      </c>
      <c r="R806" s="1">
        <f t="shared" si="49"/>
        <v>0</v>
      </c>
      <c r="T806">
        <f t="shared" si="50"/>
        <v>0</v>
      </c>
      <c r="U806">
        <f t="shared" si="51"/>
        <v>0</v>
      </c>
    </row>
    <row r="807" x14ac:dyDescent="0.35">
      <c r="A807" s="21" t="str">
        <v/>
      </c>
      <c r="B807" s="23" t="str">
        <v/>
      </c>
      <c r="C807" t="str">
        <v/>
      </c>
      <c r="D807" t="str">
        <v/>
      </c>
      <c r="E807" t="str">
        <v/>
      </c>
      <c r="F807" t="str">
        <v/>
      </c>
      <c r="G807" t="str">
        <v/>
      </c>
      <c r="H807" t="str">
        <v/>
      </c>
      <c r="I807" s="2" t="str">
        <v/>
      </c>
      <c r="J807" s="2" t="str">
        <v/>
      </c>
      <c r="K807" s="2" t="str">
        <v/>
      </c>
      <c r="L807" s="1" t="str">
        <v/>
      </c>
      <c r="M807" s="2" t="str">
        <v/>
      </c>
      <c r="N807" s="1" t="str">
        <v/>
      </c>
      <c r="O807" s="1" t="str">
        <v/>
      </c>
      <c r="P807" s="1" t="str">
        <v/>
      </c>
      <c r="Q807" s="1">
        <f t="shared" si="48"/>
        <v>0</v>
      </c>
      <c r="R807" s="1">
        <f t="shared" si="49"/>
        <v>0</v>
      </c>
      <c r="T807">
        <f t="shared" si="50"/>
        <v>0</v>
      </c>
      <c r="U807">
        <f t="shared" si="51"/>
        <v>0</v>
      </c>
    </row>
    <row r="808" x14ac:dyDescent="0.35">
      <c r="A808" s="21" t="str">
        <v/>
      </c>
      <c r="B808" s="23" t="str">
        <v/>
      </c>
      <c r="C808" t="str">
        <v/>
      </c>
      <c r="D808" t="str">
        <v/>
      </c>
      <c r="E808" t="str">
        <v/>
      </c>
      <c r="F808" t="str">
        <v/>
      </c>
      <c r="G808" t="str">
        <v/>
      </c>
      <c r="H808" t="str">
        <v/>
      </c>
      <c r="I808" s="2" t="str">
        <v/>
      </c>
      <c r="J808" s="2" t="str">
        <v/>
      </c>
      <c r="K808" s="2" t="str">
        <v/>
      </c>
      <c r="L808" s="1" t="str">
        <v/>
      </c>
      <c r="M808" s="2" t="str">
        <v/>
      </c>
      <c r="N808" s="1" t="str">
        <v/>
      </c>
      <c r="O808" s="1" t="str">
        <v/>
      </c>
      <c r="P808" s="1" t="str">
        <v/>
      </c>
      <c r="Q808" s="1">
        <f t="shared" si="48"/>
        <v>0</v>
      </c>
      <c r="R808" s="1">
        <f t="shared" si="49"/>
        <v>0</v>
      </c>
      <c r="T808">
        <f t="shared" si="50"/>
        <v>0</v>
      </c>
      <c r="U808">
        <f t="shared" si="51"/>
        <v>0</v>
      </c>
    </row>
    <row r="809" x14ac:dyDescent="0.35">
      <c r="A809" s="21" t="str">
        <v/>
      </c>
      <c r="B809" s="23" t="str">
        <v/>
      </c>
      <c r="C809" t="str">
        <v/>
      </c>
      <c r="D809" t="str">
        <v/>
      </c>
      <c r="E809" t="str">
        <v/>
      </c>
      <c r="F809" t="str">
        <v/>
      </c>
      <c r="G809" t="str">
        <v/>
      </c>
      <c r="H809" t="str">
        <v/>
      </c>
      <c r="I809" s="2" t="str">
        <v/>
      </c>
      <c r="J809" s="2" t="str">
        <v/>
      </c>
      <c r="K809" s="2" t="str">
        <v/>
      </c>
      <c r="L809" s="1" t="str">
        <v/>
      </c>
      <c r="M809" s="2" t="str">
        <v/>
      </c>
      <c r="N809" s="1" t="str">
        <v/>
      </c>
      <c r="O809" s="1" t="str">
        <v/>
      </c>
      <c r="P809" s="1" t="str">
        <v/>
      </c>
      <c r="Q809" s="1">
        <f t="shared" si="48"/>
        <v>0</v>
      </c>
      <c r="R809" s="1">
        <f t="shared" si="49"/>
        <v>0</v>
      </c>
      <c r="T809">
        <f t="shared" si="50"/>
        <v>0</v>
      </c>
      <c r="U809">
        <f t="shared" si="51"/>
        <v>0</v>
      </c>
    </row>
    <row r="810" x14ac:dyDescent="0.35">
      <c r="A810" s="21" t="str">
        <v/>
      </c>
      <c r="B810" s="23" t="str">
        <v/>
      </c>
      <c r="C810" t="str">
        <v/>
      </c>
      <c r="D810" t="str">
        <v/>
      </c>
      <c r="E810" t="str">
        <v/>
      </c>
      <c r="F810" t="str">
        <v/>
      </c>
      <c r="G810" t="str">
        <v/>
      </c>
      <c r="H810" t="str">
        <v/>
      </c>
      <c r="I810" s="2" t="str">
        <v/>
      </c>
      <c r="J810" s="2" t="str">
        <v/>
      </c>
      <c r="K810" s="2" t="str">
        <v/>
      </c>
      <c r="L810" s="1" t="str">
        <v/>
      </c>
      <c r="M810" s="2" t="str">
        <v/>
      </c>
      <c r="N810" s="1" t="str">
        <v/>
      </c>
      <c r="O810" s="1" t="str">
        <v/>
      </c>
      <c r="P810" s="1" t="str">
        <v/>
      </c>
      <c r="Q810" s="1">
        <f t="shared" si="48"/>
        <v>0</v>
      </c>
      <c r="R810" s="1">
        <f t="shared" si="49"/>
        <v>0</v>
      </c>
      <c r="T810">
        <f t="shared" si="50"/>
        <v>0</v>
      </c>
      <c r="U810">
        <f t="shared" si="51"/>
        <v>0</v>
      </c>
    </row>
    <row r="811" x14ac:dyDescent="0.35">
      <c r="A811" s="21" t="str">
        <v/>
      </c>
      <c r="B811" s="23" t="str">
        <v/>
      </c>
      <c r="C811" t="str">
        <v/>
      </c>
      <c r="D811" t="str">
        <v/>
      </c>
      <c r="E811" t="str">
        <v/>
      </c>
      <c r="F811" t="str">
        <v/>
      </c>
      <c r="G811" t="str">
        <v/>
      </c>
      <c r="H811" t="str">
        <v/>
      </c>
      <c r="I811" s="2" t="str">
        <v/>
      </c>
      <c r="J811" s="2" t="str">
        <v/>
      </c>
      <c r="K811" s="2" t="str">
        <v/>
      </c>
      <c r="L811" s="1" t="str">
        <v/>
      </c>
      <c r="M811" s="2" t="str">
        <v/>
      </c>
      <c r="N811" s="1" t="str">
        <v/>
      </c>
      <c r="O811" s="1" t="str">
        <v/>
      </c>
      <c r="P811" s="1" t="str">
        <v/>
      </c>
      <c r="Q811" s="1">
        <f t="shared" si="48"/>
        <v>0</v>
      </c>
      <c r="R811" s="1">
        <f t="shared" si="49"/>
        <v>0</v>
      </c>
      <c r="T811">
        <f t="shared" si="50"/>
        <v>0</v>
      </c>
      <c r="U811">
        <f t="shared" si="51"/>
        <v>0</v>
      </c>
    </row>
    <row r="812" x14ac:dyDescent="0.35">
      <c r="A812" s="21" t="str">
        <v/>
      </c>
      <c r="B812" s="23" t="str">
        <v/>
      </c>
      <c r="C812" t="str">
        <v/>
      </c>
      <c r="D812" t="str">
        <v/>
      </c>
      <c r="E812" t="str">
        <v/>
      </c>
      <c r="F812" t="str">
        <v/>
      </c>
      <c r="G812" t="str">
        <v/>
      </c>
      <c r="H812" t="str">
        <v/>
      </c>
      <c r="I812" s="2" t="str">
        <v/>
      </c>
      <c r="J812" s="2" t="str">
        <v/>
      </c>
      <c r="K812" s="2" t="str">
        <v/>
      </c>
      <c r="L812" s="1" t="str">
        <v/>
      </c>
      <c r="M812" s="2" t="str">
        <v/>
      </c>
      <c r="N812" s="1" t="str">
        <v/>
      </c>
      <c r="O812" s="1" t="str">
        <v/>
      </c>
      <c r="P812" s="1" t="str">
        <v/>
      </c>
      <c r="Q812" s="1">
        <f t="shared" si="48"/>
        <v>0</v>
      </c>
      <c r="R812" s="1">
        <f t="shared" si="49"/>
        <v>0</v>
      </c>
      <c r="T812">
        <f t="shared" si="50"/>
        <v>0</v>
      </c>
      <c r="U812">
        <f t="shared" si="51"/>
        <v>0</v>
      </c>
    </row>
    <row r="813" x14ac:dyDescent="0.35">
      <c r="A813" s="21" t="str">
        <v/>
      </c>
      <c r="B813" s="23" t="str">
        <v/>
      </c>
      <c r="C813" t="str">
        <v/>
      </c>
      <c r="D813" t="str">
        <v/>
      </c>
      <c r="E813" t="str">
        <v/>
      </c>
      <c r="F813" t="str">
        <v/>
      </c>
      <c r="G813" t="str">
        <v/>
      </c>
      <c r="H813" t="str">
        <v/>
      </c>
      <c r="I813" s="2" t="str">
        <v/>
      </c>
      <c r="J813" s="2" t="str">
        <v/>
      </c>
      <c r="K813" s="2" t="str">
        <v/>
      </c>
      <c r="L813" s="1" t="str">
        <v/>
      </c>
      <c r="M813" s="2" t="str">
        <v/>
      </c>
      <c r="N813" s="1" t="str">
        <v/>
      </c>
      <c r="O813" s="1" t="str">
        <v/>
      </c>
      <c r="P813" s="1" t="str">
        <v/>
      </c>
      <c r="Q813" s="1">
        <f t="shared" si="48"/>
        <v>0</v>
      </c>
      <c r="R813" s="1">
        <f t="shared" si="49"/>
        <v>0</v>
      </c>
      <c r="T813">
        <f t="shared" si="50"/>
        <v>0</v>
      </c>
      <c r="U813">
        <f t="shared" si="51"/>
        <v>0</v>
      </c>
    </row>
    <row r="814" x14ac:dyDescent="0.35">
      <c r="A814" s="21" t="str">
        <v/>
      </c>
      <c r="B814" s="23" t="str">
        <v/>
      </c>
      <c r="C814" t="str">
        <v/>
      </c>
      <c r="D814" t="str">
        <v/>
      </c>
      <c r="E814" t="str">
        <v/>
      </c>
      <c r="F814" t="str">
        <v/>
      </c>
      <c r="G814" t="str">
        <v/>
      </c>
      <c r="H814" t="str">
        <v/>
      </c>
      <c r="I814" s="2" t="str">
        <v/>
      </c>
      <c r="J814" s="2" t="str">
        <v/>
      </c>
      <c r="K814" s="2" t="str">
        <v/>
      </c>
      <c r="L814" s="1" t="str">
        <v/>
      </c>
      <c r="M814" s="2" t="str">
        <v/>
      </c>
      <c r="N814" s="1" t="str">
        <v/>
      </c>
      <c r="O814" s="1" t="str">
        <v/>
      </c>
      <c r="P814" s="1" t="str">
        <v/>
      </c>
      <c r="Q814" s="1">
        <f t="shared" si="48"/>
        <v>0</v>
      </c>
      <c r="R814" s="1">
        <f t="shared" si="49"/>
        <v>0</v>
      </c>
      <c r="T814">
        <f t="shared" si="50"/>
        <v>0</v>
      </c>
      <c r="U814">
        <f t="shared" si="51"/>
        <v>0</v>
      </c>
    </row>
    <row r="815" x14ac:dyDescent="0.35">
      <c r="A815" s="21" t="str">
        <v/>
      </c>
      <c r="B815" s="23" t="str">
        <v/>
      </c>
      <c r="C815" t="str">
        <v/>
      </c>
      <c r="D815" t="str">
        <v/>
      </c>
      <c r="E815" t="str">
        <v/>
      </c>
      <c r="F815" t="str">
        <v/>
      </c>
      <c r="G815" t="str">
        <v/>
      </c>
      <c r="H815" t="str">
        <v/>
      </c>
      <c r="I815" s="2" t="str">
        <v/>
      </c>
      <c r="J815" s="2" t="str">
        <v/>
      </c>
      <c r="K815" s="2" t="str">
        <v/>
      </c>
      <c r="L815" s="1" t="str">
        <v/>
      </c>
      <c r="M815" s="2" t="str">
        <v/>
      </c>
      <c r="N815" s="1" t="str">
        <v/>
      </c>
      <c r="O815" s="1" t="str">
        <v/>
      </c>
      <c r="P815" s="1" t="str">
        <v/>
      </c>
      <c r="Q815" s="1">
        <f t="shared" si="48"/>
        <v>0</v>
      </c>
      <c r="R815" s="1">
        <f t="shared" si="49"/>
        <v>0</v>
      </c>
      <c r="T815">
        <f t="shared" si="50"/>
        <v>0</v>
      </c>
      <c r="U815">
        <f t="shared" si="51"/>
        <v>0</v>
      </c>
    </row>
    <row r="816" x14ac:dyDescent="0.35">
      <c r="A816" s="21" t="str">
        <v/>
      </c>
      <c r="B816" s="23" t="str">
        <v/>
      </c>
      <c r="C816" t="str">
        <v/>
      </c>
      <c r="D816" t="str">
        <v/>
      </c>
      <c r="E816" t="str">
        <v/>
      </c>
      <c r="F816" t="str">
        <v/>
      </c>
      <c r="G816" t="str">
        <v/>
      </c>
      <c r="H816" t="str">
        <v/>
      </c>
      <c r="I816" s="2" t="str">
        <v/>
      </c>
      <c r="J816" s="2" t="str">
        <v/>
      </c>
      <c r="K816" s="2" t="str">
        <v/>
      </c>
      <c r="L816" s="1" t="str">
        <v/>
      </c>
      <c r="M816" s="2" t="str">
        <v/>
      </c>
      <c r="N816" s="1" t="str">
        <v/>
      </c>
      <c r="O816" s="1" t="str">
        <v/>
      </c>
      <c r="P816" s="1" t="str">
        <v/>
      </c>
      <c r="Q816" s="1">
        <f t="shared" si="48"/>
        <v>0</v>
      </c>
      <c r="R816" s="1">
        <f t="shared" si="49"/>
        <v>0</v>
      </c>
      <c r="T816">
        <f t="shared" si="50"/>
        <v>0</v>
      </c>
      <c r="U816">
        <f t="shared" si="51"/>
        <v>0</v>
      </c>
    </row>
    <row r="817" x14ac:dyDescent="0.35">
      <c r="A817" s="21" t="str">
        <v/>
      </c>
      <c r="B817" s="23" t="str">
        <v/>
      </c>
      <c r="C817" t="str">
        <v/>
      </c>
      <c r="D817" t="str">
        <v/>
      </c>
      <c r="E817" t="str">
        <v/>
      </c>
      <c r="F817" t="str">
        <v/>
      </c>
      <c r="G817" t="str">
        <v/>
      </c>
      <c r="H817" t="str">
        <v/>
      </c>
      <c r="I817" s="2" t="str">
        <v/>
      </c>
      <c r="J817" s="2" t="str">
        <v/>
      </c>
      <c r="K817" s="2" t="str">
        <v/>
      </c>
      <c r="L817" s="1" t="str">
        <v/>
      </c>
      <c r="M817" s="2" t="str">
        <v/>
      </c>
      <c r="N817" s="1" t="str">
        <v/>
      </c>
      <c r="O817" s="1" t="str">
        <v/>
      </c>
      <c r="P817" s="1" t="str">
        <v/>
      </c>
      <c r="Q817" s="1">
        <f t="shared" si="48"/>
        <v>0</v>
      </c>
      <c r="R817" s="1">
        <f t="shared" si="49"/>
        <v>0</v>
      </c>
      <c r="T817">
        <f t="shared" si="50"/>
        <v>0</v>
      </c>
      <c r="U817">
        <f t="shared" si="51"/>
        <v>0</v>
      </c>
    </row>
    <row r="818" x14ac:dyDescent="0.35">
      <c r="A818" s="21" t="str">
        <v/>
      </c>
      <c r="B818" s="23" t="str">
        <v/>
      </c>
      <c r="C818" t="str">
        <v/>
      </c>
      <c r="D818" t="str">
        <v/>
      </c>
      <c r="E818" t="str">
        <v/>
      </c>
      <c r="F818" t="str">
        <v/>
      </c>
      <c r="G818" t="str">
        <v/>
      </c>
      <c r="H818" t="str">
        <v/>
      </c>
      <c r="I818" s="2" t="str">
        <v/>
      </c>
      <c r="J818" s="2" t="str">
        <v/>
      </c>
      <c r="K818" s="2" t="str">
        <v/>
      </c>
      <c r="L818" s="1" t="str">
        <v/>
      </c>
      <c r="M818" s="2" t="str">
        <v/>
      </c>
      <c r="N818" s="1" t="str">
        <v/>
      </c>
      <c r="O818" s="1" t="str">
        <v/>
      </c>
      <c r="P818" s="1" t="str">
        <v/>
      </c>
      <c r="Q818" s="1">
        <f t="shared" si="48"/>
        <v>0</v>
      </c>
      <c r="R818" s="1">
        <f t="shared" si="49"/>
        <v>0</v>
      </c>
      <c r="T818">
        <f t="shared" si="50"/>
        <v>0</v>
      </c>
      <c r="U818">
        <f t="shared" si="51"/>
        <v>0</v>
      </c>
    </row>
    <row r="819" x14ac:dyDescent="0.35">
      <c r="A819" s="21" t="str">
        <v/>
      </c>
      <c r="B819" s="23" t="str">
        <v/>
      </c>
      <c r="C819" t="str">
        <v/>
      </c>
      <c r="D819" t="str">
        <v/>
      </c>
      <c r="E819" t="str">
        <v/>
      </c>
      <c r="F819" t="str">
        <v/>
      </c>
      <c r="G819" t="str">
        <v/>
      </c>
      <c r="H819" t="str">
        <v/>
      </c>
      <c r="I819" s="2" t="str">
        <v/>
      </c>
      <c r="J819" s="2" t="str">
        <v/>
      </c>
      <c r="K819" s="2" t="str">
        <v/>
      </c>
      <c r="L819" s="1" t="str">
        <v/>
      </c>
      <c r="M819" s="2" t="str">
        <v/>
      </c>
      <c r="N819" s="1" t="str">
        <v/>
      </c>
      <c r="O819" s="1" t="str">
        <v/>
      </c>
      <c r="P819" s="1" t="str">
        <v/>
      </c>
      <c r="Q819" s="1">
        <f t="shared" si="48"/>
        <v>0</v>
      </c>
      <c r="R819" s="1">
        <f t="shared" si="49"/>
        <v>0</v>
      </c>
      <c r="T819">
        <f t="shared" si="50"/>
        <v>0</v>
      </c>
      <c r="U819">
        <f t="shared" si="51"/>
        <v>0</v>
      </c>
    </row>
    <row r="820" x14ac:dyDescent="0.35">
      <c r="A820" s="21" t="str">
        <v/>
      </c>
      <c r="B820" s="23" t="str">
        <v/>
      </c>
      <c r="C820" t="str">
        <v/>
      </c>
      <c r="D820" t="str">
        <v/>
      </c>
      <c r="E820" t="str">
        <v/>
      </c>
      <c r="F820" t="str">
        <v/>
      </c>
      <c r="G820" t="str">
        <v/>
      </c>
      <c r="H820" t="str">
        <v/>
      </c>
      <c r="I820" s="2" t="str">
        <v/>
      </c>
      <c r="J820" s="2" t="str">
        <v/>
      </c>
      <c r="K820" s="2" t="str">
        <v/>
      </c>
      <c r="L820" s="1" t="str">
        <v/>
      </c>
      <c r="M820" s="2" t="str">
        <v/>
      </c>
      <c r="N820" s="1" t="str">
        <v/>
      </c>
      <c r="O820" s="1" t="str">
        <v/>
      </c>
      <c r="P820" s="1" t="str">
        <v/>
      </c>
      <c r="Q820" s="1">
        <f t="shared" si="48"/>
        <v>0</v>
      </c>
      <c r="R820" s="1">
        <f t="shared" si="49"/>
        <v>0</v>
      </c>
      <c r="T820">
        <f t="shared" si="50"/>
        <v>0</v>
      </c>
      <c r="U820">
        <f t="shared" si="51"/>
        <v>0</v>
      </c>
    </row>
    <row r="821" x14ac:dyDescent="0.35">
      <c r="A821" s="21" t="str">
        <v/>
      </c>
      <c r="B821" s="23" t="str">
        <v/>
      </c>
      <c r="C821" t="str">
        <v/>
      </c>
      <c r="D821" t="str">
        <v/>
      </c>
      <c r="E821" t="str">
        <v/>
      </c>
      <c r="F821" t="str">
        <v/>
      </c>
      <c r="G821" t="str">
        <v/>
      </c>
      <c r="H821" t="str">
        <v/>
      </c>
      <c r="I821" s="2" t="str">
        <v/>
      </c>
      <c r="J821" s="2" t="str">
        <v/>
      </c>
      <c r="K821" s="2" t="str">
        <v/>
      </c>
      <c r="L821" s="1" t="str">
        <v/>
      </c>
      <c r="M821" s="2" t="str">
        <v/>
      </c>
      <c r="N821" s="1" t="str">
        <v/>
      </c>
      <c r="O821" s="1" t="str">
        <v/>
      </c>
      <c r="P821" s="1" t="str">
        <v/>
      </c>
      <c r="Q821" s="1">
        <f t="shared" si="48"/>
        <v>0</v>
      </c>
      <c r="R821" s="1">
        <f t="shared" si="49"/>
        <v>0</v>
      </c>
      <c r="T821">
        <f t="shared" si="50"/>
        <v>0</v>
      </c>
      <c r="U821">
        <f t="shared" si="51"/>
        <v>0</v>
      </c>
    </row>
    <row r="822" x14ac:dyDescent="0.35">
      <c r="A822" s="21" t="str">
        <v/>
      </c>
      <c r="B822" s="23" t="str">
        <v/>
      </c>
      <c r="C822" t="str">
        <v/>
      </c>
      <c r="D822" t="str">
        <v/>
      </c>
      <c r="E822" t="str">
        <v/>
      </c>
      <c r="F822" t="str">
        <v/>
      </c>
      <c r="G822" t="str">
        <v/>
      </c>
      <c r="H822" t="str">
        <v/>
      </c>
      <c r="I822" s="2" t="str">
        <v/>
      </c>
      <c r="J822" s="2" t="str">
        <v/>
      </c>
      <c r="K822" s="2" t="str">
        <v/>
      </c>
      <c r="L822" s="1" t="str">
        <v/>
      </c>
      <c r="M822" s="2" t="str">
        <v/>
      </c>
      <c r="N822" s="1" t="str">
        <v/>
      </c>
      <c r="O822" s="1" t="str">
        <v/>
      </c>
      <c r="P822" s="1" t="str">
        <v/>
      </c>
      <c r="Q822" s="1">
        <f t="shared" si="48"/>
        <v>0</v>
      </c>
      <c r="R822" s="1">
        <f t="shared" si="49"/>
        <v>0</v>
      </c>
      <c r="T822">
        <f t="shared" si="50"/>
        <v>0</v>
      </c>
      <c r="U822">
        <f t="shared" si="51"/>
        <v>0</v>
      </c>
    </row>
    <row r="823" x14ac:dyDescent="0.35">
      <c r="A823" s="21" t="str">
        <v/>
      </c>
      <c r="B823" s="23" t="str">
        <v/>
      </c>
      <c r="C823" t="str">
        <v/>
      </c>
      <c r="D823" t="str">
        <v/>
      </c>
      <c r="E823" t="str">
        <v/>
      </c>
      <c r="F823" t="str">
        <v/>
      </c>
      <c r="G823" t="str">
        <v/>
      </c>
      <c r="H823" t="str">
        <v/>
      </c>
      <c r="I823" s="2" t="str">
        <v/>
      </c>
      <c r="J823" s="2" t="str">
        <v/>
      </c>
      <c r="K823" s="2" t="str">
        <v/>
      </c>
      <c r="L823" s="1" t="str">
        <v/>
      </c>
      <c r="M823" s="2" t="str">
        <v/>
      </c>
      <c r="N823" s="1" t="str">
        <v/>
      </c>
      <c r="O823" s="1" t="str">
        <v/>
      </c>
      <c r="P823" s="1" t="str">
        <v/>
      </c>
      <c r="Q823" s="1">
        <f t="shared" si="48"/>
        <v>0</v>
      </c>
      <c r="R823" s="1">
        <f t="shared" si="49"/>
        <v>0</v>
      </c>
      <c r="T823">
        <f t="shared" si="50"/>
        <v>0</v>
      </c>
      <c r="U823">
        <f t="shared" si="51"/>
        <v>0</v>
      </c>
    </row>
    <row r="824" x14ac:dyDescent="0.35">
      <c r="A824" s="21" t="str">
        <v/>
      </c>
      <c r="B824" s="23" t="str">
        <v/>
      </c>
      <c r="C824" t="str">
        <v/>
      </c>
      <c r="D824" t="str">
        <v/>
      </c>
      <c r="E824" t="str">
        <v/>
      </c>
      <c r="F824" t="str">
        <v/>
      </c>
      <c r="G824" t="str">
        <v/>
      </c>
      <c r="H824" t="str">
        <v/>
      </c>
      <c r="I824" s="2" t="str">
        <v/>
      </c>
      <c r="J824" s="2" t="str">
        <v/>
      </c>
      <c r="K824" s="2" t="str">
        <v/>
      </c>
      <c r="L824" s="1" t="str">
        <v/>
      </c>
      <c r="M824" s="2" t="str">
        <v/>
      </c>
      <c r="N824" s="1" t="str">
        <v/>
      </c>
      <c r="O824" s="1" t="str">
        <v/>
      </c>
      <c r="P824" s="1" t="str">
        <v/>
      </c>
      <c r="Q824" s="1">
        <f t="shared" si="48"/>
        <v>0</v>
      </c>
      <c r="R824" s="1">
        <f t="shared" si="49"/>
        <v>0</v>
      </c>
      <c r="T824">
        <f t="shared" si="50"/>
        <v>0</v>
      </c>
      <c r="U824">
        <f t="shared" si="51"/>
        <v>0</v>
      </c>
    </row>
    <row r="825" x14ac:dyDescent="0.35">
      <c r="A825" s="21" t="str">
        <v/>
      </c>
      <c r="B825" s="23" t="str">
        <v/>
      </c>
      <c r="C825" t="str">
        <v/>
      </c>
      <c r="D825" t="str">
        <v/>
      </c>
      <c r="E825" t="str">
        <v/>
      </c>
      <c r="F825" t="str">
        <v/>
      </c>
      <c r="G825" t="str">
        <v/>
      </c>
      <c r="H825" t="str">
        <v/>
      </c>
      <c r="I825" s="2" t="str">
        <v/>
      </c>
      <c r="J825" s="2" t="str">
        <v/>
      </c>
      <c r="K825" s="2" t="str">
        <v/>
      </c>
      <c r="L825" s="1" t="str">
        <v/>
      </c>
      <c r="M825" s="2" t="str">
        <v/>
      </c>
      <c r="N825" s="1" t="str">
        <v/>
      </c>
      <c r="O825" s="1" t="str">
        <v/>
      </c>
      <c r="P825" s="1" t="str">
        <v/>
      </c>
      <c r="Q825" s="1">
        <f t="shared" si="48"/>
        <v>0</v>
      </c>
      <c r="R825" s="1">
        <f t="shared" si="49"/>
        <v>0</v>
      </c>
      <c r="T825">
        <f t="shared" si="50"/>
        <v>0</v>
      </c>
      <c r="U825">
        <f t="shared" si="51"/>
        <v>0</v>
      </c>
    </row>
    <row r="826" x14ac:dyDescent="0.35">
      <c r="A826" s="21" t="str">
        <v/>
      </c>
      <c r="B826" s="23" t="str">
        <v/>
      </c>
      <c r="C826" t="str">
        <v/>
      </c>
      <c r="D826" t="str">
        <v/>
      </c>
      <c r="E826" t="str">
        <v/>
      </c>
      <c r="F826" t="str">
        <v/>
      </c>
      <c r="G826" t="str">
        <v/>
      </c>
      <c r="H826" t="str">
        <v/>
      </c>
      <c r="I826" s="2" t="str">
        <v/>
      </c>
      <c r="J826" s="2" t="str">
        <v/>
      </c>
      <c r="K826" s="2" t="str">
        <v/>
      </c>
      <c r="L826" s="1" t="str">
        <v/>
      </c>
      <c r="M826" s="2" t="str">
        <v/>
      </c>
      <c r="N826" s="1" t="str">
        <v/>
      </c>
      <c r="O826" s="1" t="str">
        <v/>
      </c>
      <c r="P826" s="1" t="str">
        <v/>
      </c>
      <c r="Q826" s="1">
        <f t="shared" si="48"/>
        <v>0</v>
      </c>
      <c r="R826" s="1">
        <f t="shared" si="49"/>
        <v>0</v>
      </c>
      <c r="T826">
        <f t="shared" si="50"/>
        <v>0</v>
      </c>
      <c r="U826">
        <f t="shared" si="51"/>
        <v>0</v>
      </c>
    </row>
    <row r="827" x14ac:dyDescent="0.35">
      <c r="A827" s="21" t="str">
        <v/>
      </c>
      <c r="B827" s="23" t="str">
        <v/>
      </c>
      <c r="C827" t="str">
        <v/>
      </c>
      <c r="D827" t="str">
        <v/>
      </c>
      <c r="E827" t="str">
        <v/>
      </c>
      <c r="F827" t="str">
        <v/>
      </c>
      <c r="G827" t="str">
        <v/>
      </c>
      <c r="H827" t="str">
        <v/>
      </c>
      <c r="I827" s="2" t="str">
        <v/>
      </c>
      <c r="J827" s="2" t="str">
        <v/>
      </c>
      <c r="K827" s="2" t="str">
        <v/>
      </c>
      <c r="L827" s="1" t="str">
        <v/>
      </c>
      <c r="M827" s="2" t="str">
        <v/>
      </c>
      <c r="N827" s="1" t="str">
        <v/>
      </c>
      <c r="O827" s="1" t="str">
        <v/>
      </c>
      <c r="P827" s="1" t="str">
        <v/>
      </c>
      <c r="Q827" s="1">
        <f t="shared" si="48"/>
        <v>0</v>
      </c>
      <c r="R827" s="1">
        <f t="shared" si="49"/>
        <v>0</v>
      </c>
      <c r="T827">
        <f t="shared" si="50"/>
        <v>0</v>
      </c>
      <c r="U827">
        <f t="shared" si="51"/>
        <v>0</v>
      </c>
    </row>
    <row r="828" x14ac:dyDescent="0.35">
      <c r="A828" s="21" t="str">
        <v/>
      </c>
      <c r="B828" s="23" t="str">
        <v/>
      </c>
      <c r="C828" t="str">
        <v/>
      </c>
      <c r="D828" t="str">
        <v/>
      </c>
      <c r="E828" t="str">
        <v/>
      </c>
      <c r="F828" t="str">
        <v/>
      </c>
      <c r="G828" t="str">
        <v/>
      </c>
      <c r="H828" t="str">
        <v/>
      </c>
      <c r="I828" s="2" t="str">
        <v/>
      </c>
      <c r="J828" s="2" t="str">
        <v/>
      </c>
      <c r="K828" s="2" t="str">
        <v/>
      </c>
      <c r="L828" s="1" t="str">
        <v/>
      </c>
      <c r="M828" s="2" t="str">
        <v/>
      </c>
      <c r="N828" s="1" t="str">
        <v/>
      </c>
      <c r="O828" s="1" t="str">
        <v/>
      </c>
      <c r="P828" s="1" t="str">
        <v/>
      </c>
      <c r="Q828" s="1">
        <f t="shared" si="48"/>
        <v>0</v>
      </c>
      <c r="R828" s="1">
        <f t="shared" si="49"/>
        <v>0</v>
      </c>
      <c r="T828">
        <f t="shared" si="50"/>
        <v>0</v>
      </c>
      <c r="U828">
        <f t="shared" si="51"/>
        <v>0</v>
      </c>
    </row>
    <row r="829" x14ac:dyDescent="0.35">
      <c r="A829" s="21" t="str">
        <v/>
      </c>
      <c r="B829" s="23" t="str">
        <v/>
      </c>
      <c r="C829" t="str">
        <v/>
      </c>
      <c r="D829" t="str">
        <v/>
      </c>
      <c r="E829" t="str">
        <v/>
      </c>
      <c r="F829" t="str">
        <v/>
      </c>
      <c r="G829" t="str">
        <v/>
      </c>
      <c r="H829" t="str">
        <v/>
      </c>
      <c r="I829" s="2" t="str">
        <v/>
      </c>
      <c r="J829" s="2" t="str">
        <v/>
      </c>
      <c r="K829" s="2" t="str">
        <v/>
      </c>
      <c r="L829" s="1" t="str">
        <v/>
      </c>
      <c r="M829" s="2" t="str">
        <v/>
      </c>
      <c r="N829" s="1" t="str">
        <v/>
      </c>
      <c r="O829" s="1" t="str">
        <v/>
      </c>
      <c r="P829" s="1" t="str">
        <v/>
      </c>
      <c r="Q829" s="1">
        <f t="shared" si="48"/>
        <v>0</v>
      </c>
      <c r="R829" s="1">
        <f t="shared" si="49"/>
        <v>0</v>
      </c>
      <c r="T829">
        <f t="shared" si="50"/>
        <v>0</v>
      </c>
      <c r="U829">
        <f t="shared" si="51"/>
        <v>0</v>
      </c>
    </row>
    <row r="830" x14ac:dyDescent="0.35">
      <c r="A830" s="21" t="str">
        <v/>
      </c>
      <c r="B830" s="23" t="str">
        <v/>
      </c>
      <c r="C830" t="str">
        <v/>
      </c>
      <c r="D830" t="str">
        <v/>
      </c>
      <c r="E830" t="str">
        <v/>
      </c>
      <c r="F830" t="str">
        <v/>
      </c>
      <c r="G830" t="str">
        <v/>
      </c>
      <c r="H830" t="str">
        <v/>
      </c>
      <c r="I830" s="2" t="str">
        <v/>
      </c>
      <c r="J830" s="2" t="str">
        <v/>
      </c>
      <c r="K830" s="2" t="str">
        <v/>
      </c>
      <c r="L830" s="1" t="str">
        <v/>
      </c>
      <c r="M830" s="2" t="str">
        <v/>
      </c>
      <c r="N830" s="1" t="str">
        <v/>
      </c>
      <c r="O830" s="1" t="str">
        <v/>
      </c>
      <c r="P830" s="1" t="str">
        <v/>
      </c>
      <c r="Q830" s="1">
        <f t="shared" si="48"/>
        <v>0</v>
      </c>
      <c r="R830" s="1">
        <f t="shared" si="49"/>
        <v>0</v>
      </c>
      <c r="T830">
        <f t="shared" si="50"/>
        <v>0</v>
      </c>
      <c r="U830">
        <f t="shared" si="51"/>
        <v>0</v>
      </c>
    </row>
    <row r="831" x14ac:dyDescent="0.35">
      <c r="A831" s="21" t="str">
        <v/>
      </c>
      <c r="B831" s="23" t="str">
        <v/>
      </c>
      <c r="C831" t="str">
        <v/>
      </c>
      <c r="D831" t="str">
        <v/>
      </c>
      <c r="E831" t="str">
        <v/>
      </c>
      <c r="F831" t="str">
        <v/>
      </c>
      <c r="G831" t="str">
        <v/>
      </c>
      <c r="H831" t="str">
        <v/>
      </c>
      <c r="I831" s="2" t="str">
        <v/>
      </c>
      <c r="J831" s="2" t="str">
        <v/>
      </c>
      <c r="K831" s="2" t="str">
        <v/>
      </c>
      <c r="L831" s="1" t="str">
        <v/>
      </c>
      <c r="M831" s="2" t="str">
        <v/>
      </c>
      <c r="N831" s="1" t="str">
        <v/>
      </c>
      <c r="O831" s="1" t="str">
        <v/>
      </c>
      <c r="P831" s="1" t="str">
        <v/>
      </c>
      <c r="Q831" s="1">
        <f t="shared" si="48"/>
        <v>0</v>
      </c>
      <c r="R831" s="1">
        <f t="shared" si="49"/>
        <v>0</v>
      </c>
      <c r="T831">
        <f t="shared" si="50"/>
        <v>0</v>
      </c>
      <c r="U831">
        <f t="shared" si="51"/>
        <v>0</v>
      </c>
    </row>
    <row r="832" x14ac:dyDescent="0.35">
      <c r="A832" s="21" t="str">
        <v/>
      </c>
      <c r="B832" s="23" t="str">
        <v/>
      </c>
      <c r="C832" t="str">
        <v/>
      </c>
      <c r="D832" t="str">
        <v/>
      </c>
      <c r="E832" t="str">
        <v/>
      </c>
      <c r="F832" t="str">
        <v/>
      </c>
      <c r="G832" t="str">
        <v/>
      </c>
      <c r="H832" t="str">
        <v/>
      </c>
      <c r="I832" s="2" t="str">
        <v/>
      </c>
      <c r="J832" s="2" t="str">
        <v/>
      </c>
      <c r="K832" s="2" t="str">
        <v/>
      </c>
      <c r="L832" s="1" t="str">
        <v/>
      </c>
      <c r="M832" s="2" t="str">
        <v/>
      </c>
      <c r="N832" s="1" t="str">
        <v/>
      </c>
      <c r="O832" s="1" t="str">
        <v/>
      </c>
      <c r="P832" s="1" t="str">
        <v/>
      </c>
      <c r="Q832" s="1">
        <f t="shared" si="48"/>
        <v>0</v>
      </c>
      <c r="R832" s="1">
        <f t="shared" si="49"/>
        <v>0</v>
      </c>
      <c r="T832">
        <f t="shared" si="50"/>
        <v>0</v>
      </c>
      <c r="U832">
        <f t="shared" si="51"/>
        <v>0</v>
      </c>
    </row>
    <row r="833" x14ac:dyDescent="0.35">
      <c r="A833" s="21" t="str">
        <v/>
      </c>
      <c r="B833" s="23" t="str">
        <v/>
      </c>
      <c r="C833" t="str">
        <v/>
      </c>
      <c r="D833" t="str">
        <v/>
      </c>
      <c r="E833" t="str">
        <v/>
      </c>
      <c r="F833" t="str">
        <v/>
      </c>
      <c r="G833" t="str">
        <v/>
      </c>
      <c r="H833" t="str">
        <v/>
      </c>
      <c r="I833" s="2" t="str">
        <v/>
      </c>
      <c r="J833" s="2" t="str">
        <v/>
      </c>
      <c r="K833" s="2" t="str">
        <v/>
      </c>
      <c r="L833" s="1" t="str">
        <v/>
      </c>
      <c r="M833" s="2" t="str">
        <v/>
      </c>
      <c r="N833" s="1" t="str">
        <v/>
      </c>
      <c r="O833" s="1" t="str">
        <v/>
      </c>
      <c r="P833" s="1" t="str">
        <v/>
      </c>
      <c r="Q833" s="1">
        <f t="shared" si="48"/>
        <v>0</v>
      </c>
      <c r="R833" s="1">
        <f t="shared" si="49"/>
        <v>0</v>
      </c>
      <c r="T833">
        <f t="shared" si="50"/>
        <v>0</v>
      </c>
      <c r="U833">
        <f t="shared" si="51"/>
        <v>0</v>
      </c>
    </row>
    <row r="834" x14ac:dyDescent="0.35">
      <c r="A834" s="21" t="str">
        <v/>
      </c>
      <c r="B834" s="23" t="str">
        <v/>
      </c>
      <c r="C834" t="str">
        <v/>
      </c>
      <c r="D834" t="str">
        <v/>
      </c>
      <c r="E834" t="str">
        <v/>
      </c>
      <c r="F834" t="str">
        <v/>
      </c>
      <c r="G834" t="str">
        <v/>
      </c>
      <c r="H834" t="str">
        <v/>
      </c>
      <c r="I834" s="2" t="str">
        <v/>
      </c>
      <c r="J834" s="2" t="str">
        <v/>
      </c>
      <c r="K834" s="2" t="str">
        <v/>
      </c>
      <c r="L834" s="1" t="str">
        <v/>
      </c>
      <c r="M834" s="2" t="str">
        <v/>
      </c>
      <c r="N834" s="1" t="str">
        <v/>
      </c>
      <c r="O834" s="1" t="str">
        <v/>
      </c>
      <c r="P834" s="1" t="str">
        <v/>
      </c>
      <c r="Q834" s="1">
        <f t="shared" si="48"/>
        <v>0</v>
      </c>
      <c r="R834" s="1">
        <f t="shared" si="49"/>
        <v>0</v>
      </c>
      <c r="T834">
        <f t="shared" si="50"/>
        <v>0</v>
      </c>
      <c r="U834">
        <f t="shared" si="51"/>
        <v>0</v>
      </c>
    </row>
    <row r="835" x14ac:dyDescent="0.35">
      <c r="A835" s="21" t="str">
        <v/>
      </c>
      <c r="B835" s="23" t="str">
        <v/>
      </c>
      <c r="C835" t="str">
        <v/>
      </c>
      <c r="D835" t="str">
        <v/>
      </c>
      <c r="E835" t="str">
        <v/>
      </c>
      <c r="F835" t="str">
        <v/>
      </c>
      <c r="G835" t="str">
        <v/>
      </c>
      <c r="H835" t="str">
        <v/>
      </c>
      <c r="I835" s="2" t="str">
        <v/>
      </c>
      <c r="J835" s="2" t="str">
        <v/>
      </c>
      <c r="K835" s="2" t="str">
        <v/>
      </c>
      <c r="L835" s="1" t="str">
        <v/>
      </c>
      <c r="M835" s="2" t="str">
        <v/>
      </c>
      <c r="N835" s="1" t="str">
        <v/>
      </c>
      <c r="O835" s="1" t="str">
        <v/>
      </c>
      <c r="P835" s="1" t="str">
        <v/>
      </c>
      <c r="Q835" s="1">
        <f t="shared" ref="Q835:Q898" si="52">IF(H835="Sí",1,0)</f>
        <v>0</v>
      </c>
      <c r="R835" s="1">
        <f t="shared" ref="R835:R898" si="53">IF(L835="En coordinación",1,0)</f>
        <v>0</v>
      </c>
      <c r="T835">
        <f t="shared" ref="T835:T898" si="54">IF(N835="Sí",1,0)</f>
        <v>0</v>
      </c>
      <c r="U835">
        <f t="shared" ref="U835:U898" si="55">IF(L835="Aceptada",1,0)</f>
        <v>0</v>
      </c>
    </row>
    <row r="836" x14ac:dyDescent="0.35">
      <c r="A836" s="21" t="str">
        <v/>
      </c>
      <c r="B836" s="23" t="str">
        <v/>
      </c>
      <c r="C836" t="str">
        <v/>
      </c>
      <c r="D836" t="str">
        <v/>
      </c>
      <c r="E836" t="str">
        <v/>
      </c>
      <c r="F836" t="str">
        <v/>
      </c>
      <c r="G836" t="str">
        <v/>
      </c>
      <c r="H836" t="str">
        <v/>
      </c>
      <c r="I836" s="2" t="str">
        <v/>
      </c>
      <c r="J836" s="2" t="str">
        <v/>
      </c>
      <c r="K836" s="2" t="str">
        <v/>
      </c>
      <c r="L836" s="1" t="str">
        <v/>
      </c>
      <c r="M836" s="2" t="str">
        <v/>
      </c>
      <c r="N836" s="1" t="str">
        <v/>
      </c>
      <c r="O836" s="1" t="str">
        <v/>
      </c>
      <c r="P836" s="1" t="str">
        <v/>
      </c>
      <c r="Q836" s="1">
        <f t="shared" si="52"/>
        <v>0</v>
      </c>
      <c r="R836" s="1">
        <f t="shared" si="53"/>
        <v>0</v>
      </c>
      <c r="T836">
        <f t="shared" si="54"/>
        <v>0</v>
      </c>
      <c r="U836">
        <f t="shared" si="55"/>
        <v>0</v>
      </c>
    </row>
    <row r="837" x14ac:dyDescent="0.35">
      <c r="A837" s="21" t="str">
        <v/>
      </c>
      <c r="B837" s="23" t="str">
        <v/>
      </c>
      <c r="C837" t="str">
        <v/>
      </c>
      <c r="D837" t="str">
        <v/>
      </c>
      <c r="E837" t="str">
        <v/>
      </c>
      <c r="F837" t="str">
        <v/>
      </c>
      <c r="G837" t="str">
        <v/>
      </c>
      <c r="H837" t="str">
        <v/>
      </c>
      <c r="I837" s="2" t="str">
        <v/>
      </c>
      <c r="J837" s="2" t="str">
        <v/>
      </c>
      <c r="K837" s="2" t="str">
        <v/>
      </c>
      <c r="L837" s="1" t="str">
        <v/>
      </c>
      <c r="M837" s="2" t="str">
        <v/>
      </c>
      <c r="N837" s="1" t="str">
        <v/>
      </c>
      <c r="O837" s="1" t="str">
        <v/>
      </c>
      <c r="P837" s="1" t="str">
        <v/>
      </c>
      <c r="Q837" s="1">
        <f t="shared" si="52"/>
        <v>0</v>
      </c>
      <c r="R837" s="1">
        <f t="shared" si="53"/>
        <v>0</v>
      </c>
      <c r="T837">
        <f t="shared" si="54"/>
        <v>0</v>
      </c>
      <c r="U837">
        <f t="shared" si="55"/>
        <v>0</v>
      </c>
    </row>
    <row r="838" x14ac:dyDescent="0.35">
      <c r="A838" s="21" t="str">
        <v/>
      </c>
      <c r="B838" s="23" t="str">
        <v/>
      </c>
      <c r="C838" t="str">
        <v/>
      </c>
      <c r="D838" t="str">
        <v/>
      </c>
      <c r="E838" t="str">
        <v/>
      </c>
      <c r="F838" t="str">
        <v/>
      </c>
      <c r="G838" t="str">
        <v/>
      </c>
      <c r="H838" t="str">
        <v/>
      </c>
      <c r="I838" s="2" t="str">
        <v/>
      </c>
      <c r="J838" s="2" t="str">
        <v/>
      </c>
      <c r="K838" s="2" t="str">
        <v/>
      </c>
      <c r="L838" s="1" t="str">
        <v/>
      </c>
      <c r="M838" s="2" t="str">
        <v/>
      </c>
      <c r="N838" s="1" t="str">
        <v/>
      </c>
      <c r="O838" s="1" t="str">
        <v/>
      </c>
      <c r="P838" s="1" t="str">
        <v/>
      </c>
      <c r="Q838" s="1">
        <f t="shared" si="52"/>
        <v>0</v>
      </c>
      <c r="R838" s="1">
        <f t="shared" si="53"/>
        <v>0</v>
      </c>
      <c r="T838">
        <f t="shared" si="54"/>
        <v>0</v>
      </c>
      <c r="U838">
        <f t="shared" si="55"/>
        <v>0</v>
      </c>
    </row>
    <row r="839" x14ac:dyDescent="0.35">
      <c r="A839" s="21" t="str">
        <v/>
      </c>
      <c r="B839" s="23" t="str">
        <v/>
      </c>
      <c r="C839" t="str">
        <v/>
      </c>
      <c r="D839" t="str">
        <v/>
      </c>
      <c r="E839" t="str">
        <v/>
      </c>
      <c r="F839" t="str">
        <v/>
      </c>
      <c r="G839" t="str">
        <v/>
      </c>
      <c r="H839" t="str">
        <v/>
      </c>
      <c r="I839" s="2" t="str">
        <v/>
      </c>
      <c r="J839" s="2" t="str">
        <v/>
      </c>
      <c r="K839" s="2" t="str">
        <v/>
      </c>
      <c r="L839" s="1" t="str">
        <v/>
      </c>
      <c r="M839" s="2" t="str">
        <v/>
      </c>
      <c r="N839" s="1" t="str">
        <v/>
      </c>
      <c r="O839" s="1" t="str">
        <v/>
      </c>
      <c r="P839" s="1" t="str">
        <v/>
      </c>
      <c r="Q839" s="1">
        <f t="shared" si="52"/>
        <v>0</v>
      </c>
      <c r="R839" s="1">
        <f t="shared" si="53"/>
        <v>0</v>
      </c>
      <c r="T839">
        <f t="shared" si="54"/>
        <v>0</v>
      </c>
      <c r="U839">
        <f t="shared" si="55"/>
        <v>0</v>
      </c>
    </row>
    <row r="840" x14ac:dyDescent="0.35">
      <c r="A840" s="21" t="str">
        <v/>
      </c>
      <c r="B840" s="23" t="str">
        <v/>
      </c>
      <c r="C840" t="str">
        <v/>
      </c>
      <c r="D840" t="str">
        <v/>
      </c>
      <c r="E840" t="str">
        <v/>
      </c>
      <c r="F840" t="str">
        <v/>
      </c>
      <c r="G840" t="str">
        <v/>
      </c>
      <c r="H840" t="str">
        <v/>
      </c>
      <c r="I840" s="2" t="str">
        <v/>
      </c>
      <c r="J840" s="2" t="str">
        <v/>
      </c>
      <c r="K840" s="2" t="str">
        <v/>
      </c>
      <c r="L840" s="1" t="str">
        <v/>
      </c>
      <c r="M840" s="2" t="str">
        <v/>
      </c>
      <c r="N840" s="1" t="str">
        <v/>
      </c>
      <c r="O840" s="1" t="str">
        <v/>
      </c>
      <c r="P840" s="1" t="str">
        <v/>
      </c>
      <c r="Q840" s="1">
        <f t="shared" si="52"/>
        <v>0</v>
      </c>
      <c r="R840" s="1">
        <f t="shared" si="53"/>
        <v>0</v>
      </c>
      <c r="T840">
        <f t="shared" si="54"/>
        <v>0</v>
      </c>
      <c r="U840">
        <f t="shared" si="55"/>
        <v>0</v>
      </c>
    </row>
    <row r="841" x14ac:dyDescent="0.35">
      <c r="A841" s="21" t="str">
        <v/>
      </c>
      <c r="B841" s="23" t="str">
        <v/>
      </c>
      <c r="C841" t="str">
        <v/>
      </c>
      <c r="D841" t="str">
        <v/>
      </c>
      <c r="E841" t="str">
        <v/>
      </c>
      <c r="F841" t="str">
        <v/>
      </c>
      <c r="G841" t="str">
        <v/>
      </c>
      <c r="H841" t="str">
        <v/>
      </c>
      <c r="I841" s="2" t="str">
        <v/>
      </c>
      <c r="J841" s="2" t="str">
        <v/>
      </c>
      <c r="K841" s="2" t="str">
        <v/>
      </c>
      <c r="L841" s="1" t="str">
        <v/>
      </c>
      <c r="M841" s="2" t="str">
        <v/>
      </c>
      <c r="N841" s="1" t="str">
        <v/>
      </c>
      <c r="O841" s="1" t="str">
        <v/>
      </c>
      <c r="P841" s="1" t="str">
        <v/>
      </c>
      <c r="Q841" s="1">
        <f t="shared" si="52"/>
        <v>0</v>
      </c>
      <c r="R841" s="1">
        <f t="shared" si="53"/>
        <v>0</v>
      </c>
      <c r="T841">
        <f t="shared" si="54"/>
        <v>0</v>
      </c>
      <c r="U841">
        <f t="shared" si="55"/>
        <v>0</v>
      </c>
    </row>
    <row r="842" x14ac:dyDescent="0.35">
      <c r="A842" s="21" t="str">
        <v/>
      </c>
      <c r="B842" s="23" t="str">
        <v/>
      </c>
      <c r="C842" t="str">
        <v/>
      </c>
      <c r="D842" t="str">
        <v/>
      </c>
      <c r="E842" t="str">
        <v/>
      </c>
      <c r="F842" t="str">
        <v/>
      </c>
      <c r="G842" t="str">
        <v/>
      </c>
      <c r="H842" t="str">
        <v/>
      </c>
      <c r="I842" s="2" t="str">
        <v/>
      </c>
      <c r="J842" s="2" t="str">
        <v/>
      </c>
      <c r="K842" s="2" t="str">
        <v/>
      </c>
      <c r="L842" s="1" t="str">
        <v/>
      </c>
      <c r="M842" s="2" t="str">
        <v/>
      </c>
      <c r="N842" s="1" t="str">
        <v/>
      </c>
      <c r="O842" s="1" t="str">
        <v/>
      </c>
      <c r="P842" s="1" t="str">
        <v/>
      </c>
      <c r="Q842" s="1">
        <f t="shared" si="52"/>
        <v>0</v>
      </c>
      <c r="R842" s="1">
        <f t="shared" si="53"/>
        <v>0</v>
      </c>
      <c r="T842">
        <f t="shared" si="54"/>
        <v>0</v>
      </c>
      <c r="U842">
        <f t="shared" si="55"/>
        <v>0</v>
      </c>
    </row>
    <row r="843" x14ac:dyDescent="0.35">
      <c r="A843" s="21" t="str">
        <v/>
      </c>
      <c r="B843" s="23" t="str">
        <v/>
      </c>
      <c r="C843" t="str">
        <v/>
      </c>
      <c r="D843" t="str">
        <v/>
      </c>
      <c r="E843" t="str">
        <v/>
      </c>
      <c r="F843" t="str">
        <v/>
      </c>
      <c r="G843" t="str">
        <v/>
      </c>
      <c r="H843" t="str">
        <v/>
      </c>
      <c r="I843" s="2" t="str">
        <v/>
      </c>
      <c r="J843" s="2" t="str">
        <v/>
      </c>
      <c r="K843" s="2" t="str">
        <v/>
      </c>
      <c r="L843" s="1" t="str">
        <v/>
      </c>
      <c r="M843" s="2" t="str">
        <v/>
      </c>
      <c r="N843" s="1" t="str">
        <v/>
      </c>
      <c r="O843" s="1" t="str">
        <v/>
      </c>
      <c r="P843" s="1" t="str">
        <v/>
      </c>
      <c r="Q843" s="1">
        <f t="shared" si="52"/>
        <v>0</v>
      </c>
      <c r="R843" s="1">
        <f t="shared" si="53"/>
        <v>0</v>
      </c>
      <c r="T843">
        <f t="shared" si="54"/>
        <v>0</v>
      </c>
      <c r="U843">
        <f t="shared" si="55"/>
        <v>0</v>
      </c>
    </row>
    <row r="844" x14ac:dyDescent="0.35">
      <c r="A844" s="21" t="str">
        <v/>
      </c>
      <c r="B844" s="23" t="str">
        <v/>
      </c>
      <c r="C844" t="str">
        <v/>
      </c>
      <c r="D844" t="str">
        <v/>
      </c>
      <c r="E844" t="str">
        <v/>
      </c>
      <c r="F844" t="str">
        <v/>
      </c>
      <c r="G844" t="str">
        <v/>
      </c>
      <c r="H844" t="str">
        <v/>
      </c>
      <c r="I844" s="2" t="str">
        <v/>
      </c>
      <c r="J844" s="2" t="str">
        <v/>
      </c>
      <c r="K844" s="2" t="str">
        <v/>
      </c>
      <c r="L844" s="1" t="str">
        <v/>
      </c>
      <c r="M844" s="2" t="str">
        <v/>
      </c>
      <c r="N844" s="1" t="str">
        <v/>
      </c>
      <c r="O844" s="1" t="str">
        <v/>
      </c>
      <c r="P844" s="1" t="str">
        <v/>
      </c>
      <c r="Q844" s="1">
        <f t="shared" si="52"/>
        <v>0</v>
      </c>
      <c r="R844" s="1">
        <f t="shared" si="53"/>
        <v>0</v>
      </c>
      <c r="T844">
        <f t="shared" si="54"/>
        <v>0</v>
      </c>
      <c r="U844">
        <f t="shared" si="55"/>
        <v>0</v>
      </c>
    </row>
    <row r="845" x14ac:dyDescent="0.35">
      <c r="A845" s="21" t="str">
        <v/>
      </c>
      <c r="B845" s="23" t="str">
        <v/>
      </c>
      <c r="C845" t="str">
        <v/>
      </c>
      <c r="D845" t="str">
        <v/>
      </c>
      <c r="E845" t="str">
        <v/>
      </c>
      <c r="F845" t="str">
        <v/>
      </c>
      <c r="G845" t="str">
        <v/>
      </c>
      <c r="H845" t="str">
        <v/>
      </c>
      <c r="I845" s="2" t="str">
        <v/>
      </c>
      <c r="J845" s="2" t="str">
        <v/>
      </c>
      <c r="K845" s="2" t="str">
        <v/>
      </c>
      <c r="L845" s="1" t="str">
        <v/>
      </c>
      <c r="M845" s="2" t="str">
        <v/>
      </c>
      <c r="N845" s="1" t="str">
        <v/>
      </c>
      <c r="O845" s="1" t="str">
        <v/>
      </c>
      <c r="P845" s="1" t="str">
        <v/>
      </c>
      <c r="Q845" s="1">
        <f t="shared" si="52"/>
        <v>0</v>
      </c>
      <c r="R845" s="1">
        <f t="shared" si="53"/>
        <v>0</v>
      </c>
      <c r="T845">
        <f t="shared" si="54"/>
        <v>0</v>
      </c>
      <c r="U845">
        <f t="shared" si="55"/>
        <v>0</v>
      </c>
    </row>
    <row r="846" x14ac:dyDescent="0.35">
      <c r="A846" s="21" t="str">
        <v/>
      </c>
      <c r="B846" s="23" t="str">
        <v/>
      </c>
      <c r="C846" t="str">
        <v/>
      </c>
      <c r="D846" t="str">
        <v/>
      </c>
      <c r="E846" t="str">
        <v/>
      </c>
      <c r="F846" t="str">
        <v/>
      </c>
      <c r="G846" t="str">
        <v/>
      </c>
      <c r="H846" t="str">
        <v/>
      </c>
      <c r="I846" s="2" t="str">
        <v/>
      </c>
      <c r="J846" s="2" t="str">
        <v/>
      </c>
      <c r="K846" s="2" t="str">
        <v/>
      </c>
      <c r="L846" s="1" t="str">
        <v/>
      </c>
      <c r="M846" s="2" t="str">
        <v/>
      </c>
      <c r="N846" s="1" t="str">
        <v/>
      </c>
      <c r="O846" s="1" t="str">
        <v/>
      </c>
      <c r="P846" s="1" t="str">
        <v/>
      </c>
      <c r="Q846" s="1">
        <f t="shared" si="52"/>
        <v>0</v>
      </c>
      <c r="R846" s="1">
        <f t="shared" si="53"/>
        <v>0</v>
      </c>
      <c r="T846">
        <f t="shared" si="54"/>
        <v>0</v>
      </c>
      <c r="U846">
        <f t="shared" si="55"/>
        <v>0</v>
      </c>
    </row>
    <row r="847" x14ac:dyDescent="0.35">
      <c r="A847" s="21" t="str">
        <v/>
      </c>
      <c r="B847" s="23" t="str">
        <v/>
      </c>
      <c r="C847" t="str">
        <v/>
      </c>
      <c r="D847" t="str">
        <v/>
      </c>
      <c r="E847" t="str">
        <v/>
      </c>
      <c r="F847" t="str">
        <v/>
      </c>
      <c r="G847" t="str">
        <v/>
      </c>
      <c r="H847" t="str">
        <v/>
      </c>
      <c r="I847" s="2" t="str">
        <v/>
      </c>
      <c r="J847" s="2" t="str">
        <v/>
      </c>
      <c r="K847" s="2" t="str">
        <v/>
      </c>
      <c r="L847" s="1" t="str">
        <v/>
      </c>
      <c r="M847" s="2" t="str">
        <v/>
      </c>
      <c r="N847" s="1" t="str">
        <v/>
      </c>
      <c r="O847" s="1" t="str">
        <v/>
      </c>
      <c r="P847" s="1" t="str">
        <v/>
      </c>
      <c r="Q847" s="1">
        <f t="shared" si="52"/>
        <v>0</v>
      </c>
      <c r="R847" s="1">
        <f t="shared" si="53"/>
        <v>0</v>
      </c>
      <c r="T847">
        <f t="shared" si="54"/>
        <v>0</v>
      </c>
      <c r="U847">
        <f t="shared" si="55"/>
        <v>0</v>
      </c>
    </row>
    <row r="848" x14ac:dyDescent="0.35">
      <c r="A848" s="21" t="str">
        <v/>
      </c>
      <c r="B848" s="23" t="str">
        <v/>
      </c>
      <c r="C848" t="str">
        <v/>
      </c>
      <c r="D848" t="str">
        <v/>
      </c>
      <c r="E848" t="str">
        <v/>
      </c>
      <c r="F848" t="str">
        <v/>
      </c>
      <c r="G848" t="str">
        <v/>
      </c>
      <c r="H848" t="str">
        <v/>
      </c>
      <c r="I848" s="2" t="str">
        <v/>
      </c>
      <c r="J848" s="2" t="str">
        <v/>
      </c>
      <c r="K848" s="2" t="str">
        <v/>
      </c>
      <c r="L848" s="1" t="str">
        <v/>
      </c>
      <c r="M848" s="2" t="str">
        <v/>
      </c>
      <c r="N848" s="1" t="str">
        <v/>
      </c>
      <c r="O848" s="1" t="str">
        <v/>
      </c>
      <c r="P848" s="1" t="str">
        <v/>
      </c>
      <c r="Q848" s="1">
        <f t="shared" si="52"/>
        <v>0</v>
      </c>
      <c r="R848" s="1">
        <f t="shared" si="53"/>
        <v>0</v>
      </c>
      <c r="T848">
        <f t="shared" si="54"/>
        <v>0</v>
      </c>
      <c r="U848">
        <f t="shared" si="55"/>
        <v>0</v>
      </c>
    </row>
    <row r="849" x14ac:dyDescent="0.35">
      <c r="A849" s="21" t="str">
        <v/>
      </c>
      <c r="B849" s="23" t="str">
        <v/>
      </c>
      <c r="C849" t="str">
        <v/>
      </c>
      <c r="D849" t="str">
        <v/>
      </c>
      <c r="E849" t="str">
        <v/>
      </c>
      <c r="F849" t="str">
        <v/>
      </c>
      <c r="G849" t="str">
        <v/>
      </c>
      <c r="H849" t="str">
        <v/>
      </c>
      <c r="I849" s="2" t="str">
        <v/>
      </c>
      <c r="J849" s="2" t="str">
        <v/>
      </c>
      <c r="K849" s="2" t="str">
        <v/>
      </c>
      <c r="L849" s="1" t="str">
        <v/>
      </c>
      <c r="M849" s="2" t="str">
        <v/>
      </c>
      <c r="N849" s="1" t="str">
        <v/>
      </c>
      <c r="O849" s="1" t="str">
        <v/>
      </c>
      <c r="P849" s="1" t="str">
        <v/>
      </c>
      <c r="Q849" s="1">
        <f t="shared" si="52"/>
        <v>0</v>
      </c>
      <c r="R849" s="1">
        <f t="shared" si="53"/>
        <v>0</v>
      </c>
      <c r="T849">
        <f t="shared" si="54"/>
        <v>0</v>
      </c>
      <c r="U849">
        <f t="shared" si="55"/>
        <v>0</v>
      </c>
    </row>
    <row r="850" x14ac:dyDescent="0.35">
      <c r="A850" s="21" t="str">
        <v/>
      </c>
      <c r="B850" s="23" t="str">
        <v/>
      </c>
      <c r="C850" t="str">
        <v/>
      </c>
      <c r="D850" t="str">
        <v/>
      </c>
      <c r="E850" t="str">
        <v/>
      </c>
      <c r="F850" t="str">
        <v/>
      </c>
      <c r="G850" t="str">
        <v/>
      </c>
      <c r="H850" t="str">
        <v/>
      </c>
      <c r="I850" s="2" t="str">
        <v/>
      </c>
      <c r="J850" s="2" t="str">
        <v/>
      </c>
      <c r="K850" s="2" t="str">
        <v/>
      </c>
      <c r="L850" s="1" t="str">
        <v/>
      </c>
      <c r="M850" s="2" t="str">
        <v/>
      </c>
      <c r="N850" s="1" t="str">
        <v/>
      </c>
      <c r="O850" s="1" t="str">
        <v/>
      </c>
      <c r="P850" s="1" t="str">
        <v/>
      </c>
      <c r="Q850" s="1">
        <f t="shared" si="52"/>
        <v>0</v>
      </c>
      <c r="R850" s="1">
        <f t="shared" si="53"/>
        <v>0</v>
      </c>
      <c r="T850">
        <f t="shared" si="54"/>
        <v>0</v>
      </c>
      <c r="U850">
        <f t="shared" si="55"/>
        <v>0</v>
      </c>
    </row>
    <row r="851" x14ac:dyDescent="0.35">
      <c r="A851" s="21" t="str">
        <v/>
      </c>
      <c r="B851" s="23" t="str">
        <v/>
      </c>
      <c r="C851" t="str">
        <v/>
      </c>
      <c r="D851" t="str">
        <v/>
      </c>
      <c r="E851" t="str">
        <v/>
      </c>
      <c r="F851" t="str">
        <v/>
      </c>
      <c r="G851" t="str">
        <v/>
      </c>
      <c r="H851" t="str">
        <v/>
      </c>
      <c r="I851" s="2" t="str">
        <v/>
      </c>
      <c r="J851" s="2" t="str">
        <v/>
      </c>
      <c r="K851" s="2" t="str">
        <v/>
      </c>
      <c r="L851" s="1" t="str">
        <v/>
      </c>
      <c r="M851" s="2" t="str">
        <v/>
      </c>
      <c r="N851" s="1" t="str">
        <v/>
      </c>
      <c r="O851" s="1" t="str">
        <v/>
      </c>
      <c r="P851" s="1" t="str">
        <v/>
      </c>
      <c r="Q851" s="1">
        <f t="shared" si="52"/>
        <v>0</v>
      </c>
      <c r="R851" s="1">
        <f t="shared" si="53"/>
        <v>0</v>
      </c>
      <c r="T851">
        <f t="shared" si="54"/>
        <v>0</v>
      </c>
      <c r="U851">
        <f t="shared" si="55"/>
        <v>0</v>
      </c>
    </row>
    <row r="852" x14ac:dyDescent="0.35">
      <c r="A852" s="21" t="str">
        <v/>
      </c>
      <c r="B852" s="23" t="str">
        <v/>
      </c>
      <c r="C852" t="str">
        <v/>
      </c>
      <c r="D852" t="str">
        <v/>
      </c>
      <c r="E852" t="str">
        <v/>
      </c>
      <c r="F852" t="str">
        <v/>
      </c>
      <c r="G852" t="str">
        <v/>
      </c>
      <c r="H852" t="str">
        <v/>
      </c>
      <c r="I852" s="2" t="str">
        <v/>
      </c>
      <c r="J852" s="2" t="str">
        <v/>
      </c>
      <c r="K852" s="2" t="str">
        <v/>
      </c>
      <c r="L852" s="1" t="str">
        <v/>
      </c>
      <c r="M852" s="2" t="str">
        <v/>
      </c>
      <c r="N852" s="1" t="str">
        <v/>
      </c>
      <c r="O852" s="1" t="str">
        <v/>
      </c>
      <c r="P852" s="1" t="str">
        <v/>
      </c>
      <c r="Q852" s="1">
        <f t="shared" si="52"/>
        <v>0</v>
      </c>
      <c r="R852" s="1">
        <f t="shared" si="53"/>
        <v>0</v>
      </c>
      <c r="T852">
        <f t="shared" si="54"/>
        <v>0</v>
      </c>
      <c r="U852">
        <f t="shared" si="55"/>
        <v>0</v>
      </c>
    </row>
    <row r="853" x14ac:dyDescent="0.35">
      <c r="A853" s="21" t="str">
        <v/>
      </c>
      <c r="B853" s="23" t="str">
        <v/>
      </c>
      <c r="C853" t="str">
        <v/>
      </c>
      <c r="D853" t="str">
        <v/>
      </c>
      <c r="E853" t="str">
        <v/>
      </c>
      <c r="F853" t="str">
        <v/>
      </c>
      <c r="G853" t="str">
        <v/>
      </c>
      <c r="H853" t="str">
        <v/>
      </c>
      <c r="I853" s="2" t="str">
        <v/>
      </c>
      <c r="J853" s="2" t="str">
        <v/>
      </c>
      <c r="K853" s="2" t="str">
        <v/>
      </c>
      <c r="L853" s="1" t="str">
        <v/>
      </c>
      <c r="M853" s="2" t="str">
        <v/>
      </c>
      <c r="N853" s="1" t="str">
        <v/>
      </c>
      <c r="O853" s="1" t="str">
        <v/>
      </c>
      <c r="P853" s="1" t="str">
        <v/>
      </c>
      <c r="Q853" s="1">
        <f t="shared" si="52"/>
        <v>0</v>
      </c>
      <c r="R853" s="1">
        <f t="shared" si="53"/>
        <v>0</v>
      </c>
      <c r="T853">
        <f t="shared" si="54"/>
        <v>0</v>
      </c>
      <c r="U853">
        <f t="shared" si="55"/>
        <v>0</v>
      </c>
    </row>
    <row r="854" x14ac:dyDescent="0.35">
      <c r="A854" s="21" t="str">
        <v/>
      </c>
      <c r="B854" s="23" t="str">
        <v/>
      </c>
      <c r="C854" t="str">
        <v/>
      </c>
      <c r="D854" t="str">
        <v/>
      </c>
      <c r="E854" t="str">
        <v/>
      </c>
      <c r="F854" t="str">
        <v/>
      </c>
      <c r="G854" t="str">
        <v/>
      </c>
      <c r="H854" t="str">
        <v/>
      </c>
      <c r="I854" s="2" t="str">
        <v/>
      </c>
      <c r="J854" s="2" t="str">
        <v/>
      </c>
      <c r="K854" s="2" t="str">
        <v/>
      </c>
      <c r="L854" s="1" t="str">
        <v/>
      </c>
      <c r="M854" s="2" t="str">
        <v/>
      </c>
      <c r="N854" s="1" t="str">
        <v/>
      </c>
      <c r="O854" s="1" t="str">
        <v/>
      </c>
      <c r="P854" s="1" t="str">
        <v/>
      </c>
      <c r="Q854" s="1">
        <f t="shared" si="52"/>
        <v>0</v>
      </c>
      <c r="R854" s="1">
        <f t="shared" si="53"/>
        <v>0</v>
      </c>
      <c r="T854">
        <f t="shared" si="54"/>
        <v>0</v>
      </c>
      <c r="U854">
        <f t="shared" si="55"/>
        <v>0</v>
      </c>
    </row>
    <row r="855" x14ac:dyDescent="0.35">
      <c r="A855" s="21" t="str">
        <v/>
      </c>
      <c r="B855" s="23" t="str">
        <v/>
      </c>
      <c r="C855" t="str">
        <v/>
      </c>
      <c r="D855" t="str">
        <v/>
      </c>
      <c r="E855" t="str">
        <v/>
      </c>
      <c r="F855" t="str">
        <v/>
      </c>
      <c r="G855" t="str">
        <v/>
      </c>
      <c r="H855" t="str">
        <v/>
      </c>
      <c r="I855" s="2" t="str">
        <v/>
      </c>
      <c r="J855" s="2" t="str">
        <v/>
      </c>
      <c r="K855" s="2" t="str">
        <v/>
      </c>
      <c r="L855" s="1" t="str">
        <v/>
      </c>
      <c r="M855" s="2" t="str">
        <v/>
      </c>
      <c r="N855" s="1" t="str">
        <v/>
      </c>
      <c r="O855" s="1" t="str">
        <v/>
      </c>
      <c r="P855" s="1" t="str">
        <v/>
      </c>
      <c r="Q855" s="1">
        <f t="shared" si="52"/>
        <v>0</v>
      </c>
      <c r="R855" s="1">
        <f t="shared" si="53"/>
        <v>0</v>
      </c>
      <c r="T855">
        <f t="shared" si="54"/>
        <v>0</v>
      </c>
      <c r="U855">
        <f t="shared" si="55"/>
        <v>0</v>
      </c>
    </row>
    <row r="856" x14ac:dyDescent="0.35">
      <c r="A856" s="21" t="str">
        <v/>
      </c>
      <c r="B856" s="23" t="str">
        <v/>
      </c>
      <c r="C856" t="str">
        <v/>
      </c>
      <c r="D856" t="str">
        <v/>
      </c>
      <c r="E856" t="str">
        <v/>
      </c>
      <c r="F856" t="str">
        <v/>
      </c>
      <c r="G856" t="str">
        <v/>
      </c>
      <c r="H856" t="str">
        <v/>
      </c>
      <c r="I856" s="2" t="str">
        <v/>
      </c>
      <c r="J856" s="2" t="str">
        <v/>
      </c>
      <c r="K856" s="2" t="str">
        <v/>
      </c>
      <c r="L856" s="1" t="str">
        <v/>
      </c>
      <c r="M856" s="2" t="str">
        <v/>
      </c>
      <c r="N856" s="1" t="str">
        <v/>
      </c>
      <c r="O856" s="1" t="str">
        <v/>
      </c>
      <c r="P856" s="1" t="str">
        <v/>
      </c>
      <c r="Q856" s="1">
        <f t="shared" si="52"/>
        <v>0</v>
      </c>
      <c r="R856" s="1">
        <f t="shared" si="53"/>
        <v>0</v>
      </c>
      <c r="T856">
        <f t="shared" si="54"/>
        <v>0</v>
      </c>
      <c r="U856">
        <f t="shared" si="55"/>
        <v>0</v>
      </c>
    </row>
    <row r="857" x14ac:dyDescent="0.35">
      <c r="A857" s="21" t="str">
        <v/>
      </c>
      <c r="B857" s="23" t="str">
        <v/>
      </c>
      <c r="C857" t="str">
        <v/>
      </c>
      <c r="D857" t="str">
        <v/>
      </c>
      <c r="E857" t="str">
        <v/>
      </c>
      <c r="F857" t="str">
        <v/>
      </c>
      <c r="G857" t="str">
        <v/>
      </c>
      <c r="H857" t="str">
        <v/>
      </c>
      <c r="I857" s="2" t="str">
        <v/>
      </c>
      <c r="J857" s="2" t="str">
        <v/>
      </c>
      <c r="K857" s="2" t="str">
        <v/>
      </c>
      <c r="L857" s="1" t="str">
        <v/>
      </c>
      <c r="M857" s="2" t="str">
        <v/>
      </c>
      <c r="N857" s="1" t="str">
        <v/>
      </c>
      <c r="O857" s="1" t="str">
        <v/>
      </c>
      <c r="P857" s="1" t="str">
        <v/>
      </c>
      <c r="Q857" s="1">
        <f t="shared" si="52"/>
        <v>0</v>
      </c>
      <c r="R857" s="1">
        <f t="shared" si="53"/>
        <v>0</v>
      </c>
      <c r="T857">
        <f t="shared" si="54"/>
        <v>0</v>
      </c>
      <c r="U857">
        <f t="shared" si="55"/>
        <v>0</v>
      </c>
    </row>
    <row r="858" x14ac:dyDescent="0.35">
      <c r="A858" s="21" t="str">
        <v/>
      </c>
      <c r="B858" s="23" t="str">
        <v/>
      </c>
      <c r="C858" t="str">
        <v/>
      </c>
      <c r="D858" t="str">
        <v/>
      </c>
      <c r="E858" t="str">
        <v/>
      </c>
      <c r="F858" t="str">
        <v/>
      </c>
      <c r="G858" t="str">
        <v/>
      </c>
      <c r="H858" t="str">
        <v/>
      </c>
      <c r="I858" s="2" t="str">
        <v/>
      </c>
      <c r="J858" s="2" t="str">
        <v/>
      </c>
      <c r="K858" s="2" t="str">
        <v/>
      </c>
      <c r="L858" s="1" t="str">
        <v/>
      </c>
      <c r="M858" s="2" t="str">
        <v/>
      </c>
      <c r="N858" s="1" t="str">
        <v/>
      </c>
      <c r="O858" s="1" t="str">
        <v/>
      </c>
      <c r="P858" s="1" t="str">
        <v/>
      </c>
      <c r="Q858" s="1">
        <f t="shared" si="52"/>
        <v>0</v>
      </c>
      <c r="R858" s="1">
        <f t="shared" si="53"/>
        <v>0</v>
      </c>
      <c r="T858">
        <f t="shared" si="54"/>
        <v>0</v>
      </c>
      <c r="U858">
        <f t="shared" si="55"/>
        <v>0</v>
      </c>
    </row>
    <row r="859" x14ac:dyDescent="0.35">
      <c r="A859" s="21" t="str">
        <v/>
      </c>
      <c r="B859" s="23" t="str">
        <v/>
      </c>
      <c r="C859" t="str">
        <v/>
      </c>
      <c r="D859" t="str">
        <v/>
      </c>
      <c r="E859" t="str">
        <v/>
      </c>
      <c r="F859" t="str">
        <v/>
      </c>
      <c r="G859" t="str">
        <v/>
      </c>
      <c r="H859" t="str">
        <v/>
      </c>
      <c r="I859" s="2" t="str">
        <v/>
      </c>
      <c r="J859" s="2" t="str">
        <v/>
      </c>
      <c r="K859" s="2" t="str">
        <v/>
      </c>
      <c r="L859" s="1" t="str">
        <v/>
      </c>
      <c r="M859" s="2" t="str">
        <v/>
      </c>
      <c r="N859" s="1" t="str">
        <v/>
      </c>
      <c r="O859" s="1" t="str">
        <v/>
      </c>
      <c r="P859" s="1" t="str">
        <v/>
      </c>
      <c r="Q859" s="1">
        <f t="shared" si="52"/>
        <v>0</v>
      </c>
      <c r="R859" s="1">
        <f t="shared" si="53"/>
        <v>0</v>
      </c>
      <c r="T859">
        <f t="shared" si="54"/>
        <v>0</v>
      </c>
      <c r="U859">
        <f t="shared" si="55"/>
        <v>0</v>
      </c>
    </row>
    <row r="860" x14ac:dyDescent="0.35">
      <c r="A860" s="21" t="str">
        <v/>
      </c>
      <c r="B860" s="23" t="str">
        <v/>
      </c>
      <c r="C860" t="str">
        <v/>
      </c>
      <c r="D860" t="str">
        <v/>
      </c>
      <c r="E860" t="str">
        <v/>
      </c>
      <c r="F860" t="str">
        <v/>
      </c>
      <c r="G860" t="str">
        <v/>
      </c>
      <c r="H860" t="str">
        <v/>
      </c>
      <c r="I860" s="2" t="str">
        <v/>
      </c>
      <c r="J860" s="2" t="str">
        <v/>
      </c>
      <c r="K860" s="2" t="str">
        <v/>
      </c>
      <c r="L860" s="1" t="str">
        <v/>
      </c>
      <c r="M860" s="2" t="str">
        <v/>
      </c>
      <c r="N860" s="1" t="str">
        <v/>
      </c>
      <c r="O860" s="1" t="str">
        <v/>
      </c>
      <c r="P860" s="1" t="str">
        <v/>
      </c>
      <c r="Q860" s="1">
        <f t="shared" si="52"/>
        <v>0</v>
      </c>
      <c r="R860" s="1">
        <f t="shared" si="53"/>
        <v>0</v>
      </c>
      <c r="T860">
        <f t="shared" si="54"/>
        <v>0</v>
      </c>
      <c r="U860">
        <f t="shared" si="55"/>
        <v>0</v>
      </c>
    </row>
    <row r="861" x14ac:dyDescent="0.35">
      <c r="A861" s="21" t="str">
        <v/>
      </c>
      <c r="B861" s="23" t="str">
        <v/>
      </c>
      <c r="C861" t="str">
        <v/>
      </c>
      <c r="D861" t="str">
        <v/>
      </c>
      <c r="E861" t="str">
        <v/>
      </c>
      <c r="F861" t="str">
        <v/>
      </c>
      <c r="G861" t="str">
        <v/>
      </c>
      <c r="H861" t="str">
        <v/>
      </c>
      <c r="I861" s="2" t="str">
        <v/>
      </c>
      <c r="J861" s="2" t="str">
        <v/>
      </c>
      <c r="K861" s="2" t="str">
        <v/>
      </c>
      <c r="L861" s="1" t="str">
        <v/>
      </c>
      <c r="M861" s="2" t="str">
        <v/>
      </c>
      <c r="N861" s="1" t="str">
        <v/>
      </c>
      <c r="O861" s="1" t="str">
        <v/>
      </c>
      <c r="P861" s="1" t="str">
        <v/>
      </c>
      <c r="Q861" s="1">
        <f t="shared" si="52"/>
        <v>0</v>
      </c>
      <c r="R861" s="1">
        <f t="shared" si="53"/>
        <v>0</v>
      </c>
      <c r="T861">
        <f t="shared" si="54"/>
        <v>0</v>
      </c>
      <c r="U861">
        <f t="shared" si="55"/>
        <v>0</v>
      </c>
    </row>
    <row r="862" x14ac:dyDescent="0.35">
      <c r="A862" s="21" t="str">
        <v/>
      </c>
      <c r="B862" s="23" t="str">
        <v/>
      </c>
      <c r="C862" t="str">
        <v/>
      </c>
      <c r="D862" t="str">
        <v/>
      </c>
      <c r="E862" t="str">
        <v/>
      </c>
      <c r="F862" t="str">
        <v/>
      </c>
      <c r="G862" t="str">
        <v/>
      </c>
      <c r="H862" t="str">
        <v/>
      </c>
      <c r="I862" s="2" t="str">
        <v/>
      </c>
      <c r="J862" s="2" t="str">
        <v/>
      </c>
      <c r="K862" s="2" t="str">
        <v/>
      </c>
      <c r="L862" s="1" t="str">
        <v/>
      </c>
      <c r="M862" s="2" t="str">
        <v/>
      </c>
      <c r="N862" s="1" t="str">
        <v/>
      </c>
      <c r="O862" s="1" t="str">
        <v/>
      </c>
      <c r="P862" s="1" t="str">
        <v/>
      </c>
      <c r="Q862" s="1">
        <f t="shared" si="52"/>
        <v>0</v>
      </c>
      <c r="R862" s="1">
        <f t="shared" si="53"/>
        <v>0</v>
      </c>
      <c r="T862">
        <f t="shared" si="54"/>
        <v>0</v>
      </c>
      <c r="U862">
        <f t="shared" si="55"/>
        <v>0</v>
      </c>
    </row>
    <row r="863" x14ac:dyDescent="0.35">
      <c r="A863" s="21" t="str">
        <v/>
      </c>
      <c r="B863" s="23" t="str">
        <v/>
      </c>
      <c r="C863" t="str">
        <v/>
      </c>
      <c r="D863" t="str">
        <v/>
      </c>
      <c r="E863" t="str">
        <v/>
      </c>
      <c r="F863" t="str">
        <v/>
      </c>
      <c r="G863" t="str">
        <v/>
      </c>
      <c r="H863" t="str">
        <v/>
      </c>
      <c r="I863" s="2" t="str">
        <v/>
      </c>
      <c r="J863" s="2" t="str">
        <v/>
      </c>
      <c r="K863" s="2" t="str">
        <v/>
      </c>
      <c r="L863" s="1" t="str">
        <v/>
      </c>
      <c r="M863" s="2" t="str">
        <v/>
      </c>
      <c r="N863" s="1" t="str">
        <v/>
      </c>
      <c r="O863" s="1" t="str">
        <v/>
      </c>
      <c r="P863" s="1" t="str">
        <v/>
      </c>
      <c r="Q863" s="1">
        <f t="shared" si="52"/>
        <v>0</v>
      </c>
      <c r="R863" s="1">
        <f t="shared" si="53"/>
        <v>0</v>
      </c>
      <c r="T863">
        <f t="shared" si="54"/>
        <v>0</v>
      </c>
      <c r="U863">
        <f t="shared" si="55"/>
        <v>0</v>
      </c>
    </row>
    <row r="864" x14ac:dyDescent="0.35">
      <c r="A864" s="21" t="str">
        <v/>
      </c>
      <c r="B864" s="23" t="str">
        <v/>
      </c>
      <c r="C864" t="str">
        <v/>
      </c>
      <c r="D864" t="str">
        <v/>
      </c>
      <c r="E864" t="str">
        <v/>
      </c>
      <c r="F864" t="str">
        <v/>
      </c>
      <c r="G864" t="str">
        <v/>
      </c>
      <c r="H864" t="str">
        <v/>
      </c>
      <c r="I864" s="2" t="str">
        <v/>
      </c>
      <c r="J864" s="2" t="str">
        <v/>
      </c>
      <c r="K864" s="2" t="str">
        <v/>
      </c>
      <c r="L864" s="1" t="str">
        <v/>
      </c>
      <c r="M864" s="2" t="str">
        <v/>
      </c>
      <c r="N864" s="1" t="str">
        <v/>
      </c>
      <c r="O864" s="1" t="str">
        <v/>
      </c>
      <c r="P864" s="1" t="str">
        <v/>
      </c>
      <c r="Q864" s="1">
        <f t="shared" si="52"/>
        <v>0</v>
      </c>
      <c r="R864" s="1">
        <f t="shared" si="53"/>
        <v>0</v>
      </c>
      <c r="T864">
        <f t="shared" si="54"/>
        <v>0</v>
      </c>
      <c r="U864">
        <f t="shared" si="55"/>
        <v>0</v>
      </c>
    </row>
    <row r="865" x14ac:dyDescent="0.35">
      <c r="A865" s="21" t="str">
        <v/>
      </c>
      <c r="B865" s="23" t="str">
        <v/>
      </c>
      <c r="C865" t="str">
        <v/>
      </c>
      <c r="D865" t="str">
        <v/>
      </c>
      <c r="E865" t="str">
        <v/>
      </c>
      <c r="F865" t="str">
        <v/>
      </c>
      <c r="G865" t="str">
        <v/>
      </c>
      <c r="H865" t="str">
        <v/>
      </c>
      <c r="I865" s="2" t="str">
        <v/>
      </c>
      <c r="J865" s="2" t="str">
        <v/>
      </c>
      <c r="K865" s="2" t="str">
        <v/>
      </c>
      <c r="L865" s="1" t="str">
        <v/>
      </c>
      <c r="M865" s="2" t="str">
        <v/>
      </c>
      <c r="N865" s="1" t="str">
        <v/>
      </c>
      <c r="O865" s="1" t="str">
        <v/>
      </c>
      <c r="P865" s="1" t="str">
        <v/>
      </c>
      <c r="Q865" s="1">
        <f t="shared" si="52"/>
        <v>0</v>
      </c>
      <c r="R865" s="1">
        <f t="shared" si="53"/>
        <v>0</v>
      </c>
      <c r="T865">
        <f t="shared" si="54"/>
        <v>0</v>
      </c>
      <c r="U865">
        <f t="shared" si="55"/>
        <v>0</v>
      </c>
    </row>
    <row r="866" x14ac:dyDescent="0.35">
      <c r="A866" s="21" t="str">
        <v/>
      </c>
      <c r="B866" s="23" t="str">
        <v/>
      </c>
      <c r="C866" t="str">
        <v/>
      </c>
      <c r="D866" t="str">
        <v/>
      </c>
      <c r="E866" t="str">
        <v/>
      </c>
      <c r="F866" t="str">
        <v/>
      </c>
      <c r="G866" t="str">
        <v/>
      </c>
      <c r="H866" t="str">
        <v/>
      </c>
      <c r="I866" s="2" t="str">
        <v/>
      </c>
      <c r="J866" s="2" t="str">
        <v/>
      </c>
      <c r="K866" s="2" t="str">
        <v/>
      </c>
      <c r="L866" s="1" t="str">
        <v/>
      </c>
      <c r="M866" s="2" t="str">
        <v/>
      </c>
      <c r="N866" s="1" t="str">
        <v/>
      </c>
      <c r="O866" s="1" t="str">
        <v/>
      </c>
      <c r="P866" s="1" t="str">
        <v/>
      </c>
      <c r="Q866" s="1">
        <f t="shared" si="52"/>
        <v>0</v>
      </c>
      <c r="R866" s="1">
        <f t="shared" si="53"/>
        <v>0</v>
      </c>
      <c r="T866">
        <f t="shared" si="54"/>
        <v>0</v>
      </c>
      <c r="U866">
        <f t="shared" si="55"/>
        <v>0</v>
      </c>
    </row>
    <row r="867" x14ac:dyDescent="0.35">
      <c r="A867" s="21" t="str">
        <v/>
      </c>
      <c r="B867" s="23" t="str">
        <v/>
      </c>
      <c r="C867" t="str">
        <v/>
      </c>
      <c r="D867" t="str">
        <v/>
      </c>
      <c r="E867" t="str">
        <v/>
      </c>
      <c r="F867" t="str">
        <v/>
      </c>
      <c r="G867" t="str">
        <v/>
      </c>
      <c r="H867" t="str">
        <v/>
      </c>
      <c r="I867" s="2" t="str">
        <v/>
      </c>
      <c r="J867" s="2" t="str">
        <v/>
      </c>
      <c r="K867" s="2" t="str">
        <v/>
      </c>
      <c r="L867" s="1" t="str">
        <v/>
      </c>
      <c r="M867" s="2" t="str">
        <v/>
      </c>
      <c r="N867" s="1" t="str">
        <v/>
      </c>
      <c r="O867" s="1" t="str">
        <v/>
      </c>
      <c r="P867" s="1" t="str">
        <v/>
      </c>
      <c r="Q867" s="1">
        <f t="shared" si="52"/>
        <v>0</v>
      </c>
      <c r="R867" s="1">
        <f t="shared" si="53"/>
        <v>0</v>
      </c>
      <c r="T867">
        <f t="shared" si="54"/>
        <v>0</v>
      </c>
      <c r="U867">
        <f t="shared" si="55"/>
        <v>0</v>
      </c>
    </row>
    <row r="868" x14ac:dyDescent="0.35">
      <c r="A868" s="21" t="str">
        <v/>
      </c>
      <c r="B868" s="23" t="str">
        <v/>
      </c>
      <c r="C868" t="str">
        <v/>
      </c>
      <c r="D868" t="str">
        <v/>
      </c>
      <c r="E868" t="str">
        <v/>
      </c>
      <c r="F868" t="str">
        <v/>
      </c>
      <c r="G868" t="str">
        <v/>
      </c>
      <c r="H868" t="str">
        <v/>
      </c>
      <c r="I868" s="2" t="str">
        <v/>
      </c>
      <c r="J868" s="2" t="str">
        <v/>
      </c>
      <c r="K868" s="2" t="str">
        <v/>
      </c>
      <c r="L868" s="1" t="str">
        <v/>
      </c>
      <c r="M868" s="2" t="str">
        <v/>
      </c>
      <c r="N868" s="1" t="str">
        <v/>
      </c>
      <c r="O868" s="1" t="str">
        <v/>
      </c>
      <c r="P868" s="1" t="str">
        <v/>
      </c>
      <c r="Q868" s="1">
        <f t="shared" si="52"/>
        <v>0</v>
      </c>
      <c r="R868" s="1">
        <f t="shared" si="53"/>
        <v>0</v>
      </c>
      <c r="T868">
        <f t="shared" si="54"/>
        <v>0</v>
      </c>
      <c r="U868">
        <f t="shared" si="55"/>
        <v>0</v>
      </c>
    </row>
    <row r="869" x14ac:dyDescent="0.35">
      <c r="A869" s="21" t="str">
        <v/>
      </c>
      <c r="B869" s="23" t="str">
        <v/>
      </c>
      <c r="C869" t="str">
        <v/>
      </c>
      <c r="D869" t="str">
        <v/>
      </c>
      <c r="E869" t="str">
        <v/>
      </c>
      <c r="F869" t="str">
        <v/>
      </c>
      <c r="G869" t="str">
        <v/>
      </c>
      <c r="H869" t="str">
        <v/>
      </c>
      <c r="I869" s="2" t="str">
        <v/>
      </c>
      <c r="J869" s="2" t="str">
        <v/>
      </c>
      <c r="K869" s="2" t="str">
        <v/>
      </c>
      <c r="L869" s="1" t="str">
        <v/>
      </c>
      <c r="M869" s="2" t="str">
        <v/>
      </c>
      <c r="N869" s="1" t="str">
        <v/>
      </c>
      <c r="O869" s="1" t="str">
        <v/>
      </c>
      <c r="P869" s="1" t="str">
        <v/>
      </c>
      <c r="Q869" s="1">
        <f t="shared" si="52"/>
        <v>0</v>
      </c>
      <c r="R869" s="1">
        <f t="shared" si="53"/>
        <v>0</v>
      </c>
      <c r="T869">
        <f t="shared" si="54"/>
        <v>0</v>
      </c>
      <c r="U869">
        <f t="shared" si="55"/>
        <v>0</v>
      </c>
    </row>
    <row r="870" x14ac:dyDescent="0.35">
      <c r="A870" s="21" t="str">
        <v/>
      </c>
      <c r="B870" s="23" t="str">
        <v/>
      </c>
      <c r="C870" t="str">
        <v/>
      </c>
      <c r="D870" t="str">
        <v/>
      </c>
      <c r="E870" t="str">
        <v/>
      </c>
      <c r="F870" t="str">
        <v/>
      </c>
      <c r="G870" t="str">
        <v/>
      </c>
      <c r="H870" t="str">
        <v/>
      </c>
      <c r="I870" s="2" t="str">
        <v/>
      </c>
      <c r="J870" s="2" t="str">
        <v/>
      </c>
      <c r="K870" s="2" t="str">
        <v/>
      </c>
      <c r="L870" s="1" t="str">
        <v/>
      </c>
      <c r="M870" s="2" t="str">
        <v/>
      </c>
      <c r="N870" s="1" t="str">
        <v/>
      </c>
      <c r="O870" s="1" t="str">
        <v/>
      </c>
      <c r="P870" s="1" t="str">
        <v/>
      </c>
      <c r="Q870" s="1">
        <f t="shared" si="52"/>
        <v>0</v>
      </c>
      <c r="R870" s="1">
        <f t="shared" si="53"/>
        <v>0</v>
      </c>
      <c r="T870">
        <f t="shared" si="54"/>
        <v>0</v>
      </c>
      <c r="U870">
        <f t="shared" si="55"/>
        <v>0</v>
      </c>
    </row>
    <row r="871" x14ac:dyDescent="0.35">
      <c r="A871" s="21" t="str">
        <v/>
      </c>
      <c r="B871" s="23" t="str">
        <v/>
      </c>
      <c r="C871" t="str">
        <v/>
      </c>
      <c r="D871" t="str">
        <v/>
      </c>
      <c r="E871" t="str">
        <v/>
      </c>
      <c r="F871" t="str">
        <v/>
      </c>
      <c r="G871" t="str">
        <v/>
      </c>
      <c r="H871" t="str">
        <v/>
      </c>
      <c r="I871" s="2" t="str">
        <v/>
      </c>
      <c r="J871" s="2" t="str">
        <v/>
      </c>
      <c r="K871" s="2" t="str">
        <v/>
      </c>
      <c r="L871" s="1" t="str">
        <v/>
      </c>
      <c r="M871" s="2" t="str">
        <v/>
      </c>
      <c r="N871" s="1" t="str">
        <v/>
      </c>
      <c r="O871" s="1" t="str">
        <v/>
      </c>
      <c r="P871" s="1" t="str">
        <v/>
      </c>
      <c r="Q871" s="1">
        <f t="shared" si="52"/>
        <v>0</v>
      </c>
      <c r="R871" s="1">
        <f t="shared" si="53"/>
        <v>0</v>
      </c>
      <c r="T871">
        <f t="shared" si="54"/>
        <v>0</v>
      </c>
      <c r="U871">
        <f t="shared" si="55"/>
        <v>0</v>
      </c>
    </row>
    <row r="872" x14ac:dyDescent="0.35">
      <c r="A872" s="21" t="str">
        <v/>
      </c>
      <c r="B872" s="23" t="str">
        <v/>
      </c>
      <c r="C872" t="str">
        <v/>
      </c>
      <c r="D872" t="str">
        <v/>
      </c>
      <c r="E872" t="str">
        <v/>
      </c>
      <c r="F872" t="str">
        <v/>
      </c>
      <c r="G872" t="str">
        <v/>
      </c>
      <c r="H872" t="str">
        <v/>
      </c>
      <c r="I872" s="2" t="str">
        <v/>
      </c>
      <c r="J872" s="2" t="str">
        <v/>
      </c>
      <c r="K872" s="2" t="str">
        <v/>
      </c>
      <c r="L872" s="1" t="str">
        <v/>
      </c>
      <c r="M872" s="2" t="str">
        <v/>
      </c>
      <c r="N872" s="1" t="str">
        <v/>
      </c>
      <c r="O872" s="1" t="str">
        <v/>
      </c>
      <c r="P872" s="1" t="str">
        <v/>
      </c>
      <c r="Q872" s="1">
        <f t="shared" si="52"/>
        <v>0</v>
      </c>
      <c r="R872" s="1">
        <f t="shared" si="53"/>
        <v>0</v>
      </c>
      <c r="T872">
        <f t="shared" si="54"/>
        <v>0</v>
      </c>
      <c r="U872">
        <f t="shared" si="55"/>
        <v>0</v>
      </c>
    </row>
    <row r="873" x14ac:dyDescent="0.35">
      <c r="A873" s="21" t="str">
        <v/>
      </c>
      <c r="B873" s="23" t="str">
        <v/>
      </c>
      <c r="C873" t="str">
        <v/>
      </c>
      <c r="D873" t="str">
        <v/>
      </c>
      <c r="E873" t="str">
        <v/>
      </c>
      <c r="F873" t="str">
        <v/>
      </c>
      <c r="G873" t="str">
        <v/>
      </c>
      <c r="H873" t="str">
        <v/>
      </c>
      <c r="I873" s="2" t="str">
        <v/>
      </c>
      <c r="J873" s="2" t="str">
        <v/>
      </c>
      <c r="K873" s="2" t="str">
        <v/>
      </c>
      <c r="L873" s="1" t="str">
        <v/>
      </c>
      <c r="M873" s="2" t="str">
        <v/>
      </c>
      <c r="N873" s="1" t="str">
        <v/>
      </c>
      <c r="O873" s="1" t="str">
        <v/>
      </c>
      <c r="P873" s="1" t="str">
        <v/>
      </c>
      <c r="Q873" s="1">
        <f t="shared" si="52"/>
        <v>0</v>
      </c>
      <c r="R873" s="1">
        <f t="shared" si="53"/>
        <v>0</v>
      </c>
      <c r="T873">
        <f t="shared" si="54"/>
        <v>0</v>
      </c>
      <c r="U873">
        <f t="shared" si="55"/>
        <v>0</v>
      </c>
    </row>
    <row r="874" x14ac:dyDescent="0.35">
      <c r="A874" s="21" t="str">
        <v/>
      </c>
      <c r="B874" s="23" t="str">
        <v/>
      </c>
      <c r="C874" t="str">
        <v/>
      </c>
      <c r="D874" t="str">
        <v/>
      </c>
      <c r="E874" t="str">
        <v/>
      </c>
      <c r="F874" t="str">
        <v/>
      </c>
      <c r="G874" t="str">
        <v/>
      </c>
      <c r="H874" t="str">
        <v/>
      </c>
      <c r="I874" s="2" t="str">
        <v/>
      </c>
      <c r="J874" s="2" t="str">
        <v/>
      </c>
      <c r="K874" s="2" t="str">
        <v/>
      </c>
      <c r="L874" s="1" t="str">
        <v/>
      </c>
      <c r="M874" s="2" t="str">
        <v/>
      </c>
      <c r="N874" s="1" t="str">
        <v/>
      </c>
      <c r="O874" s="1" t="str">
        <v/>
      </c>
      <c r="P874" s="1" t="str">
        <v/>
      </c>
      <c r="Q874" s="1">
        <f t="shared" si="52"/>
        <v>0</v>
      </c>
      <c r="R874" s="1">
        <f t="shared" si="53"/>
        <v>0</v>
      </c>
      <c r="T874">
        <f t="shared" si="54"/>
        <v>0</v>
      </c>
      <c r="U874">
        <f t="shared" si="55"/>
        <v>0</v>
      </c>
    </row>
    <row r="875" x14ac:dyDescent="0.35">
      <c r="A875" s="21" t="str">
        <v/>
      </c>
      <c r="B875" s="23" t="str">
        <v/>
      </c>
      <c r="C875" t="str">
        <v/>
      </c>
      <c r="D875" t="str">
        <v/>
      </c>
      <c r="E875" t="str">
        <v/>
      </c>
      <c r="F875" t="str">
        <v/>
      </c>
      <c r="G875" t="str">
        <v/>
      </c>
      <c r="H875" t="str">
        <v/>
      </c>
      <c r="I875" s="2" t="str">
        <v/>
      </c>
      <c r="J875" s="2" t="str">
        <v/>
      </c>
      <c r="K875" s="2" t="str">
        <v/>
      </c>
      <c r="L875" s="1" t="str">
        <v/>
      </c>
      <c r="M875" s="2" t="str">
        <v/>
      </c>
      <c r="N875" s="1" t="str">
        <v/>
      </c>
      <c r="O875" s="1" t="str">
        <v/>
      </c>
      <c r="P875" s="1" t="str">
        <v/>
      </c>
      <c r="Q875" s="1">
        <f t="shared" si="52"/>
        <v>0</v>
      </c>
      <c r="R875" s="1">
        <f t="shared" si="53"/>
        <v>0</v>
      </c>
      <c r="T875">
        <f t="shared" si="54"/>
        <v>0</v>
      </c>
      <c r="U875">
        <f t="shared" si="55"/>
        <v>0</v>
      </c>
    </row>
    <row r="876" x14ac:dyDescent="0.35">
      <c r="A876" s="21" t="str">
        <v/>
      </c>
      <c r="B876" s="23" t="str">
        <v/>
      </c>
      <c r="C876" t="str">
        <v/>
      </c>
      <c r="D876" t="str">
        <v/>
      </c>
      <c r="E876" t="str">
        <v/>
      </c>
      <c r="F876" t="str">
        <v/>
      </c>
      <c r="G876" t="str">
        <v/>
      </c>
      <c r="H876" t="str">
        <v/>
      </c>
      <c r="I876" s="2" t="str">
        <v/>
      </c>
      <c r="J876" s="2" t="str">
        <v/>
      </c>
      <c r="K876" s="2" t="str">
        <v/>
      </c>
      <c r="L876" s="1" t="str">
        <v/>
      </c>
      <c r="M876" s="2" t="str">
        <v/>
      </c>
      <c r="N876" s="1" t="str">
        <v/>
      </c>
      <c r="O876" s="1" t="str">
        <v/>
      </c>
      <c r="P876" s="1" t="str">
        <v/>
      </c>
      <c r="Q876" s="1">
        <f t="shared" si="52"/>
        <v>0</v>
      </c>
      <c r="R876" s="1">
        <f t="shared" si="53"/>
        <v>0</v>
      </c>
      <c r="T876">
        <f t="shared" si="54"/>
        <v>0</v>
      </c>
      <c r="U876">
        <f t="shared" si="55"/>
        <v>0</v>
      </c>
    </row>
    <row r="877" x14ac:dyDescent="0.35">
      <c r="A877" s="21" t="str">
        <v/>
      </c>
      <c r="B877" s="23" t="str">
        <v/>
      </c>
      <c r="C877" t="str">
        <v/>
      </c>
      <c r="D877" t="str">
        <v/>
      </c>
      <c r="E877" t="str">
        <v/>
      </c>
      <c r="F877" t="str">
        <v/>
      </c>
      <c r="G877" t="str">
        <v/>
      </c>
      <c r="H877" t="str">
        <v/>
      </c>
      <c r="I877" s="2" t="str">
        <v/>
      </c>
      <c r="J877" s="2" t="str">
        <v/>
      </c>
      <c r="K877" s="2" t="str">
        <v/>
      </c>
      <c r="L877" s="1" t="str">
        <v/>
      </c>
      <c r="M877" s="2" t="str">
        <v/>
      </c>
      <c r="N877" s="1" t="str">
        <v/>
      </c>
      <c r="O877" s="1" t="str">
        <v/>
      </c>
      <c r="P877" s="1" t="str">
        <v/>
      </c>
      <c r="Q877" s="1">
        <f t="shared" si="52"/>
        <v>0</v>
      </c>
      <c r="R877" s="1">
        <f t="shared" si="53"/>
        <v>0</v>
      </c>
      <c r="T877">
        <f t="shared" si="54"/>
        <v>0</v>
      </c>
      <c r="U877">
        <f t="shared" si="55"/>
        <v>0</v>
      </c>
    </row>
    <row r="878" x14ac:dyDescent="0.35">
      <c r="A878" s="21" t="str">
        <v/>
      </c>
      <c r="B878" s="23" t="str">
        <v/>
      </c>
      <c r="C878" t="str">
        <v/>
      </c>
      <c r="D878" t="str">
        <v/>
      </c>
      <c r="E878" t="str">
        <v/>
      </c>
      <c r="F878" t="str">
        <v/>
      </c>
      <c r="G878" t="str">
        <v/>
      </c>
      <c r="H878" t="str">
        <v/>
      </c>
      <c r="I878" s="2" t="str">
        <v/>
      </c>
      <c r="J878" s="2" t="str">
        <v/>
      </c>
      <c r="K878" s="2" t="str">
        <v/>
      </c>
      <c r="L878" s="1" t="str">
        <v/>
      </c>
      <c r="M878" s="2" t="str">
        <v/>
      </c>
      <c r="N878" s="1" t="str">
        <v/>
      </c>
      <c r="O878" s="1" t="str">
        <v/>
      </c>
      <c r="P878" s="1" t="str">
        <v/>
      </c>
      <c r="Q878" s="1">
        <f t="shared" si="52"/>
        <v>0</v>
      </c>
      <c r="R878" s="1">
        <f t="shared" si="53"/>
        <v>0</v>
      </c>
      <c r="T878">
        <f t="shared" si="54"/>
        <v>0</v>
      </c>
      <c r="U878">
        <f t="shared" si="55"/>
        <v>0</v>
      </c>
    </row>
    <row r="879" x14ac:dyDescent="0.35">
      <c r="A879" s="21" t="str">
        <v/>
      </c>
      <c r="B879" s="23" t="str">
        <v/>
      </c>
      <c r="C879" t="str">
        <v/>
      </c>
      <c r="D879" t="str">
        <v/>
      </c>
      <c r="E879" t="str">
        <v/>
      </c>
      <c r="F879" t="str">
        <v/>
      </c>
      <c r="G879" t="str">
        <v/>
      </c>
      <c r="H879" t="str">
        <v/>
      </c>
      <c r="I879" s="2" t="str">
        <v/>
      </c>
      <c r="J879" s="2" t="str">
        <v/>
      </c>
      <c r="K879" s="2" t="str">
        <v/>
      </c>
      <c r="L879" s="1" t="str">
        <v/>
      </c>
      <c r="M879" s="2" t="str">
        <v/>
      </c>
      <c r="N879" s="1" t="str">
        <v/>
      </c>
      <c r="O879" s="1" t="str">
        <v/>
      </c>
      <c r="P879" s="1" t="str">
        <v/>
      </c>
      <c r="Q879" s="1">
        <f t="shared" si="52"/>
        <v>0</v>
      </c>
      <c r="R879" s="1">
        <f t="shared" si="53"/>
        <v>0</v>
      </c>
      <c r="T879">
        <f t="shared" si="54"/>
        <v>0</v>
      </c>
      <c r="U879">
        <f t="shared" si="55"/>
        <v>0</v>
      </c>
    </row>
    <row r="880" x14ac:dyDescent="0.35">
      <c r="A880" s="21" t="str">
        <v/>
      </c>
      <c r="B880" s="23" t="str">
        <v/>
      </c>
      <c r="C880" t="str">
        <v/>
      </c>
      <c r="D880" t="str">
        <v/>
      </c>
      <c r="E880" t="str">
        <v/>
      </c>
      <c r="F880" t="str">
        <v/>
      </c>
      <c r="G880" t="str">
        <v/>
      </c>
      <c r="H880" t="str">
        <v/>
      </c>
      <c r="I880" s="2" t="str">
        <v/>
      </c>
      <c r="J880" s="2" t="str">
        <v/>
      </c>
      <c r="K880" s="2" t="str">
        <v/>
      </c>
      <c r="L880" s="1" t="str">
        <v/>
      </c>
      <c r="M880" s="2" t="str">
        <v/>
      </c>
      <c r="N880" s="1" t="str">
        <v/>
      </c>
      <c r="O880" s="1" t="str">
        <v/>
      </c>
      <c r="P880" s="1" t="str">
        <v/>
      </c>
      <c r="Q880" s="1">
        <f t="shared" si="52"/>
        <v>0</v>
      </c>
      <c r="R880" s="1">
        <f t="shared" si="53"/>
        <v>0</v>
      </c>
      <c r="T880">
        <f t="shared" si="54"/>
        <v>0</v>
      </c>
      <c r="U880">
        <f t="shared" si="55"/>
        <v>0</v>
      </c>
    </row>
    <row r="881" x14ac:dyDescent="0.35">
      <c r="A881" s="21" t="str">
        <v/>
      </c>
      <c r="B881" s="23" t="str">
        <v/>
      </c>
      <c r="C881" t="str">
        <v/>
      </c>
      <c r="D881" t="str">
        <v/>
      </c>
      <c r="E881" t="str">
        <v/>
      </c>
      <c r="F881" t="str">
        <v/>
      </c>
      <c r="G881" t="str">
        <v/>
      </c>
      <c r="H881" t="str">
        <v/>
      </c>
      <c r="I881" s="2" t="str">
        <v/>
      </c>
      <c r="J881" s="2" t="str">
        <v/>
      </c>
      <c r="K881" s="2" t="str">
        <v/>
      </c>
      <c r="L881" s="1" t="str">
        <v/>
      </c>
      <c r="M881" s="2" t="str">
        <v/>
      </c>
      <c r="N881" s="1" t="str">
        <v/>
      </c>
      <c r="O881" s="1" t="str">
        <v/>
      </c>
      <c r="P881" s="1" t="str">
        <v/>
      </c>
      <c r="Q881" s="1">
        <f t="shared" si="52"/>
        <v>0</v>
      </c>
      <c r="R881" s="1">
        <f t="shared" si="53"/>
        <v>0</v>
      </c>
      <c r="T881">
        <f t="shared" si="54"/>
        <v>0</v>
      </c>
      <c r="U881">
        <f t="shared" si="55"/>
        <v>0</v>
      </c>
    </row>
    <row r="882" x14ac:dyDescent="0.35">
      <c r="A882" s="21" t="str">
        <v/>
      </c>
      <c r="B882" s="23" t="str">
        <v/>
      </c>
      <c r="C882" t="str">
        <v/>
      </c>
      <c r="D882" t="str">
        <v/>
      </c>
      <c r="E882" t="str">
        <v/>
      </c>
      <c r="F882" t="str">
        <v/>
      </c>
      <c r="G882" t="str">
        <v/>
      </c>
      <c r="H882" t="str">
        <v/>
      </c>
      <c r="I882" s="2" t="str">
        <v/>
      </c>
      <c r="J882" s="2" t="str">
        <v/>
      </c>
      <c r="K882" s="2" t="str">
        <v/>
      </c>
      <c r="L882" s="1" t="str">
        <v/>
      </c>
      <c r="M882" s="2" t="str">
        <v/>
      </c>
      <c r="N882" s="1" t="str">
        <v/>
      </c>
      <c r="O882" s="1" t="str">
        <v/>
      </c>
      <c r="P882" s="1" t="str">
        <v/>
      </c>
      <c r="Q882" s="1">
        <f t="shared" si="52"/>
        <v>0</v>
      </c>
      <c r="R882" s="1">
        <f t="shared" si="53"/>
        <v>0</v>
      </c>
      <c r="T882">
        <f t="shared" si="54"/>
        <v>0</v>
      </c>
      <c r="U882">
        <f t="shared" si="55"/>
        <v>0</v>
      </c>
    </row>
    <row r="883" x14ac:dyDescent="0.35">
      <c r="A883" s="21" t="str">
        <v/>
      </c>
      <c r="B883" s="23" t="str">
        <v/>
      </c>
      <c r="C883" t="str">
        <v/>
      </c>
      <c r="D883" t="str">
        <v/>
      </c>
      <c r="E883" t="str">
        <v/>
      </c>
      <c r="F883" t="str">
        <v/>
      </c>
      <c r="G883" t="str">
        <v/>
      </c>
      <c r="H883" t="str">
        <v/>
      </c>
      <c r="I883" s="2" t="str">
        <v/>
      </c>
      <c r="J883" s="2" t="str">
        <v/>
      </c>
      <c r="K883" s="2" t="str">
        <v/>
      </c>
      <c r="L883" s="1" t="str">
        <v/>
      </c>
      <c r="M883" s="2" t="str">
        <v/>
      </c>
      <c r="N883" s="1" t="str">
        <v/>
      </c>
      <c r="O883" s="1" t="str">
        <v/>
      </c>
      <c r="P883" s="1" t="str">
        <v/>
      </c>
      <c r="Q883" s="1">
        <f t="shared" si="52"/>
        <v>0</v>
      </c>
      <c r="R883" s="1">
        <f t="shared" si="53"/>
        <v>0</v>
      </c>
      <c r="T883">
        <f t="shared" si="54"/>
        <v>0</v>
      </c>
      <c r="U883">
        <f t="shared" si="55"/>
        <v>0</v>
      </c>
    </row>
    <row r="884" x14ac:dyDescent="0.35">
      <c r="A884" s="21" t="str">
        <v/>
      </c>
      <c r="B884" s="23" t="str">
        <v/>
      </c>
      <c r="C884" t="str">
        <v/>
      </c>
      <c r="D884" t="str">
        <v/>
      </c>
      <c r="E884" t="str">
        <v/>
      </c>
      <c r="F884" t="str">
        <v/>
      </c>
      <c r="G884" t="str">
        <v/>
      </c>
      <c r="H884" t="str">
        <v/>
      </c>
      <c r="I884" s="2" t="str">
        <v/>
      </c>
      <c r="J884" s="2" t="str">
        <v/>
      </c>
      <c r="K884" s="2" t="str">
        <v/>
      </c>
      <c r="L884" s="1" t="str">
        <v/>
      </c>
      <c r="M884" s="2" t="str">
        <v/>
      </c>
      <c r="N884" s="1" t="str">
        <v/>
      </c>
      <c r="O884" s="1" t="str">
        <v/>
      </c>
      <c r="P884" s="1" t="str">
        <v/>
      </c>
      <c r="Q884" s="1">
        <f t="shared" si="52"/>
        <v>0</v>
      </c>
      <c r="R884" s="1">
        <f t="shared" si="53"/>
        <v>0</v>
      </c>
      <c r="T884">
        <f t="shared" si="54"/>
        <v>0</v>
      </c>
      <c r="U884">
        <f t="shared" si="55"/>
        <v>0</v>
      </c>
    </row>
    <row r="885" x14ac:dyDescent="0.35">
      <c r="A885" s="21" t="str">
        <v/>
      </c>
      <c r="B885" s="23" t="str">
        <v/>
      </c>
      <c r="C885" t="str">
        <v/>
      </c>
      <c r="D885" t="str">
        <v/>
      </c>
      <c r="E885" t="str">
        <v/>
      </c>
      <c r="F885" t="str">
        <v/>
      </c>
      <c r="G885" t="str">
        <v/>
      </c>
      <c r="H885" t="str">
        <v/>
      </c>
      <c r="I885" s="2" t="str">
        <v/>
      </c>
      <c r="J885" s="2" t="str">
        <v/>
      </c>
      <c r="K885" s="2" t="str">
        <v/>
      </c>
      <c r="L885" s="1" t="str">
        <v/>
      </c>
      <c r="M885" s="2" t="str">
        <v/>
      </c>
      <c r="N885" s="1" t="str">
        <v/>
      </c>
      <c r="O885" s="1" t="str">
        <v/>
      </c>
      <c r="P885" s="1" t="str">
        <v/>
      </c>
      <c r="Q885" s="1">
        <f t="shared" si="52"/>
        <v>0</v>
      </c>
      <c r="R885" s="1">
        <f t="shared" si="53"/>
        <v>0</v>
      </c>
      <c r="T885">
        <f t="shared" si="54"/>
        <v>0</v>
      </c>
      <c r="U885">
        <f t="shared" si="55"/>
        <v>0</v>
      </c>
    </row>
    <row r="886" x14ac:dyDescent="0.35">
      <c r="A886" s="21" t="str">
        <v/>
      </c>
      <c r="B886" s="23" t="str">
        <v/>
      </c>
      <c r="C886" t="str">
        <v/>
      </c>
      <c r="D886" t="str">
        <v/>
      </c>
      <c r="E886" t="str">
        <v/>
      </c>
      <c r="F886" t="str">
        <v/>
      </c>
      <c r="G886" t="str">
        <v/>
      </c>
      <c r="H886" t="str">
        <v/>
      </c>
      <c r="I886" s="2" t="str">
        <v/>
      </c>
      <c r="J886" s="2" t="str">
        <v/>
      </c>
      <c r="K886" s="2" t="str">
        <v/>
      </c>
      <c r="L886" s="1" t="str">
        <v/>
      </c>
      <c r="M886" s="2" t="str">
        <v/>
      </c>
      <c r="N886" s="1" t="str">
        <v/>
      </c>
      <c r="O886" s="1" t="str">
        <v/>
      </c>
      <c r="P886" s="1" t="str">
        <v/>
      </c>
      <c r="Q886" s="1">
        <f t="shared" si="52"/>
        <v>0</v>
      </c>
      <c r="R886" s="1">
        <f t="shared" si="53"/>
        <v>0</v>
      </c>
      <c r="T886">
        <f t="shared" si="54"/>
        <v>0</v>
      </c>
      <c r="U886">
        <f t="shared" si="55"/>
        <v>0</v>
      </c>
    </row>
    <row r="887" x14ac:dyDescent="0.35">
      <c r="A887" s="21" t="str">
        <v/>
      </c>
      <c r="B887" s="23" t="str">
        <v/>
      </c>
      <c r="C887" t="str">
        <v/>
      </c>
      <c r="D887" t="str">
        <v/>
      </c>
      <c r="E887" t="str">
        <v/>
      </c>
      <c r="F887" t="str">
        <v/>
      </c>
      <c r="G887" t="str">
        <v/>
      </c>
      <c r="H887" t="str">
        <v/>
      </c>
      <c r="I887" s="2" t="str">
        <v/>
      </c>
      <c r="J887" s="2" t="str">
        <v/>
      </c>
      <c r="K887" s="2" t="str">
        <v/>
      </c>
      <c r="L887" s="1" t="str">
        <v/>
      </c>
      <c r="M887" s="2" t="str">
        <v/>
      </c>
      <c r="N887" s="1" t="str">
        <v/>
      </c>
      <c r="O887" s="1" t="str">
        <v/>
      </c>
      <c r="P887" s="1" t="str">
        <v/>
      </c>
      <c r="Q887" s="1">
        <f t="shared" si="52"/>
        <v>0</v>
      </c>
      <c r="R887" s="1">
        <f t="shared" si="53"/>
        <v>0</v>
      </c>
      <c r="T887">
        <f t="shared" si="54"/>
        <v>0</v>
      </c>
      <c r="U887">
        <f t="shared" si="55"/>
        <v>0</v>
      </c>
    </row>
    <row r="888" x14ac:dyDescent="0.35">
      <c r="A888" s="21" t="str">
        <v/>
      </c>
      <c r="B888" s="23" t="str">
        <v/>
      </c>
      <c r="C888" t="str">
        <v/>
      </c>
      <c r="D888" t="str">
        <v/>
      </c>
      <c r="E888" t="str">
        <v/>
      </c>
      <c r="F888" t="str">
        <v/>
      </c>
      <c r="G888" t="str">
        <v/>
      </c>
      <c r="H888" t="str">
        <v/>
      </c>
      <c r="I888" s="2" t="str">
        <v/>
      </c>
      <c r="J888" s="2" t="str">
        <v/>
      </c>
      <c r="K888" s="2" t="str">
        <v/>
      </c>
      <c r="L888" s="1" t="str">
        <v/>
      </c>
      <c r="M888" s="2" t="str">
        <v/>
      </c>
      <c r="N888" s="1" t="str">
        <v/>
      </c>
      <c r="O888" s="1" t="str">
        <v/>
      </c>
      <c r="P888" s="1" t="str">
        <v/>
      </c>
      <c r="Q888" s="1">
        <f t="shared" si="52"/>
        <v>0</v>
      </c>
      <c r="R888" s="1">
        <f t="shared" si="53"/>
        <v>0</v>
      </c>
      <c r="T888">
        <f t="shared" si="54"/>
        <v>0</v>
      </c>
      <c r="U888">
        <f t="shared" si="55"/>
        <v>0</v>
      </c>
    </row>
    <row r="889" x14ac:dyDescent="0.35">
      <c r="A889" s="21" t="str">
        <v/>
      </c>
      <c r="B889" s="23" t="str">
        <v/>
      </c>
      <c r="C889" t="str">
        <v/>
      </c>
      <c r="D889" t="str">
        <v/>
      </c>
      <c r="E889" t="str">
        <v/>
      </c>
      <c r="F889" t="str">
        <v/>
      </c>
      <c r="G889" t="str">
        <v/>
      </c>
      <c r="H889" t="str">
        <v/>
      </c>
      <c r="I889" s="2" t="str">
        <v/>
      </c>
      <c r="J889" s="2" t="str">
        <v/>
      </c>
      <c r="K889" s="2" t="str">
        <v/>
      </c>
      <c r="L889" s="1" t="str">
        <v/>
      </c>
      <c r="M889" s="2" t="str">
        <v/>
      </c>
      <c r="N889" s="1" t="str">
        <v/>
      </c>
      <c r="O889" s="1" t="str">
        <v/>
      </c>
      <c r="P889" s="1" t="str">
        <v/>
      </c>
      <c r="Q889" s="1">
        <f t="shared" si="52"/>
        <v>0</v>
      </c>
      <c r="R889" s="1">
        <f t="shared" si="53"/>
        <v>0</v>
      </c>
      <c r="T889">
        <f t="shared" si="54"/>
        <v>0</v>
      </c>
      <c r="U889">
        <f t="shared" si="55"/>
        <v>0</v>
      </c>
    </row>
    <row r="890" x14ac:dyDescent="0.35">
      <c r="A890" s="21" t="str">
        <v/>
      </c>
      <c r="B890" s="23" t="str">
        <v/>
      </c>
      <c r="C890" t="str">
        <v/>
      </c>
      <c r="D890" t="str">
        <v/>
      </c>
      <c r="E890" t="str">
        <v/>
      </c>
      <c r="F890" t="str">
        <v/>
      </c>
      <c r="G890" t="str">
        <v/>
      </c>
      <c r="H890" t="str">
        <v/>
      </c>
      <c r="I890" s="2" t="str">
        <v/>
      </c>
      <c r="J890" s="2" t="str">
        <v/>
      </c>
      <c r="K890" s="2" t="str">
        <v/>
      </c>
      <c r="L890" s="1" t="str">
        <v/>
      </c>
      <c r="M890" s="2" t="str">
        <v/>
      </c>
      <c r="N890" s="1" t="str">
        <v/>
      </c>
      <c r="O890" s="1" t="str">
        <v/>
      </c>
      <c r="P890" s="1" t="str">
        <v/>
      </c>
      <c r="Q890" s="1">
        <f t="shared" si="52"/>
        <v>0</v>
      </c>
      <c r="R890" s="1">
        <f t="shared" si="53"/>
        <v>0</v>
      </c>
      <c r="T890">
        <f t="shared" si="54"/>
        <v>0</v>
      </c>
      <c r="U890">
        <f t="shared" si="55"/>
        <v>0</v>
      </c>
    </row>
    <row r="891" x14ac:dyDescent="0.35">
      <c r="A891" s="21" t="str">
        <v/>
      </c>
      <c r="B891" s="23" t="str">
        <v/>
      </c>
      <c r="C891" t="str">
        <v/>
      </c>
      <c r="D891" t="str">
        <v/>
      </c>
      <c r="E891" t="str">
        <v/>
      </c>
      <c r="F891" t="str">
        <v/>
      </c>
      <c r="G891" t="str">
        <v/>
      </c>
      <c r="H891" t="str">
        <v/>
      </c>
      <c r="I891" s="2" t="str">
        <v/>
      </c>
      <c r="J891" s="2" t="str">
        <v/>
      </c>
      <c r="K891" s="2" t="str">
        <v/>
      </c>
      <c r="L891" s="1" t="str">
        <v/>
      </c>
      <c r="M891" s="2" t="str">
        <v/>
      </c>
      <c r="N891" s="1" t="str">
        <v/>
      </c>
      <c r="O891" s="1" t="str">
        <v/>
      </c>
      <c r="P891" s="1" t="str">
        <v/>
      </c>
      <c r="Q891" s="1">
        <f t="shared" si="52"/>
        <v>0</v>
      </c>
      <c r="R891" s="1">
        <f t="shared" si="53"/>
        <v>0</v>
      </c>
      <c r="T891">
        <f t="shared" si="54"/>
        <v>0</v>
      </c>
      <c r="U891">
        <f t="shared" si="55"/>
        <v>0</v>
      </c>
    </row>
    <row r="892" x14ac:dyDescent="0.35">
      <c r="A892" s="21" t="str">
        <v/>
      </c>
      <c r="B892" s="23" t="str">
        <v/>
      </c>
      <c r="C892" t="str">
        <v/>
      </c>
      <c r="D892" t="str">
        <v/>
      </c>
      <c r="E892" t="str">
        <v/>
      </c>
      <c r="F892" t="str">
        <v/>
      </c>
      <c r="G892" t="str">
        <v/>
      </c>
      <c r="H892" t="str">
        <v/>
      </c>
      <c r="I892" s="2" t="str">
        <v/>
      </c>
      <c r="J892" s="2" t="str">
        <v/>
      </c>
      <c r="K892" s="2" t="str">
        <v/>
      </c>
      <c r="L892" s="1" t="str">
        <v/>
      </c>
      <c r="M892" s="2" t="str">
        <v/>
      </c>
      <c r="N892" s="1" t="str">
        <v/>
      </c>
      <c r="O892" s="1" t="str">
        <v/>
      </c>
      <c r="P892" s="1" t="str">
        <v/>
      </c>
      <c r="Q892" s="1">
        <f t="shared" si="52"/>
        <v>0</v>
      </c>
      <c r="R892" s="1">
        <f t="shared" si="53"/>
        <v>0</v>
      </c>
      <c r="T892">
        <f t="shared" si="54"/>
        <v>0</v>
      </c>
      <c r="U892">
        <f t="shared" si="55"/>
        <v>0</v>
      </c>
    </row>
    <row r="893" x14ac:dyDescent="0.35">
      <c r="A893" s="21" t="str">
        <v/>
      </c>
      <c r="B893" s="23" t="str">
        <v/>
      </c>
      <c r="C893" t="str">
        <v/>
      </c>
      <c r="D893" t="str">
        <v/>
      </c>
      <c r="E893" t="str">
        <v/>
      </c>
      <c r="F893" t="str">
        <v/>
      </c>
      <c r="G893" t="str">
        <v/>
      </c>
      <c r="H893" t="str">
        <v/>
      </c>
      <c r="I893" s="2" t="str">
        <v/>
      </c>
      <c r="J893" s="2" t="str">
        <v/>
      </c>
      <c r="K893" s="2" t="str">
        <v/>
      </c>
      <c r="L893" s="1" t="str">
        <v/>
      </c>
      <c r="M893" s="2" t="str">
        <v/>
      </c>
      <c r="N893" s="1" t="str">
        <v/>
      </c>
      <c r="O893" s="1" t="str">
        <v/>
      </c>
      <c r="P893" s="1" t="str">
        <v/>
      </c>
      <c r="Q893" s="1">
        <f t="shared" si="52"/>
        <v>0</v>
      </c>
      <c r="R893" s="1">
        <f t="shared" si="53"/>
        <v>0</v>
      </c>
      <c r="T893">
        <f t="shared" si="54"/>
        <v>0</v>
      </c>
      <c r="U893">
        <f t="shared" si="55"/>
        <v>0</v>
      </c>
    </row>
    <row r="894" x14ac:dyDescent="0.35">
      <c r="A894" s="21" t="str">
        <v/>
      </c>
      <c r="B894" s="23" t="str">
        <v/>
      </c>
      <c r="C894" t="str">
        <v/>
      </c>
      <c r="D894" t="str">
        <v/>
      </c>
      <c r="E894" t="str">
        <v/>
      </c>
      <c r="F894" t="str">
        <v/>
      </c>
      <c r="G894" t="str">
        <v/>
      </c>
      <c r="H894" t="str">
        <v/>
      </c>
      <c r="I894" s="2" t="str">
        <v/>
      </c>
      <c r="J894" s="2" t="str">
        <v/>
      </c>
      <c r="K894" s="2" t="str">
        <v/>
      </c>
      <c r="L894" s="1" t="str">
        <v/>
      </c>
      <c r="M894" s="2" t="str">
        <v/>
      </c>
      <c r="N894" s="1" t="str">
        <v/>
      </c>
      <c r="O894" s="1" t="str">
        <v/>
      </c>
      <c r="P894" s="1" t="str">
        <v/>
      </c>
      <c r="Q894" s="1">
        <f t="shared" si="52"/>
        <v>0</v>
      </c>
      <c r="R894" s="1">
        <f t="shared" si="53"/>
        <v>0</v>
      </c>
      <c r="T894">
        <f t="shared" si="54"/>
        <v>0</v>
      </c>
      <c r="U894">
        <f t="shared" si="55"/>
        <v>0</v>
      </c>
    </row>
    <row r="895" x14ac:dyDescent="0.35">
      <c r="A895" s="21" t="str">
        <v/>
      </c>
      <c r="B895" s="23" t="str">
        <v/>
      </c>
      <c r="C895" t="str">
        <v/>
      </c>
      <c r="D895" t="str">
        <v/>
      </c>
      <c r="E895" t="str">
        <v/>
      </c>
      <c r="F895" t="str">
        <v/>
      </c>
      <c r="G895" t="str">
        <v/>
      </c>
      <c r="H895" t="str">
        <v/>
      </c>
      <c r="I895" s="2" t="str">
        <v/>
      </c>
      <c r="J895" s="2" t="str">
        <v/>
      </c>
      <c r="K895" s="2" t="str">
        <v/>
      </c>
      <c r="L895" s="1" t="str">
        <v/>
      </c>
      <c r="M895" s="2" t="str">
        <v/>
      </c>
      <c r="N895" s="1" t="str">
        <v/>
      </c>
      <c r="O895" s="1" t="str">
        <v/>
      </c>
      <c r="P895" s="1" t="str">
        <v/>
      </c>
      <c r="Q895" s="1">
        <f t="shared" si="52"/>
        <v>0</v>
      </c>
      <c r="R895" s="1">
        <f t="shared" si="53"/>
        <v>0</v>
      </c>
      <c r="T895">
        <f t="shared" si="54"/>
        <v>0</v>
      </c>
      <c r="U895">
        <f t="shared" si="55"/>
        <v>0</v>
      </c>
    </row>
    <row r="896" x14ac:dyDescent="0.35">
      <c r="A896" s="21" t="str">
        <v/>
      </c>
      <c r="B896" s="23" t="str">
        <v/>
      </c>
      <c r="C896" t="str">
        <v/>
      </c>
      <c r="D896" t="str">
        <v/>
      </c>
      <c r="E896" t="str">
        <v/>
      </c>
      <c r="F896" t="str">
        <v/>
      </c>
      <c r="G896" t="str">
        <v/>
      </c>
      <c r="H896" t="str">
        <v/>
      </c>
      <c r="I896" s="2" t="str">
        <v/>
      </c>
      <c r="J896" s="2" t="str">
        <v/>
      </c>
      <c r="K896" s="2" t="str">
        <v/>
      </c>
      <c r="L896" s="1" t="str">
        <v/>
      </c>
      <c r="M896" s="2" t="str">
        <v/>
      </c>
      <c r="N896" s="1" t="str">
        <v/>
      </c>
      <c r="O896" s="1" t="str">
        <v/>
      </c>
      <c r="P896" s="1" t="str">
        <v/>
      </c>
      <c r="Q896" s="1">
        <f t="shared" si="52"/>
        <v>0</v>
      </c>
      <c r="R896" s="1">
        <f t="shared" si="53"/>
        <v>0</v>
      </c>
      <c r="T896">
        <f t="shared" si="54"/>
        <v>0</v>
      </c>
      <c r="U896">
        <f t="shared" si="55"/>
        <v>0</v>
      </c>
    </row>
    <row r="897" x14ac:dyDescent="0.35">
      <c r="A897" s="21" t="str">
        <v/>
      </c>
      <c r="B897" s="23" t="str">
        <v/>
      </c>
      <c r="C897" t="str">
        <v/>
      </c>
      <c r="D897" t="str">
        <v/>
      </c>
      <c r="E897" t="str">
        <v/>
      </c>
      <c r="F897" t="str">
        <v/>
      </c>
      <c r="G897" t="str">
        <v/>
      </c>
      <c r="H897" t="str">
        <v/>
      </c>
      <c r="I897" s="2" t="str">
        <v/>
      </c>
      <c r="J897" s="2" t="str">
        <v/>
      </c>
      <c r="K897" s="2" t="str">
        <v/>
      </c>
      <c r="L897" s="1" t="str">
        <v/>
      </c>
      <c r="M897" s="2" t="str">
        <v/>
      </c>
      <c r="N897" s="1" t="str">
        <v/>
      </c>
      <c r="O897" s="1" t="str">
        <v/>
      </c>
      <c r="P897" s="1" t="str">
        <v/>
      </c>
      <c r="Q897" s="1">
        <f t="shared" si="52"/>
        <v>0</v>
      </c>
      <c r="R897" s="1">
        <f t="shared" si="53"/>
        <v>0</v>
      </c>
      <c r="T897">
        <f t="shared" si="54"/>
        <v>0</v>
      </c>
      <c r="U897">
        <f t="shared" si="55"/>
        <v>0</v>
      </c>
    </row>
    <row r="898" x14ac:dyDescent="0.35">
      <c r="A898" s="21" t="str">
        <v/>
      </c>
      <c r="B898" s="23" t="str">
        <v/>
      </c>
      <c r="C898" t="str">
        <v/>
      </c>
      <c r="D898" t="str">
        <v/>
      </c>
      <c r="E898" t="str">
        <v/>
      </c>
      <c r="F898" t="str">
        <v/>
      </c>
      <c r="G898" t="str">
        <v/>
      </c>
      <c r="H898" t="str">
        <v/>
      </c>
      <c r="I898" s="2" t="str">
        <v/>
      </c>
      <c r="J898" s="2" t="str">
        <v/>
      </c>
      <c r="K898" s="2" t="str">
        <v/>
      </c>
      <c r="L898" s="1" t="str">
        <v/>
      </c>
      <c r="M898" s="2" t="str">
        <v/>
      </c>
      <c r="N898" s="1" t="str">
        <v/>
      </c>
      <c r="O898" s="1" t="str">
        <v/>
      </c>
      <c r="P898" s="1" t="str">
        <v/>
      </c>
      <c r="Q898" s="1">
        <f t="shared" si="52"/>
        <v>0</v>
      </c>
      <c r="R898" s="1">
        <f t="shared" si="53"/>
        <v>0</v>
      </c>
      <c r="T898">
        <f t="shared" si="54"/>
        <v>0</v>
      </c>
      <c r="U898">
        <f t="shared" si="55"/>
        <v>0</v>
      </c>
    </row>
    <row r="899" x14ac:dyDescent="0.35">
      <c r="A899" s="21" t="str">
        <v/>
      </c>
      <c r="B899" s="23" t="str">
        <v/>
      </c>
      <c r="C899" t="str">
        <v/>
      </c>
      <c r="D899" t="str">
        <v/>
      </c>
      <c r="E899" t="str">
        <v/>
      </c>
      <c r="F899" t="str">
        <v/>
      </c>
      <c r="G899" t="str">
        <v/>
      </c>
      <c r="H899" t="str">
        <v/>
      </c>
      <c r="I899" s="2" t="str">
        <v/>
      </c>
      <c r="J899" s="2" t="str">
        <v/>
      </c>
      <c r="K899" s="2" t="str">
        <v/>
      </c>
      <c r="L899" s="1" t="str">
        <v/>
      </c>
      <c r="M899" s="2" t="str">
        <v/>
      </c>
      <c r="N899" s="1" t="str">
        <v/>
      </c>
      <c r="O899" s="1" t="str">
        <v/>
      </c>
      <c r="P899" s="1" t="str">
        <v/>
      </c>
      <c r="Q899" s="1">
        <f t="shared" ref="Q899:Q962" si="56">IF(H899="Sí",1,0)</f>
        <v>0</v>
      </c>
      <c r="R899" s="1">
        <f t="shared" ref="R899:R962" si="57">IF(L899="En coordinación",1,0)</f>
        <v>0</v>
      </c>
      <c r="T899">
        <f t="shared" ref="T899:T962" si="58">IF(N899="Sí",1,0)</f>
        <v>0</v>
      </c>
      <c r="U899">
        <f t="shared" ref="U899:U962" si="59">IF(L899="Aceptada",1,0)</f>
        <v>0</v>
      </c>
    </row>
    <row r="900" x14ac:dyDescent="0.35">
      <c r="A900" s="21" t="str">
        <v/>
      </c>
      <c r="B900" s="23" t="str">
        <v/>
      </c>
      <c r="C900" t="str">
        <v/>
      </c>
      <c r="D900" t="str">
        <v/>
      </c>
      <c r="E900" t="str">
        <v/>
      </c>
      <c r="F900" t="str">
        <v/>
      </c>
      <c r="G900" t="str">
        <v/>
      </c>
      <c r="H900" t="str">
        <v/>
      </c>
      <c r="I900" s="2" t="str">
        <v/>
      </c>
      <c r="J900" s="2" t="str">
        <v/>
      </c>
      <c r="K900" s="2" t="str">
        <v/>
      </c>
      <c r="L900" s="1" t="str">
        <v/>
      </c>
      <c r="M900" s="2" t="str">
        <v/>
      </c>
      <c r="N900" s="1" t="str">
        <v/>
      </c>
      <c r="O900" s="1" t="str">
        <v/>
      </c>
      <c r="P900" s="1" t="str">
        <v/>
      </c>
      <c r="Q900" s="1">
        <f t="shared" si="56"/>
        <v>0</v>
      </c>
      <c r="R900" s="1">
        <f t="shared" si="57"/>
        <v>0</v>
      </c>
      <c r="T900">
        <f t="shared" si="58"/>
        <v>0</v>
      </c>
      <c r="U900">
        <f t="shared" si="59"/>
        <v>0</v>
      </c>
    </row>
    <row r="901" x14ac:dyDescent="0.35">
      <c r="A901" s="21" t="str">
        <v/>
      </c>
      <c r="B901" s="23" t="str">
        <v/>
      </c>
      <c r="C901" t="str">
        <v/>
      </c>
      <c r="D901" t="str">
        <v/>
      </c>
      <c r="E901" t="str">
        <v/>
      </c>
      <c r="F901" t="str">
        <v/>
      </c>
      <c r="G901" t="str">
        <v/>
      </c>
      <c r="H901" t="str">
        <v/>
      </c>
      <c r="I901" s="2" t="str">
        <v/>
      </c>
      <c r="J901" s="2" t="str">
        <v/>
      </c>
      <c r="K901" s="2" t="str">
        <v/>
      </c>
      <c r="L901" s="1" t="str">
        <v/>
      </c>
      <c r="M901" s="2" t="str">
        <v/>
      </c>
      <c r="N901" s="1" t="str">
        <v/>
      </c>
      <c r="O901" s="1" t="str">
        <v/>
      </c>
      <c r="P901" s="1" t="str">
        <v/>
      </c>
      <c r="Q901" s="1">
        <f t="shared" si="56"/>
        <v>0</v>
      </c>
      <c r="R901" s="1">
        <f t="shared" si="57"/>
        <v>0</v>
      </c>
      <c r="T901">
        <f t="shared" si="58"/>
        <v>0</v>
      </c>
      <c r="U901">
        <f t="shared" si="59"/>
        <v>0</v>
      </c>
    </row>
    <row r="902" x14ac:dyDescent="0.35">
      <c r="A902" s="21" t="str">
        <v/>
      </c>
      <c r="B902" s="23" t="str">
        <v/>
      </c>
      <c r="C902" t="str">
        <v/>
      </c>
      <c r="D902" t="str">
        <v/>
      </c>
      <c r="E902" t="str">
        <v/>
      </c>
      <c r="F902" t="str">
        <v/>
      </c>
      <c r="G902" t="str">
        <v/>
      </c>
      <c r="H902" t="str">
        <v/>
      </c>
      <c r="I902" s="2" t="str">
        <v/>
      </c>
      <c r="J902" s="2" t="str">
        <v/>
      </c>
      <c r="K902" s="2" t="str">
        <v/>
      </c>
      <c r="L902" s="1" t="str">
        <v/>
      </c>
      <c r="M902" s="2" t="str">
        <v/>
      </c>
      <c r="N902" s="1" t="str">
        <v/>
      </c>
      <c r="O902" s="1" t="str">
        <v/>
      </c>
      <c r="P902" s="1" t="str">
        <v/>
      </c>
      <c r="Q902" s="1">
        <f t="shared" si="56"/>
        <v>0</v>
      </c>
      <c r="R902" s="1">
        <f t="shared" si="57"/>
        <v>0</v>
      </c>
      <c r="T902">
        <f t="shared" si="58"/>
        <v>0</v>
      </c>
      <c r="U902">
        <f t="shared" si="59"/>
        <v>0</v>
      </c>
    </row>
    <row r="903" x14ac:dyDescent="0.35">
      <c r="A903" s="21" t="str">
        <v/>
      </c>
      <c r="B903" s="23" t="str">
        <v/>
      </c>
      <c r="C903" t="str">
        <v/>
      </c>
      <c r="D903" t="str">
        <v/>
      </c>
      <c r="E903" t="str">
        <v/>
      </c>
      <c r="F903" t="str">
        <v/>
      </c>
      <c r="G903" t="str">
        <v/>
      </c>
      <c r="H903" t="str">
        <v/>
      </c>
      <c r="I903" s="2" t="str">
        <v/>
      </c>
      <c r="J903" s="2" t="str">
        <v/>
      </c>
      <c r="K903" s="2" t="str">
        <v/>
      </c>
      <c r="L903" s="1" t="str">
        <v/>
      </c>
      <c r="M903" s="2" t="str">
        <v/>
      </c>
      <c r="N903" s="1" t="str">
        <v/>
      </c>
      <c r="O903" s="1" t="str">
        <v/>
      </c>
      <c r="P903" s="1" t="str">
        <v/>
      </c>
      <c r="Q903" s="1">
        <f t="shared" si="56"/>
        <v>0</v>
      </c>
      <c r="R903" s="1">
        <f t="shared" si="57"/>
        <v>0</v>
      </c>
      <c r="T903">
        <f t="shared" si="58"/>
        <v>0</v>
      </c>
      <c r="U903">
        <f t="shared" si="59"/>
        <v>0</v>
      </c>
    </row>
    <row r="904" x14ac:dyDescent="0.35">
      <c r="A904" s="21" t="str">
        <v/>
      </c>
      <c r="B904" s="23" t="str">
        <v/>
      </c>
      <c r="C904" t="str">
        <v/>
      </c>
      <c r="D904" t="str">
        <v/>
      </c>
      <c r="E904" t="str">
        <v/>
      </c>
      <c r="F904" t="str">
        <v/>
      </c>
      <c r="G904" t="str">
        <v/>
      </c>
      <c r="H904" t="str">
        <v/>
      </c>
      <c r="I904" s="2" t="str">
        <v/>
      </c>
      <c r="J904" s="2" t="str">
        <v/>
      </c>
      <c r="K904" s="2" t="str">
        <v/>
      </c>
      <c r="L904" s="1" t="str">
        <v/>
      </c>
      <c r="M904" s="2" t="str">
        <v/>
      </c>
      <c r="N904" s="1" t="str">
        <v/>
      </c>
      <c r="O904" s="1" t="str">
        <v/>
      </c>
      <c r="P904" s="1" t="str">
        <v/>
      </c>
      <c r="Q904" s="1">
        <f t="shared" si="56"/>
        <v>0</v>
      </c>
      <c r="R904" s="1">
        <f t="shared" si="57"/>
        <v>0</v>
      </c>
      <c r="T904">
        <f t="shared" si="58"/>
        <v>0</v>
      </c>
      <c r="U904">
        <f t="shared" si="59"/>
        <v>0</v>
      </c>
    </row>
    <row r="905" x14ac:dyDescent="0.35">
      <c r="A905" s="21" t="str">
        <v/>
      </c>
      <c r="B905" s="23" t="str">
        <v/>
      </c>
      <c r="C905" t="str">
        <v/>
      </c>
      <c r="D905" t="str">
        <v/>
      </c>
      <c r="E905" t="str">
        <v/>
      </c>
      <c r="F905" t="str">
        <v/>
      </c>
      <c r="G905" t="str">
        <v/>
      </c>
      <c r="H905" t="str">
        <v/>
      </c>
      <c r="I905" s="2" t="str">
        <v/>
      </c>
      <c r="J905" s="2" t="str">
        <v/>
      </c>
      <c r="K905" s="2" t="str">
        <v/>
      </c>
      <c r="L905" s="1" t="str">
        <v/>
      </c>
      <c r="M905" s="2" t="str">
        <v/>
      </c>
      <c r="N905" s="1" t="str">
        <v/>
      </c>
      <c r="O905" s="1" t="str">
        <v/>
      </c>
      <c r="P905" s="1" t="str">
        <v/>
      </c>
      <c r="Q905" s="1">
        <f t="shared" si="56"/>
        <v>0</v>
      </c>
      <c r="R905" s="1">
        <f t="shared" si="57"/>
        <v>0</v>
      </c>
      <c r="T905">
        <f t="shared" si="58"/>
        <v>0</v>
      </c>
      <c r="U905">
        <f t="shared" si="59"/>
        <v>0</v>
      </c>
    </row>
    <row r="906" x14ac:dyDescent="0.35">
      <c r="A906" s="21" t="str">
        <v/>
      </c>
      <c r="B906" s="23" t="str">
        <v/>
      </c>
      <c r="C906" t="str">
        <v/>
      </c>
      <c r="D906" t="str">
        <v/>
      </c>
      <c r="E906" t="str">
        <v/>
      </c>
      <c r="F906" t="str">
        <v/>
      </c>
      <c r="G906" t="str">
        <v/>
      </c>
      <c r="H906" t="str">
        <v/>
      </c>
      <c r="I906" s="2" t="str">
        <v/>
      </c>
      <c r="J906" s="2" t="str">
        <v/>
      </c>
      <c r="K906" s="2" t="str">
        <v/>
      </c>
      <c r="L906" s="1" t="str">
        <v/>
      </c>
      <c r="M906" s="2" t="str">
        <v/>
      </c>
      <c r="N906" s="1" t="str">
        <v/>
      </c>
      <c r="O906" s="1" t="str">
        <v/>
      </c>
      <c r="P906" s="1" t="str">
        <v/>
      </c>
      <c r="Q906" s="1">
        <f t="shared" si="56"/>
        <v>0</v>
      </c>
      <c r="R906" s="1">
        <f t="shared" si="57"/>
        <v>0</v>
      </c>
      <c r="T906">
        <f t="shared" si="58"/>
        <v>0</v>
      </c>
      <c r="U906">
        <f t="shared" si="59"/>
        <v>0</v>
      </c>
    </row>
    <row r="907" x14ac:dyDescent="0.35">
      <c r="A907" s="21" t="str">
        <v/>
      </c>
      <c r="B907" s="23" t="str">
        <v/>
      </c>
      <c r="C907" t="str">
        <v/>
      </c>
      <c r="D907" t="str">
        <v/>
      </c>
      <c r="E907" t="str">
        <v/>
      </c>
      <c r="F907" t="str">
        <v/>
      </c>
      <c r="G907" t="str">
        <v/>
      </c>
      <c r="H907" t="str">
        <v/>
      </c>
      <c r="I907" s="2" t="str">
        <v/>
      </c>
      <c r="J907" s="2" t="str">
        <v/>
      </c>
      <c r="K907" s="2" t="str">
        <v/>
      </c>
      <c r="L907" s="1" t="str">
        <v/>
      </c>
      <c r="M907" s="2" t="str">
        <v/>
      </c>
      <c r="N907" s="1" t="str">
        <v/>
      </c>
      <c r="O907" s="1" t="str">
        <v/>
      </c>
      <c r="P907" s="1" t="str">
        <v/>
      </c>
      <c r="Q907" s="1">
        <f t="shared" si="56"/>
        <v>0</v>
      </c>
      <c r="R907" s="1">
        <f t="shared" si="57"/>
        <v>0</v>
      </c>
      <c r="T907">
        <f t="shared" si="58"/>
        <v>0</v>
      </c>
      <c r="U907">
        <f t="shared" si="59"/>
        <v>0</v>
      </c>
    </row>
    <row r="908" x14ac:dyDescent="0.35">
      <c r="A908" s="21" t="str">
        <v/>
      </c>
      <c r="B908" s="23" t="str">
        <v/>
      </c>
      <c r="C908" t="str">
        <v/>
      </c>
      <c r="D908" t="str">
        <v/>
      </c>
      <c r="E908" t="str">
        <v/>
      </c>
      <c r="F908" t="str">
        <v/>
      </c>
      <c r="G908" t="str">
        <v/>
      </c>
      <c r="H908" t="str">
        <v/>
      </c>
      <c r="I908" s="2" t="str">
        <v/>
      </c>
      <c r="J908" s="2" t="str">
        <v/>
      </c>
      <c r="K908" s="2" t="str">
        <v/>
      </c>
      <c r="L908" s="1" t="str">
        <v/>
      </c>
      <c r="M908" s="2" t="str">
        <v/>
      </c>
      <c r="N908" s="1" t="str">
        <v/>
      </c>
      <c r="O908" s="1" t="str">
        <v/>
      </c>
      <c r="P908" s="1" t="str">
        <v/>
      </c>
      <c r="Q908" s="1">
        <f t="shared" si="56"/>
        <v>0</v>
      </c>
      <c r="R908" s="1">
        <f t="shared" si="57"/>
        <v>0</v>
      </c>
      <c r="T908">
        <f t="shared" si="58"/>
        <v>0</v>
      </c>
      <c r="U908">
        <f t="shared" si="59"/>
        <v>0</v>
      </c>
    </row>
    <row r="909" x14ac:dyDescent="0.35">
      <c r="A909" s="21" t="str">
        <v/>
      </c>
      <c r="B909" s="23" t="str">
        <v/>
      </c>
      <c r="C909" t="str">
        <v/>
      </c>
      <c r="D909" t="str">
        <v/>
      </c>
      <c r="E909" t="str">
        <v/>
      </c>
      <c r="F909" t="str">
        <v/>
      </c>
      <c r="G909" t="str">
        <v/>
      </c>
      <c r="H909" t="str">
        <v/>
      </c>
      <c r="I909" s="2" t="str">
        <v/>
      </c>
      <c r="J909" s="2" t="str">
        <v/>
      </c>
      <c r="K909" s="2" t="str">
        <v/>
      </c>
      <c r="L909" s="1" t="str">
        <v/>
      </c>
      <c r="M909" s="2" t="str">
        <v/>
      </c>
      <c r="N909" s="1" t="str">
        <v/>
      </c>
      <c r="O909" s="1" t="str">
        <v/>
      </c>
      <c r="P909" s="1" t="str">
        <v/>
      </c>
      <c r="Q909" s="1">
        <f t="shared" si="56"/>
        <v>0</v>
      </c>
      <c r="R909" s="1">
        <f t="shared" si="57"/>
        <v>0</v>
      </c>
      <c r="T909">
        <f t="shared" si="58"/>
        <v>0</v>
      </c>
      <c r="U909">
        <f t="shared" si="59"/>
        <v>0</v>
      </c>
    </row>
    <row r="910" x14ac:dyDescent="0.35">
      <c r="A910" s="21" t="str">
        <v/>
      </c>
      <c r="B910" s="23" t="str">
        <v/>
      </c>
      <c r="C910" t="str">
        <v/>
      </c>
      <c r="D910" t="str">
        <v/>
      </c>
      <c r="E910" t="str">
        <v/>
      </c>
      <c r="F910" t="str">
        <v/>
      </c>
      <c r="G910" t="str">
        <v/>
      </c>
      <c r="H910" t="str">
        <v/>
      </c>
      <c r="I910" s="2" t="str">
        <v/>
      </c>
      <c r="J910" s="2" t="str">
        <v/>
      </c>
      <c r="K910" s="2" t="str">
        <v/>
      </c>
      <c r="L910" s="1" t="str">
        <v/>
      </c>
      <c r="M910" s="2" t="str">
        <v/>
      </c>
      <c r="N910" s="1" t="str">
        <v/>
      </c>
      <c r="O910" s="1" t="str">
        <v/>
      </c>
      <c r="P910" s="1" t="str">
        <v/>
      </c>
      <c r="Q910" s="1">
        <f t="shared" si="56"/>
        <v>0</v>
      </c>
      <c r="R910" s="1">
        <f t="shared" si="57"/>
        <v>0</v>
      </c>
      <c r="T910">
        <f t="shared" si="58"/>
        <v>0</v>
      </c>
      <c r="U910">
        <f t="shared" si="59"/>
        <v>0</v>
      </c>
    </row>
    <row r="911" x14ac:dyDescent="0.35">
      <c r="A911" s="21" t="str">
        <v/>
      </c>
      <c r="B911" s="23" t="str">
        <v/>
      </c>
      <c r="C911" t="str">
        <v/>
      </c>
      <c r="D911" t="str">
        <v/>
      </c>
      <c r="E911" t="str">
        <v/>
      </c>
      <c r="F911" t="str">
        <v/>
      </c>
      <c r="G911" t="str">
        <v/>
      </c>
      <c r="H911" t="str">
        <v/>
      </c>
      <c r="I911" s="2" t="str">
        <v/>
      </c>
      <c r="J911" s="2" t="str">
        <v/>
      </c>
      <c r="K911" s="2" t="str">
        <v/>
      </c>
      <c r="L911" s="1" t="str">
        <v/>
      </c>
      <c r="M911" s="2" t="str">
        <v/>
      </c>
      <c r="N911" s="1" t="str">
        <v/>
      </c>
      <c r="O911" s="1" t="str">
        <v/>
      </c>
      <c r="P911" s="1" t="str">
        <v/>
      </c>
      <c r="Q911" s="1">
        <f t="shared" si="56"/>
        <v>0</v>
      </c>
      <c r="R911" s="1">
        <f t="shared" si="57"/>
        <v>0</v>
      </c>
      <c r="T911">
        <f t="shared" si="58"/>
        <v>0</v>
      </c>
      <c r="U911">
        <f t="shared" si="59"/>
        <v>0</v>
      </c>
    </row>
    <row r="912" x14ac:dyDescent="0.35">
      <c r="A912" s="21" t="str">
        <v/>
      </c>
      <c r="B912" s="23" t="str">
        <v/>
      </c>
      <c r="C912" t="str">
        <v/>
      </c>
      <c r="D912" t="str">
        <v/>
      </c>
      <c r="E912" t="str">
        <v/>
      </c>
      <c r="F912" t="str">
        <v/>
      </c>
      <c r="G912" t="str">
        <v/>
      </c>
      <c r="H912" t="str">
        <v/>
      </c>
      <c r="I912" s="2" t="str">
        <v/>
      </c>
      <c r="J912" s="2" t="str">
        <v/>
      </c>
      <c r="K912" s="2" t="str">
        <v/>
      </c>
      <c r="L912" s="1" t="str">
        <v/>
      </c>
      <c r="M912" s="2" t="str">
        <v/>
      </c>
      <c r="N912" s="1" t="str">
        <v/>
      </c>
      <c r="O912" s="1" t="str">
        <v/>
      </c>
      <c r="P912" s="1" t="str">
        <v/>
      </c>
      <c r="Q912" s="1">
        <f t="shared" si="56"/>
        <v>0</v>
      </c>
      <c r="R912" s="1">
        <f t="shared" si="57"/>
        <v>0</v>
      </c>
      <c r="T912">
        <f t="shared" si="58"/>
        <v>0</v>
      </c>
      <c r="U912">
        <f t="shared" si="59"/>
        <v>0</v>
      </c>
    </row>
    <row r="913" x14ac:dyDescent="0.35">
      <c r="A913" s="21" t="str">
        <v/>
      </c>
      <c r="B913" s="23" t="str">
        <v/>
      </c>
      <c r="C913" t="str">
        <v/>
      </c>
      <c r="D913" t="str">
        <v/>
      </c>
      <c r="E913" t="str">
        <v/>
      </c>
      <c r="F913" t="str">
        <v/>
      </c>
      <c r="G913" t="str">
        <v/>
      </c>
      <c r="H913" t="str">
        <v/>
      </c>
      <c r="I913" s="2" t="str">
        <v/>
      </c>
      <c r="J913" s="2" t="str">
        <v/>
      </c>
      <c r="K913" s="2" t="str">
        <v/>
      </c>
      <c r="L913" s="1" t="str">
        <v/>
      </c>
      <c r="M913" s="2" t="str">
        <v/>
      </c>
      <c r="N913" s="1" t="str">
        <v/>
      </c>
      <c r="O913" s="1" t="str">
        <v/>
      </c>
      <c r="P913" s="1" t="str">
        <v/>
      </c>
      <c r="Q913" s="1">
        <f t="shared" si="56"/>
        <v>0</v>
      </c>
      <c r="R913" s="1">
        <f t="shared" si="57"/>
        <v>0</v>
      </c>
      <c r="T913">
        <f t="shared" si="58"/>
        <v>0</v>
      </c>
      <c r="U913">
        <f t="shared" si="59"/>
        <v>0</v>
      </c>
    </row>
    <row r="914" x14ac:dyDescent="0.35">
      <c r="A914" s="21" t="str">
        <v/>
      </c>
      <c r="B914" s="23" t="str">
        <v/>
      </c>
      <c r="C914" t="str">
        <v/>
      </c>
      <c r="D914" t="str">
        <v/>
      </c>
      <c r="E914" t="str">
        <v/>
      </c>
      <c r="F914" t="str">
        <v/>
      </c>
      <c r="G914" t="str">
        <v/>
      </c>
      <c r="H914" t="str">
        <v/>
      </c>
      <c r="I914" s="2" t="str">
        <v/>
      </c>
      <c r="J914" s="2" t="str">
        <v/>
      </c>
      <c r="K914" s="2" t="str">
        <v/>
      </c>
      <c r="L914" s="1" t="str">
        <v/>
      </c>
      <c r="M914" s="2" t="str">
        <v/>
      </c>
      <c r="N914" s="1" t="str">
        <v/>
      </c>
      <c r="O914" s="1" t="str">
        <v/>
      </c>
      <c r="P914" s="1" t="str">
        <v/>
      </c>
      <c r="Q914" s="1">
        <f t="shared" si="56"/>
        <v>0</v>
      </c>
      <c r="R914" s="1">
        <f t="shared" si="57"/>
        <v>0</v>
      </c>
      <c r="T914">
        <f t="shared" si="58"/>
        <v>0</v>
      </c>
      <c r="U914">
        <f t="shared" si="59"/>
        <v>0</v>
      </c>
    </row>
    <row r="915" x14ac:dyDescent="0.35">
      <c r="A915" s="21" t="str">
        <v/>
      </c>
      <c r="B915" s="23" t="str">
        <v/>
      </c>
      <c r="C915" t="str">
        <v/>
      </c>
      <c r="D915" t="str">
        <v/>
      </c>
      <c r="E915" t="str">
        <v/>
      </c>
      <c r="F915" t="str">
        <v/>
      </c>
      <c r="G915" t="str">
        <v/>
      </c>
      <c r="H915" t="str">
        <v/>
      </c>
      <c r="I915" s="2" t="str">
        <v/>
      </c>
      <c r="J915" s="2" t="str">
        <v/>
      </c>
      <c r="K915" s="2" t="str">
        <v/>
      </c>
      <c r="L915" s="1" t="str">
        <v/>
      </c>
      <c r="M915" s="2" t="str">
        <v/>
      </c>
      <c r="N915" s="1" t="str">
        <v/>
      </c>
      <c r="O915" s="1" t="str">
        <v/>
      </c>
      <c r="P915" s="1" t="str">
        <v/>
      </c>
      <c r="Q915" s="1">
        <f t="shared" si="56"/>
        <v>0</v>
      </c>
      <c r="R915" s="1">
        <f t="shared" si="57"/>
        <v>0</v>
      </c>
      <c r="T915">
        <f t="shared" si="58"/>
        <v>0</v>
      </c>
      <c r="U915">
        <f t="shared" si="59"/>
        <v>0</v>
      </c>
    </row>
    <row r="916" x14ac:dyDescent="0.35">
      <c r="A916" s="21" t="str">
        <v/>
      </c>
      <c r="B916" s="23" t="str">
        <v/>
      </c>
      <c r="C916" t="str">
        <v/>
      </c>
      <c r="D916" t="str">
        <v/>
      </c>
      <c r="E916" t="str">
        <v/>
      </c>
      <c r="F916" t="str">
        <v/>
      </c>
      <c r="G916" t="str">
        <v/>
      </c>
      <c r="H916" t="str">
        <v/>
      </c>
      <c r="I916" s="2" t="str">
        <v/>
      </c>
      <c r="J916" s="2" t="str">
        <v/>
      </c>
      <c r="K916" s="2" t="str">
        <v/>
      </c>
      <c r="L916" s="1" t="str">
        <v/>
      </c>
      <c r="M916" s="2" t="str">
        <v/>
      </c>
      <c r="N916" s="1" t="str">
        <v/>
      </c>
      <c r="O916" s="1" t="str">
        <v/>
      </c>
      <c r="P916" s="1" t="str">
        <v/>
      </c>
      <c r="Q916" s="1">
        <f t="shared" si="56"/>
        <v>0</v>
      </c>
      <c r="R916" s="1">
        <f t="shared" si="57"/>
        <v>0</v>
      </c>
      <c r="T916">
        <f t="shared" si="58"/>
        <v>0</v>
      </c>
      <c r="U916">
        <f t="shared" si="59"/>
        <v>0</v>
      </c>
    </row>
    <row r="917" x14ac:dyDescent="0.35">
      <c r="A917" s="21" t="str">
        <v/>
      </c>
      <c r="B917" s="23" t="str">
        <v/>
      </c>
      <c r="C917" t="str">
        <v/>
      </c>
      <c r="D917" t="str">
        <v/>
      </c>
      <c r="E917" t="str">
        <v/>
      </c>
      <c r="F917" t="str">
        <v/>
      </c>
      <c r="G917" t="str">
        <v/>
      </c>
      <c r="H917" t="str">
        <v/>
      </c>
      <c r="I917" s="2" t="str">
        <v/>
      </c>
      <c r="J917" s="2" t="str">
        <v/>
      </c>
      <c r="K917" s="2" t="str">
        <v/>
      </c>
      <c r="L917" s="1" t="str">
        <v/>
      </c>
      <c r="M917" s="2" t="str">
        <v/>
      </c>
      <c r="N917" s="1" t="str">
        <v/>
      </c>
      <c r="O917" s="1" t="str">
        <v/>
      </c>
      <c r="P917" s="1" t="str">
        <v/>
      </c>
      <c r="Q917" s="1">
        <f t="shared" si="56"/>
        <v>0</v>
      </c>
      <c r="R917" s="1">
        <f t="shared" si="57"/>
        <v>0</v>
      </c>
      <c r="T917">
        <f t="shared" si="58"/>
        <v>0</v>
      </c>
      <c r="U917">
        <f t="shared" si="59"/>
        <v>0</v>
      </c>
    </row>
    <row r="918" x14ac:dyDescent="0.35">
      <c r="A918" s="21" t="str">
        <v/>
      </c>
      <c r="B918" s="23" t="str">
        <v/>
      </c>
      <c r="C918" t="str">
        <v/>
      </c>
      <c r="D918" t="str">
        <v/>
      </c>
      <c r="E918" t="str">
        <v/>
      </c>
      <c r="F918" t="str">
        <v/>
      </c>
      <c r="G918" t="str">
        <v/>
      </c>
      <c r="H918" t="str">
        <v/>
      </c>
      <c r="I918" s="2" t="str">
        <v/>
      </c>
      <c r="J918" s="2" t="str">
        <v/>
      </c>
      <c r="K918" s="2" t="str">
        <v/>
      </c>
      <c r="L918" s="1" t="str">
        <v/>
      </c>
      <c r="M918" s="2" t="str">
        <v/>
      </c>
      <c r="N918" s="1" t="str">
        <v/>
      </c>
      <c r="O918" s="1" t="str">
        <v/>
      </c>
      <c r="P918" s="1" t="str">
        <v/>
      </c>
      <c r="Q918" s="1">
        <f t="shared" si="56"/>
        <v>0</v>
      </c>
      <c r="R918" s="1">
        <f t="shared" si="57"/>
        <v>0</v>
      </c>
      <c r="T918">
        <f t="shared" si="58"/>
        <v>0</v>
      </c>
      <c r="U918">
        <f t="shared" si="59"/>
        <v>0</v>
      </c>
    </row>
    <row r="919" x14ac:dyDescent="0.35">
      <c r="A919" s="21" t="str">
        <v/>
      </c>
      <c r="B919" s="23" t="str">
        <v/>
      </c>
      <c r="C919" t="str">
        <v/>
      </c>
      <c r="D919" t="str">
        <v/>
      </c>
      <c r="E919" t="str">
        <v/>
      </c>
      <c r="F919" t="str">
        <v/>
      </c>
      <c r="G919" t="str">
        <v/>
      </c>
      <c r="H919" t="str">
        <v/>
      </c>
      <c r="I919" s="2" t="str">
        <v/>
      </c>
      <c r="J919" s="2" t="str">
        <v/>
      </c>
      <c r="K919" s="2" t="str">
        <v/>
      </c>
      <c r="L919" s="1" t="str">
        <v/>
      </c>
      <c r="M919" s="2" t="str">
        <v/>
      </c>
      <c r="N919" s="1" t="str">
        <v/>
      </c>
      <c r="O919" s="1" t="str">
        <v/>
      </c>
      <c r="P919" s="1" t="str">
        <v/>
      </c>
      <c r="Q919" s="1">
        <f t="shared" si="56"/>
        <v>0</v>
      </c>
      <c r="R919" s="1">
        <f t="shared" si="57"/>
        <v>0</v>
      </c>
      <c r="T919">
        <f t="shared" si="58"/>
        <v>0</v>
      </c>
      <c r="U919">
        <f t="shared" si="59"/>
        <v>0</v>
      </c>
    </row>
    <row r="920" x14ac:dyDescent="0.35">
      <c r="A920" s="21" t="str">
        <v/>
      </c>
      <c r="B920" s="23" t="str">
        <v/>
      </c>
      <c r="C920" t="str">
        <v/>
      </c>
      <c r="D920" t="str">
        <v/>
      </c>
      <c r="E920" t="str">
        <v/>
      </c>
      <c r="F920" t="str">
        <v/>
      </c>
      <c r="G920" t="str">
        <v/>
      </c>
      <c r="H920" t="str">
        <v/>
      </c>
      <c r="I920" s="2" t="str">
        <v/>
      </c>
      <c r="J920" s="2" t="str">
        <v/>
      </c>
      <c r="K920" s="2" t="str">
        <v/>
      </c>
      <c r="L920" s="1" t="str">
        <v/>
      </c>
      <c r="M920" s="2" t="str">
        <v/>
      </c>
      <c r="N920" s="1" t="str">
        <v/>
      </c>
      <c r="O920" s="1" t="str">
        <v/>
      </c>
      <c r="P920" s="1" t="str">
        <v/>
      </c>
      <c r="Q920" s="1">
        <f t="shared" si="56"/>
        <v>0</v>
      </c>
      <c r="R920" s="1">
        <f t="shared" si="57"/>
        <v>0</v>
      </c>
      <c r="T920">
        <f t="shared" si="58"/>
        <v>0</v>
      </c>
      <c r="U920">
        <f t="shared" si="59"/>
        <v>0</v>
      </c>
    </row>
    <row r="921" x14ac:dyDescent="0.35">
      <c r="A921" s="21" t="str">
        <v/>
      </c>
      <c r="B921" s="23" t="str">
        <v/>
      </c>
      <c r="C921" t="str">
        <v/>
      </c>
      <c r="D921" t="str">
        <v/>
      </c>
      <c r="E921" t="str">
        <v/>
      </c>
      <c r="F921" t="str">
        <v/>
      </c>
      <c r="G921" t="str">
        <v/>
      </c>
      <c r="H921" t="str">
        <v/>
      </c>
      <c r="I921" s="2" t="str">
        <v/>
      </c>
      <c r="J921" s="2" t="str">
        <v/>
      </c>
      <c r="K921" s="2" t="str">
        <v/>
      </c>
      <c r="L921" s="1" t="str">
        <v/>
      </c>
      <c r="M921" s="2" t="str">
        <v/>
      </c>
      <c r="N921" s="1" t="str">
        <v/>
      </c>
      <c r="O921" s="1" t="str">
        <v/>
      </c>
      <c r="P921" s="1" t="str">
        <v/>
      </c>
      <c r="Q921" s="1">
        <f t="shared" si="56"/>
        <v>0</v>
      </c>
      <c r="R921" s="1">
        <f t="shared" si="57"/>
        <v>0</v>
      </c>
      <c r="T921">
        <f t="shared" si="58"/>
        <v>0</v>
      </c>
      <c r="U921">
        <f t="shared" si="59"/>
        <v>0</v>
      </c>
    </row>
    <row r="922" x14ac:dyDescent="0.35">
      <c r="A922" s="21" t="str">
        <v/>
      </c>
      <c r="B922" s="23" t="str">
        <v/>
      </c>
      <c r="C922" t="str">
        <v/>
      </c>
      <c r="D922" t="str">
        <v/>
      </c>
      <c r="E922" t="str">
        <v/>
      </c>
      <c r="F922" t="str">
        <v/>
      </c>
      <c r="G922" t="str">
        <v/>
      </c>
      <c r="H922" t="str">
        <v/>
      </c>
      <c r="I922" s="2" t="str">
        <v/>
      </c>
      <c r="J922" s="2" t="str">
        <v/>
      </c>
      <c r="K922" s="2" t="str">
        <v/>
      </c>
      <c r="L922" s="1" t="str">
        <v/>
      </c>
      <c r="M922" s="2" t="str">
        <v/>
      </c>
      <c r="N922" s="1" t="str">
        <v/>
      </c>
      <c r="O922" s="1" t="str">
        <v/>
      </c>
      <c r="P922" s="1" t="str">
        <v/>
      </c>
      <c r="Q922" s="1">
        <f t="shared" si="56"/>
        <v>0</v>
      </c>
      <c r="R922" s="1">
        <f t="shared" si="57"/>
        <v>0</v>
      </c>
      <c r="T922">
        <f t="shared" si="58"/>
        <v>0</v>
      </c>
      <c r="U922">
        <f t="shared" si="59"/>
        <v>0</v>
      </c>
    </row>
    <row r="923" x14ac:dyDescent="0.35">
      <c r="A923" s="21" t="str">
        <v/>
      </c>
      <c r="B923" s="23" t="str">
        <v/>
      </c>
      <c r="C923" t="str">
        <v/>
      </c>
      <c r="D923" t="str">
        <v/>
      </c>
      <c r="E923" t="str">
        <v/>
      </c>
      <c r="F923" t="str">
        <v/>
      </c>
      <c r="G923" t="str">
        <v/>
      </c>
      <c r="H923" t="str">
        <v/>
      </c>
      <c r="I923" s="2" t="str">
        <v/>
      </c>
      <c r="J923" s="2" t="str">
        <v/>
      </c>
      <c r="K923" s="2" t="str">
        <v/>
      </c>
      <c r="L923" s="1" t="str">
        <v/>
      </c>
      <c r="M923" s="2" t="str">
        <v/>
      </c>
      <c r="N923" s="1" t="str">
        <v/>
      </c>
      <c r="O923" s="1" t="str">
        <v/>
      </c>
      <c r="P923" s="1" t="str">
        <v/>
      </c>
      <c r="Q923" s="1">
        <f t="shared" si="56"/>
        <v>0</v>
      </c>
      <c r="R923" s="1">
        <f t="shared" si="57"/>
        <v>0</v>
      </c>
      <c r="T923">
        <f t="shared" si="58"/>
        <v>0</v>
      </c>
      <c r="U923">
        <f t="shared" si="59"/>
        <v>0</v>
      </c>
    </row>
    <row r="924" x14ac:dyDescent="0.35">
      <c r="A924" s="21" t="str">
        <v/>
      </c>
      <c r="B924" s="23" t="str">
        <v/>
      </c>
      <c r="C924" t="str">
        <v/>
      </c>
      <c r="D924" t="str">
        <v/>
      </c>
      <c r="E924" t="str">
        <v/>
      </c>
      <c r="F924" t="str">
        <v/>
      </c>
      <c r="G924" t="str">
        <v/>
      </c>
      <c r="H924" t="str">
        <v/>
      </c>
      <c r="I924" s="2" t="str">
        <v/>
      </c>
      <c r="J924" s="2" t="str">
        <v/>
      </c>
      <c r="K924" s="2" t="str">
        <v/>
      </c>
      <c r="L924" s="1" t="str">
        <v/>
      </c>
      <c r="M924" s="2" t="str">
        <v/>
      </c>
      <c r="N924" s="1" t="str">
        <v/>
      </c>
      <c r="O924" s="1" t="str">
        <v/>
      </c>
      <c r="P924" s="1" t="str">
        <v/>
      </c>
      <c r="Q924" s="1">
        <f t="shared" si="56"/>
        <v>0</v>
      </c>
      <c r="R924" s="1">
        <f t="shared" si="57"/>
        <v>0</v>
      </c>
      <c r="T924">
        <f t="shared" si="58"/>
        <v>0</v>
      </c>
      <c r="U924">
        <f t="shared" si="59"/>
        <v>0</v>
      </c>
    </row>
    <row r="925" x14ac:dyDescent="0.35">
      <c r="A925" s="21" t="str">
        <v/>
      </c>
      <c r="B925" s="23" t="str">
        <v/>
      </c>
      <c r="C925" t="str">
        <v/>
      </c>
      <c r="D925" t="str">
        <v/>
      </c>
      <c r="E925" t="str">
        <v/>
      </c>
      <c r="F925" t="str">
        <v/>
      </c>
      <c r="G925" t="str">
        <v/>
      </c>
      <c r="H925" t="str">
        <v/>
      </c>
      <c r="I925" s="2" t="str">
        <v/>
      </c>
      <c r="J925" s="2" t="str">
        <v/>
      </c>
      <c r="K925" s="2" t="str">
        <v/>
      </c>
      <c r="L925" s="1" t="str">
        <v/>
      </c>
      <c r="M925" s="2" t="str">
        <v/>
      </c>
      <c r="N925" s="1" t="str">
        <v/>
      </c>
      <c r="O925" s="1" t="str">
        <v/>
      </c>
      <c r="P925" s="1" t="str">
        <v/>
      </c>
      <c r="Q925" s="1">
        <f t="shared" si="56"/>
        <v>0</v>
      </c>
      <c r="R925" s="1">
        <f t="shared" si="57"/>
        <v>0</v>
      </c>
      <c r="T925">
        <f t="shared" si="58"/>
        <v>0</v>
      </c>
      <c r="U925">
        <f t="shared" si="59"/>
        <v>0</v>
      </c>
    </row>
    <row r="926" x14ac:dyDescent="0.35">
      <c r="A926" s="21" t="str">
        <v/>
      </c>
      <c r="B926" s="23" t="str">
        <v/>
      </c>
      <c r="C926" t="str">
        <v/>
      </c>
      <c r="D926" t="str">
        <v/>
      </c>
      <c r="E926" t="str">
        <v/>
      </c>
      <c r="F926" t="str">
        <v/>
      </c>
      <c r="G926" t="str">
        <v/>
      </c>
      <c r="H926" t="str">
        <v/>
      </c>
      <c r="I926" s="2" t="str">
        <v/>
      </c>
      <c r="J926" s="2" t="str">
        <v/>
      </c>
      <c r="K926" s="2" t="str">
        <v/>
      </c>
      <c r="L926" s="1" t="str">
        <v/>
      </c>
      <c r="M926" s="2" t="str">
        <v/>
      </c>
      <c r="N926" s="1" t="str">
        <v/>
      </c>
      <c r="O926" s="1" t="str">
        <v/>
      </c>
      <c r="P926" s="1" t="str">
        <v/>
      </c>
      <c r="Q926" s="1">
        <f t="shared" si="56"/>
        <v>0</v>
      </c>
      <c r="R926" s="1">
        <f t="shared" si="57"/>
        <v>0</v>
      </c>
      <c r="T926">
        <f t="shared" si="58"/>
        <v>0</v>
      </c>
      <c r="U926">
        <f t="shared" si="59"/>
        <v>0</v>
      </c>
    </row>
    <row r="927" x14ac:dyDescent="0.35">
      <c r="A927" s="21" t="str">
        <v/>
      </c>
      <c r="B927" s="23" t="str">
        <v/>
      </c>
      <c r="C927" t="str">
        <v/>
      </c>
      <c r="D927" t="str">
        <v/>
      </c>
      <c r="E927" t="str">
        <v/>
      </c>
      <c r="F927" t="str">
        <v/>
      </c>
      <c r="G927" t="str">
        <v/>
      </c>
      <c r="H927" t="str">
        <v/>
      </c>
      <c r="I927" s="2" t="str">
        <v/>
      </c>
      <c r="J927" s="2" t="str">
        <v/>
      </c>
      <c r="K927" s="2" t="str">
        <v/>
      </c>
      <c r="L927" s="1" t="str">
        <v/>
      </c>
      <c r="M927" s="2" t="str">
        <v/>
      </c>
      <c r="N927" s="1" t="str">
        <v/>
      </c>
      <c r="O927" s="1" t="str">
        <v/>
      </c>
      <c r="P927" s="1" t="str">
        <v/>
      </c>
      <c r="Q927" s="1">
        <f t="shared" si="56"/>
        <v>0</v>
      </c>
      <c r="R927" s="1">
        <f t="shared" si="57"/>
        <v>0</v>
      </c>
      <c r="T927">
        <f t="shared" si="58"/>
        <v>0</v>
      </c>
      <c r="U927">
        <f t="shared" si="59"/>
        <v>0</v>
      </c>
    </row>
    <row r="928" x14ac:dyDescent="0.35">
      <c r="A928" s="21" t="str">
        <v/>
      </c>
      <c r="B928" s="23" t="str">
        <v/>
      </c>
      <c r="C928" t="str">
        <v/>
      </c>
      <c r="D928" t="str">
        <v/>
      </c>
      <c r="E928" t="str">
        <v/>
      </c>
      <c r="F928" t="str">
        <v/>
      </c>
      <c r="G928" t="str">
        <v/>
      </c>
      <c r="H928" t="str">
        <v/>
      </c>
      <c r="I928" s="2" t="str">
        <v/>
      </c>
      <c r="J928" s="2" t="str">
        <v/>
      </c>
      <c r="K928" s="2" t="str">
        <v/>
      </c>
      <c r="L928" s="1" t="str">
        <v/>
      </c>
      <c r="M928" s="2" t="str">
        <v/>
      </c>
      <c r="N928" s="1" t="str">
        <v/>
      </c>
      <c r="O928" s="1" t="str">
        <v/>
      </c>
      <c r="P928" s="1" t="str">
        <v/>
      </c>
      <c r="Q928" s="1">
        <f t="shared" si="56"/>
        <v>0</v>
      </c>
      <c r="R928" s="1">
        <f t="shared" si="57"/>
        <v>0</v>
      </c>
      <c r="T928">
        <f t="shared" si="58"/>
        <v>0</v>
      </c>
      <c r="U928">
        <f t="shared" si="59"/>
        <v>0</v>
      </c>
    </row>
    <row r="929" x14ac:dyDescent="0.35">
      <c r="A929" s="21" t="str">
        <v/>
      </c>
      <c r="B929" s="23" t="str">
        <v/>
      </c>
      <c r="C929" t="str">
        <v/>
      </c>
      <c r="D929" t="str">
        <v/>
      </c>
      <c r="E929" t="str">
        <v/>
      </c>
      <c r="F929" t="str">
        <v/>
      </c>
      <c r="G929" t="str">
        <v/>
      </c>
      <c r="H929" t="str">
        <v/>
      </c>
      <c r="I929" s="2" t="str">
        <v/>
      </c>
      <c r="J929" s="2" t="str">
        <v/>
      </c>
      <c r="K929" s="2" t="str">
        <v/>
      </c>
      <c r="L929" s="1" t="str">
        <v/>
      </c>
      <c r="M929" s="2" t="str">
        <v/>
      </c>
      <c r="N929" s="1" t="str">
        <v/>
      </c>
      <c r="O929" s="1" t="str">
        <v/>
      </c>
      <c r="P929" s="1" t="str">
        <v/>
      </c>
      <c r="Q929" s="1">
        <f t="shared" si="56"/>
        <v>0</v>
      </c>
      <c r="R929" s="1">
        <f t="shared" si="57"/>
        <v>0</v>
      </c>
      <c r="T929">
        <f t="shared" si="58"/>
        <v>0</v>
      </c>
      <c r="U929">
        <f t="shared" si="59"/>
        <v>0</v>
      </c>
    </row>
    <row r="930" x14ac:dyDescent="0.35">
      <c r="A930" s="21" t="str">
        <v/>
      </c>
      <c r="B930" s="23" t="str">
        <v/>
      </c>
      <c r="C930" t="str">
        <v/>
      </c>
      <c r="D930" t="str">
        <v/>
      </c>
      <c r="E930" t="str">
        <v/>
      </c>
      <c r="F930" t="str">
        <v/>
      </c>
      <c r="G930" t="str">
        <v/>
      </c>
      <c r="H930" t="str">
        <v/>
      </c>
      <c r="I930" s="2" t="str">
        <v/>
      </c>
      <c r="J930" s="2" t="str">
        <v/>
      </c>
      <c r="K930" s="2" t="str">
        <v/>
      </c>
      <c r="L930" s="1" t="str">
        <v/>
      </c>
      <c r="M930" s="2" t="str">
        <v/>
      </c>
      <c r="N930" s="1" t="str">
        <v/>
      </c>
      <c r="O930" s="1" t="str">
        <v/>
      </c>
      <c r="P930" s="1" t="str">
        <v/>
      </c>
      <c r="Q930" s="1">
        <f t="shared" si="56"/>
        <v>0</v>
      </c>
      <c r="R930" s="1">
        <f t="shared" si="57"/>
        <v>0</v>
      </c>
      <c r="T930">
        <f t="shared" si="58"/>
        <v>0</v>
      </c>
      <c r="U930">
        <f t="shared" si="59"/>
        <v>0</v>
      </c>
    </row>
    <row r="931" x14ac:dyDescent="0.35">
      <c r="A931" s="21" t="str">
        <v/>
      </c>
      <c r="B931" s="23" t="str">
        <v/>
      </c>
      <c r="C931" t="str">
        <v/>
      </c>
      <c r="D931" t="str">
        <v/>
      </c>
      <c r="E931" t="str">
        <v/>
      </c>
      <c r="F931" t="str">
        <v/>
      </c>
      <c r="G931" t="str">
        <v/>
      </c>
      <c r="H931" t="str">
        <v/>
      </c>
      <c r="I931" s="2" t="str">
        <v/>
      </c>
      <c r="J931" s="2" t="str">
        <v/>
      </c>
      <c r="K931" s="2" t="str">
        <v/>
      </c>
      <c r="L931" s="1" t="str">
        <v/>
      </c>
      <c r="M931" s="2" t="str">
        <v/>
      </c>
      <c r="N931" s="1" t="str">
        <v/>
      </c>
      <c r="O931" s="1" t="str">
        <v/>
      </c>
      <c r="P931" s="1" t="str">
        <v/>
      </c>
      <c r="Q931" s="1">
        <f t="shared" si="56"/>
        <v>0</v>
      </c>
      <c r="R931" s="1">
        <f t="shared" si="57"/>
        <v>0</v>
      </c>
      <c r="T931">
        <f t="shared" si="58"/>
        <v>0</v>
      </c>
      <c r="U931">
        <f t="shared" si="59"/>
        <v>0</v>
      </c>
    </row>
    <row r="932" x14ac:dyDescent="0.35">
      <c r="A932" s="21" t="str">
        <v/>
      </c>
      <c r="B932" s="23" t="str">
        <v/>
      </c>
      <c r="C932" t="str">
        <v/>
      </c>
      <c r="D932" t="str">
        <v/>
      </c>
      <c r="E932" t="str">
        <v/>
      </c>
      <c r="F932" t="str">
        <v/>
      </c>
      <c r="G932" t="str">
        <v/>
      </c>
      <c r="H932" t="str">
        <v/>
      </c>
      <c r="I932" s="2" t="str">
        <v/>
      </c>
      <c r="J932" s="2" t="str">
        <v/>
      </c>
      <c r="K932" s="2" t="str">
        <v/>
      </c>
      <c r="L932" s="1" t="str">
        <v/>
      </c>
      <c r="M932" s="2" t="str">
        <v/>
      </c>
      <c r="N932" s="1" t="str">
        <v/>
      </c>
      <c r="O932" s="1" t="str">
        <v/>
      </c>
      <c r="P932" s="1" t="str">
        <v/>
      </c>
      <c r="Q932" s="1">
        <f t="shared" si="56"/>
        <v>0</v>
      </c>
      <c r="R932" s="1">
        <f t="shared" si="57"/>
        <v>0</v>
      </c>
      <c r="T932">
        <f t="shared" si="58"/>
        <v>0</v>
      </c>
      <c r="U932">
        <f t="shared" si="59"/>
        <v>0</v>
      </c>
    </row>
    <row r="933" x14ac:dyDescent="0.35">
      <c r="A933" s="21" t="str">
        <v/>
      </c>
      <c r="B933" s="23" t="str">
        <v/>
      </c>
      <c r="C933" t="str">
        <v/>
      </c>
      <c r="D933" t="str">
        <v/>
      </c>
      <c r="E933" t="str">
        <v/>
      </c>
      <c r="F933" t="str">
        <v/>
      </c>
      <c r="G933" t="str">
        <v/>
      </c>
      <c r="H933" t="str">
        <v/>
      </c>
      <c r="I933" s="2" t="str">
        <v/>
      </c>
      <c r="J933" s="2" t="str">
        <v/>
      </c>
      <c r="K933" s="2" t="str">
        <v/>
      </c>
      <c r="L933" s="1" t="str">
        <v/>
      </c>
      <c r="M933" s="2" t="str">
        <v/>
      </c>
      <c r="N933" s="1" t="str">
        <v/>
      </c>
      <c r="O933" s="1" t="str">
        <v/>
      </c>
      <c r="P933" s="1" t="str">
        <v/>
      </c>
      <c r="Q933" s="1">
        <f t="shared" si="56"/>
        <v>0</v>
      </c>
      <c r="R933" s="1">
        <f t="shared" si="57"/>
        <v>0</v>
      </c>
      <c r="T933">
        <f t="shared" si="58"/>
        <v>0</v>
      </c>
      <c r="U933">
        <f t="shared" si="59"/>
        <v>0</v>
      </c>
    </row>
    <row r="934" x14ac:dyDescent="0.35">
      <c r="A934" s="21" t="str">
        <v/>
      </c>
      <c r="B934" s="23" t="str">
        <v/>
      </c>
      <c r="C934" t="str">
        <v/>
      </c>
      <c r="D934" t="str">
        <v/>
      </c>
      <c r="E934" t="str">
        <v/>
      </c>
      <c r="F934" t="str">
        <v/>
      </c>
      <c r="G934" t="str">
        <v/>
      </c>
      <c r="H934" t="str">
        <v/>
      </c>
      <c r="I934" s="2" t="str">
        <v/>
      </c>
      <c r="J934" s="2" t="str">
        <v/>
      </c>
      <c r="K934" s="2" t="str">
        <v/>
      </c>
      <c r="L934" s="1" t="str">
        <v/>
      </c>
      <c r="M934" s="2" t="str">
        <v/>
      </c>
      <c r="N934" s="1" t="str">
        <v/>
      </c>
      <c r="O934" s="1" t="str">
        <v/>
      </c>
      <c r="P934" s="1" t="str">
        <v/>
      </c>
      <c r="Q934" s="1">
        <f t="shared" si="56"/>
        <v>0</v>
      </c>
      <c r="R934" s="1">
        <f t="shared" si="57"/>
        <v>0</v>
      </c>
      <c r="T934">
        <f t="shared" si="58"/>
        <v>0</v>
      </c>
      <c r="U934">
        <f t="shared" si="59"/>
        <v>0</v>
      </c>
    </row>
    <row r="935" x14ac:dyDescent="0.35">
      <c r="A935" s="21" t="str">
        <v/>
      </c>
      <c r="B935" s="23" t="str">
        <v/>
      </c>
      <c r="C935" t="str">
        <v/>
      </c>
      <c r="D935" t="str">
        <v/>
      </c>
      <c r="E935" t="str">
        <v/>
      </c>
      <c r="F935" t="str">
        <v/>
      </c>
      <c r="G935" t="str">
        <v/>
      </c>
      <c r="H935" t="str">
        <v/>
      </c>
      <c r="I935" s="2" t="str">
        <v/>
      </c>
      <c r="J935" s="2" t="str">
        <v/>
      </c>
      <c r="K935" s="2" t="str">
        <v/>
      </c>
      <c r="L935" s="1" t="str">
        <v/>
      </c>
      <c r="M935" s="2" t="str">
        <v/>
      </c>
      <c r="N935" s="1" t="str">
        <v/>
      </c>
      <c r="O935" s="1" t="str">
        <v/>
      </c>
      <c r="P935" s="1" t="str">
        <v/>
      </c>
      <c r="Q935" s="1">
        <f t="shared" si="56"/>
        <v>0</v>
      </c>
      <c r="R935" s="1">
        <f t="shared" si="57"/>
        <v>0</v>
      </c>
      <c r="T935">
        <f t="shared" si="58"/>
        <v>0</v>
      </c>
      <c r="U935">
        <f t="shared" si="59"/>
        <v>0</v>
      </c>
    </row>
    <row r="936" x14ac:dyDescent="0.35">
      <c r="A936" s="21" t="str">
        <v/>
      </c>
      <c r="B936" s="23" t="str">
        <v/>
      </c>
      <c r="C936" t="str">
        <v/>
      </c>
      <c r="D936" t="str">
        <v/>
      </c>
      <c r="E936" t="str">
        <v/>
      </c>
      <c r="F936" t="str">
        <v/>
      </c>
      <c r="G936" t="str">
        <v/>
      </c>
      <c r="H936" t="str">
        <v/>
      </c>
      <c r="I936" s="2" t="str">
        <v/>
      </c>
      <c r="J936" s="2" t="str">
        <v/>
      </c>
      <c r="K936" s="2" t="str">
        <v/>
      </c>
      <c r="L936" s="1" t="str">
        <v/>
      </c>
      <c r="M936" s="2" t="str">
        <v/>
      </c>
      <c r="N936" s="1" t="str">
        <v/>
      </c>
      <c r="O936" s="1" t="str">
        <v/>
      </c>
      <c r="P936" s="1" t="str">
        <v/>
      </c>
      <c r="Q936" s="1">
        <f t="shared" si="56"/>
        <v>0</v>
      </c>
      <c r="R936" s="1">
        <f t="shared" si="57"/>
        <v>0</v>
      </c>
      <c r="T936">
        <f t="shared" si="58"/>
        <v>0</v>
      </c>
      <c r="U936">
        <f t="shared" si="59"/>
        <v>0</v>
      </c>
    </row>
    <row r="937" x14ac:dyDescent="0.35">
      <c r="A937" s="21" t="str">
        <v/>
      </c>
      <c r="B937" s="23" t="str">
        <v/>
      </c>
      <c r="C937" t="str">
        <v/>
      </c>
      <c r="D937" t="str">
        <v/>
      </c>
      <c r="E937" t="str">
        <v/>
      </c>
      <c r="F937" t="str">
        <v/>
      </c>
      <c r="G937" t="str">
        <v/>
      </c>
      <c r="H937" t="str">
        <v/>
      </c>
      <c r="I937" s="2" t="str">
        <v/>
      </c>
      <c r="J937" s="2" t="str">
        <v/>
      </c>
      <c r="K937" s="2" t="str">
        <v/>
      </c>
      <c r="L937" s="1" t="str">
        <v/>
      </c>
      <c r="M937" s="2" t="str">
        <v/>
      </c>
      <c r="N937" s="1" t="str">
        <v/>
      </c>
      <c r="O937" s="1" t="str">
        <v/>
      </c>
      <c r="P937" s="1" t="str">
        <v/>
      </c>
      <c r="Q937" s="1">
        <f t="shared" si="56"/>
        <v>0</v>
      </c>
      <c r="R937" s="1">
        <f t="shared" si="57"/>
        <v>0</v>
      </c>
      <c r="T937">
        <f t="shared" si="58"/>
        <v>0</v>
      </c>
      <c r="U937">
        <f t="shared" si="59"/>
        <v>0</v>
      </c>
    </row>
    <row r="938" x14ac:dyDescent="0.35">
      <c r="A938" s="21" t="str">
        <v/>
      </c>
      <c r="B938" s="23" t="str">
        <v/>
      </c>
      <c r="C938" t="str">
        <v/>
      </c>
      <c r="D938" t="str">
        <v/>
      </c>
      <c r="E938" t="str">
        <v/>
      </c>
      <c r="F938" t="str">
        <v/>
      </c>
      <c r="G938" t="str">
        <v/>
      </c>
      <c r="H938" t="str">
        <v/>
      </c>
      <c r="I938" s="2" t="str">
        <v/>
      </c>
      <c r="J938" s="2" t="str">
        <v/>
      </c>
      <c r="K938" s="2" t="str">
        <v/>
      </c>
      <c r="L938" s="1" t="str">
        <v/>
      </c>
      <c r="M938" s="2" t="str">
        <v/>
      </c>
      <c r="N938" s="1" t="str">
        <v/>
      </c>
      <c r="O938" s="1" t="str">
        <v/>
      </c>
      <c r="P938" s="1" t="str">
        <v/>
      </c>
      <c r="Q938" s="1">
        <f t="shared" si="56"/>
        <v>0</v>
      </c>
      <c r="R938" s="1">
        <f t="shared" si="57"/>
        <v>0</v>
      </c>
      <c r="T938">
        <f t="shared" si="58"/>
        <v>0</v>
      </c>
      <c r="U938">
        <f t="shared" si="59"/>
        <v>0</v>
      </c>
    </row>
    <row r="939" x14ac:dyDescent="0.35">
      <c r="A939" s="21" t="str">
        <v/>
      </c>
      <c r="B939" s="23" t="str">
        <v/>
      </c>
      <c r="C939" t="str">
        <v/>
      </c>
      <c r="D939" t="str">
        <v/>
      </c>
      <c r="E939" t="str">
        <v/>
      </c>
      <c r="F939" t="str">
        <v/>
      </c>
      <c r="G939" t="str">
        <v/>
      </c>
      <c r="H939" t="str">
        <v/>
      </c>
      <c r="I939" s="2" t="str">
        <v/>
      </c>
      <c r="J939" s="2" t="str">
        <v/>
      </c>
      <c r="K939" s="2" t="str">
        <v/>
      </c>
      <c r="L939" s="1" t="str">
        <v/>
      </c>
      <c r="M939" s="2" t="str">
        <v/>
      </c>
      <c r="N939" s="1" t="str">
        <v/>
      </c>
      <c r="O939" s="1" t="str">
        <v/>
      </c>
      <c r="P939" s="1" t="str">
        <v/>
      </c>
      <c r="Q939" s="1">
        <f t="shared" si="56"/>
        <v>0</v>
      </c>
      <c r="R939" s="1">
        <f t="shared" si="57"/>
        <v>0</v>
      </c>
      <c r="T939">
        <f t="shared" si="58"/>
        <v>0</v>
      </c>
      <c r="U939">
        <f t="shared" si="59"/>
        <v>0</v>
      </c>
    </row>
    <row r="940" x14ac:dyDescent="0.35">
      <c r="A940" s="21" t="str">
        <v/>
      </c>
      <c r="B940" s="23" t="str">
        <v/>
      </c>
      <c r="C940" t="str">
        <v/>
      </c>
      <c r="D940" t="str">
        <v/>
      </c>
      <c r="E940" t="str">
        <v/>
      </c>
      <c r="F940" t="str">
        <v/>
      </c>
      <c r="G940" t="str">
        <v/>
      </c>
      <c r="H940" t="str">
        <v/>
      </c>
      <c r="I940" s="2" t="str">
        <v/>
      </c>
      <c r="J940" s="2" t="str">
        <v/>
      </c>
      <c r="K940" s="2" t="str">
        <v/>
      </c>
      <c r="L940" s="1" t="str">
        <v/>
      </c>
      <c r="M940" s="2" t="str">
        <v/>
      </c>
      <c r="N940" s="1" t="str">
        <v/>
      </c>
      <c r="O940" s="1" t="str">
        <v/>
      </c>
      <c r="P940" s="1" t="str">
        <v/>
      </c>
      <c r="Q940" s="1">
        <f t="shared" si="56"/>
        <v>0</v>
      </c>
      <c r="R940" s="1">
        <f t="shared" si="57"/>
        <v>0</v>
      </c>
      <c r="T940">
        <f t="shared" si="58"/>
        <v>0</v>
      </c>
      <c r="U940">
        <f t="shared" si="59"/>
        <v>0</v>
      </c>
    </row>
    <row r="941" x14ac:dyDescent="0.35">
      <c r="A941" s="21" t="str">
        <v/>
      </c>
      <c r="B941" s="23" t="str">
        <v/>
      </c>
      <c r="C941" t="str">
        <v/>
      </c>
      <c r="D941" t="str">
        <v/>
      </c>
      <c r="E941" t="str">
        <v/>
      </c>
      <c r="F941" t="str">
        <v/>
      </c>
      <c r="G941" t="str">
        <v/>
      </c>
      <c r="H941" t="str">
        <v/>
      </c>
      <c r="I941" s="2" t="str">
        <v/>
      </c>
      <c r="J941" s="2" t="str">
        <v/>
      </c>
      <c r="K941" s="2" t="str">
        <v/>
      </c>
      <c r="L941" s="1" t="str">
        <v/>
      </c>
      <c r="M941" s="2" t="str">
        <v/>
      </c>
      <c r="N941" s="1" t="str">
        <v/>
      </c>
      <c r="O941" s="1" t="str">
        <v/>
      </c>
      <c r="P941" s="1" t="str">
        <v/>
      </c>
      <c r="Q941" s="1">
        <f t="shared" si="56"/>
        <v>0</v>
      </c>
      <c r="R941" s="1">
        <f t="shared" si="57"/>
        <v>0</v>
      </c>
      <c r="T941">
        <f t="shared" si="58"/>
        <v>0</v>
      </c>
      <c r="U941">
        <f t="shared" si="59"/>
        <v>0</v>
      </c>
    </row>
    <row r="942" x14ac:dyDescent="0.35">
      <c r="A942" s="21" t="str">
        <v/>
      </c>
      <c r="B942" s="23" t="str">
        <v/>
      </c>
      <c r="C942" t="str">
        <v/>
      </c>
      <c r="D942" t="str">
        <v/>
      </c>
      <c r="E942" t="str">
        <v/>
      </c>
      <c r="F942" t="str">
        <v/>
      </c>
      <c r="G942" t="str">
        <v/>
      </c>
      <c r="H942" t="str">
        <v/>
      </c>
      <c r="I942" s="2" t="str">
        <v/>
      </c>
      <c r="J942" s="2" t="str">
        <v/>
      </c>
      <c r="K942" s="2" t="str">
        <v/>
      </c>
      <c r="L942" s="1" t="str">
        <v/>
      </c>
      <c r="M942" s="2" t="str">
        <v/>
      </c>
      <c r="N942" s="1" t="str">
        <v/>
      </c>
      <c r="O942" s="1" t="str">
        <v/>
      </c>
      <c r="P942" s="1" t="str">
        <v/>
      </c>
      <c r="Q942" s="1">
        <f t="shared" si="56"/>
        <v>0</v>
      </c>
      <c r="R942" s="1">
        <f t="shared" si="57"/>
        <v>0</v>
      </c>
      <c r="T942">
        <f t="shared" si="58"/>
        <v>0</v>
      </c>
      <c r="U942">
        <f t="shared" si="59"/>
        <v>0</v>
      </c>
    </row>
    <row r="943" x14ac:dyDescent="0.35">
      <c r="A943" s="21" t="str">
        <v/>
      </c>
      <c r="B943" s="23" t="str">
        <v/>
      </c>
      <c r="C943" t="str">
        <v/>
      </c>
      <c r="D943" t="str">
        <v/>
      </c>
      <c r="E943" t="str">
        <v/>
      </c>
      <c r="F943" t="str">
        <v/>
      </c>
      <c r="G943" t="str">
        <v/>
      </c>
      <c r="H943" t="str">
        <v/>
      </c>
      <c r="I943" s="2" t="str">
        <v/>
      </c>
      <c r="J943" s="2" t="str">
        <v/>
      </c>
      <c r="K943" s="2" t="str">
        <v/>
      </c>
      <c r="L943" s="1" t="str">
        <v/>
      </c>
      <c r="M943" s="2" t="str">
        <v/>
      </c>
      <c r="N943" s="1" t="str">
        <v/>
      </c>
      <c r="O943" s="1" t="str">
        <v/>
      </c>
      <c r="P943" s="1" t="str">
        <v/>
      </c>
      <c r="Q943" s="1">
        <f t="shared" si="56"/>
        <v>0</v>
      </c>
      <c r="R943" s="1">
        <f t="shared" si="57"/>
        <v>0</v>
      </c>
      <c r="T943">
        <f t="shared" si="58"/>
        <v>0</v>
      </c>
      <c r="U943">
        <f t="shared" si="59"/>
        <v>0</v>
      </c>
    </row>
    <row r="944" x14ac:dyDescent="0.35">
      <c r="A944" s="21" t="str">
        <v/>
      </c>
      <c r="B944" s="23" t="str">
        <v/>
      </c>
      <c r="C944" t="str">
        <v/>
      </c>
      <c r="D944" t="str">
        <v/>
      </c>
      <c r="E944" t="str">
        <v/>
      </c>
      <c r="F944" t="str">
        <v/>
      </c>
      <c r="G944" t="str">
        <v/>
      </c>
      <c r="H944" t="str">
        <v/>
      </c>
      <c r="I944" s="2" t="str">
        <v/>
      </c>
      <c r="J944" s="2" t="str">
        <v/>
      </c>
      <c r="K944" s="2" t="str">
        <v/>
      </c>
      <c r="L944" s="1" t="str">
        <v/>
      </c>
      <c r="M944" s="2" t="str">
        <v/>
      </c>
      <c r="N944" s="1" t="str">
        <v/>
      </c>
      <c r="O944" s="1" t="str">
        <v/>
      </c>
      <c r="P944" s="1" t="str">
        <v/>
      </c>
      <c r="Q944" s="1">
        <f t="shared" si="56"/>
        <v>0</v>
      </c>
      <c r="R944" s="1">
        <f t="shared" si="57"/>
        <v>0</v>
      </c>
      <c r="T944">
        <f t="shared" si="58"/>
        <v>0</v>
      </c>
      <c r="U944">
        <f t="shared" si="59"/>
        <v>0</v>
      </c>
    </row>
    <row r="945" x14ac:dyDescent="0.35">
      <c r="A945" s="21" t="str">
        <v/>
      </c>
      <c r="B945" s="23" t="str">
        <v/>
      </c>
      <c r="C945" t="str">
        <v/>
      </c>
      <c r="D945" t="str">
        <v/>
      </c>
      <c r="E945" t="str">
        <v/>
      </c>
      <c r="F945" t="str">
        <v/>
      </c>
      <c r="G945" t="str">
        <v/>
      </c>
      <c r="H945" t="str">
        <v/>
      </c>
      <c r="I945" s="2" t="str">
        <v/>
      </c>
      <c r="J945" s="2" t="str">
        <v/>
      </c>
      <c r="K945" s="2" t="str">
        <v/>
      </c>
      <c r="L945" s="1" t="str">
        <v/>
      </c>
      <c r="M945" s="2" t="str">
        <v/>
      </c>
      <c r="N945" s="1" t="str">
        <v/>
      </c>
      <c r="O945" s="1" t="str">
        <v/>
      </c>
      <c r="P945" s="1" t="str">
        <v/>
      </c>
      <c r="Q945" s="1">
        <f t="shared" si="56"/>
        <v>0</v>
      </c>
      <c r="R945" s="1">
        <f t="shared" si="57"/>
        <v>0</v>
      </c>
      <c r="T945">
        <f t="shared" si="58"/>
        <v>0</v>
      </c>
      <c r="U945">
        <f t="shared" si="59"/>
        <v>0</v>
      </c>
    </row>
    <row r="946" x14ac:dyDescent="0.35">
      <c r="A946" s="21" t="str">
        <v/>
      </c>
      <c r="B946" s="23" t="str">
        <v/>
      </c>
      <c r="C946" t="str">
        <v/>
      </c>
      <c r="D946" t="str">
        <v/>
      </c>
      <c r="E946" t="str">
        <v/>
      </c>
      <c r="F946" t="str">
        <v/>
      </c>
      <c r="G946" t="str">
        <v/>
      </c>
      <c r="H946" t="str">
        <v/>
      </c>
      <c r="I946" s="2" t="str">
        <v/>
      </c>
      <c r="J946" s="2" t="str">
        <v/>
      </c>
      <c r="K946" s="2" t="str">
        <v/>
      </c>
      <c r="L946" s="1" t="str">
        <v/>
      </c>
      <c r="M946" s="2" t="str">
        <v/>
      </c>
      <c r="N946" s="1" t="str">
        <v/>
      </c>
      <c r="O946" s="1" t="str">
        <v/>
      </c>
      <c r="P946" s="1" t="str">
        <v/>
      </c>
      <c r="Q946" s="1">
        <f t="shared" si="56"/>
        <v>0</v>
      </c>
      <c r="R946" s="1">
        <f t="shared" si="57"/>
        <v>0</v>
      </c>
      <c r="T946">
        <f t="shared" si="58"/>
        <v>0</v>
      </c>
      <c r="U946">
        <f t="shared" si="59"/>
        <v>0</v>
      </c>
    </row>
    <row r="947" x14ac:dyDescent="0.35">
      <c r="A947" s="21" t="str">
        <v/>
      </c>
      <c r="B947" s="23" t="str">
        <v/>
      </c>
      <c r="C947" t="str">
        <v/>
      </c>
      <c r="D947" t="str">
        <v/>
      </c>
      <c r="E947" t="str">
        <v/>
      </c>
      <c r="F947" t="str">
        <v/>
      </c>
      <c r="G947" t="str">
        <v/>
      </c>
      <c r="H947" t="str">
        <v/>
      </c>
      <c r="I947" s="2" t="str">
        <v/>
      </c>
      <c r="J947" s="2" t="str">
        <v/>
      </c>
      <c r="K947" s="2" t="str">
        <v/>
      </c>
      <c r="L947" s="1" t="str">
        <v/>
      </c>
      <c r="M947" s="2" t="str">
        <v/>
      </c>
      <c r="N947" s="1" t="str">
        <v/>
      </c>
      <c r="O947" s="1" t="str">
        <v/>
      </c>
      <c r="P947" s="1" t="str">
        <v/>
      </c>
      <c r="Q947" s="1">
        <f t="shared" si="56"/>
        <v>0</v>
      </c>
      <c r="R947" s="1">
        <f t="shared" si="57"/>
        <v>0</v>
      </c>
      <c r="T947">
        <f t="shared" si="58"/>
        <v>0</v>
      </c>
      <c r="U947">
        <f t="shared" si="59"/>
        <v>0</v>
      </c>
    </row>
    <row r="948" x14ac:dyDescent="0.35">
      <c r="A948" s="21" t="str">
        <v/>
      </c>
      <c r="B948" s="23" t="str">
        <v/>
      </c>
      <c r="C948" t="str">
        <v/>
      </c>
      <c r="D948" t="str">
        <v/>
      </c>
      <c r="E948" t="str">
        <v/>
      </c>
      <c r="F948" t="str">
        <v/>
      </c>
      <c r="G948" t="str">
        <v/>
      </c>
      <c r="H948" t="str">
        <v/>
      </c>
      <c r="I948" s="2" t="str">
        <v/>
      </c>
      <c r="J948" s="2" t="str">
        <v/>
      </c>
      <c r="K948" s="2" t="str">
        <v/>
      </c>
      <c r="L948" s="1" t="str">
        <v/>
      </c>
      <c r="M948" s="2" t="str">
        <v/>
      </c>
      <c r="N948" s="1" t="str">
        <v/>
      </c>
      <c r="O948" s="1" t="str">
        <v/>
      </c>
      <c r="P948" s="1" t="str">
        <v/>
      </c>
      <c r="Q948" s="1">
        <f t="shared" si="56"/>
        <v>0</v>
      </c>
      <c r="R948" s="1">
        <f t="shared" si="57"/>
        <v>0</v>
      </c>
      <c r="T948">
        <f t="shared" si="58"/>
        <v>0</v>
      </c>
      <c r="U948">
        <f t="shared" si="59"/>
        <v>0</v>
      </c>
    </row>
    <row r="949" x14ac:dyDescent="0.35">
      <c r="A949" s="21" t="str">
        <v/>
      </c>
      <c r="B949" s="23" t="str">
        <v/>
      </c>
      <c r="C949" t="str">
        <v/>
      </c>
      <c r="D949" t="str">
        <v/>
      </c>
      <c r="E949" t="str">
        <v/>
      </c>
      <c r="F949" t="str">
        <v/>
      </c>
      <c r="G949" t="str">
        <v/>
      </c>
      <c r="H949" t="str">
        <v/>
      </c>
      <c r="I949" s="2" t="str">
        <v/>
      </c>
      <c r="J949" s="2" t="str">
        <v/>
      </c>
      <c r="K949" s="2" t="str">
        <v/>
      </c>
      <c r="L949" s="1" t="str">
        <v/>
      </c>
      <c r="M949" s="2" t="str">
        <v/>
      </c>
      <c r="N949" s="1" t="str">
        <v/>
      </c>
      <c r="O949" s="1" t="str">
        <v/>
      </c>
      <c r="P949" s="1" t="str">
        <v/>
      </c>
      <c r="Q949" s="1">
        <f t="shared" si="56"/>
        <v>0</v>
      </c>
      <c r="R949" s="1">
        <f t="shared" si="57"/>
        <v>0</v>
      </c>
      <c r="T949">
        <f t="shared" si="58"/>
        <v>0</v>
      </c>
      <c r="U949">
        <f t="shared" si="59"/>
        <v>0</v>
      </c>
    </row>
    <row r="950" x14ac:dyDescent="0.35">
      <c r="A950" s="21" t="str">
        <v/>
      </c>
      <c r="B950" s="23" t="str">
        <v/>
      </c>
      <c r="C950" t="str">
        <v/>
      </c>
      <c r="D950" t="str">
        <v/>
      </c>
      <c r="E950" t="str">
        <v/>
      </c>
      <c r="F950" t="str">
        <v/>
      </c>
      <c r="G950" t="str">
        <v/>
      </c>
      <c r="H950" t="str">
        <v/>
      </c>
      <c r="I950" s="2" t="str">
        <v/>
      </c>
      <c r="J950" s="2" t="str">
        <v/>
      </c>
      <c r="K950" s="2" t="str">
        <v/>
      </c>
      <c r="L950" s="1" t="str">
        <v/>
      </c>
      <c r="M950" s="2" t="str">
        <v/>
      </c>
      <c r="N950" s="1" t="str">
        <v/>
      </c>
      <c r="O950" s="1" t="str">
        <v/>
      </c>
      <c r="P950" s="1" t="str">
        <v/>
      </c>
      <c r="Q950" s="1">
        <f t="shared" si="56"/>
        <v>0</v>
      </c>
      <c r="R950" s="1">
        <f t="shared" si="57"/>
        <v>0</v>
      </c>
      <c r="T950">
        <f t="shared" si="58"/>
        <v>0</v>
      </c>
      <c r="U950">
        <f t="shared" si="59"/>
        <v>0</v>
      </c>
    </row>
    <row r="951" x14ac:dyDescent="0.35">
      <c r="A951" s="21" t="str">
        <v/>
      </c>
      <c r="B951" s="23" t="str">
        <v/>
      </c>
      <c r="C951" t="str">
        <v/>
      </c>
      <c r="D951" t="str">
        <v/>
      </c>
      <c r="E951" t="str">
        <v/>
      </c>
      <c r="F951" t="str">
        <v/>
      </c>
      <c r="G951" t="str">
        <v/>
      </c>
      <c r="H951" t="str">
        <v/>
      </c>
      <c r="I951" s="2" t="str">
        <v/>
      </c>
      <c r="J951" s="2" t="str">
        <v/>
      </c>
      <c r="K951" s="2" t="str">
        <v/>
      </c>
      <c r="L951" s="1" t="str">
        <v/>
      </c>
      <c r="M951" s="2" t="str">
        <v/>
      </c>
      <c r="N951" s="1" t="str">
        <v/>
      </c>
      <c r="O951" s="1" t="str">
        <v/>
      </c>
      <c r="P951" s="1" t="str">
        <v/>
      </c>
      <c r="Q951" s="1">
        <f t="shared" si="56"/>
        <v>0</v>
      </c>
      <c r="R951" s="1">
        <f t="shared" si="57"/>
        <v>0</v>
      </c>
      <c r="T951">
        <f t="shared" si="58"/>
        <v>0</v>
      </c>
      <c r="U951">
        <f t="shared" si="59"/>
        <v>0</v>
      </c>
    </row>
    <row r="952" x14ac:dyDescent="0.35">
      <c r="A952" s="21" t="str">
        <v/>
      </c>
      <c r="B952" s="23" t="str">
        <v/>
      </c>
      <c r="C952" t="str">
        <v/>
      </c>
      <c r="D952" t="str">
        <v/>
      </c>
      <c r="E952" t="str">
        <v/>
      </c>
      <c r="F952" t="str">
        <v/>
      </c>
      <c r="G952" t="str">
        <v/>
      </c>
      <c r="H952" t="str">
        <v/>
      </c>
      <c r="I952" s="2" t="str">
        <v/>
      </c>
      <c r="J952" s="2" t="str">
        <v/>
      </c>
      <c r="K952" s="2" t="str">
        <v/>
      </c>
      <c r="L952" s="1" t="str">
        <v/>
      </c>
      <c r="M952" s="2" t="str">
        <v/>
      </c>
      <c r="N952" s="1" t="str">
        <v/>
      </c>
      <c r="O952" s="1" t="str">
        <v/>
      </c>
      <c r="P952" s="1" t="str">
        <v/>
      </c>
      <c r="Q952" s="1">
        <f t="shared" si="56"/>
        <v>0</v>
      </c>
      <c r="R952" s="1">
        <f t="shared" si="57"/>
        <v>0</v>
      </c>
      <c r="T952">
        <f t="shared" si="58"/>
        <v>0</v>
      </c>
      <c r="U952">
        <f t="shared" si="59"/>
        <v>0</v>
      </c>
    </row>
    <row r="953" x14ac:dyDescent="0.35">
      <c r="A953" s="21" t="str">
        <v/>
      </c>
      <c r="B953" s="23" t="str">
        <v/>
      </c>
      <c r="C953" t="str">
        <v/>
      </c>
      <c r="D953" t="str">
        <v/>
      </c>
      <c r="E953" t="str">
        <v/>
      </c>
      <c r="F953" t="str">
        <v/>
      </c>
      <c r="G953" t="str">
        <v/>
      </c>
      <c r="H953" t="str">
        <v/>
      </c>
      <c r="I953" s="2" t="str">
        <v/>
      </c>
      <c r="J953" s="2" t="str">
        <v/>
      </c>
      <c r="K953" s="2" t="str">
        <v/>
      </c>
      <c r="L953" s="1" t="str">
        <v/>
      </c>
      <c r="M953" s="2" t="str">
        <v/>
      </c>
      <c r="N953" s="1" t="str">
        <v/>
      </c>
      <c r="O953" s="1" t="str">
        <v/>
      </c>
      <c r="P953" s="1" t="str">
        <v/>
      </c>
      <c r="Q953" s="1">
        <f t="shared" si="56"/>
        <v>0</v>
      </c>
      <c r="R953" s="1">
        <f t="shared" si="57"/>
        <v>0</v>
      </c>
      <c r="T953">
        <f t="shared" si="58"/>
        <v>0</v>
      </c>
      <c r="U953">
        <f t="shared" si="59"/>
        <v>0</v>
      </c>
    </row>
    <row r="954" x14ac:dyDescent="0.35">
      <c r="A954" s="21" t="str">
        <v/>
      </c>
      <c r="B954" s="23" t="str">
        <v/>
      </c>
      <c r="C954" t="str">
        <v/>
      </c>
      <c r="D954" t="str">
        <v/>
      </c>
      <c r="E954" t="str">
        <v/>
      </c>
      <c r="F954" t="str">
        <v/>
      </c>
      <c r="G954" t="str">
        <v/>
      </c>
      <c r="H954" t="str">
        <v/>
      </c>
      <c r="I954" s="2" t="str">
        <v/>
      </c>
      <c r="J954" s="2" t="str">
        <v/>
      </c>
      <c r="K954" s="2" t="str">
        <v/>
      </c>
      <c r="L954" s="1" t="str">
        <v/>
      </c>
      <c r="M954" s="2" t="str">
        <v/>
      </c>
      <c r="N954" s="1" t="str">
        <v/>
      </c>
      <c r="O954" s="1" t="str">
        <v/>
      </c>
      <c r="P954" s="1" t="str">
        <v/>
      </c>
      <c r="Q954" s="1">
        <f t="shared" si="56"/>
        <v>0</v>
      </c>
      <c r="R954" s="1">
        <f t="shared" si="57"/>
        <v>0</v>
      </c>
      <c r="T954">
        <f t="shared" si="58"/>
        <v>0</v>
      </c>
      <c r="U954">
        <f t="shared" si="59"/>
        <v>0</v>
      </c>
    </row>
    <row r="955" x14ac:dyDescent="0.35">
      <c r="A955" s="21" t="str">
        <v/>
      </c>
      <c r="B955" s="23" t="str">
        <v/>
      </c>
      <c r="C955" t="str">
        <v/>
      </c>
      <c r="D955" t="str">
        <v/>
      </c>
      <c r="E955" t="str">
        <v/>
      </c>
      <c r="F955" t="str">
        <v/>
      </c>
      <c r="G955" t="str">
        <v/>
      </c>
      <c r="H955" t="str">
        <v/>
      </c>
      <c r="I955" s="2" t="str">
        <v/>
      </c>
      <c r="J955" s="2" t="str">
        <v/>
      </c>
      <c r="K955" s="2" t="str">
        <v/>
      </c>
      <c r="L955" s="1" t="str">
        <v/>
      </c>
      <c r="M955" s="2" t="str">
        <v/>
      </c>
      <c r="N955" s="1" t="str">
        <v/>
      </c>
      <c r="O955" s="1" t="str">
        <v/>
      </c>
      <c r="P955" s="1" t="str">
        <v/>
      </c>
      <c r="Q955" s="1">
        <f t="shared" si="56"/>
        <v>0</v>
      </c>
      <c r="R955" s="1">
        <f t="shared" si="57"/>
        <v>0</v>
      </c>
      <c r="T955">
        <f t="shared" si="58"/>
        <v>0</v>
      </c>
      <c r="U955">
        <f t="shared" si="59"/>
        <v>0</v>
      </c>
    </row>
    <row r="956" x14ac:dyDescent="0.35">
      <c r="A956" s="21" t="str">
        <v/>
      </c>
      <c r="B956" s="23" t="str">
        <v/>
      </c>
      <c r="C956" t="str">
        <v/>
      </c>
      <c r="D956" t="str">
        <v/>
      </c>
      <c r="E956" t="str">
        <v/>
      </c>
      <c r="F956" t="str">
        <v/>
      </c>
      <c r="G956" t="str">
        <v/>
      </c>
      <c r="H956" t="str">
        <v/>
      </c>
      <c r="I956" s="2" t="str">
        <v/>
      </c>
      <c r="J956" s="2" t="str">
        <v/>
      </c>
      <c r="K956" s="2" t="str">
        <v/>
      </c>
      <c r="L956" s="1" t="str">
        <v/>
      </c>
      <c r="M956" s="2" t="str">
        <v/>
      </c>
      <c r="N956" s="1" t="str">
        <v/>
      </c>
      <c r="O956" s="1" t="str">
        <v/>
      </c>
      <c r="P956" s="1" t="str">
        <v/>
      </c>
      <c r="Q956" s="1">
        <f t="shared" si="56"/>
        <v>0</v>
      </c>
      <c r="R956" s="1">
        <f t="shared" si="57"/>
        <v>0</v>
      </c>
      <c r="T956">
        <f t="shared" si="58"/>
        <v>0</v>
      </c>
      <c r="U956">
        <f t="shared" si="59"/>
        <v>0</v>
      </c>
    </row>
    <row r="957" x14ac:dyDescent="0.35">
      <c r="A957" s="21" t="str">
        <v/>
      </c>
      <c r="B957" s="23" t="str">
        <v/>
      </c>
      <c r="C957" t="str">
        <v/>
      </c>
      <c r="D957" t="str">
        <v/>
      </c>
      <c r="E957" t="str">
        <v/>
      </c>
      <c r="F957" t="str">
        <v/>
      </c>
      <c r="G957" t="str">
        <v/>
      </c>
      <c r="H957" t="str">
        <v/>
      </c>
      <c r="I957" s="2" t="str">
        <v/>
      </c>
      <c r="J957" s="2" t="str">
        <v/>
      </c>
      <c r="K957" s="2" t="str">
        <v/>
      </c>
      <c r="L957" s="1" t="str">
        <v/>
      </c>
      <c r="M957" s="2" t="str">
        <v/>
      </c>
      <c r="N957" s="1" t="str">
        <v/>
      </c>
      <c r="O957" s="1" t="str">
        <v/>
      </c>
      <c r="P957" s="1" t="str">
        <v/>
      </c>
      <c r="Q957" s="1">
        <f t="shared" si="56"/>
        <v>0</v>
      </c>
      <c r="R957" s="1">
        <f t="shared" si="57"/>
        <v>0</v>
      </c>
      <c r="T957">
        <f t="shared" si="58"/>
        <v>0</v>
      </c>
      <c r="U957">
        <f t="shared" si="59"/>
        <v>0</v>
      </c>
    </row>
    <row r="958" x14ac:dyDescent="0.35">
      <c r="A958" s="21" t="str">
        <v/>
      </c>
      <c r="B958" s="23" t="str">
        <v/>
      </c>
      <c r="C958" t="str">
        <v/>
      </c>
      <c r="D958" t="str">
        <v/>
      </c>
      <c r="E958" t="str">
        <v/>
      </c>
      <c r="F958" t="str">
        <v/>
      </c>
      <c r="G958" t="str">
        <v/>
      </c>
      <c r="H958" t="str">
        <v/>
      </c>
      <c r="I958" s="2" t="str">
        <v/>
      </c>
      <c r="J958" s="2" t="str">
        <v/>
      </c>
      <c r="K958" s="2" t="str">
        <v/>
      </c>
      <c r="L958" s="1" t="str">
        <v/>
      </c>
      <c r="M958" s="2" t="str">
        <v/>
      </c>
      <c r="N958" s="1" t="str">
        <v/>
      </c>
      <c r="O958" s="1" t="str">
        <v/>
      </c>
      <c r="P958" s="1" t="str">
        <v/>
      </c>
      <c r="Q958" s="1">
        <f t="shared" si="56"/>
        <v>0</v>
      </c>
      <c r="R958" s="1">
        <f t="shared" si="57"/>
        <v>0</v>
      </c>
      <c r="T958">
        <f t="shared" si="58"/>
        <v>0</v>
      </c>
      <c r="U958">
        <f t="shared" si="59"/>
        <v>0</v>
      </c>
    </row>
    <row r="959" x14ac:dyDescent="0.35">
      <c r="A959" s="21" t="str">
        <v/>
      </c>
      <c r="B959" s="23" t="str">
        <v/>
      </c>
      <c r="C959" t="str">
        <v/>
      </c>
      <c r="D959" t="str">
        <v/>
      </c>
      <c r="E959" t="str">
        <v/>
      </c>
      <c r="F959" t="str">
        <v/>
      </c>
      <c r="G959" t="str">
        <v/>
      </c>
      <c r="H959" t="str">
        <v/>
      </c>
      <c r="I959" s="2" t="str">
        <v/>
      </c>
      <c r="J959" s="2" t="str">
        <v/>
      </c>
      <c r="K959" s="2" t="str">
        <v/>
      </c>
      <c r="L959" s="1" t="str">
        <v/>
      </c>
      <c r="M959" s="2" t="str">
        <v/>
      </c>
      <c r="N959" s="1" t="str">
        <v/>
      </c>
      <c r="O959" s="1" t="str">
        <v/>
      </c>
      <c r="P959" s="1" t="str">
        <v/>
      </c>
      <c r="Q959" s="1">
        <f t="shared" si="56"/>
        <v>0</v>
      </c>
      <c r="R959" s="1">
        <f t="shared" si="57"/>
        <v>0</v>
      </c>
      <c r="T959">
        <f t="shared" si="58"/>
        <v>0</v>
      </c>
      <c r="U959">
        <f t="shared" si="59"/>
        <v>0</v>
      </c>
    </row>
    <row r="960" x14ac:dyDescent="0.35">
      <c r="A960" s="21" t="str">
        <v/>
      </c>
      <c r="B960" s="23" t="str">
        <v/>
      </c>
      <c r="C960" t="str">
        <v/>
      </c>
      <c r="D960" t="str">
        <v/>
      </c>
      <c r="E960" t="str">
        <v/>
      </c>
      <c r="F960" t="str">
        <v/>
      </c>
      <c r="G960" t="str">
        <v/>
      </c>
      <c r="H960" t="str">
        <v/>
      </c>
      <c r="I960" s="2" t="str">
        <v/>
      </c>
      <c r="J960" s="2" t="str">
        <v/>
      </c>
      <c r="K960" s="2" t="str">
        <v/>
      </c>
      <c r="L960" s="1" t="str">
        <v/>
      </c>
      <c r="M960" s="2" t="str">
        <v/>
      </c>
      <c r="N960" s="1" t="str">
        <v/>
      </c>
      <c r="O960" s="1" t="str">
        <v/>
      </c>
      <c r="P960" s="1" t="str">
        <v/>
      </c>
      <c r="Q960" s="1">
        <f t="shared" si="56"/>
        <v>0</v>
      </c>
      <c r="R960" s="1">
        <f t="shared" si="57"/>
        <v>0</v>
      </c>
      <c r="T960">
        <f t="shared" si="58"/>
        <v>0</v>
      </c>
      <c r="U960">
        <f t="shared" si="59"/>
        <v>0</v>
      </c>
    </row>
    <row r="961" x14ac:dyDescent="0.35">
      <c r="A961" s="21" t="str">
        <v/>
      </c>
      <c r="B961" s="23" t="str">
        <v/>
      </c>
      <c r="C961" t="str">
        <v/>
      </c>
      <c r="D961" t="str">
        <v/>
      </c>
      <c r="E961" t="str">
        <v/>
      </c>
      <c r="F961" t="str">
        <v/>
      </c>
      <c r="G961" t="str">
        <v/>
      </c>
      <c r="H961" t="str">
        <v/>
      </c>
      <c r="I961" s="2" t="str">
        <v/>
      </c>
      <c r="J961" s="2" t="str">
        <v/>
      </c>
      <c r="K961" s="2" t="str">
        <v/>
      </c>
      <c r="L961" s="1" t="str">
        <v/>
      </c>
      <c r="M961" s="2" t="str">
        <v/>
      </c>
      <c r="N961" s="1" t="str">
        <v/>
      </c>
      <c r="O961" s="1" t="str">
        <v/>
      </c>
      <c r="P961" s="1" t="str">
        <v/>
      </c>
      <c r="Q961" s="1">
        <f t="shared" si="56"/>
        <v>0</v>
      </c>
      <c r="R961" s="1">
        <f t="shared" si="57"/>
        <v>0</v>
      </c>
      <c r="T961">
        <f t="shared" si="58"/>
        <v>0</v>
      </c>
      <c r="U961">
        <f t="shared" si="59"/>
        <v>0</v>
      </c>
    </row>
    <row r="962" x14ac:dyDescent="0.35">
      <c r="A962" s="21" t="str">
        <v/>
      </c>
      <c r="B962" s="23" t="str">
        <v/>
      </c>
      <c r="C962" t="str">
        <v/>
      </c>
      <c r="D962" t="str">
        <v/>
      </c>
      <c r="E962" t="str">
        <v/>
      </c>
      <c r="F962" t="str">
        <v/>
      </c>
      <c r="G962" t="str">
        <v/>
      </c>
      <c r="H962" t="str">
        <v/>
      </c>
      <c r="I962" s="2" t="str">
        <v/>
      </c>
      <c r="J962" s="2" t="str">
        <v/>
      </c>
      <c r="K962" s="2" t="str">
        <v/>
      </c>
      <c r="L962" s="1" t="str">
        <v/>
      </c>
      <c r="M962" s="2" t="str">
        <v/>
      </c>
      <c r="N962" s="1" t="str">
        <v/>
      </c>
      <c r="O962" s="1" t="str">
        <v/>
      </c>
      <c r="P962" s="1" t="str">
        <v/>
      </c>
      <c r="Q962" s="1">
        <f t="shared" si="56"/>
        <v>0</v>
      </c>
      <c r="R962" s="1">
        <f t="shared" si="57"/>
        <v>0</v>
      </c>
      <c r="T962">
        <f t="shared" si="58"/>
        <v>0</v>
      </c>
      <c r="U962">
        <f t="shared" si="59"/>
        <v>0</v>
      </c>
    </row>
    <row r="963" x14ac:dyDescent="0.35">
      <c r="A963" s="21" t="str">
        <v/>
      </c>
      <c r="B963" s="23" t="str">
        <v/>
      </c>
      <c r="C963" t="str">
        <v/>
      </c>
      <c r="D963" t="str">
        <v/>
      </c>
      <c r="E963" t="str">
        <v/>
      </c>
      <c r="F963" t="str">
        <v/>
      </c>
      <c r="G963" t="str">
        <v/>
      </c>
      <c r="H963" t="str">
        <v/>
      </c>
      <c r="I963" s="2" t="str">
        <v/>
      </c>
      <c r="J963" s="2" t="str">
        <v/>
      </c>
      <c r="K963" s="2" t="str">
        <v/>
      </c>
      <c r="L963" s="1" t="str">
        <v/>
      </c>
      <c r="M963" s="2" t="str">
        <v/>
      </c>
      <c r="N963" s="1" t="str">
        <v/>
      </c>
      <c r="O963" s="1" t="str">
        <v/>
      </c>
      <c r="P963" s="1" t="str">
        <v/>
      </c>
      <c r="Q963" s="1">
        <f t="shared" ref="Q963:Q996" si="60">IF(H963="Sí",1,0)</f>
        <v>0</v>
      </c>
      <c r="R963" s="1">
        <f t="shared" ref="R963:R996" si="61">IF(L963="En coordinación",1,0)</f>
        <v>0</v>
      </c>
      <c r="T963">
        <f t="shared" ref="T963:T996" si="62">IF(N963="Sí",1,0)</f>
        <v>0</v>
      </c>
      <c r="U963">
        <f t="shared" ref="U963:U996" si="63">IF(L963="Aceptada",1,0)</f>
        <v>0</v>
      </c>
    </row>
    <row r="964" x14ac:dyDescent="0.35">
      <c r="A964" s="21" t="str">
        <v/>
      </c>
      <c r="B964" s="23" t="str">
        <v/>
      </c>
      <c r="C964" t="str">
        <v/>
      </c>
      <c r="D964" t="str">
        <v/>
      </c>
      <c r="E964" t="str">
        <v/>
      </c>
      <c r="F964" t="str">
        <v/>
      </c>
      <c r="G964" t="str">
        <v/>
      </c>
      <c r="H964" t="str">
        <v/>
      </c>
      <c r="I964" s="2" t="str">
        <v/>
      </c>
      <c r="J964" s="2" t="str">
        <v/>
      </c>
      <c r="K964" s="2" t="str">
        <v/>
      </c>
      <c r="L964" s="1" t="str">
        <v/>
      </c>
      <c r="M964" s="2" t="str">
        <v/>
      </c>
      <c r="N964" s="1" t="str">
        <v/>
      </c>
      <c r="O964" s="1" t="str">
        <v/>
      </c>
      <c r="P964" s="1" t="str">
        <v/>
      </c>
      <c r="Q964" s="1">
        <f t="shared" si="60"/>
        <v>0</v>
      </c>
      <c r="R964" s="1">
        <f t="shared" si="61"/>
        <v>0</v>
      </c>
      <c r="T964">
        <f t="shared" si="62"/>
        <v>0</v>
      </c>
      <c r="U964">
        <f t="shared" si="63"/>
        <v>0</v>
      </c>
    </row>
    <row r="965" x14ac:dyDescent="0.35">
      <c r="A965" s="21" t="str">
        <v/>
      </c>
      <c r="B965" s="23" t="str">
        <v/>
      </c>
      <c r="C965" t="str">
        <v/>
      </c>
      <c r="D965" t="str">
        <v/>
      </c>
      <c r="E965" t="str">
        <v/>
      </c>
      <c r="F965" t="str">
        <v/>
      </c>
      <c r="G965" t="str">
        <v/>
      </c>
      <c r="H965" t="str">
        <v/>
      </c>
      <c r="I965" s="2" t="str">
        <v/>
      </c>
      <c r="J965" s="2" t="str">
        <v/>
      </c>
      <c r="K965" s="2" t="str">
        <v/>
      </c>
      <c r="L965" s="1" t="str">
        <v/>
      </c>
      <c r="M965" s="2" t="str">
        <v/>
      </c>
      <c r="N965" s="1" t="str">
        <v/>
      </c>
      <c r="O965" s="1" t="str">
        <v/>
      </c>
      <c r="P965" s="1" t="str">
        <v/>
      </c>
      <c r="Q965" s="1">
        <f t="shared" si="60"/>
        <v>0</v>
      </c>
      <c r="R965" s="1">
        <f t="shared" si="61"/>
        <v>0</v>
      </c>
      <c r="T965">
        <f t="shared" si="62"/>
        <v>0</v>
      </c>
      <c r="U965">
        <f t="shared" si="63"/>
        <v>0</v>
      </c>
    </row>
    <row r="966" x14ac:dyDescent="0.35">
      <c r="A966" s="21" t="str">
        <v/>
      </c>
      <c r="B966" s="23" t="str">
        <v/>
      </c>
      <c r="C966" t="str">
        <v/>
      </c>
      <c r="D966" t="str">
        <v/>
      </c>
      <c r="E966" t="str">
        <v/>
      </c>
      <c r="F966" t="str">
        <v/>
      </c>
      <c r="G966" t="str">
        <v/>
      </c>
      <c r="H966" t="str">
        <v/>
      </c>
      <c r="I966" s="2" t="str">
        <v/>
      </c>
      <c r="J966" s="2" t="str">
        <v/>
      </c>
      <c r="K966" s="2" t="str">
        <v/>
      </c>
      <c r="L966" s="1" t="str">
        <v/>
      </c>
      <c r="M966" s="2" t="str">
        <v/>
      </c>
      <c r="N966" s="1" t="str">
        <v/>
      </c>
      <c r="O966" s="1" t="str">
        <v/>
      </c>
      <c r="P966" s="1" t="str">
        <v/>
      </c>
      <c r="Q966" s="1">
        <f t="shared" si="60"/>
        <v>0</v>
      </c>
      <c r="R966" s="1">
        <f t="shared" si="61"/>
        <v>0</v>
      </c>
      <c r="T966">
        <f t="shared" si="62"/>
        <v>0</v>
      </c>
      <c r="U966">
        <f t="shared" si="63"/>
        <v>0</v>
      </c>
    </row>
    <row r="967" x14ac:dyDescent="0.35">
      <c r="A967" s="21" t="str">
        <v/>
      </c>
      <c r="B967" s="23" t="str">
        <v/>
      </c>
      <c r="C967" t="str">
        <v/>
      </c>
      <c r="D967" t="str">
        <v/>
      </c>
      <c r="E967" t="str">
        <v/>
      </c>
      <c r="F967" t="str">
        <v/>
      </c>
      <c r="G967" t="str">
        <v/>
      </c>
      <c r="H967" t="str">
        <v/>
      </c>
      <c r="I967" s="2" t="str">
        <v/>
      </c>
      <c r="J967" s="2" t="str">
        <v/>
      </c>
      <c r="K967" s="2" t="str">
        <v/>
      </c>
      <c r="L967" s="1" t="str">
        <v/>
      </c>
      <c r="M967" s="2" t="str">
        <v/>
      </c>
      <c r="N967" s="1" t="str">
        <v/>
      </c>
      <c r="O967" s="1" t="str">
        <v/>
      </c>
      <c r="P967" s="1" t="str">
        <v/>
      </c>
      <c r="Q967" s="1">
        <f t="shared" si="60"/>
        <v>0</v>
      </c>
      <c r="R967" s="1">
        <f t="shared" si="61"/>
        <v>0</v>
      </c>
      <c r="T967">
        <f t="shared" si="62"/>
        <v>0</v>
      </c>
      <c r="U967">
        <f t="shared" si="63"/>
        <v>0</v>
      </c>
    </row>
    <row r="968" x14ac:dyDescent="0.35">
      <c r="A968" s="21" t="str">
        <v/>
      </c>
      <c r="B968" s="23" t="str">
        <v/>
      </c>
      <c r="C968" t="str">
        <v/>
      </c>
      <c r="D968" t="str">
        <v/>
      </c>
      <c r="E968" t="str">
        <v/>
      </c>
      <c r="F968" t="str">
        <v/>
      </c>
      <c r="G968" t="str">
        <v/>
      </c>
      <c r="H968" t="str">
        <v/>
      </c>
      <c r="I968" s="2" t="str">
        <v/>
      </c>
      <c r="J968" s="2" t="str">
        <v/>
      </c>
      <c r="K968" s="2" t="str">
        <v/>
      </c>
      <c r="L968" s="1" t="str">
        <v/>
      </c>
      <c r="M968" s="2" t="str">
        <v/>
      </c>
      <c r="N968" s="1" t="str">
        <v/>
      </c>
      <c r="O968" s="1" t="str">
        <v/>
      </c>
      <c r="P968" s="1" t="str">
        <v/>
      </c>
      <c r="Q968" s="1">
        <f t="shared" si="60"/>
        <v>0</v>
      </c>
      <c r="R968" s="1">
        <f t="shared" si="61"/>
        <v>0</v>
      </c>
      <c r="T968">
        <f t="shared" si="62"/>
        <v>0</v>
      </c>
      <c r="U968">
        <f t="shared" si="63"/>
        <v>0</v>
      </c>
    </row>
    <row r="969" x14ac:dyDescent="0.35">
      <c r="A969" s="21" t="str">
        <v/>
      </c>
      <c r="B969" s="23" t="str">
        <v/>
      </c>
      <c r="C969" t="str">
        <v/>
      </c>
      <c r="D969" t="str">
        <v/>
      </c>
      <c r="E969" t="str">
        <v/>
      </c>
      <c r="F969" t="str">
        <v/>
      </c>
      <c r="G969" t="str">
        <v/>
      </c>
      <c r="H969" t="str">
        <v/>
      </c>
      <c r="I969" s="2" t="str">
        <v/>
      </c>
      <c r="J969" s="2" t="str">
        <v/>
      </c>
      <c r="K969" s="2" t="str">
        <v/>
      </c>
      <c r="L969" s="1" t="str">
        <v/>
      </c>
      <c r="M969" s="2" t="str">
        <v/>
      </c>
      <c r="N969" s="1" t="str">
        <v/>
      </c>
      <c r="O969" s="1" t="str">
        <v/>
      </c>
      <c r="P969" s="1" t="str">
        <v/>
      </c>
      <c r="Q969" s="1">
        <f t="shared" si="60"/>
        <v>0</v>
      </c>
      <c r="R969" s="1">
        <f t="shared" si="61"/>
        <v>0</v>
      </c>
      <c r="T969">
        <f t="shared" si="62"/>
        <v>0</v>
      </c>
      <c r="U969">
        <f t="shared" si="63"/>
        <v>0</v>
      </c>
    </row>
    <row r="970" x14ac:dyDescent="0.35">
      <c r="A970" s="21" t="str">
        <v/>
      </c>
      <c r="B970" s="23" t="str">
        <v/>
      </c>
      <c r="C970" t="str">
        <v/>
      </c>
      <c r="D970" t="str">
        <v/>
      </c>
      <c r="E970" t="str">
        <v/>
      </c>
      <c r="F970" t="str">
        <v/>
      </c>
      <c r="G970" t="str">
        <v/>
      </c>
      <c r="H970" t="str">
        <v/>
      </c>
      <c r="I970" s="2" t="str">
        <v/>
      </c>
      <c r="J970" s="2" t="str">
        <v/>
      </c>
      <c r="K970" s="2" t="str">
        <v/>
      </c>
      <c r="L970" s="1" t="str">
        <v/>
      </c>
      <c r="M970" s="2" t="str">
        <v/>
      </c>
      <c r="N970" s="1" t="str">
        <v/>
      </c>
      <c r="O970" s="1" t="str">
        <v/>
      </c>
      <c r="P970" s="1" t="str">
        <v/>
      </c>
      <c r="Q970" s="1">
        <f t="shared" si="60"/>
        <v>0</v>
      </c>
      <c r="R970" s="1">
        <f t="shared" si="61"/>
        <v>0</v>
      </c>
      <c r="T970">
        <f t="shared" si="62"/>
        <v>0</v>
      </c>
      <c r="U970">
        <f t="shared" si="63"/>
        <v>0</v>
      </c>
    </row>
    <row r="971" x14ac:dyDescent="0.35">
      <c r="A971" s="21" t="str">
        <v/>
      </c>
      <c r="B971" s="23" t="str">
        <v/>
      </c>
      <c r="C971" t="str">
        <v/>
      </c>
      <c r="D971" t="str">
        <v/>
      </c>
      <c r="E971" t="str">
        <v/>
      </c>
      <c r="F971" t="str">
        <v/>
      </c>
      <c r="G971" t="str">
        <v/>
      </c>
      <c r="H971" t="str">
        <v/>
      </c>
      <c r="I971" s="2" t="str">
        <v/>
      </c>
      <c r="J971" s="2" t="str">
        <v/>
      </c>
      <c r="K971" s="2" t="str">
        <v/>
      </c>
      <c r="L971" s="1" t="str">
        <v/>
      </c>
      <c r="M971" s="2" t="str">
        <v/>
      </c>
      <c r="N971" s="1" t="str">
        <v/>
      </c>
      <c r="O971" s="1" t="str">
        <v/>
      </c>
      <c r="P971" s="1" t="str">
        <v/>
      </c>
      <c r="Q971" s="1">
        <f t="shared" si="60"/>
        <v>0</v>
      </c>
      <c r="R971" s="1">
        <f t="shared" si="61"/>
        <v>0</v>
      </c>
      <c r="T971">
        <f t="shared" si="62"/>
        <v>0</v>
      </c>
      <c r="U971">
        <f t="shared" si="63"/>
        <v>0</v>
      </c>
    </row>
    <row r="972" x14ac:dyDescent="0.35">
      <c r="A972" s="21" t="str">
        <v/>
      </c>
      <c r="B972" s="23" t="str">
        <v/>
      </c>
      <c r="C972" t="str">
        <v/>
      </c>
      <c r="D972" t="str">
        <v/>
      </c>
      <c r="E972" t="str">
        <v/>
      </c>
      <c r="F972" t="str">
        <v/>
      </c>
      <c r="G972" t="str">
        <v/>
      </c>
      <c r="H972" t="str">
        <v/>
      </c>
      <c r="I972" s="2" t="str">
        <v/>
      </c>
      <c r="J972" s="2" t="str">
        <v/>
      </c>
      <c r="K972" s="2" t="str">
        <v/>
      </c>
      <c r="L972" s="1" t="str">
        <v/>
      </c>
      <c r="M972" s="2" t="str">
        <v/>
      </c>
      <c r="N972" s="1" t="str">
        <v/>
      </c>
      <c r="O972" s="1" t="str">
        <v/>
      </c>
      <c r="P972" s="1" t="str">
        <v/>
      </c>
      <c r="Q972" s="1">
        <f t="shared" si="60"/>
        <v>0</v>
      </c>
      <c r="R972" s="1">
        <f t="shared" si="61"/>
        <v>0</v>
      </c>
      <c r="T972">
        <f t="shared" si="62"/>
        <v>0</v>
      </c>
      <c r="U972">
        <f t="shared" si="63"/>
        <v>0</v>
      </c>
    </row>
    <row r="973" x14ac:dyDescent="0.35">
      <c r="A973" s="21" t="str">
        <v/>
      </c>
      <c r="B973" s="23" t="str">
        <v/>
      </c>
      <c r="C973" t="str">
        <v/>
      </c>
      <c r="D973" t="str">
        <v/>
      </c>
      <c r="E973" t="str">
        <v/>
      </c>
      <c r="F973" t="str">
        <v/>
      </c>
      <c r="G973" t="str">
        <v/>
      </c>
      <c r="H973" t="str">
        <v/>
      </c>
      <c r="I973" s="2" t="str">
        <v/>
      </c>
      <c r="J973" s="2" t="str">
        <v/>
      </c>
      <c r="K973" s="2" t="str">
        <v/>
      </c>
      <c r="L973" s="1" t="str">
        <v/>
      </c>
      <c r="M973" s="2" t="str">
        <v/>
      </c>
      <c r="N973" s="1" t="str">
        <v/>
      </c>
      <c r="O973" s="1" t="str">
        <v/>
      </c>
      <c r="P973" s="1" t="str">
        <v/>
      </c>
      <c r="Q973" s="1">
        <f t="shared" si="60"/>
        <v>0</v>
      </c>
      <c r="R973" s="1">
        <f t="shared" si="61"/>
        <v>0</v>
      </c>
      <c r="T973">
        <f t="shared" si="62"/>
        <v>0</v>
      </c>
      <c r="U973">
        <f t="shared" si="63"/>
        <v>0</v>
      </c>
    </row>
    <row r="974" x14ac:dyDescent="0.35">
      <c r="A974" s="21" t="str">
        <v/>
      </c>
      <c r="B974" s="23" t="str">
        <v/>
      </c>
      <c r="C974" t="str">
        <v/>
      </c>
      <c r="D974" t="str">
        <v/>
      </c>
      <c r="E974" t="str">
        <v/>
      </c>
      <c r="F974" t="str">
        <v/>
      </c>
      <c r="G974" t="str">
        <v/>
      </c>
      <c r="H974" t="str">
        <v/>
      </c>
      <c r="I974" s="2" t="str">
        <v/>
      </c>
      <c r="J974" s="2" t="str">
        <v/>
      </c>
      <c r="K974" s="2" t="str">
        <v/>
      </c>
      <c r="L974" s="1" t="str">
        <v/>
      </c>
      <c r="M974" s="2" t="str">
        <v/>
      </c>
      <c r="N974" s="1" t="str">
        <v/>
      </c>
      <c r="O974" s="1" t="str">
        <v/>
      </c>
      <c r="P974" s="1" t="str">
        <v/>
      </c>
      <c r="Q974" s="1">
        <f t="shared" si="60"/>
        <v>0</v>
      </c>
      <c r="R974" s="1">
        <f t="shared" si="61"/>
        <v>0</v>
      </c>
      <c r="T974">
        <f t="shared" si="62"/>
        <v>0</v>
      </c>
      <c r="U974">
        <f t="shared" si="63"/>
        <v>0</v>
      </c>
    </row>
    <row r="975" x14ac:dyDescent="0.35">
      <c r="A975" s="21" t="str">
        <v/>
      </c>
      <c r="B975" s="23" t="str">
        <v/>
      </c>
      <c r="C975" t="str">
        <v/>
      </c>
      <c r="D975" t="str">
        <v/>
      </c>
      <c r="E975" t="str">
        <v/>
      </c>
      <c r="F975" t="str">
        <v/>
      </c>
      <c r="G975" t="str">
        <v/>
      </c>
      <c r="H975" t="str">
        <v/>
      </c>
      <c r="I975" s="2" t="str">
        <v/>
      </c>
      <c r="J975" s="2" t="str">
        <v/>
      </c>
      <c r="K975" s="2" t="str">
        <v/>
      </c>
      <c r="L975" s="1" t="str">
        <v/>
      </c>
      <c r="M975" s="2" t="str">
        <v/>
      </c>
      <c r="N975" s="1" t="str">
        <v/>
      </c>
      <c r="O975" s="1" t="str">
        <v/>
      </c>
      <c r="P975" s="1" t="str">
        <v/>
      </c>
      <c r="Q975" s="1">
        <f t="shared" si="60"/>
        <v>0</v>
      </c>
      <c r="R975" s="1">
        <f t="shared" si="61"/>
        <v>0</v>
      </c>
      <c r="T975">
        <f t="shared" si="62"/>
        <v>0</v>
      </c>
      <c r="U975">
        <f t="shared" si="63"/>
        <v>0</v>
      </c>
    </row>
    <row r="976" x14ac:dyDescent="0.35">
      <c r="A976" s="21" t="str">
        <v/>
      </c>
      <c r="B976" s="23" t="str">
        <v/>
      </c>
      <c r="C976" t="str">
        <v/>
      </c>
      <c r="D976" t="str">
        <v/>
      </c>
      <c r="E976" t="str">
        <v/>
      </c>
      <c r="F976" t="str">
        <v/>
      </c>
      <c r="G976" t="str">
        <v/>
      </c>
      <c r="H976" t="str">
        <v/>
      </c>
      <c r="I976" s="2" t="str">
        <v/>
      </c>
      <c r="J976" s="2" t="str">
        <v/>
      </c>
      <c r="K976" s="2" t="str">
        <v/>
      </c>
      <c r="L976" s="1" t="str">
        <v/>
      </c>
      <c r="M976" s="2" t="str">
        <v/>
      </c>
      <c r="N976" s="1" t="str">
        <v/>
      </c>
      <c r="O976" s="1" t="str">
        <v/>
      </c>
      <c r="P976" s="1" t="str">
        <v/>
      </c>
      <c r="Q976" s="1">
        <f t="shared" si="60"/>
        <v>0</v>
      </c>
      <c r="R976" s="1">
        <f t="shared" si="61"/>
        <v>0</v>
      </c>
      <c r="T976">
        <f t="shared" si="62"/>
        <v>0</v>
      </c>
      <c r="U976">
        <f t="shared" si="63"/>
        <v>0</v>
      </c>
    </row>
    <row r="977" x14ac:dyDescent="0.35">
      <c r="A977" s="21" t="str">
        <v/>
      </c>
      <c r="B977" s="23" t="str">
        <v/>
      </c>
      <c r="C977" t="str">
        <v/>
      </c>
      <c r="D977" t="str">
        <v/>
      </c>
      <c r="E977" t="str">
        <v/>
      </c>
      <c r="F977" t="str">
        <v/>
      </c>
      <c r="G977" t="str">
        <v/>
      </c>
      <c r="H977" t="str">
        <v/>
      </c>
      <c r="I977" s="2" t="str">
        <v/>
      </c>
      <c r="J977" s="2" t="str">
        <v/>
      </c>
      <c r="K977" s="2" t="str">
        <v/>
      </c>
      <c r="L977" s="1" t="str">
        <v/>
      </c>
      <c r="M977" s="2" t="str">
        <v/>
      </c>
      <c r="N977" s="1" t="str">
        <v/>
      </c>
      <c r="O977" s="1" t="str">
        <v/>
      </c>
      <c r="P977" s="1" t="str">
        <v/>
      </c>
      <c r="Q977" s="1">
        <f t="shared" si="60"/>
        <v>0</v>
      </c>
      <c r="R977" s="1">
        <f t="shared" si="61"/>
        <v>0</v>
      </c>
      <c r="T977">
        <f t="shared" si="62"/>
        <v>0</v>
      </c>
      <c r="U977">
        <f t="shared" si="63"/>
        <v>0</v>
      </c>
    </row>
    <row r="978" x14ac:dyDescent="0.35">
      <c r="A978" s="21" t="str">
        <v/>
      </c>
      <c r="B978" s="23" t="str">
        <v/>
      </c>
      <c r="C978" t="str">
        <v/>
      </c>
      <c r="D978" t="str">
        <v/>
      </c>
      <c r="E978" t="str">
        <v/>
      </c>
      <c r="F978" t="str">
        <v/>
      </c>
      <c r="G978" t="str">
        <v/>
      </c>
      <c r="H978" t="str">
        <v/>
      </c>
      <c r="I978" s="2" t="str">
        <v/>
      </c>
      <c r="J978" s="2" t="str">
        <v/>
      </c>
      <c r="K978" s="2" t="str">
        <v/>
      </c>
      <c r="L978" s="1" t="str">
        <v/>
      </c>
      <c r="M978" s="2" t="str">
        <v/>
      </c>
      <c r="N978" s="1" t="str">
        <v/>
      </c>
      <c r="O978" s="1" t="str">
        <v/>
      </c>
      <c r="P978" s="1" t="str">
        <v/>
      </c>
      <c r="Q978" s="1">
        <f t="shared" si="60"/>
        <v>0</v>
      </c>
      <c r="R978" s="1">
        <f t="shared" si="61"/>
        <v>0</v>
      </c>
      <c r="T978">
        <f t="shared" si="62"/>
        <v>0</v>
      </c>
      <c r="U978">
        <f t="shared" si="63"/>
        <v>0</v>
      </c>
    </row>
    <row r="979" x14ac:dyDescent="0.35">
      <c r="A979" s="21" t="str">
        <v/>
      </c>
      <c r="B979" s="23" t="str">
        <v/>
      </c>
      <c r="C979" t="str">
        <v/>
      </c>
      <c r="D979" t="str">
        <v/>
      </c>
      <c r="E979" t="str">
        <v/>
      </c>
      <c r="F979" t="str">
        <v/>
      </c>
      <c r="G979" t="str">
        <v/>
      </c>
      <c r="H979" t="str">
        <v/>
      </c>
      <c r="I979" s="2" t="str">
        <v/>
      </c>
      <c r="J979" s="2" t="str">
        <v/>
      </c>
      <c r="K979" s="2" t="str">
        <v/>
      </c>
      <c r="L979" s="1" t="str">
        <v/>
      </c>
      <c r="M979" s="2" t="str">
        <v/>
      </c>
      <c r="N979" s="1" t="str">
        <v/>
      </c>
      <c r="O979" s="1" t="str">
        <v/>
      </c>
      <c r="P979" s="1" t="str">
        <v/>
      </c>
      <c r="Q979" s="1">
        <f t="shared" si="60"/>
        <v>0</v>
      </c>
      <c r="R979" s="1">
        <f t="shared" si="61"/>
        <v>0</v>
      </c>
      <c r="T979">
        <f t="shared" si="62"/>
        <v>0</v>
      </c>
      <c r="U979">
        <f t="shared" si="63"/>
        <v>0</v>
      </c>
    </row>
    <row r="980" x14ac:dyDescent="0.35">
      <c r="A980" s="21" t="str">
        <v/>
      </c>
      <c r="B980" s="23" t="str">
        <v/>
      </c>
      <c r="C980" t="str">
        <v/>
      </c>
      <c r="D980" t="str">
        <v/>
      </c>
      <c r="E980" t="str">
        <v/>
      </c>
      <c r="F980" t="str">
        <v/>
      </c>
      <c r="G980" t="str">
        <v/>
      </c>
      <c r="H980" t="str">
        <v/>
      </c>
      <c r="I980" s="2" t="str">
        <v/>
      </c>
      <c r="J980" s="2" t="str">
        <v/>
      </c>
      <c r="K980" s="2" t="str">
        <v/>
      </c>
      <c r="L980" s="1" t="str">
        <v/>
      </c>
      <c r="M980" s="2" t="str">
        <v/>
      </c>
      <c r="N980" s="1" t="str">
        <v/>
      </c>
      <c r="O980" s="1" t="str">
        <v/>
      </c>
      <c r="P980" s="1" t="str">
        <v/>
      </c>
      <c r="Q980" s="1">
        <f t="shared" si="60"/>
        <v>0</v>
      </c>
      <c r="R980" s="1">
        <f t="shared" si="61"/>
        <v>0</v>
      </c>
      <c r="T980">
        <f t="shared" si="62"/>
        <v>0</v>
      </c>
      <c r="U980">
        <f t="shared" si="63"/>
        <v>0</v>
      </c>
    </row>
    <row r="981" x14ac:dyDescent="0.35">
      <c r="A981" s="21" t="str">
        <v/>
      </c>
      <c r="B981" s="23" t="str">
        <v/>
      </c>
      <c r="C981" t="str">
        <v/>
      </c>
      <c r="D981" t="str">
        <v/>
      </c>
      <c r="E981" t="str">
        <v/>
      </c>
      <c r="F981" t="str">
        <v/>
      </c>
      <c r="G981" t="str">
        <v/>
      </c>
      <c r="H981" t="str">
        <v/>
      </c>
      <c r="I981" s="2" t="str">
        <v/>
      </c>
      <c r="J981" s="2" t="str">
        <v/>
      </c>
      <c r="K981" s="2" t="str">
        <v/>
      </c>
      <c r="L981" s="1" t="str">
        <v/>
      </c>
      <c r="M981" s="2" t="str">
        <v/>
      </c>
      <c r="N981" s="1" t="str">
        <v/>
      </c>
      <c r="O981" s="1" t="str">
        <v/>
      </c>
      <c r="P981" s="1" t="str">
        <v/>
      </c>
      <c r="Q981" s="1">
        <f t="shared" si="60"/>
        <v>0</v>
      </c>
      <c r="R981" s="1">
        <f t="shared" si="61"/>
        <v>0</v>
      </c>
      <c r="T981">
        <f t="shared" si="62"/>
        <v>0</v>
      </c>
      <c r="U981">
        <f t="shared" si="63"/>
        <v>0</v>
      </c>
    </row>
    <row r="982" x14ac:dyDescent="0.35">
      <c r="A982" s="21" t="str">
        <v/>
      </c>
      <c r="B982" s="23" t="str">
        <v/>
      </c>
      <c r="C982" t="str">
        <v/>
      </c>
      <c r="D982" t="str">
        <v/>
      </c>
      <c r="E982" t="str">
        <v/>
      </c>
      <c r="F982" t="str">
        <v/>
      </c>
      <c r="G982" t="str">
        <v/>
      </c>
      <c r="H982" t="str">
        <v/>
      </c>
      <c r="I982" s="2" t="str">
        <v/>
      </c>
      <c r="J982" s="2" t="str">
        <v/>
      </c>
      <c r="K982" s="2" t="str">
        <v/>
      </c>
      <c r="L982" s="1" t="str">
        <v/>
      </c>
      <c r="M982" s="2" t="str">
        <v/>
      </c>
      <c r="N982" s="1" t="str">
        <v/>
      </c>
      <c r="O982" s="1" t="str">
        <v/>
      </c>
      <c r="P982" s="1" t="str">
        <v/>
      </c>
      <c r="Q982" s="1">
        <f t="shared" si="60"/>
        <v>0</v>
      </c>
      <c r="R982" s="1">
        <f t="shared" si="61"/>
        <v>0</v>
      </c>
      <c r="T982">
        <f t="shared" si="62"/>
        <v>0</v>
      </c>
      <c r="U982">
        <f t="shared" si="63"/>
        <v>0</v>
      </c>
    </row>
    <row r="983" x14ac:dyDescent="0.35">
      <c r="A983" s="21" t="str">
        <v/>
      </c>
      <c r="B983" s="23" t="str">
        <v/>
      </c>
      <c r="C983" t="str">
        <v/>
      </c>
      <c r="D983" t="str">
        <v/>
      </c>
      <c r="E983" t="str">
        <v/>
      </c>
      <c r="F983" t="str">
        <v/>
      </c>
      <c r="G983" t="str">
        <v/>
      </c>
      <c r="H983" t="str">
        <v/>
      </c>
      <c r="I983" s="2" t="str">
        <v/>
      </c>
      <c r="J983" s="2" t="str">
        <v/>
      </c>
      <c r="K983" s="2" t="str">
        <v/>
      </c>
      <c r="L983" s="1" t="str">
        <v/>
      </c>
      <c r="M983" s="2" t="str">
        <v/>
      </c>
      <c r="N983" s="1" t="str">
        <v/>
      </c>
      <c r="O983" s="1" t="str">
        <v/>
      </c>
      <c r="P983" s="1" t="str">
        <v/>
      </c>
      <c r="Q983" s="1">
        <f t="shared" si="60"/>
        <v>0</v>
      </c>
      <c r="R983" s="1">
        <f t="shared" si="61"/>
        <v>0</v>
      </c>
      <c r="T983">
        <f t="shared" si="62"/>
        <v>0</v>
      </c>
      <c r="U983">
        <f t="shared" si="63"/>
        <v>0</v>
      </c>
    </row>
    <row r="984" x14ac:dyDescent="0.35">
      <c r="A984" s="21" t="str">
        <v/>
      </c>
      <c r="B984" s="23" t="str">
        <v/>
      </c>
      <c r="C984" t="str">
        <v/>
      </c>
      <c r="D984" t="str">
        <v/>
      </c>
      <c r="E984" t="str">
        <v/>
      </c>
      <c r="F984" t="str">
        <v/>
      </c>
      <c r="G984" t="str">
        <v/>
      </c>
      <c r="H984" t="str">
        <v/>
      </c>
      <c r="I984" s="2" t="str">
        <v/>
      </c>
      <c r="J984" s="2" t="str">
        <v/>
      </c>
      <c r="K984" s="2" t="str">
        <v/>
      </c>
      <c r="L984" s="1" t="str">
        <v/>
      </c>
      <c r="M984" s="2" t="str">
        <v/>
      </c>
      <c r="N984" s="1" t="str">
        <v/>
      </c>
      <c r="O984" s="1" t="str">
        <v/>
      </c>
      <c r="P984" s="1" t="str">
        <v/>
      </c>
      <c r="Q984" s="1">
        <f t="shared" si="60"/>
        <v>0</v>
      </c>
      <c r="R984" s="1">
        <f t="shared" si="61"/>
        <v>0</v>
      </c>
      <c r="T984">
        <f t="shared" si="62"/>
        <v>0</v>
      </c>
      <c r="U984">
        <f t="shared" si="63"/>
        <v>0</v>
      </c>
    </row>
    <row r="985" x14ac:dyDescent="0.35">
      <c r="A985" s="21" t="str">
        <v/>
      </c>
      <c r="B985" s="23" t="str">
        <v/>
      </c>
      <c r="C985" t="str">
        <v/>
      </c>
      <c r="D985" t="str">
        <v/>
      </c>
      <c r="E985" t="str">
        <v/>
      </c>
      <c r="F985" t="str">
        <v/>
      </c>
      <c r="G985" t="str">
        <v/>
      </c>
      <c r="H985" t="str">
        <v/>
      </c>
      <c r="I985" s="2" t="str">
        <v/>
      </c>
      <c r="J985" s="2" t="str">
        <v/>
      </c>
      <c r="K985" s="2" t="str">
        <v/>
      </c>
      <c r="L985" s="1" t="str">
        <v/>
      </c>
      <c r="M985" s="2" t="str">
        <v/>
      </c>
      <c r="N985" s="1" t="str">
        <v/>
      </c>
      <c r="O985" s="1" t="str">
        <v/>
      </c>
      <c r="P985" s="1" t="str">
        <v/>
      </c>
      <c r="Q985" s="1">
        <f t="shared" si="60"/>
        <v>0</v>
      </c>
      <c r="R985" s="1">
        <f t="shared" si="61"/>
        <v>0</v>
      </c>
      <c r="T985">
        <f t="shared" si="62"/>
        <v>0</v>
      </c>
      <c r="U985">
        <f t="shared" si="63"/>
        <v>0</v>
      </c>
    </row>
    <row r="986" x14ac:dyDescent="0.35">
      <c r="A986" s="21" t="str">
        <v/>
      </c>
      <c r="B986" s="23" t="str">
        <v/>
      </c>
      <c r="C986" t="str">
        <v/>
      </c>
      <c r="D986" t="str">
        <v/>
      </c>
      <c r="E986" t="str">
        <v/>
      </c>
      <c r="F986" t="str">
        <v/>
      </c>
      <c r="G986" t="str">
        <v/>
      </c>
      <c r="H986" t="str">
        <v/>
      </c>
      <c r="I986" s="2" t="str">
        <v/>
      </c>
      <c r="J986" s="2" t="str">
        <v/>
      </c>
      <c r="K986" s="2" t="str">
        <v/>
      </c>
      <c r="L986" s="1" t="str">
        <v/>
      </c>
      <c r="M986" s="2" t="str">
        <v/>
      </c>
      <c r="N986" s="1" t="str">
        <v/>
      </c>
      <c r="O986" s="1" t="str">
        <v/>
      </c>
      <c r="P986" s="1" t="str">
        <v/>
      </c>
      <c r="Q986" s="1">
        <f t="shared" si="60"/>
        <v>0</v>
      </c>
      <c r="R986" s="1">
        <f t="shared" si="61"/>
        <v>0</v>
      </c>
      <c r="T986">
        <f t="shared" si="62"/>
        <v>0</v>
      </c>
      <c r="U986">
        <f t="shared" si="63"/>
        <v>0</v>
      </c>
    </row>
    <row r="987" x14ac:dyDescent="0.35">
      <c r="A987" s="21" t="str">
        <v/>
      </c>
      <c r="B987" s="23" t="str">
        <v/>
      </c>
      <c r="C987" t="str">
        <v/>
      </c>
      <c r="D987" t="str">
        <v/>
      </c>
      <c r="E987" t="str">
        <v/>
      </c>
      <c r="F987" t="str">
        <v/>
      </c>
      <c r="G987" t="str">
        <v/>
      </c>
      <c r="H987" t="str">
        <v/>
      </c>
      <c r="I987" s="2" t="str">
        <v/>
      </c>
      <c r="J987" s="2" t="str">
        <v/>
      </c>
      <c r="K987" s="2" t="str">
        <v/>
      </c>
      <c r="L987" s="1" t="str">
        <v/>
      </c>
      <c r="M987" s="2" t="str">
        <v/>
      </c>
      <c r="N987" s="1" t="str">
        <v/>
      </c>
      <c r="O987" s="1" t="str">
        <v/>
      </c>
      <c r="P987" s="1" t="str">
        <v/>
      </c>
      <c r="Q987" s="1">
        <f t="shared" si="60"/>
        <v>0</v>
      </c>
      <c r="R987" s="1">
        <f t="shared" si="61"/>
        <v>0</v>
      </c>
      <c r="T987">
        <f t="shared" si="62"/>
        <v>0</v>
      </c>
      <c r="U987">
        <f t="shared" si="63"/>
        <v>0</v>
      </c>
    </row>
    <row r="988" x14ac:dyDescent="0.35">
      <c r="A988" s="21" t="str">
        <v/>
      </c>
      <c r="B988" s="23" t="str">
        <v/>
      </c>
      <c r="C988" t="str">
        <v/>
      </c>
      <c r="D988" t="str">
        <v/>
      </c>
      <c r="E988" t="str">
        <v/>
      </c>
      <c r="F988" t="str">
        <v/>
      </c>
      <c r="G988" t="str">
        <v/>
      </c>
      <c r="H988" t="str">
        <v/>
      </c>
      <c r="I988" s="2" t="str">
        <v/>
      </c>
      <c r="J988" s="2" t="str">
        <v/>
      </c>
      <c r="K988" s="2" t="str">
        <v/>
      </c>
      <c r="L988" s="1" t="str">
        <v/>
      </c>
      <c r="M988" s="2" t="str">
        <v/>
      </c>
      <c r="N988" s="1" t="str">
        <v/>
      </c>
      <c r="O988" s="1" t="str">
        <v/>
      </c>
      <c r="P988" s="1" t="str">
        <v/>
      </c>
      <c r="Q988" s="1">
        <f t="shared" si="60"/>
        <v>0</v>
      </c>
      <c r="R988" s="1">
        <f t="shared" si="61"/>
        <v>0</v>
      </c>
      <c r="T988">
        <f t="shared" si="62"/>
        <v>0</v>
      </c>
      <c r="U988">
        <f t="shared" si="63"/>
        <v>0</v>
      </c>
    </row>
    <row r="989" x14ac:dyDescent="0.35">
      <c r="A989" s="21" t="str">
        <v/>
      </c>
      <c r="B989" s="23" t="str">
        <v/>
      </c>
      <c r="C989" t="str">
        <v/>
      </c>
      <c r="D989" t="str">
        <v/>
      </c>
      <c r="E989" t="str">
        <v/>
      </c>
      <c r="F989" t="str">
        <v/>
      </c>
      <c r="G989" t="str">
        <v/>
      </c>
      <c r="H989" t="str">
        <v/>
      </c>
      <c r="I989" s="2" t="str">
        <v/>
      </c>
      <c r="J989" s="2" t="str">
        <v/>
      </c>
      <c r="K989" s="2" t="str">
        <v/>
      </c>
      <c r="L989" s="1" t="str">
        <v/>
      </c>
      <c r="M989" s="2" t="str">
        <v/>
      </c>
      <c r="N989" s="1" t="str">
        <v/>
      </c>
      <c r="O989" s="1" t="str">
        <v/>
      </c>
      <c r="P989" s="1" t="str">
        <v/>
      </c>
      <c r="Q989" s="1">
        <f t="shared" si="60"/>
        <v>0</v>
      </c>
      <c r="R989" s="1">
        <f t="shared" si="61"/>
        <v>0</v>
      </c>
      <c r="T989">
        <f t="shared" si="62"/>
        <v>0</v>
      </c>
      <c r="U989">
        <f t="shared" si="63"/>
        <v>0</v>
      </c>
    </row>
    <row r="990" x14ac:dyDescent="0.35">
      <c r="A990" s="21" t="str">
        <v/>
      </c>
      <c r="B990" s="23" t="str">
        <v/>
      </c>
      <c r="C990" t="str">
        <v/>
      </c>
      <c r="D990" t="str">
        <v/>
      </c>
      <c r="E990" t="str">
        <v/>
      </c>
      <c r="F990" t="str">
        <v/>
      </c>
      <c r="G990" t="str">
        <v/>
      </c>
      <c r="H990" t="str">
        <v/>
      </c>
      <c r="I990" s="2" t="str">
        <v/>
      </c>
      <c r="J990" s="2" t="str">
        <v/>
      </c>
      <c r="K990" s="2" t="str">
        <v/>
      </c>
      <c r="L990" s="1" t="str">
        <v/>
      </c>
      <c r="M990" s="2" t="str">
        <v/>
      </c>
      <c r="N990" s="1" t="str">
        <v/>
      </c>
      <c r="O990" s="1" t="str">
        <v/>
      </c>
      <c r="P990" s="1" t="str">
        <v/>
      </c>
      <c r="Q990" s="1">
        <f t="shared" si="60"/>
        <v>0</v>
      </c>
      <c r="R990" s="1">
        <f t="shared" si="61"/>
        <v>0</v>
      </c>
      <c r="T990">
        <f t="shared" si="62"/>
        <v>0</v>
      </c>
      <c r="U990">
        <f t="shared" si="63"/>
        <v>0</v>
      </c>
    </row>
    <row r="991" x14ac:dyDescent="0.35">
      <c r="A991" s="21" t="str">
        <v/>
      </c>
      <c r="B991" s="23" t="str">
        <v/>
      </c>
      <c r="C991" t="str">
        <v/>
      </c>
      <c r="D991" t="str">
        <v/>
      </c>
      <c r="E991" t="str">
        <v/>
      </c>
      <c r="F991" t="str">
        <v/>
      </c>
      <c r="G991" t="str">
        <v/>
      </c>
      <c r="H991" t="str">
        <v/>
      </c>
      <c r="I991" s="2" t="str">
        <v/>
      </c>
      <c r="J991" s="2" t="str">
        <v/>
      </c>
      <c r="K991" s="2" t="str">
        <v/>
      </c>
      <c r="L991" s="1" t="str">
        <v/>
      </c>
      <c r="M991" s="2" t="str">
        <v/>
      </c>
      <c r="N991" s="1" t="str">
        <v/>
      </c>
      <c r="O991" s="1" t="str">
        <v/>
      </c>
      <c r="P991" s="1" t="str">
        <v/>
      </c>
      <c r="Q991" s="1">
        <f t="shared" si="60"/>
        <v>0</v>
      </c>
      <c r="R991" s="1">
        <f t="shared" si="61"/>
        <v>0</v>
      </c>
      <c r="T991">
        <f t="shared" si="62"/>
        <v>0</v>
      </c>
      <c r="U991">
        <f t="shared" si="63"/>
        <v>0</v>
      </c>
    </row>
    <row r="992" x14ac:dyDescent="0.35">
      <c r="A992" s="21" t="str">
        <v/>
      </c>
      <c r="B992" s="23" t="str">
        <v/>
      </c>
      <c r="C992" t="str">
        <v/>
      </c>
      <c r="D992" t="str">
        <v/>
      </c>
      <c r="E992" t="str">
        <v/>
      </c>
      <c r="F992" t="str">
        <v/>
      </c>
      <c r="G992" t="str">
        <v/>
      </c>
      <c r="H992" t="str">
        <v/>
      </c>
      <c r="I992" s="2" t="str">
        <v/>
      </c>
      <c r="J992" s="2" t="str">
        <v/>
      </c>
      <c r="K992" s="2" t="str">
        <v/>
      </c>
      <c r="L992" s="1" t="str">
        <v/>
      </c>
      <c r="M992" s="2" t="str">
        <v/>
      </c>
      <c r="N992" s="1" t="str">
        <v/>
      </c>
      <c r="O992" s="1" t="str">
        <v/>
      </c>
      <c r="P992" s="1" t="str">
        <v/>
      </c>
      <c r="Q992" s="1">
        <f t="shared" si="60"/>
        <v>0</v>
      </c>
      <c r="R992" s="1">
        <f t="shared" si="61"/>
        <v>0</v>
      </c>
      <c r="T992">
        <f t="shared" si="62"/>
        <v>0</v>
      </c>
      <c r="U992">
        <f t="shared" si="63"/>
        <v>0</v>
      </c>
    </row>
    <row r="993" x14ac:dyDescent="0.35">
      <c r="A993" s="21" t="str">
        <v/>
      </c>
      <c r="B993" s="23" t="str">
        <v/>
      </c>
      <c r="C993" t="str">
        <v/>
      </c>
      <c r="D993" t="str">
        <v/>
      </c>
      <c r="E993" t="str">
        <v/>
      </c>
      <c r="F993" t="str">
        <v/>
      </c>
      <c r="G993" t="str">
        <v/>
      </c>
      <c r="H993" t="str">
        <v/>
      </c>
      <c r="I993" s="2" t="str">
        <v/>
      </c>
      <c r="J993" s="2" t="str">
        <v/>
      </c>
      <c r="K993" s="2" t="str">
        <v/>
      </c>
      <c r="L993" s="1" t="str">
        <v/>
      </c>
      <c r="M993" s="2" t="str">
        <v/>
      </c>
      <c r="N993" s="1" t="str">
        <v/>
      </c>
      <c r="O993" s="1" t="str">
        <v/>
      </c>
      <c r="P993" s="1" t="str">
        <v/>
      </c>
      <c r="Q993" s="1">
        <f t="shared" si="60"/>
        <v>0</v>
      </c>
      <c r="R993" s="1">
        <f t="shared" si="61"/>
        <v>0</v>
      </c>
      <c r="T993">
        <f t="shared" si="62"/>
        <v>0</v>
      </c>
      <c r="U993">
        <f t="shared" si="63"/>
        <v>0</v>
      </c>
    </row>
    <row r="994" x14ac:dyDescent="0.35">
      <c r="A994" s="21" t="str">
        <v/>
      </c>
      <c r="B994" s="23" t="str">
        <v/>
      </c>
      <c r="C994" t="str">
        <v/>
      </c>
      <c r="D994" t="str">
        <v/>
      </c>
      <c r="E994" t="str">
        <v/>
      </c>
      <c r="F994" t="str">
        <v/>
      </c>
      <c r="G994" t="str">
        <v/>
      </c>
      <c r="H994" t="str">
        <v/>
      </c>
      <c r="I994" s="2" t="str">
        <v/>
      </c>
      <c r="J994" s="2" t="str">
        <v/>
      </c>
      <c r="K994" s="2" t="str">
        <v/>
      </c>
      <c r="L994" s="1" t="str">
        <v/>
      </c>
      <c r="M994" s="2" t="str">
        <v/>
      </c>
      <c r="N994" s="1" t="str">
        <v/>
      </c>
      <c r="O994" s="1" t="str">
        <v/>
      </c>
      <c r="P994" s="1" t="str">
        <v/>
      </c>
      <c r="Q994" s="1">
        <f t="shared" si="60"/>
        <v>0</v>
      </c>
      <c r="R994" s="1">
        <f t="shared" si="61"/>
        <v>0</v>
      </c>
      <c r="T994">
        <f t="shared" si="62"/>
        <v>0</v>
      </c>
      <c r="U994">
        <f t="shared" si="63"/>
        <v>0</v>
      </c>
    </row>
    <row r="995" x14ac:dyDescent="0.35">
      <c r="Q995" s="1">
        <f t="shared" si="60"/>
        <v>0</v>
      </c>
      <c r="R995" s="1">
        <f t="shared" si="61"/>
        <v>0</v>
      </c>
      <c r="T995">
        <f t="shared" si="62"/>
        <v>0</v>
      </c>
      <c r="U995">
        <f t="shared" si="63"/>
        <v>0</v>
      </c>
    </row>
    <row r="996" x14ac:dyDescent="0.35">
      <c r="Q996" s="1">
        <f t="shared" si="60"/>
        <v>0</v>
      </c>
      <c r="R996" s="1">
        <f t="shared" si="61"/>
        <v>0</v>
      </c>
      <c r="T996">
        <f t="shared" si="62"/>
        <v>0</v>
      </c>
      <c r="U996">
        <f t="shared" si="6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599C-E3E5-4573-BFCD-817B2135B33F}">
  <dimension ref="A1:E30"/>
  <sheetViews>
    <sheetView topLeftCell="A15" zoomScale="89" zoomScaleNormal="118" workbookViewId="0">
      <selection activeCell="H33" sqref="H33"/>
    </sheetView>
  </sheetViews>
  <sheetFormatPr baseColWidth="10" defaultRowHeight="14.5" x14ac:dyDescent="0.35"/>
  <cols>
    <col min="2" max="2" width="30.453125" customWidth="true"/>
    <col min="3" max="4" width="23.54296875" style="19" customWidth="true"/>
    <col min="5" max="5" width="10.81640625" style="19"/>
  </cols>
  <sheetData>
    <row r="1" x14ac:dyDescent="0.35">
      <c r="A1" t="s">
        <v>1038</v>
      </c>
      <c r="B1" t="s">
        <v>6</v>
      </c>
      <c r="C1" s="19" t="s">
        <v>1037</v>
      </c>
      <c r="D1" s="19" t="s">
        <v>7</v>
      </c>
      <c r="E1" s="19" t="s">
        <v>173</v>
      </c>
    </row>
    <row r="2" x14ac:dyDescent="0.35">
      <c r="A2">
        <v>1</v>
      </c>
      <c r="B2" t="s">
        <v>247</v>
      </c>
      <c r="C2" s="19" t="s">
        <v>49</v>
      </c>
      <c r="D2" s="19" t="s">
        <v>82</v>
      </c>
      <c r="E2" s="19">
        <v>10</v>
      </c>
    </row>
    <row r="3" x14ac:dyDescent="0.35">
      <c r="A3">
        <f>+A2+1</f>
        <v>2</v>
      </c>
      <c r="B3" t="s">
        <v>247</v>
      </c>
      <c r="C3" s="19" t="s">
        <v>49</v>
      </c>
      <c r="D3" s="19" t="s">
        <v>111</v>
      </c>
      <c r="E3" s="19">
        <v>10</v>
      </c>
    </row>
    <row r="4" x14ac:dyDescent="0.35">
      <c r="A4">
        <f t="shared" ref="A4:A30" si="0">+A3+1</f>
        <v>3</v>
      </c>
      <c r="B4" t="s">
        <v>247</v>
      </c>
      <c r="C4" s="19" t="s">
        <v>49</v>
      </c>
      <c r="D4" s="19" t="s">
        <v>37</v>
      </c>
      <c r="E4" s="20">
        <v>8</v>
      </c>
    </row>
    <row r="5" x14ac:dyDescent="0.35">
      <c r="A5">
        <f t="shared" si="0"/>
        <v>4</v>
      </c>
      <c r="B5" t="s">
        <v>247</v>
      </c>
      <c r="C5" s="19" t="s">
        <v>49</v>
      </c>
      <c r="D5" s="19" t="s">
        <v>430</v>
      </c>
      <c r="E5" s="20">
        <v>16</v>
      </c>
    </row>
    <row r="6" x14ac:dyDescent="0.35">
      <c r="A6">
        <f t="shared" si="0"/>
        <v>5</v>
      </c>
      <c r="B6" t="s">
        <v>247</v>
      </c>
      <c r="C6" s="19" t="s">
        <v>49</v>
      </c>
      <c r="D6" s="19" t="s">
        <v>60</v>
      </c>
      <c r="E6" s="20">
        <v>16</v>
      </c>
    </row>
    <row r="7" x14ac:dyDescent="0.35">
      <c r="A7">
        <f t="shared" si="0"/>
        <v>6</v>
      </c>
      <c r="B7" t="s">
        <v>247</v>
      </c>
      <c r="C7" s="19" t="s">
        <v>109</v>
      </c>
      <c r="D7" s="19" t="s">
        <v>37</v>
      </c>
      <c r="E7" s="19">
        <v>1</v>
      </c>
    </row>
    <row r="8" x14ac:dyDescent="0.35">
      <c r="A8">
        <f t="shared" si="0"/>
        <v>7</v>
      </c>
      <c r="B8" t="s">
        <v>247</v>
      </c>
      <c r="C8" s="19" t="s">
        <v>109</v>
      </c>
      <c r="D8" s="19" t="s">
        <v>430</v>
      </c>
      <c r="E8" s="19">
        <v>2</v>
      </c>
    </row>
    <row r="9" x14ac:dyDescent="0.35">
      <c r="A9">
        <f t="shared" si="0"/>
        <v>8</v>
      </c>
      <c r="B9" t="s">
        <v>247</v>
      </c>
      <c r="C9" s="19" t="s">
        <v>109</v>
      </c>
      <c r="D9" s="19" t="s">
        <v>60</v>
      </c>
      <c r="E9" s="19">
        <v>2</v>
      </c>
    </row>
    <row r="10" x14ac:dyDescent="0.35">
      <c r="A10">
        <f t="shared" si="0"/>
        <v>9</v>
      </c>
      <c r="B10" t="s">
        <v>247</v>
      </c>
      <c r="C10" s="19" t="s">
        <v>61</v>
      </c>
      <c r="D10" s="19" t="s">
        <v>37</v>
      </c>
      <c r="E10" s="19">
        <v>1</v>
      </c>
    </row>
    <row r="11" x14ac:dyDescent="0.35">
      <c r="A11">
        <f t="shared" si="0"/>
        <v>10</v>
      </c>
      <c r="B11" t="s">
        <v>247</v>
      </c>
      <c r="C11" s="19" t="s">
        <v>61</v>
      </c>
      <c r="D11" s="19" t="s">
        <v>430</v>
      </c>
      <c r="E11" s="19">
        <v>2</v>
      </c>
    </row>
    <row r="12" x14ac:dyDescent="0.35">
      <c r="A12">
        <f t="shared" si="0"/>
        <v>11</v>
      </c>
      <c r="B12" t="s">
        <v>247</v>
      </c>
      <c r="C12" s="19" t="s">
        <v>61</v>
      </c>
      <c r="D12" s="19" t="s">
        <v>60</v>
      </c>
      <c r="E12" s="19">
        <v>2</v>
      </c>
    </row>
    <row r="13" x14ac:dyDescent="0.35">
      <c r="A13">
        <f t="shared" si="0"/>
        <v>12</v>
      </c>
      <c r="B13" t="s">
        <v>247</v>
      </c>
      <c r="C13" s="19" t="s">
        <v>56</v>
      </c>
      <c r="D13" s="19" t="s">
        <v>37</v>
      </c>
      <c r="E13" s="19">
        <v>1</v>
      </c>
    </row>
    <row r="14" x14ac:dyDescent="0.35">
      <c r="A14">
        <f t="shared" si="0"/>
        <v>13</v>
      </c>
      <c r="B14" t="s">
        <v>247</v>
      </c>
      <c r="C14" s="19" t="s">
        <v>56</v>
      </c>
      <c r="D14" s="19" t="s">
        <v>430</v>
      </c>
      <c r="E14" s="19">
        <v>2</v>
      </c>
    </row>
    <row r="15" x14ac:dyDescent="0.35">
      <c r="A15">
        <f t="shared" si="0"/>
        <v>14</v>
      </c>
      <c r="B15" t="s">
        <v>247</v>
      </c>
      <c r="C15" s="19" t="s">
        <v>56</v>
      </c>
      <c r="D15" s="19" t="s">
        <v>60</v>
      </c>
      <c r="E15" s="19">
        <v>2</v>
      </c>
    </row>
    <row r="16" x14ac:dyDescent="0.35">
      <c r="A16">
        <f t="shared" si="0"/>
        <v>15</v>
      </c>
      <c r="B16" t="s">
        <v>247</v>
      </c>
      <c r="C16" s="19" t="s">
        <v>44</v>
      </c>
      <c r="D16" s="19" t="s">
        <v>37</v>
      </c>
      <c r="E16" s="19">
        <v>1</v>
      </c>
    </row>
    <row r="17" x14ac:dyDescent="0.35">
      <c r="A17">
        <f t="shared" si="0"/>
        <v>16</v>
      </c>
      <c r="B17" t="s">
        <v>247</v>
      </c>
      <c r="C17" s="19" t="s">
        <v>44</v>
      </c>
      <c r="D17" s="19" t="s">
        <v>430</v>
      </c>
      <c r="E17" s="19">
        <v>2</v>
      </c>
    </row>
    <row r="18" x14ac:dyDescent="0.35">
      <c r="A18">
        <f t="shared" si="0"/>
        <v>17</v>
      </c>
      <c r="B18" t="s">
        <v>247</v>
      </c>
      <c r="C18" s="19" t="s">
        <v>44</v>
      </c>
      <c r="D18" s="19" t="s">
        <v>60</v>
      </c>
      <c r="E18" s="19">
        <v>2</v>
      </c>
    </row>
    <row r="19" x14ac:dyDescent="0.35">
      <c r="A19">
        <f t="shared" si="0"/>
        <v>18</v>
      </c>
      <c r="B19" t="s">
        <v>247</v>
      </c>
      <c r="C19" s="19" t="s">
        <v>41</v>
      </c>
      <c r="D19" s="19" t="s">
        <v>37</v>
      </c>
      <c r="E19" s="19">
        <v>1</v>
      </c>
    </row>
    <row r="20" x14ac:dyDescent="0.35">
      <c r="A20">
        <f t="shared" si="0"/>
        <v>19</v>
      </c>
      <c r="B20" t="s">
        <v>247</v>
      </c>
      <c r="C20" s="19" t="s">
        <v>41</v>
      </c>
      <c r="D20" s="19" t="s">
        <v>430</v>
      </c>
      <c r="E20" s="19">
        <v>2</v>
      </c>
    </row>
    <row r="21" x14ac:dyDescent="0.35">
      <c r="A21">
        <f t="shared" si="0"/>
        <v>20</v>
      </c>
      <c r="B21" t="s">
        <v>247</v>
      </c>
      <c r="C21" s="19" t="s">
        <v>41</v>
      </c>
      <c r="D21" s="19" t="s">
        <v>60</v>
      </c>
      <c r="E21" s="19">
        <v>2</v>
      </c>
    </row>
    <row r="22" x14ac:dyDescent="0.35">
      <c r="A22">
        <f t="shared" si="0"/>
        <v>21</v>
      </c>
      <c r="B22" t="s">
        <v>247</v>
      </c>
      <c r="C22" s="19" t="s">
        <v>65</v>
      </c>
      <c r="D22" s="19" t="s">
        <v>37</v>
      </c>
      <c r="E22" s="19">
        <v>1</v>
      </c>
    </row>
    <row r="23" x14ac:dyDescent="0.35">
      <c r="A23">
        <f t="shared" si="0"/>
        <v>22</v>
      </c>
      <c r="B23" t="s">
        <v>247</v>
      </c>
      <c r="C23" s="19" t="s">
        <v>65</v>
      </c>
      <c r="D23" s="19" t="s">
        <v>430</v>
      </c>
      <c r="E23" s="19">
        <v>2</v>
      </c>
    </row>
    <row r="24" x14ac:dyDescent="0.35">
      <c r="A24">
        <f t="shared" si="0"/>
        <v>23</v>
      </c>
      <c r="B24" t="s">
        <v>247</v>
      </c>
      <c r="C24" s="19" t="s">
        <v>65</v>
      </c>
      <c r="D24" s="19" t="s">
        <v>60</v>
      </c>
      <c r="E24" s="19">
        <v>2</v>
      </c>
    </row>
    <row r="25" x14ac:dyDescent="0.35">
      <c r="A25">
        <f t="shared" si="0"/>
        <v>24</v>
      </c>
      <c r="B25" t="s">
        <v>247</v>
      </c>
      <c r="C25" s="19" t="s">
        <v>1039</v>
      </c>
      <c r="D25" s="19" t="s">
        <v>37</v>
      </c>
      <c r="E25" s="19">
        <v>1</v>
      </c>
    </row>
    <row r="26" x14ac:dyDescent="0.35">
      <c r="A26">
        <f t="shared" si="0"/>
        <v>25</v>
      </c>
      <c r="B26" t="s">
        <v>247</v>
      </c>
      <c r="C26" s="19" t="s">
        <v>1039</v>
      </c>
      <c r="D26" s="19" t="s">
        <v>430</v>
      </c>
      <c r="E26" s="19">
        <v>2</v>
      </c>
    </row>
    <row r="27" x14ac:dyDescent="0.35">
      <c r="A27">
        <f t="shared" si="0"/>
        <v>26</v>
      </c>
      <c r="B27" t="s">
        <v>247</v>
      </c>
      <c r="C27" s="19" t="s">
        <v>1039</v>
      </c>
      <c r="D27" s="19" t="s">
        <v>60</v>
      </c>
      <c r="E27" s="19">
        <v>2</v>
      </c>
    </row>
    <row r="28" x14ac:dyDescent="0.35">
      <c r="A28">
        <f t="shared" si="0"/>
        <v>27</v>
      </c>
      <c r="B28" t="s">
        <v>247</v>
      </c>
      <c r="C28" s="19" t="s">
        <v>23</v>
      </c>
      <c r="D28" s="19" t="s">
        <v>37</v>
      </c>
      <c r="E28" s="19">
        <v>1</v>
      </c>
    </row>
    <row r="29" x14ac:dyDescent="0.35">
      <c r="A29">
        <f t="shared" si="0"/>
        <v>28</v>
      </c>
      <c r="B29" t="s">
        <v>247</v>
      </c>
      <c r="C29" s="19" t="s">
        <v>23</v>
      </c>
      <c r="D29" s="19" t="s">
        <v>430</v>
      </c>
      <c r="E29" s="19">
        <v>2</v>
      </c>
    </row>
    <row r="30" x14ac:dyDescent="0.35">
      <c r="A30">
        <f t="shared" si="0"/>
        <v>29</v>
      </c>
      <c r="B30" t="s">
        <v>247</v>
      </c>
      <c r="C30" s="19" t="s">
        <v>23</v>
      </c>
      <c r="D30" s="19" t="s">
        <v>60</v>
      </c>
      <c r="E30" s="19">
        <v>2</v>
      </c>
    </row>
  </sheetData>
  <pageMargins left="0.7" right="0.7" top="0.75" bottom="0.75" header="0.3" footer="0.3"/>
</worksheet>
</file>

<file path=customXml/_rels/item1.xml.rels><?xml version="1.0" encoding="UTF-8"?><Relationships xmlns="http://schemas.openxmlformats.org/package/2006/relationships"><Relationship Target="itemProps1.xml" Type="http://schemas.openxmlformats.org/officeDocument/2006/relationships/customXmlProps" Id="rId1"/></Relationships>
</file>

<file path=customXml/_rels/item2.xml.rels><?xml version="1.0" encoding="UTF-8"?><Relationships xmlns="http://schemas.openxmlformats.org/package/2006/relationships"><Relationship Target="itemProps2.xml" Type="http://schemas.openxmlformats.org/officeDocument/2006/relationships/customXmlProps" Id="rId1"/></Relationships>
</file>

<file path=customXml/_rels/item3.xml.rels><?xml version="1.0" encoding="UTF-8"?><Relationships xmlns="http://schemas.openxmlformats.org/package/2006/relationships"><Relationship Target="itemProps3.xml" Type="http://schemas.openxmlformats.org/officeDocument/2006/relationships/customXmlProps" Id="rId1"/></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37f41b3-fada-4b69-b314-7ed8c2ce1ec6" xsi:nil="true"/>
    <lcf76f155ced4ddcb4097134ff3c332f xmlns="667d70cb-f49f-4223-87b6-a8a0e4fc323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183A11C1BA9EC45BAE4956AD7AAC49F" ma:contentTypeVersion="12" ma:contentTypeDescription="Crear nuevo documento." ma:contentTypeScope="" ma:versionID="f031da45812bb81645562bafa3e27792">
  <xsd:schema xmlns:xsd="http://www.w3.org/2001/XMLSchema" xmlns:xs="http://www.w3.org/2001/XMLSchema" xmlns:p="http://schemas.microsoft.com/office/2006/metadata/properties" xmlns:ns2="667d70cb-f49f-4223-87b6-a8a0e4fc3231" xmlns:ns3="c37f41b3-fada-4b69-b314-7ed8c2ce1ec6" targetNamespace="http://schemas.microsoft.com/office/2006/metadata/properties" ma:root="true" ma:fieldsID="997341155ac57a7f96d45d03b878e5a8" ns2:_="" ns3:_="">
    <xsd:import namespace="667d70cb-f49f-4223-87b6-a8a0e4fc3231"/>
    <xsd:import namespace="c37f41b3-fada-4b69-b314-7ed8c2ce1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d70cb-f49f-4223-87b6-a8a0e4fc3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da8801b-af9e-424b-a774-47cfcf7fa75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37f41b3-fada-4b69-b314-7ed8c2ce1ec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88a0f83-113f-4a62-8e16-6df74f754526}" ma:internalName="TaxCatchAll" ma:showField="CatchAllData" ma:web="c37f41b3-fada-4b69-b314-7ed8c2ce1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247058-F464-4576-85DB-4D3805486100}">
  <ds:schemaRefs>
    <ds:schemaRef ds:uri="http://schemas.microsoft.com/sharepoint/v3/contenttype/forms"/>
  </ds:schemaRefs>
</ds:datastoreItem>
</file>

<file path=customXml/itemProps2.xml><?xml version="1.0" encoding="utf-8"?>
<ds:datastoreItem xmlns:ds="http://schemas.openxmlformats.org/officeDocument/2006/customXml" ds:itemID="{83B58D86-25F8-4F93-9BB6-4D59F20E5E67}">
  <ds:schemaRefs>
    <ds:schemaRef ds:uri="http://schemas.microsoft.com/office/infopath/2007/PartnerControls"/>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terms/"/>
    <ds:schemaRef ds:uri="c37f41b3-fada-4b69-b314-7ed8c2ce1ec6"/>
    <ds:schemaRef ds:uri="667d70cb-f49f-4223-87b6-a8a0e4fc3231"/>
    <ds:schemaRef ds:uri="http://purl.org/dc/dcmitype/"/>
  </ds:schemaRefs>
</ds:datastoreItem>
</file>

<file path=customXml/itemProps3.xml><?xml version="1.0" encoding="utf-8"?>
<ds:datastoreItem xmlns:ds="http://schemas.openxmlformats.org/officeDocument/2006/customXml" ds:itemID="{14086CA2-01AE-4131-BB04-31C09DFCB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7d70cb-f49f-4223-87b6-a8a0e4fc3231"/>
    <ds:schemaRef ds:uri="c37f41b3-fada-4b69-b314-7ed8c2ce1e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Seguimiento entrevistas</vt:lpstr>
      <vt:lpstr>Seguimiento grupos focales</vt:lpstr>
      <vt:lpstr>Sobrevivientes</vt:lpstr>
      <vt:lpstr>Entrevistas</vt:lpstr>
      <vt:lpstr>Reunión de validación</vt:lpstr>
      <vt:lpstr>Listas</vt:lpstr>
      <vt:lpstr>Insumos Dashboard &gt;&gt;</vt:lpstr>
      <vt:lpstr>Dashboard - Entrevistas(0)</vt:lpstr>
      <vt:lpstr>Dashboard - Reunión(0)</vt:lpstr>
      <vt:lpstr>Dashboard - Entrevistas</vt:lpstr>
      <vt:lpstr>Dashboard - Sobrevivientes</vt:lpstr>
      <vt:lpstr>Dashboard - Reunión</vt:lpstr>
      <vt:lpstr>Meta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APOYO Consultoría</dc:creator>
  <cp:keywords/>
  <dc:description/>
  <cp:lastModifiedBy>APOYO Consultoría</cp:lastModifiedBy>
  <cp:revision/>
  <dcterms:created xsi:type="dcterms:W3CDTF">2025-08-04T18:00:18Z</dcterms:created>
  <dcterms:modified xsi:type="dcterms:W3CDTF">2026-06-24T22:35:21Z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0x0101007183A11C1BA9EC45BAE4956AD7AAC49F</vt:lpwstr>
  </property>
  <property fmtid="{D5CDD505-2E9C-101B-9397-08002B2CF9AE}" pid="3" name="MediaServiceImageTags">
    <vt:lpwstr/>
  </property>
</Properties>
</file>