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apoyoconsultoria0.sharepoint.com/sites/fileserver/Polticas Pblicas/6 Proyectos/2025/2025-070-O IJM - Linea de base/04. Análisis/03. Programación/00. Dashboard de seguimiento/"/>
    </mc:Choice>
  </mc:AlternateContent>
  <xr:revisionPtr revIDLastSave="751" documentId="8_{B69B5E31-81F2-41D3-85DE-79451A73DE3C}" xr6:coauthVersionLast="47" xr6:coauthVersionMax="47" xr10:uidLastSave="{01417465-AE2D-4540-865C-D081D61E5795}"/>
  <bookViews>
    <workbookView xWindow="3000" yWindow="3000" windowWidth="17280" windowHeight="8880" firstSheet="2" activeTab="7" xr2:uid="{00000000-000D-0000-FFFF-FFFF00000000}"/>
  </bookViews>
  <sheets>
    <sheet name="Bases &gt;&gt;" sheetId="6" r:id="rId1"/>
    <sheet name="GF" sheetId="3" r:id="rId2"/>
    <sheet name="Entrevistas" sheetId="7" r:id="rId3"/>
    <sheet name="Expedientes" sheetId="8" r:id="rId4"/>
    <sheet name="Insumos &gt;&gt;" sheetId="4" r:id="rId5"/>
    <sheet name="Aleatorio" sheetId="1" r:id="rId6"/>
    <sheet name="Apoyo" sheetId="2" r:id="rId7"/>
    <sheet name="Hoja3" sheetId="9" r:id="rId8"/>
  </sheets>
  <definedNames>
    <definedName name="_xlnm._FilterDatabase" localSheetId="2" hidden="1">Entrevistas!$A$1:$I$102</definedName>
    <definedName name="_xlnm._FilterDatabase" localSheetId="1" hidden="1">GF!$A$1:$J$31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21" i="1" l="1"/>
  <c r="K321" i="1" s="1"/>
  <c r="L321" i="1" s="1"/>
  <c r="F321" i="1"/>
  <c r="E321" i="1"/>
  <c r="B321" i="1" a="1"/>
  <c r="B321" i="1" s="1"/>
  <c r="D321" i="1" s="1" a="1"/>
  <c r="D321" i="1" s="1"/>
  <c r="A321" i="1"/>
  <c r="K320" i="1"/>
  <c r="L320" i="1" s="1"/>
  <c r="I320" i="1"/>
  <c r="H320" i="1"/>
  <c r="J320" i="1" s="1"/>
  <c r="F320" i="1"/>
  <c r="B320" i="1" a="1"/>
  <c r="B320" i="1" s="1"/>
  <c r="D320" i="1" s="1" a="1"/>
  <c r="D320" i="1" s="1"/>
  <c r="A320" i="1"/>
  <c r="G319" i="1"/>
  <c r="K319" i="1" s="1"/>
  <c r="L319" i="1" s="1"/>
  <c r="F319" i="1"/>
  <c r="E319" i="1"/>
  <c r="B319" i="1" a="1"/>
  <c r="B319" i="1" s="1"/>
  <c r="D319" i="1" s="1" a="1"/>
  <c r="D319" i="1" s="1"/>
  <c r="A319" i="1"/>
  <c r="L318" i="1"/>
  <c r="K318" i="1"/>
  <c r="I318" i="1"/>
  <c r="H318" i="1"/>
  <c r="J318" i="1" s="1"/>
  <c r="F318" i="1"/>
  <c r="B318" i="1" a="1"/>
  <c r="B318" i="1" s="1"/>
  <c r="D318" i="1" s="1" a="1"/>
  <c r="D318" i="1" s="1"/>
  <c r="A318" i="1"/>
  <c r="G317" i="1"/>
  <c r="K317" i="1" s="1"/>
  <c r="L317" i="1" s="1"/>
  <c r="F317" i="1"/>
  <c r="B317" i="1" a="1"/>
  <c r="B317" i="1" s="1"/>
  <c r="D317" i="1" s="1" a="1"/>
  <c r="D317" i="1" s="1"/>
  <c r="A317" i="1"/>
  <c r="G316" i="1"/>
  <c r="K316" i="1" s="1"/>
  <c r="L316" i="1" s="1"/>
  <c r="F316" i="1"/>
  <c r="E316" i="1"/>
  <c r="B316" i="1" a="1"/>
  <c r="B316" i="1" s="1"/>
  <c r="D316" i="1" s="1" a="1"/>
  <c r="D316" i="1" s="1"/>
  <c r="A316" i="1"/>
  <c r="K315" i="1"/>
  <c r="L315" i="1" s="1"/>
  <c r="I315" i="1"/>
  <c r="H315" i="1"/>
  <c r="F315" i="1"/>
  <c r="E315" i="1"/>
  <c r="B315" i="1" a="1"/>
  <c r="B315" i="1" s="1"/>
  <c r="D315" i="1" s="1" a="1"/>
  <c r="D315" i="1" s="1"/>
  <c r="A315" i="1"/>
  <c r="K314" i="1"/>
  <c r="L314" i="1" s="1"/>
  <c r="I314" i="1"/>
  <c r="H314" i="1"/>
  <c r="F314" i="1"/>
  <c r="B314" i="1" a="1"/>
  <c r="B314" i="1" s="1"/>
  <c r="D314" i="1" s="1" a="1"/>
  <c r="D314" i="1" s="1"/>
  <c r="A314" i="1"/>
  <c r="K313" i="1"/>
  <c r="L313" i="1" s="1"/>
  <c r="I313" i="1"/>
  <c r="H313" i="1"/>
  <c r="F313" i="1"/>
  <c r="B313" i="1" a="1"/>
  <c r="B313" i="1" s="1"/>
  <c r="D313" i="1" s="1" a="1"/>
  <c r="D313" i="1" s="1"/>
  <c r="A313" i="1"/>
  <c r="K312" i="1"/>
  <c r="L312" i="1" s="1"/>
  <c r="J312" i="1"/>
  <c r="I312" i="1"/>
  <c r="H312" i="1"/>
  <c r="F312" i="1"/>
  <c r="E312" i="1"/>
  <c r="B312" i="1" a="1"/>
  <c r="B312" i="1"/>
  <c r="D312" i="1" s="1" a="1"/>
  <c r="D312" i="1" s="1"/>
  <c r="A312" i="1"/>
  <c r="K311" i="1"/>
  <c r="L311" i="1" s="1"/>
  <c r="I311" i="1"/>
  <c r="H311" i="1"/>
  <c r="F311" i="1"/>
  <c r="E311" i="1"/>
  <c r="B311" i="1" a="1"/>
  <c r="B311" i="1" s="1"/>
  <c r="D311" i="1" s="1" a="1"/>
  <c r="D311" i="1" s="1"/>
  <c r="A311" i="1"/>
  <c r="K310" i="1"/>
  <c r="L310" i="1" s="1"/>
  <c r="I310" i="1"/>
  <c r="H310" i="1"/>
  <c r="F310" i="1"/>
  <c r="B310" i="1" a="1"/>
  <c r="B310" i="1" s="1"/>
  <c r="D310" i="1" s="1" a="1"/>
  <c r="D310" i="1" s="1"/>
  <c r="A310" i="1"/>
  <c r="K309" i="1"/>
  <c r="L309" i="1" s="1"/>
  <c r="I309" i="1"/>
  <c r="H309" i="1"/>
  <c r="J309" i="1" s="1"/>
  <c r="F309" i="1"/>
  <c r="E309" i="1"/>
  <c r="B309" i="1" a="1"/>
  <c r="B309" i="1" s="1"/>
  <c r="D309" i="1" s="1" a="1"/>
  <c r="D309" i="1" s="1"/>
  <c r="A309" i="1"/>
  <c r="K308" i="1"/>
  <c r="L308" i="1" s="1"/>
  <c r="I308" i="1"/>
  <c r="H308" i="1"/>
  <c r="F308" i="1"/>
  <c r="B308" i="1" a="1"/>
  <c r="B308" i="1" s="1"/>
  <c r="D308" i="1" s="1" a="1"/>
  <c r="D308" i="1" s="1"/>
  <c r="A308" i="1"/>
  <c r="K307" i="1"/>
  <c r="L307" i="1" s="1"/>
  <c r="I307" i="1"/>
  <c r="H307" i="1"/>
  <c r="J307" i="1" s="1"/>
  <c r="F307" i="1"/>
  <c r="B307" i="1" a="1"/>
  <c r="B307" i="1" s="1"/>
  <c r="D307" i="1" s="1" a="1"/>
  <c r="D307" i="1" s="1"/>
  <c r="A307" i="1"/>
  <c r="K306" i="1"/>
  <c r="L306" i="1" s="1"/>
  <c r="I306" i="1"/>
  <c r="H306" i="1"/>
  <c r="J306" i="1" s="1"/>
  <c r="F306" i="1"/>
  <c r="E306" i="1"/>
  <c r="B306" i="1" a="1"/>
  <c r="B306" i="1" s="1"/>
  <c r="D306" i="1" s="1" a="1"/>
  <c r="D306" i="1" s="1"/>
  <c r="A306" i="1"/>
  <c r="K305" i="1"/>
  <c r="L305" i="1" s="1"/>
  <c r="I305" i="1"/>
  <c r="H305" i="1"/>
  <c r="F305" i="1"/>
  <c r="E305" i="1"/>
  <c r="B305" i="1" a="1"/>
  <c r="B305" i="1" s="1"/>
  <c r="D305" i="1" s="1" a="1"/>
  <c r="D305" i="1" s="1"/>
  <c r="A305" i="1"/>
  <c r="K304" i="1"/>
  <c r="L304" i="1" s="1"/>
  <c r="I304" i="1"/>
  <c r="J304" i="1" s="1"/>
  <c r="H304" i="1"/>
  <c r="F304" i="1"/>
  <c r="B304" i="1" a="1"/>
  <c r="B304" i="1" s="1"/>
  <c r="D304" i="1" s="1" a="1"/>
  <c r="D304" i="1" s="1"/>
  <c r="A304" i="1"/>
  <c r="K303" i="1"/>
  <c r="L303" i="1" s="1"/>
  <c r="I303" i="1"/>
  <c r="H303" i="1"/>
  <c r="F303" i="1"/>
  <c r="D303" i="1"/>
  <c r="B303" i="1" a="1"/>
  <c r="B303" i="1" s="1"/>
  <c r="D303" i="1" s="1" a="1"/>
  <c r="A303" i="1"/>
  <c r="K302" i="1"/>
  <c r="L302" i="1" s="1"/>
  <c r="H302" i="1"/>
  <c r="J302" i="1" s="1"/>
  <c r="G302" i="1"/>
  <c r="I302" i="1" s="1"/>
  <c r="F302" i="1"/>
  <c r="E302" i="1"/>
  <c r="B302" i="1" a="1"/>
  <c r="B302" i="1" s="1"/>
  <c r="D302" i="1" s="1" a="1"/>
  <c r="D302" i="1" s="1"/>
  <c r="A302" i="1"/>
  <c r="G301" i="1"/>
  <c r="K301" i="1" s="1"/>
  <c r="L301" i="1" s="1"/>
  <c r="F301" i="1"/>
  <c r="E301" i="1"/>
  <c r="B301" i="1" a="1"/>
  <c r="B301" i="1" s="1"/>
  <c r="D301" i="1" s="1" a="1"/>
  <c r="D301" i="1" s="1"/>
  <c r="A301" i="1"/>
  <c r="L300" i="1"/>
  <c r="K300" i="1"/>
  <c r="I300" i="1"/>
  <c r="H300" i="1"/>
  <c r="F300" i="1"/>
  <c r="B300" i="1" a="1"/>
  <c r="B300" i="1" s="1"/>
  <c r="D300" i="1" s="1" a="1"/>
  <c r="D300" i="1" s="1"/>
  <c r="A300" i="1"/>
  <c r="K299" i="1"/>
  <c r="L299" i="1" s="1"/>
  <c r="I299" i="1"/>
  <c r="H299" i="1"/>
  <c r="F299" i="1"/>
  <c r="E299" i="1"/>
  <c r="B299" i="1" a="1"/>
  <c r="B299" i="1" s="1"/>
  <c r="D299" i="1" s="1" a="1"/>
  <c r="D299" i="1" s="1"/>
  <c r="A299" i="1"/>
  <c r="K298" i="1"/>
  <c r="L298" i="1" s="1"/>
  <c r="I298" i="1"/>
  <c r="H298" i="1"/>
  <c r="F298" i="1"/>
  <c r="B298" i="1" a="1"/>
  <c r="B298" i="1" s="1"/>
  <c r="D298" i="1" s="1" a="1"/>
  <c r="D298" i="1" s="1"/>
  <c r="A298" i="1"/>
  <c r="K297" i="1"/>
  <c r="L297" i="1" s="1"/>
  <c r="I297" i="1"/>
  <c r="H297" i="1"/>
  <c r="F297" i="1"/>
  <c r="B297" i="1" a="1"/>
  <c r="B297" i="1" s="1"/>
  <c r="D297" i="1" s="1" a="1"/>
  <c r="D297" i="1" s="1"/>
  <c r="A297" i="1"/>
  <c r="G296" i="1"/>
  <c r="I296" i="1" s="1"/>
  <c r="F296" i="1"/>
  <c r="E296" i="1"/>
  <c r="B296" i="1" a="1"/>
  <c r="B296" i="1" s="1"/>
  <c r="D296" i="1" s="1" a="1"/>
  <c r="D296" i="1" s="1"/>
  <c r="A296" i="1"/>
  <c r="K295" i="1"/>
  <c r="L295" i="1" s="1"/>
  <c r="I295" i="1"/>
  <c r="J295" i="1" s="1"/>
  <c r="H295" i="1"/>
  <c r="F295" i="1"/>
  <c r="E295" i="1"/>
  <c r="B295" i="1" a="1"/>
  <c r="B295" i="1" s="1"/>
  <c r="D295" i="1" s="1" a="1"/>
  <c r="D295" i="1" s="1"/>
  <c r="A295" i="1"/>
  <c r="K294" i="1"/>
  <c r="L294" i="1" s="1"/>
  <c r="I294" i="1"/>
  <c r="H294" i="1"/>
  <c r="F294" i="1"/>
  <c r="B294" i="1" a="1"/>
  <c r="B294" i="1" s="1"/>
  <c r="D294" i="1" s="1" a="1"/>
  <c r="D294" i="1" s="1"/>
  <c r="A294" i="1"/>
  <c r="K293" i="1"/>
  <c r="L293" i="1" s="1"/>
  <c r="I293" i="1"/>
  <c r="H293" i="1"/>
  <c r="F293" i="1"/>
  <c r="B293" i="1" a="1"/>
  <c r="B293" i="1" s="1"/>
  <c r="D293" i="1" s="1" a="1"/>
  <c r="D293" i="1" s="1"/>
  <c r="A293" i="1"/>
  <c r="G292" i="1"/>
  <c r="K292" i="1" s="1"/>
  <c r="L292" i="1" s="1"/>
  <c r="F292" i="1"/>
  <c r="E292" i="1"/>
  <c r="B292" i="1" a="1"/>
  <c r="B292" i="1" s="1"/>
  <c r="D292" i="1" s="1" a="1"/>
  <c r="D292" i="1" s="1"/>
  <c r="A292" i="1"/>
  <c r="K291" i="1"/>
  <c r="L291" i="1" s="1"/>
  <c r="I291" i="1"/>
  <c r="H291" i="1"/>
  <c r="F291" i="1"/>
  <c r="E291" i="1"/>
  <c r="B291" i="1" a="1"/>
  <c r="B291" i="1" s="1"/>
  <c r="D291" i="1" s="1" a="1"/>
  <c r="D291" i="1" s="1"/>
  <c r="A291" i="1"/>
  <c r="K290" i="1"/>
  <c r="L290" i="1" s="1"/>
  <c r="I290" i="1"/>
  <c r="H290" i="1"/>
  <c r="F290" i="1"/>
  <c r="B290" i="1" a="1"/>
  <c r="B290" i="1" s="1"/>
  <c r="D290" i="1" s="1" a="1"/>
  <c r="D290" i="1" s="1"/>
  <c r="A290" i="1"/>
  <c r="L289" i="1"/>
  <c r="K289" i="1"/>
  <c r="J289" i="1"/>
  <c r="I289" i="1"/>
  <c r="H289" i="1"/>
  <c r="F289" i="1"/>
  <c r="E289" i="1"/>
  <c r="B289" i="1" a="1"/>
  <c r="B289" i="1" s="1"/>
  <c r="D289" i="1" s="1" a="1"/>
  <c r="D289" i="1" s="1"/>
  <c r="A289" i="1"/>
  <c r="K288" i="1"/>
  <c r="L288" i="1" s="1"/>
  <c r="I288" i="1"/>
  <c r="H288" i="1"/>
  <c r="F288" i="1"/>
  <c r="B288" i="1" a="1"/>
  <c r="B288" i="1" s="1"/>
  <c r="D288" i="1" s="1" a="1"/>
  <c r="D288" i="1" s="1"/>
  <c r="A288" i="1"/>
  <c r="K287" i="1"/>
  <c r="L287" i="1" s="1"/>
  <c r="I287" i="1"/>
  <c r="H287" i="1"/>
  <c r="F287" i="1"/>
  <c r="B287" i="1" a="1"/>
  <c r="B287" i="1"/>
  <c r="D287" i="1" s="1" a="1"/>
  <c r="D287" i="1" s="1"/>
  <c r="A287" i="1"/>
  <c r="L286" i="1"/>
  <c r="K286" i="1"/>
  <c r="I286" i="1"/>
  <c r="H286" i="1"/>
  <c r="F286" i="1"/>
  <c r="E286" i="1"/>
  <c r="B286" i="1" a="1"/>
  <c r="B286" i="1" s="1"/>
  <c r="D286" i="1" s="1" a="1"/>
  <c r="D286" i="1" s="1"/>
  <c r="A286" i="1"/>
  <c r="K285" i="1"/>
  <c r="L285" i="1" s="1"/>
  <c r="I285" i="1"/>
  <c r="H285" i="1"/>
  <c r="F285" i="1"/>
  <c r="E285" i="1"/>
  <c r="B285" i="1" a="1"/>
  <c r="B285" i="1" s="1"/>
  <c r="D285" i="1" s="1" a="1"/>
  <c r="D285" i="1" s="1"/>
  <c r="A285" i="1"/>
  <c r="L284" i="1"/>
  <c r="K284" i="1"/>
  <c r="I284" i="1"/>
  <c r="J284" i="1" s="1"/>
  <c r="H284" i="1"/>
  <c r="F284" i="1"/>
  <c r="B284" i="1" a="1"/>
  <c r="B284" i="1" s="1"/>
  <c r="D284" i="1" s="1" a="1"/>
  <c r="D284" i="1" s="1"/>
  <c r="A284" i="1"/>
  <c r="K283" i="1"/>
  <c r="L283" i="1" s="1"/>
  <c r="I283" i="1"/>
  <c r="H283" i="1"/>
  <c r="F283" i="1"/>
  <c r="B283" i="1" a="1"/>
  <c r="B283" i="1" s="1"/>
  <c r="D283" i="1" s="1" a="1"/>
  <c r="D283" i="1" s="1"/>
  <c r="A283" i="1"/>
  <c r="K282" i="1"/>
  <c r="L282" i="1" s="1"/>
  <c r="J282" i="1"/>
  <c r="I282" i="1"/>
  <c r="H282" i="1"/>
  <c r="F282" i="1"/>
  <c r="E282" i="1"/>
  <c r="B282" i="1" a="1"/>
  <c r="B282" i="1" s="1"/>
  <c r="D282" i="1" s="1" a="1"/>
  <c r="D282" i="1" s="1"/>
  <c r="A282" i="1"/>
  <c r="K281" i="1"/>
  <c r="L281" i="1" s="1"/>
  <c r="I281" i="1"/>
  <c r="H281" i="1"/>
  <c r="F281" i="1"/>
  <c r="E281" i="1"/>
  <c r="B281" i="1" a="1"/>
  <c r="B281" i="1" s="1"/>
  <c r="D281" i="1" s="1" a="1"/>
  <c r="D281" i="1" s="1"/>
  <c r="A281" i="1"/>
  <c r="G280" i="1"/>
  <c r="F280" i="1"/>
  <c r="B280" i="1" a="1"/>
  <c r="B280" i="1" s="1"/>
  <c r="D280" i="1" s="1" a="1"/>
  <c r="D280" i="1" s="1"/>
  <c r="A280" i="1"/>
  <c r="K279" i="1"/>
  <c r="L279" i="1" s="1"/>
  <c r="H279" i="1"/>
  <c r="G279" i="1"/>
  <c r="I279" i="1" s="1"/>
  <c r="F279" i="1"/>
  <c r="E279" i="1"/>
  <c r="B279" i="1" a="1"/>
  <c r="B279" i="1" s="1"/>
  <c r="D279" i="1" s="1" a="1"/>
  <c r="D279" i="1" s="1"/>
  <c r="A279" i="1"/>
  <c r="K278" i="1"/>
  <c r="L278" i="1" s="1"/>
  <c r="I278" i="1"/>
  <c r="J278" i="1" s="1"/>
  <c r="H278" i="1"/>
  <c r="F278" i="1"/>
  <c r="B278" i="1" a="1"/>
  <c r="B278" i="1" s="1"/>
  <c r="D278" i="1" s="1" a="1"/>
  <c r="D278" i="1" s="1"/>
  <c r="A278" i="1"/>
  <c r="K277" i="1"/>
  <c r="L277" i="1" s="1"/>
  <c r="H277" i="1"/>
  <c r="G277" i="1"/>
  <c r="I277" i="1" s="1"/>
  <c r="F277" i="1"/>
  <c r="B277" i="1" a="1"/>
  <c r="B277" i="1" s="1"/>
  <c r="D277" i="1" s="1" a="1"/>
  <c r="D277" i="1" s="1"/>
  <c r="A277" i="1"/>
  <c r="G276" i="1"/>
  <c r="F276" i="1"/>
  <c r="E276" i="1"/>
  <c r="B276" i="1" a="1"/>
  <c r="B276" i="1" s="1"/>
  <c r="D276" i="1" s="1" a="1"/>
  <c r="D276" i="1" s="1"/>
  <c r="A276" i="1"/>
  <c r="G275" i="1"/>
  <c r="F275" i="1"/>
  <c r="E275" i="1"/>
  <c r="B275" i="1" a="1"/>
  <c r="B275" i="1" s="1"/>
  <c r="D275" i="1" s="1" a="1"/>
  <c r="D275" i="1" s="1"/>
  <c r="A275" i="1"/>
  <c r="G274" i="1"/>
  <c r="F274" i="1"/>
  <c r="B274" i="1" a="1"/>
  <c r="B274" i="1" s="1"/>
  <c r="D274" i="1" s="1" a="1"/>
  <c r="D274" i="1" s="1"/>
  <c r="A274" i="1"/>
  <c r="K273" i="1"/>
  <c r="L273" i="1" s="1"/>
  <c r="I273" i="1"/>
  <c r="H273" i="1"/>
  <c r="F273" i="1"/>
  <c r="B273" i="1" a="1"/>
  <c r="B273" i="1" s="1"/>
  <c r="D273" i="1" s="1" a="1"/>
  <c r="D273" i="1" s="1"/>
  <c r="A273" i="1"/>
  <c r="I272" i="1"/>
  <c r="G272" i="1"/>
  <c r="K272" i="1" s="1"/>
  <c r="L272" i="1" s="1"/>
  <c r="F272" i="1"/>
  <c r="E272" i="1"/>
  <c r="D272" i="1"/>
  <c r="B272" i="1" a="1"/>
  <c r="B272" i="1" s="1"/>
  <c r="D272" i="1" s="1" a="1"/>
  <c r="A272" i="1"/>
  <c r="K271" i="1"/>
  <c r="L271" i="1" s="1"/>
  <c r="I271" i="1"/>
  <c r="H271" i="1"/>
  <c r="F271" i="1"/>
  <c r="E271" i="1"/>
  <c r="B271" i="1" a="1"/>
  <c r="B271" i="1" s="1"/>
  <c r="D271" i="1" s="1" a="1"/>
  <c r="D271" i="1" s="1"/>
  <c r="A271" i="1"/>
  <c r="G270" i="1"/>
  <c r="H270" i="1" s="1"/>
  <c r="F270" i="1"/>
  <c r="B270" i="1" a="1"/>
  <c r="B270" i="1" s="1"/>
  <c r="D270" i="1" s="1" a="1"/>
  <c r="D270" i="1" s="1"/>
  <c r="A270" i="1"/>
  <c r="G269" i="1"/>
  <c r="I269" i="1" s="1"/>
  <c r="F269" i="1"/>
  <c r="E269" i="1"/>
  <c r="B269" i="1" a="1"/>
  <c r="B269" i="1" s="1"/>
  <c r="D269" i="1" s="1" a="1"/>
  <c r="D269" i="1" s="1"/>
  <c r="A269" i="1"/>
  <c r="L268" i="1"/>
  <c r="K268" i="1"/>
  <c r="I268" i="1"/>
  <c r="H268" i="1"/>
  <c r="J268" i="1" s="1"/>
  <c r="F268" i="1"/>
  <c r="B268" i="1" a="1"/>
  <c r="B268" i="1" s="1"/>
  <c r="D268" i="1" s="1" a="1"/>
  <c r="D268" i="1" s="1"/>
  <c r="A268" i="1"/>
  <c r="K267" i="1"/>
  <c r="L267" i="1" s="1"/>
  <c r="I267" i="1"/>
  <c r="H267" i="1"/>
  <c r="F267" i="1"/>
  <c r="B267" i="1" a="1"/>
  <c r="B267" i="1" s="1"/>
  <c r="D267" i="1" s="1" a="1"/>
  <c r="D267" i="1" s="1"/>
  <c r="A267" i="1"/>
  <c r="K266" i="1"/>
  <c r="L266" i="1" s="1"/>
  <c r="I266" i="1"/>
  <c r="H266" i="1"/>
  <c r="F266" i="1"/>
  <c r="E266" i="1"/>
  <c r="B266" i="1" a="1"/>
  <c r="B266" i="1" s="1"/>
  <c r="D266" i="1" s="1" a="1"/>
  <c r="D266" i="1" s="1"/>
  <c r="A266" i="1"/>
  <c r="K265" i="1"/>
  <c r="L265" i="1" s="1"/>
  <c r="I265" i="1"/>
  <c r="H265" i="1"/>
  <c r="F265" i="1"/>
  <c r="E265" i="1"/>
  <c r="B265" i="1" a="1"/>
  <c r="B265" i="1" s="1"/>
  <c r="D265" i="1" s="1" a="1"/>
  <c r="D265" i="1" s="1"/>
  <c r="A265" i="1"/>
  <c r="K264" i="1"/>
  <c r="L264" i="1" s="1"/>
  <c r="I264" i="1"/>
  <c r="H264" i="1"/>
  <c r="F264" i="1"/>
  <c r="B264" i="1" a="1"/>
  <c r="B264" i="1" s="1"/>
  <c r="D264" i="1" s="1" a="1"/>
  <c r="D264" i="1" s="1"/>
  <c r="A264" i="1"/>
  <c r="K263" i="1"/>
  <c r="L263" i="1" s="1"/>
  <c r="I263" i="1"/>
  <c r="H263" i="1"/>
  <c r="F263" i="1"/>
  <c r="B263" i="1" a="1"/>
  <c r="B263" i="1" s="1"/>
  <c r="D263" i="1" s="1" a="1"/>
  <c r="D263" i="1" s="1"/>
  <c r="A263" i="1"/>
  <c r="K262" i="1"/>
  <c r="L262" i="1" s="1"/>
  <c r="I262" i="1"/>
  <c r="H262" i="1"/>
  <c r="F262" i="1"/>
  <c r="E262" i="1"/>
  <c r="D262" i="1"/>
  <c r="B262" i="1" a="1"/>
  <c r="B262" i="1" s="1"/>
  <c r="D262" i="1" s="1" a="1"/>
  <c r="A262" i="1"/>
  <c r="K261" i="1"/>
  <c r="L261" i="1" s="1"/>
  <c r="I261" i="1"/>
  <c r="H261" i="1"/>
  <c r="J261" i="1" s="1"/>
  <c r="F261" i="1"/>
  <c r="E261" i="1"/>
  <c r="B261" i="1" a="1"/>
  <c r="B261" i="1"/>
  <c r="D261" i="1" s="1" a="1"/>
  <c r="D261" i="1" s="1"/>
  <c r="A261" i="1"/>
  <c r="L260" i="1"/>
  <c r="K260" i="1"/>
  <c r="I260" i="1"/>
  <c r="H260" i="1"/>
  <c r="J260" i="1" s="1"/>
  <c r="F260" i="1"/>
  <c r="B260" i="1" a="1"/>
  <c r="B260" i="1" s="1"/>
  <c r="D260" i="1" s="1" a="1"/>
  <c r="D260" i="1" s="1"/>
  <c r="A260" i="1"/>
  <c r="L259" i="1"/>
  <c r="K259" i="1"/>
  <c r="I259" i="1"/>
  <c r="H259" i="1"/>
  <c r="J259" i="1" s="1"/>
  <c r="F259" i="1"/>
  <c r="E259" i="1"/>
  <c r="B259" i="1" a="1"/>
  <c r="B259" i="1" s="1"/>
  <c r="D259" i="1" s="1" a="1"/>
  <c r="D259" i="1" s="1"/>
  <c r="A259" i="1"/>
  <c r="K258" i="1"/>
  <c r="L258" i="1" s="1"/>
  <c r="I258" i="1"/>
  <c r="H258" i="1"/>
  <c r="F258" i="1"/>
  <c r="B258" i="1" a="1"/>
  <c r="B258" i="1" s="1"/>
  <c r="D258" i="1" s="1" a="1"/>
  <c r="D258" i="1" s="1"/>
  <c r="A258" i="1"/>
  <c r="K257" i="1"/>
  <c r="L257" i="1" s="1"/>
  <c r="I257" i="1"/>
  <c r="H257" i="1"/>
  <c r="J257" i="1" s="1"/>
  <c r="F257" i="1"/>
  <c r="B257" i="1" a="1"/>
  <c r="B257" i="1"/>
  <c r="D257" i="1" s="1" a="1"/>
  <c r="D257" i="1" s="1"/>
  <c r="A257" i="1"/>
  <c r="K256" i="1"/>
  <c r="L256" i="1" s="1"/>
  <c r="I256" i="1"/>
  <c r="H256" i="1"/>
  <c r="J256" i="1" s="1"/>
  <c r="F256" i="1"/>
  <c r="E256" i="1"/>
  <c r="B256" i="1" a="1"/>
  <c r="B256" i="1" s="1"/>
  <c r="D256" i="1" s="1" a="1"/>
  <c r="D256" i="1" s="1"/>
  <c r="A256" i="1"/>
  <c r="I255" i="1"/>
  <c r="G255" i="1"/>
  <c r="F255" i="1"/>
  <c r="E255" i="1"/>
  <c r="B255" i="1" a="1"/>
  <c r="B255" i="1" s="1"/>
  <c r="D255" i="1" s="1" a="1"/>
  <c r="D255" i="1" s="1"/>
  <c r="A255" i="1"/>
  <c r="G254" i="1"/>
  <c r="F254" i="1"/>
  <c r="B254" i="1" a="1"/>
  <c r="B254" i="1" s="1"/>
  <c r="D254" i="1" s="1" a="1"/>
  <c r="D254" i="1" s="1"/>
  <c r="A254" i="1"/>
  <c r="K253" i="1"/>
  <c r="L253" i="1" s="1"/>
  <c r="I253" i="1"/>
  <c r="H253" i="1"/>
  <c r="J253" i="1" s="1"/>
  <c r="F253" i="1"/>
  <c r="B253" i="1" a="1"/>
  <c r="B253" i="1"/>
  <c r="D253" i="1" s="1" a="1"/>
  <c r="D253" i="1" s="1"/>
  <c r="A253" i="1"/>
  <c r="K252" i="1"/>
  <c r="L252" i="1" s="1"/>
  <c r="I252" i="1"/>
  <c r="H252" i="1"/>
  <c r="F252" i="1"/>
  <c r="E252" i="1"/>
  <c r="B252" i="1" a="1"/>
  <c r="B252" i="1" s="1"/>
  <c r="D252" i="1" s="1" a="1"/>
  <c r="D252" i="1" s="1"/>
  <c r="A252" i="1"/>
  <c r="K251" i="1"/>
  <c r="L251" i="1" s="1"/>
  <c r="I251" i="1"/>
  <c r="H251" i="1"/>
  <c r="F251" i="1"/>
  <c r="E251" i="1"/>
  <c r="B251" i="1" a="1"/>
  <c r="B251" i="1"/>
  <c r="D251" i="1" s="1" a="1"/>
  <c r="D251" i="1" s="1"/>
  <c r="A251" i="1"/>
  <c r="K250" i="1"/>
  <c r="L250" i="1" s="1"/>
  <c r="I250" i="1"/>
  <c r="H250" i="1"/>
  <c r="F250" i="1"/>
  <c r="B250" i="1" a="1"/>
  <c r="B250" i="1" s="1"/>
  <c r="D250" i="1" s="1" a="1"/>
  <c r="D250" i="1" s="1"/>
  <c r="A250" i="1"/>
  <c r="L249" i="1"/>
  <c r="G249" i="1"/>
  <c r="K249" i="1" s="1"/>
  <c r="F249" i="1"/>
  <c r="E249" i="1"/>
  <c r="B249" i="1" a="1"/>
  <c r="B249" i="1" s="1"/>
  <c r="D249" i="1" s="1" a="1"/>
  <c r="D249" i="1" s="1"/>
  <c r="A249" i="1"/>
  <c r="K248" i="1"/>
  <c r="L248" i="1" s="1"/>
  <c r="I248" i="1"/>
  <c r="H248" i="1"/>
  <c r="J248" i="1" s="1"/>
  <c r="F248" i="1"/>
  <c r="B248" i="1" a="1"/>
  <c r="B248" i="1" s="1"/>
  <c r="D248" i="1" s="1" a="1"/>
  <c r="D248" i="1" s="1"/>
  <c r="A248" i="1"/>
  <c r="K247" i="1"/>
  <c r="L247" i="1" s="1"/>
  <c r="I247" i="1"/>
  <c r="H247" i="1"/>
  <c r="F247" i="1"/>
  <c r="B247" i="1" a="1"/>
  <c r="B247" i="1" s="1"/>
  <c r="D247" i="1" s="1" a="1"/>
  <c r="D247" i="1" s="1"/>
  <c r="A247" i="1"/>
  <c r="K246" i="1"/>
  <c r="L246" i="1" s="1"/>
  <c r="I246" i="1"/>
  <c r="H246" i="1"/>
  <c r="F246" i="1"/>
  <c r="E246" i="1"/>
  <c r="B246" i="1" a="1"/>
  <c r="B246" i="1" s="1"/>
  <c r="D246" i="1" s="1" a="1"/>
  <c r="D246" i="1" s="1"/>
  <c r="A246" i="1"/>
  <c r="G245" i="1"/>
  <c r="I245" i="1" s="1"/>
  <c r="F245" i="1"/>
  <c r="E245" i="1"/>
  <c r="B245" i="1" a="1"/>
  <c r="B245" i="1" s="1"/>
  <c r="D245" i="1" s="1" a="1"/>
  <c r="D245" i="1" s="1"/>
  <c r="A245" i="1"/>
  <c r="K244" i="1"/>
  <c r="L244" i="1" s="1"/>
  <c r="I244" i="1"/>
  <c r="H244" i="1"/>
  <c r="J244" i="1" s="1"/>
  <c r="F244" i="1"/>
  <c r="B244" i="1" a="1"/>
  <c r="B244" i="1" s="1"/>
  <c r="D244" i="1" s="1" a="1"/>
  <c r="D244" i="1" s="1"/>
  <c r="A244" i="1"/>
  <c r="K243" i="1"/>
  <c r="L243" i="1" s="1"/>
  <c r="I243" i="1"/>
  <c r="H243" i="1"/>
  <c r="J243" i="1" s="1"/>
  <c r="F243" i="1"/>
  <c r="B243" i="1" a="1"/>
  <c r="B243" i="1" s="1"/>
  <c r="D243" i="1" s="1" a="1"/>
  <c r="D243" i="1" s="1"/>
  <c r="A243" i="1"/>
  <c r="K242" i="1"/>
  <c r="L242" i="1" s="1"/>
  <c r="I242" i="1"/>
  <c r="H242" i="1"/>
  <c r="F242" i="1"/>
  <c r="E242" i="1"/>
  <c r="B242" i="1" a="1"/>
  <c r="B242" i="1" s="1"/>
  <c r="D242" i="1" s="1" a="1"/>
  <c r="D242" i="1" s="1"/>
  <c r="A242" i="1"/>
  <c r="K241" i="1"/>
  <c r="L241" i="1" s="1"/>
  <c r="I241" i="1"/>
  <c r="J241" i="1" s="1"/>
  <c r="H241" i="1"/>
  <c r="F241" i="1"/>
  <c r="E241" i="1"/>
  <c r="B241" i="1" a="1"/>
  <c r="B241" i="1" s="1"/>
  <c r="D241" i="1" s="1" a="1"/>
  <c r="D241" i="1" s="1"/>
  <c r="A241" i="1"/>
  <c r="K240" i="1"/>
  <c r="L240" i="1" s="1"/>
  <c r="I240" i="1"/>
  <c r="H240" i="1"/>
  <c r="J240" i="1" s="1"/>
  <c r="F240" i="1"/>
  <c r="B240" i="1" a="1"/>
  <c r="B240" i="1" s="1"/>
  <c r="D240" i="1" s="1" a="1"/>
  <c r="D240" i="1" s="1"/>
  <c r="A240" i="1"/>
  <c r="K239" i="1"/>
  <c r="L239" i="1" s="1"/>
  <c r="I239" i="1"/>
  <c r="H239" i="1"/>
  <c r="F239" i="1"/>
  <c r="E239" i="1"/>
  <c r="B239" i="1" a="1"/>
  <c r="B239" i="1" s="1"/>
  <c r="D239" i="1" s="1" a="1"/>
  <c r="D239" i="1" s="1"/>
  <c r="A239" i="1"/>
  <c r="K238" i="1"/>
  <c r="L238" i="1" s="1"/>
  <c r="I238" i="1"/>
  <c r="H238" i="1"/>
  <c r="F238" i="1"/>
  <c r="B238" i="1" a="1"/>
  <c r="B238" i="1" s="1"/>
  <c r="D238" i="1" s="1" a="1"/>
  <c r="D238" i="1" s="1"/>
  <c r="A238" i="1"/>
  <c r="K237" i="1"/>
  <c r="L237" i="1" s="1"/>
  <c r="I237" i="1"/>
  <c r="H237" i="1"/>
  <c r="J237" i="1" s="1"/>
  <c r="F237" i="1"/>
  <c r="B237" i="1" a="1"/>
  <c r="B237" i="1" s="1"/>
  <c r="D237" i="1" s="1" a="1"/>
  <c r="D237" i="1" s="1"/>
  <c r="A237" i="1"/>
  <c r="K236" i="1"/>
  <c r="L236" i="1" s="1"/>
  <c r="J236" i="1"/>
  <c r="I236" i="1"/>
  <c r="H236" i="1"/>
  <c r="F236" i="1"/>
  <c r="E236" i="1"/>
  <c r="B236" i="1" a="1"/>
  <c r="B236" i="1" s="1"/>
  <c r="D236" i="1" s="1" a="1"/>
  <c r="D236" i="1" s="1"/>
  <c r="A236" i="1"/>
  <c r="L235" i="1"/>
  <c r="K235" i="1"/>
  <c r="I235" i="1"/>
  <c r="H235" i="1"/>
  <c r="F235" i="1"/>
  <c r="E235" i="1"/>
  <c r="B235" i="1" a="1"/>
  <c r="B235" i="1" s="1"/>
  <c r="D235" i="1" s="1" a="1"/>
  <c r="D235" i="1" s="1"/>
  <c r="A235" i="1"/>
  <c r="K234" i="1"/>
  <c r="L234" i="1" s="1"/>
  <c r="I234" i="1"/>
  <c r="H234" i="1"/>
  <c r="F234" i="1"/>
  <c r="B234" i="1" a="1"/>
  <c r="B234" i="1" s="1"/>
  <c r="D234" i="1" s="1" a="1"/>
  <c r="D234" i="1" s="1"/>
  <c r="A234" i="1"/>
  <c r="K233" i="1"/>
  <c r="L233" i="1" s="1"/>
  <c r="H233" i="1"/>
  <c r="J233" i="1" s="1"/>
  <c r="G233" i="1"/>
  <c r="I233" i="1" s="1"/>
  <c r="F233" i="1"/>
  <c r="B233" i="1" a="1"/>
  <c r="B233" i="1" s="1"/>
  <c r="D233" i="1" s="1" a="1"/>
  <c r="D233" i="1" s="1"/>
  <c r="A233" i="1"/>
  <c r="G232" i="1"/>
  <c r="I232" i="1" s="1"/>
  <c r="F232" i="1"/>
  <c r="E232" i="1"/>
  <c r="B232" i="1" a="1"/>
  <c r="B232" i="1" s="1"/>
  <c r="D232" i="1" s="1" a="1"/>
  <c r="D232" i="1" s="1"/>
  <c r="A232" i="1"/>
  <c r="L231" i="1"/>
  <c r="K231" i="1"/>
  <c r="I231" i="1"/>
  <c r="H231" i="1"/>
  <c r="F231" i="1"/>
  <c r="E231" i="1"/>
  <c r="B231" i="1" a="1"/>
  <c r="B231" i="1" s="1"/>
  <c r="D231" i="1" s="1" a="1"/>
  <c r="D231" i="1" s="1"/>
  <c r="A231" i="1"/>
  <c r="G230" i="1"/>
  <c r="I230" i="1" s="1"/>
  <c r="F230" i="1"/>
  <c r="B230" i="1" a="1"/>
  <c r="B230" i="1" s="1"/>
  <c r="D230" i="1" s="1" a="1"/>
  <c r="D230" i="1" s="1"/>
  <c r="A230" i="1"/>
  <c r="G229" i="1"/>
  <c r="H229" i="1" s="1"/>
  <c r="F229" i="1"/>
  <c r="E229" i="1"/>
  <c r="B229" i="1" a="1"/>
  <c r="B229" i="1" s="1"/>
  <c r="D229" i="1" s="1" a="1"/>
  <c r="D229" i="1" s="1"/>
  <c r="A229" i="1"/>
  <c r="I228" i="1"/>
  <c r="G228" i="1"/>
  <c r="H228" i="1" s="1"/>
  <c r="F228" i="1"/>
  <c r="B228" i="1" a="1"/>
  <c r="B228" i="1" s="1"/>
  <c r="D228" i="1" s="1" a="1"/>
  <c r="D228" i="1" s="1"/>
  <c r="A228" i="1"/>
  <c r="G227" i="1"/>
  <c r="F227" i="1"/>
  <c r="B227" i="1" a="1"/>
  <c r="B227" i="1" s="1"/>
  <c r="D227" i="1" s="1" a="1"/>
  <c r="D227" i="1" s="1"/>
  <c r="A227" i="1"/>
  <c r="K226" i="1"/>
  <c r="L226" i="1" s="1"/>
  <c r="I226" i="1"/>
  <c r="H226" i="1"/>
  <c r="F226" i="1"/>
  <c r="E226" i="1"/>
  <c r="B226" i="1" a="1"/>
  <c r="B226" i="1" s="1"/>
  <c r="D226" i="1" s="1" a="1"/>
  <c r="D226" i="1" s="1"/>
  <c r="A226" i="1"/>
  <c r="G225" i="1"/>
  <c r="K225" i="1" s="1"/>
  <c r="L225" i="1" s="1"/>
  <c r="F225" i="1"/>
  <c r="E225" i="1"/>
  <c r="B225" i="1" a="1"/>
  <c r="B225" i="1" s="1"/>
  <c r="D225" i="1" s="1" a="1"/>
  <c r="D225" i="1" s="1"/>
  <c r="A225" i="1"/>
  <c r="K224" i="1"/>
  <c r="L224" i="1" s="1"/>
  <c r="I224" i="1"/>
  <c r="H224" i="1"/>
  <c r="F224" i="1"/>
  <c r="B224" i="1" a="1"/>
  <c r="B224" i="1" s="1"/>
  <c r="D224" i="1" s="1" a="1"/>
  <c r="D224" i="1" s="1"/>
  <c r="A224" i="1"/>
  <c r="G223" i="1"/>
  <c r="H223" i="1" s="1"/>
  <c r="F223" i="1"/>
  <c r="B223" i="1" a="1"/>
  <c r="B223" i="1" s="1"/>
  <c r="D223" i="1" s="1" a="1"/>
  <c r="D223" i="1" s="1"/>
  <c r="A223" i="1"/>
  <c r="G222" i="1"/>
  <c r="K222" i="1" s="1"/>
  <c r="L222" i="1" s="1"/>
  <c r="F222" i="1"/>
  <c r="E222" i="1"/>
  <c r="B222" i="1" a="1"/>
  <c r="B222" i="1" s="1"/>
  <c r="D222" i="1" s="1" a="1"/>
  <c r="D222" i="1" s="1"/>
  <c r="A222" i="1"/>
  <c r="K221" i="1"/>
  <c r="L221" i="1" s="1"/>
  <c r="I221" i="1"/>
  <c r="H221" i="1"/>
  <c r="F221" i="1"/>
  <c r="E221" i="1"/>
  <c r="B221" i="1" a="1"/>
  <c r="B221" i="1" s="1"/>
  <c r="D221" i="1" s="1" a="1"/>
  <c r="D221" i="1" s="1"/>
  <c r="A221" i="1"/>
  <c r="K220" i="1"/>
  <c r="L220" i="1" s="1"/>
  <c r="I220" i="1"/>
  <c r="J220" i="1" s="1"/>
  <c r="H220" i="1"/>
  <c r="F220" i="1"/>
  <c r="B220" i="1" a="1"/>
  <c r="B220" i="1" s="1"/>
  <c r="D220" i="1" s="1" a="1"/>
  <c r="D220" i="1" s="1"/>
  <c r="A220" i="1"/>
  <c r="K219" i="1"/>
  <c r="L219" i="1" s="1"/>
  <c r="I219" i="1"/>
  <c r="H219" i="1"/>
  <c r="J219" i="1" s="1"/>
  <c r="F219" i="1"/>
  <c r="E219" i="1"/>
  <c r="B219" i="1" a="1"/>
  <c r="B219" i="1"/>
  <c r="D219" i="1" s="1" a="1"/>
  <c r="D219" i="1" s="1"/>
  <c r="A219" i="1"/>
  <c r="K218" i="1"/>
  <c r="L218" i="1" s="1"/>
  <c r="I218" i="1"/>
  <c r="H218" i="1"/>
  <c r="F218" i="1"/>
  <c r="B218" i="1" a="1"/>
  <c r="B218" i="1"/>
  <c r="D218" i="1" s="1" a="1"/>
  <c r="D218" i="1" s="1"/>
  <c r="A218" i="1"/>
  <c r="K217" i="1"/>
  <c r="L217" i="1" s="1"/>
  <c r="I217" i="1"/>
  <c r="H217" i="1"/>
  <c r="F217" i="1"/>
  <c r="B217" i="1" a="1"/>
  <c r="B217" i="1" s="1"/>
  <c r="D217" i="1" s="1" a="1"/>
  <c r="D217" i="1" s="1"/>
  <c r="A217" i="1"/>
  <c r="L216" i="1"/>
  <c r="K216" i="1"/>
  <c r="I216" i="1"/>
  <c r="H216" i="1"/>
  <c r="F216" i="1"/>
  <c r="E216" i="1"/>
  <c r="B216" i="1" a="1"/>
  <c r="B216" i="1"/>
  <c r="D216" i="1" s="1" a="1"/>
  <c r="D216" i="1" s="1"/>
  <c r="A216" i="1"/>
  <c r="K215" i="1"/>
  <c r="L215" i="1" s="1"/>
  <c r="I215" i="1"/>
  <c r="H215" i="1"/>
  <c r="F215" i="1"/>
  <c r="E215" i="1"/>
  <c r="B215" i="1" a="1"/>
  <c r="B215" i="1" s="1"/>
  <c r="D215" i="1" s="1" a="1"/>
  <c r="D215" i="1" s="1"/>
  <c r="A215" i="1"/>
  <c r="K214" i="1"/>
  <c r="L214" i="1" s="1"/>
  <c r="I214" i="1"/>
  <c r="H214" i="1"/>
  <c r="F214" i="1"/>
  <c r="B214" i="1" a="1"/>
  <c r="B214" i="1" s="1"/>
  <c r="D214" i="1" s="1" a="1"/>
  <c r="D214" i="1" s="1"/>
  <c r="A214" i="1"/>
  <c r="K213" i="1"/>
  <c r="L213" i="1" s="1"/>
  <c r="I213" i="1"/>
  <c r="J213" i="1" s="1"/>
  <c r="H213" i="1"/>
  <c r="F213" i="1"/>
  <c r="B213" i="1" a="1"/>
  <c r="B213" i="1" s="1"/>
  <c r="D213" i="1" s="1" a="1"/>
  <c r="D213" i="1" s="1"/>
  <c r="A213" i="1"/>
  <c r="K212" i="1"/>
  <c r="L212" i="1" s="1"/>
  <c r="I212" i="1"/>
  <c r="H212" i="1"/>
  <c r="F212" i="1"/>
  <c r="E212" i="1"/>
  <c r="B212" i="1" a="1"/>
  <c r="B212" i="1" s="1"/>
  <c r="D212" i="1" s="1" a="1"/>
  <c r="D212" i="1" s="1"/>
  <c r="A212" i="1"/>
  <c r="K211" i="1"/>
  <c r="L211" i="1" s="1"/>
  <c r="I211" i="1"/>
  <c r="H211" i="1"/>
  <c r="F211" i="1"/>
  <c r="E211" i="1"/>
  <c r="B211" i="1" a="1"/>
  <c r="B211" i="1" s="1"/>
  <c r="D211" i="1" s="1" a="1"/>
  <c r="D211" i="1" s="1"/>
  <c r="A211" i="1"/>
  <c r="K210" i="1"/>
  <c r="L210" i="1" s="1"/>
  <c r="I210" i="1"/>
  <c r="H210" i="1"/>
  <c r="F210" i="1"/>
  <c r="B210" i="1" a="1"/>
  <c r="B210" i="1" s="1"/>
  <c r="D210" i="1" s="1" a="1"/>
  <c r="D210" i="1" s="1"/>
  <c r="A210" i="1"/>
  <c r="K209" i="1"/>
  <c r="L209" i="1" s="1"/>
  <c r="I209" i="1"/>
  <c r="H209" i="1"/>
  <c r="J209" i="1" s="1"/>
  <c r="F209" i="1"/>
  <c r="E209" i="1"/>
  <c r="B209" i="1" a="1"/>
  <c r="B209" i="1" s="1"/>
  <c r="D209" i="1" s="1" a="1"/>
  <c r="D209" i="1" s="1"/>
  <c r="A209" i="1"/>
  <c r="G208" i="1"/>
  <c r="F208" i="1"/>
  <c r="B208" i="1" a="1"/>
  <c r="B208" i="1" s="1"/>
  <c r="D208" i="1" s="1" a="1"/>
  <c r="D208" i="1" s="1"/>
  <c r="A208" i="1"/>
  <c r="H207" i="1"/>
  <c r="G207" i="1"/>
  <c r="I207" i="1" s="1"/>
  <c r="F207" i="1"/>
  <c r="B207" i="1" a="1"/>
  <c r="B207" i="1" s="1"/>
  <c r="D207" i="1" s="1" a="1"/>
  <c r="D207" i="1" s="1"/>
  <c r="A207" i="1"/>
  <c r="K206" i="1"/>
  <c r="L206" i="1" s="1"/>
  <c r="I206" i="1"/>
  <c r="H206" i="1"/>
  <c r="F206" i="1"/>
  <c r="E206" i="1"/>
  <c r="B206" i="1" a="1"/>
  <c r="B206" i="1" s="1"/>
  <c r="D206" i="1" s="1" a="1"/>
  <c r="D206" i="1" s="1"/>
  <c r="A206" i="1"/>
  <c r="K205" i="1"/>
  <c r="L205" i="1" s="1"/>
  <c r="I205" i="1"/>
  <c r="H205" i="1"/>
  <c r="F205" i="1"/>
  <c r="E205" i="1"/>
  <c r="B205" i="1" a="1"/>
  <c r="B205" i="1" s="1"/>
  <c r="D205" i="1" s="1" a="1"/>
  <c r="D205" i="1" s="1"/>
  <c r="A205" i="1"/>
  <c r="K204" i="1"/>
  <c r="L204" i="1" s="1"/>
  <c r="I204" i="1"/>
  <c r="H204" i="1"/>
  <c r="F204" i="1"/>
  <c r="B204" i="1" a="1"/>
  <c r="B204" i="1" s="1"/>
  <c r="D204" i="1" s="1" a="1"/>
  <c r="D204" i="1" s="1"/>
  <c r="A204" i="1"/>
  <c r="K203" i="1"/>
  <c r="L203" i="1" s="1"/>
  <c r="I203" i="1"/>
  <c r="H203" i="1"/>
  <c r="F203" i="1"/>
  <c r="B203" i="1" a="1"/>
  <c r="B203" i="1" s="1"/>
  <c r="D203" i="1" s="1" a="1"/>
  <c r="D203" i="1" s="1"/>
  <c r="A203" i="1"/>
  <c r="G202" i="1"/>
  <c r="F202" i="1"/>
  <c r="E202" i="1"/>
  <c r="B202" i="1" a="1"/>
  <c r="B202" i="1" s="1"/>
  <c r="D202" i="1" s="1" a="1"/>
  <c r="D202" i="1" s="1"/>
  <c r="A202" i="1"/>
  <c r="K201" i="1"/>
  <c r="L201" i="1" s="1"/>
  <c r="I201" i="1"/>
  <c r="H201" i="1"/>
  <c r="F201" i="1"/>
  <c r="E201" i="1"/>
  <c r="B201" i="1" a="1"/>
  <c r="B201" i="1" s="1"/>
  <c r="D201" i="1" s="1" a="1"/>
  <c r="D201" i="1" s="1"/>
  <c r="A201" i="1"/>
  <c r="K200" i="1"/>
  <c r="L200" i="1" s="1"/>
  <c r="I200" i="1"/>
  <c r="H200" i="1"/>
  <c r="F200" i="1"/>
  <c r="B200" i="1" a="1"/>
  <c r="B200" i="1"/>
  <c r="D200" i="1" s="1" a="1"/>
  <c r="D200" i="1" s="1"/>
  <c r="A200" i="1"/>
  <c r="K199" i="1"/>
  <c r="L199" i="1" s="1"/>
  <c r="I199" i="1"/>
  <c r="H199" i="1"/>
  <c r="F199" i="1"/>
  <c r="E199" i="1"/>
  <c r="B199" i="1" a="1"/>
  <c r="B199" i="1" s="1"/>
  <c r="D199" i="1" s="1" a="1"/>
  <c r="D199" i="1" s="1"/>
  <c r="A199" i="1"/>
  <c r="I198" i="1"/>
  <c r="G198" i="1"/>
  <c r="F198" i="1"/>
  <c r="B198" i="1" a="1"/>
  <c r="B198" i="1" s="1"/>
  <c r="D198" i="1" s="1" a="1"/>
  <c r="D198" i="1" s="1"/>
  <c r="A198" i="1"/>
  <c r="K197" i="1"/>
  <c r="L197" i="1" s="1"/>
  <c r="I197" i="1"/>
  <c r="H197" i="1"/>
  <c r="F197" i="1"/>
  <c r="B197" i="1" a="1"/>
  <c r="B197" i="1"/>
  <c r="D197" i="1" s="1" a="1"/>
  <c r="D197" i="1" s="1"/>
  <c r="A197" i="1"/>
  <c r="L196" i="1"/>
  <c r="K196" i="1"/>
  <c r="I196" i="1"/>
  <c r="H196" i="1"/>
  <c r="F196" i="1"/>
  <c r="E196" i="1"/>
  <c r="B196" i="1" a="1"/>
  <c r="B196" i="1" s="1"/>
  <c r="D196" i="1" s="1" a="1"/>
  <c r="D196" i="1" s="1"/>
  <c r="A196" i="1"/>
  <c r="L195" i="1"/>
  <c r="K195" i="1"/>
  <c r="I195" i="1"/>
  <c r="H195" i="1"/>
  <c r="F195" i="1"/>
  <c r="E195" i="1"/>
  <c r="B195" i="1" a="1"/>
  <c r="B195" i="1"/>
  <c r="D195" i="1" s="1" a="1"/>
  <c r="D195" i="1" s="1"/>
  <c r="A195" i="1"/>
  <c r="K194" i="1"/>
  <c r="L194" i="1" s="1"/>
  <c r="I194" i="1"/>
  <c r="H194" i="1"/>
  <c r="J194" i="1" s="1"/>
  <c r="F194" i="1"/>
  <c r="B194" i="1" a="1"/>
  <c r="B194" i="1" s="1"/>
  <c r="D194" i="1" s="1" a="1"/>
  <c r="D194" i="1" s="1"/>
  <c r="A194" i="1"/>
  <c r="K193" i="1"/>
  <c r="L193" i="1" s="1"/>
  <c r="I193" i="1"/>
  <c r="H193" i="1"/>
  <c r="F193" i="1"/>
  <c r="B193" i="1" a="1"/>
  <c r="B193" i="1" s="1"/>
  <c r="D193" i="1" s="1" a="1"/>
  <c r="D193" i="1" s="1"/>
  <c r="A193" i="1"/>
  <c r="K192" i="1"/>
  <c r="L192" i="1" s="1"/>
  <c r="I192" i="1"/>
  <c r="J192" i="1" s="1"/>
  <c r="H192" i="1"/>
  <c r="F192" i="1"/>
  <c r="E192" i="1"/>
  <c r="B192" i="1" a="1"/>
  <c r="B192" i="1" s="1"/>
  <c r="D192" i="1" s="1" a="1"/>
  <c r="D192" i="1" s="1"/>
  <c r="A192" i="1"/>
  <c r="K191" i="1"/>
  <c r="L191" i="1" s="1"/>
  <c r="I191" i="1"/>
  <c r="H191" i="1"/>
  <c r="J191" i="1" s="1"/>
  <c r="F191" i="1"/>
  <c r="E191" i="1"/>
  <c r="B191" i="1" a="1"/>
  <c r="B191" i="1" s="1"/>
  <c r="D191" i="1" s="1" a="1"/>
  <c r="D191" i="1" s="1"/>
  <c r="A191" i="1"/>
  <c r="K190" i="1"/>
  <c r="L190" i="1" s="1"/>
  <c r="I190" i="1"/>
  <c r="H190" i="1"/>
  <c r="F190" i="1"/>
  <c r="B190" i="1" a="1"/>
  <c r="B190" i="1" s="1"/>
  <c r="D190" i="1" s="1" a="1"/>
  <c r="D190" i="1" s="1"/>
  <c r="A190" i="1"/>
  <c r="L189" i="1"/>
  <c r="K189" i="1"/>
  <c r="I189" i="1"/>
  <c r="H189" i="1"/>
  <c r="J189" i="1" s="1"/>
  <c r="F189" i="1"/>
  <c r="E189" i="1"/>
  <c r="B189" i="1" a="1"/>
  <c r="B189" i="1" s="1"/>
  <c r="D189" i="1" s="1" a="1"/>
  <c r="D189" i="1" s="1"/>
  <c r="A189" i="1"/>
  <c r="K188" i="1"/>
  <c r="L188" i="1" s="1"/>
  <c r="I188" i="1"/>
  <c r="H188" i="1"/>
  <c r="F188" i="1"/>
  <c r="B188" i="1" a="1"/>
  <c r="B188" i="1"/>
  <c r="D188" i="1" s="1" a="1"/>
  <c r="D188" i="1" s="1"/>
  <c r="A188" i="1"/>
  <c r="L187" i="1"/>
  <c r="K187" i="1"/>
  <c r="I187" i="1"/>
  <c r="H187" i="1"/>
  <c r="F187" i="1"/>
  <c r="B187" i="1" a="1"/>
  <c r="B187" i="1" s="1"/>
  <c r="D187" i="1" s="1" a="1"/>
  <c r="D187" i="1" s="1"/>
  <c r="A187" i="1"/>
  <c r="G186" i="1"/>
  <c r="F186" i="1"/>
  <c r="E186" i="1"/>
  <c r="B186" i="1" a="1"/>
  <c r="B186" i="1"/>
  <c r="D186" i="1" s="1" a="1"/>
  <c r="D186" i="1" s="1"/>
  <c r="A186" i="1"/>
  <c r="G185" i="1"/>
  <c r="H185" i="1" s="1"/>
  <c r="F185" i="1"/>
  <c r="E185" i="1"/>
  <c r="B185" i="1" a="1"/>
  <c r="B185" i="1" s="1"/>
  <c r="D185" i="1" s="1" a="1"/>
  <c r="D185" i="1" s="1"/>
  <c r="A185" i="1"/>
  <c r="K184" i="1"/>
  <c r="L184" i="1" s="1"/>
  <c r="I184" i="1"/>
  <c r="H184" i="1"/>
  <c r="F184" i="1"/>
  <c r="B184" i="1" a="1"/>
  <c r="B184" i="1"/>
  <c r="D184" i="1" s="1" a="1"/>
  <c r="D184" i="1" s="1"/>
  <c r="A184" i="1"/>
  <c r="I183" i="1"/>
  <c r="H183" i="1"/>
  <c r="G183" i="1"/>
  <c r="K183" i="1" s="1"/>
  <c r="L183" i="1" s="1"/>
  <c r="F183" i="1"/>
  <c r="B183" i="1" a="1"/>
  <c r="B183" i="1" s="1"/>
  <c r="D183" i="1" s="1" a="1"/>
  <c r="D183" i="1" s="1"/>
  <c r="A183" i="1"/>
  <c r="G182" i="1"/>
  <c r="I182" i="1" s="1"/>
  <c r="F182" i="1"/>
  <c r="E182" i="1"/>
  <c r="B182" i="1" a="1"/>
  <c r="B182" i="1" s="1"/>
  <c r="D182" i="1" s="1" a="1"/>
  <c r="D182" i="1" s="1"/>
  <c r="A182" i="1"/>
  <c r="G181" i="1"/>
  <c r="F181" i="1"/>
  <c r="E181" i="1"/>
  <c r="B181" i="1" a="1"/>
  <c r="B181" i="1"/>
  <c r="D181" i="1" s="1" a="1"/>
  <c r="D181" i="1" s="1"/>
  <c r="A181" i="1"/>
  <c r="G180" i="1"/>
  <c r="I180" i="1" s="1"/>
  <c r="F180" i="1"/>
  <c r="D180" i="1" a="1"/>
  <c r="D180" i="1" s="1"/>
  <c r="B180" i="1" a="1"/>
  <c r="B180" i="1"/>
  <c r="A180" i="1"/>
  <c r="K179" i="1"/>
  <c r="L179" i="1" s="1"/>
  <c r="I179" i="1"/>
  <c r="H179" i="1"/>
  <c r="F179" i="1"/>
  <c r="E179" i="1"/>
  <c r="B179" i="1" a="1"/>
  <c r="B179" i="1" s="1"/>
  <c r="D179" i="1" s="1" a="1"/>
  <c r="D179" i="1" s="1"/>
  <c r="A179" i="1"/>
  <c r="G178" i="1"/>
  <c r="I178" i="1" s="1"/>
  <c r="F178" i="1"/>
  <c r="B178" i="1" a="1"/>
  <c r="B178" i="1" s="1"/>
  <c r="D178" i="1" s="1" a="1"/>
  <c r="D178" i="1" s="1"/>
  <c r="A178" i="1"/>
  <c r="K177" i="1"/>
  <c r="L177" i="1" s="1"/>
  <c r="I177" i="1"/>
  <c r="H177" i="1"/>
  <c r="F177" i="1"/>
  <c r="B177" i="1" a="1"/>
  <c r="B177" i="1" s="1"/>
  <c r="D177" i="1" s="1" a="1"/>
  <c r="D177" i="1" s="1"/>
  <c r="A177" i="1"/>
  <c r="G176" i="1"/>
  <c r="H176" i="1" s="1"/>
  <c r="F176" i="1"/>
  <c r="E176" i="1"/>
  <c r="B176" i="1" a="1"/>
  <c r="B176" i="1" s="1"/>
  <c r="D176" i="1" s="1" a="1"/>
  <c r="D176" i="1" s="1"/>
  <c r="A176" i="1"/>
  <c r="H175" i="1"/>
  <c r="J175" i="1" s="1"/>
  <c r="G175" i="1"/>
  <c r="I175" i="1" s="1"/>
  <c r="F175" i="1"/>
  <c r="E175" i="1"/>
  <c r="B175" i="1" a="1"/>
  <c r="B175" i="1" s="1"/>
  <c r="D175" i="1" s="1" a="1"/>
  <c r="D175" i="1" s="1"/>
  <c r="A175" i="1"/>
  <c r="K174" i="1"/>
  <c r="L174" i="1" s="1"/>
  <c r="I174" i="1"/>
  <c r="H174" i="1"/>
  <c r="F174" i="1"/>
  <c r="B174" i="1" a="1"/>
  <c r="B174" i="1" s="1"/>
  <c r="D174" i="1" s="1" a="1"/>
  <c r="D174" i="1" s="1"/>
  <c r="A174" i="1"/>
  <c r="K173" i="1"/>
  <c r="L173" i="1" s="1"/>
  <c r="I173" i="1"/>
  <c r="H173" i="1"/>
  <c r="F173" i="1"/>
  <c r="B173" i="1" a="1"/>
  <c r="B173" i="1" s="1"/>
  <c r="D173" i="1" s="1" a="1"/>
  <c r="D173" i="1" s="1"/>
  <c r="A173" i="1"/>
  <c r="K172" i="1"/>
  <c r="L172" i="1" s="1"/>
  <c r="I172" i="1"/>
  <c r="H172" i="1"/>
  <c r="F172" i="1"/>
  <c r="E172" i="1"/>
  <c r="B172" i="1" a="1"/>
  <c r="B172" i="1" s="1"/>
  <c r="D172" i="1" s="1" a="1"/>
  <c r="D172" i="1" s="1"/>
  <c r="A172" i="1"/>
  <c r="K171" i="1"/>
  <c r="L171" i="1" s="1"/>
  <c r="I171" i="1"/>
  <c r="H171" i="1"/>
  <c r="F171" i="1"/>
  <c r="E171" i="1"/>
  <c r="B171" i="1" a="1"/>
  <c r="B171" i="1" s="1"/>
  <c r="D171" i="1" s="1" a="1"/>
  <c r="D171" i="1" s="1"/>
  <c r="A171" i="1"/>
  <c r="K170" i="1"/>
  <c r="L170" i="1" s="1"/>
  <c r="I170" i="1"/>
  <c r="H170" i="1"/>
  <c r="F170" i="1"/>
  <c r="B170" i="1" a="1"/>
  <c r="B170" i="1" s="1"/>
  <c r="D170" i="1" s="1" a="1"/>
  <c r="D170" i="1" s="1"/>
  <c r="A170" i="1"/>
  <c r="L169" i="1"/>
  <c r="K169" i="1"/>
  <c r="I169" i="1"/>
  <c r="H169" i="1"/>
  <c r="F169" i="1"/>
  <c r="E169" i="1"/>
  <c r="B169" i="1" a="1"/>
  <c r="B169" i="1" s="1"/>
  <c r="D169" i="1" s="1" a="1"/>
  <c r="D169" i="1" s="1"/>
  <c r="A169" i="1"/>
  <c r="K168" i="1"/>
  <c r="L168" i="1" s="1"/>
  <c r="I168" i="1"/>
  <c r="H168" i="1"/>
  <c r="F168" i="1"/>
  <c r="B168" i="1" a="1"/>
  <c r="B168" i="1" s="1"/>
  <c r="D168" i="1" s="1" a="1"/>
  <c r="D168" i="1" s="1"/>
  <c r="A168" i="1"/>
  <c r="K167" i="1"/>
  <c r="L167" i="1" s="1"/>
  <c r="I167" i="1"/>
  <c r="H167" i="1"/>
  <c r="J167" i="1" s="1"/>
  <c r="F167" i="1"/>
  <c r="B167" i="1" a="1"/>
  <c r="B167" i="1"/>
  <c r="D167" i="1" s="1" a="1"/>
  <c r="D167" i="1" s="1"/>
  <c r="A167" i="1"/>
  <c r="K166" i="1"/>
  <c r="L166" i="1" s="1"/>
  <c r="I166" i="1"/>
  <c r="H166" i="1"/>
  <c r="F166" i="1"/>
  <c r="E166" i="1"/>
  <c r="B166" i="1" a="1"/>
  <c r="B166" i="1" s="1"/>
  <c r="D166" i="1" s="1" a="1"/>
  <c r="D166" i="1" s="1"/>
  <c r="A166" i="1"/>
  <c r="K165" i="1"/>
  <c r="L165" i="1" s="1"/>
  <c r="I165" i="1"/>
  <c r="H165" i="1"/>
  <c r="F165" i="1"/>
  <c r="E165" i="1"/>
  <c r="B165" i="1" a="1"/>
  <c r="B165" i="1" s="1"/>
  <c r="D165" i="1" s="1" a="1"/>
  <c r="D165" i="1" s="1"/>
  <c r="A165" i="1"/>
  <c r="K164" i="1"/>
  <c r="L164" i="1" s="1"/>
  <c r="I164" i="1"/>
  <c r="H164" i="1"/>
  <c r="J164" i="1" s="1"/>
  <c r="F164" i="1"/>
  <c r="B164" i="1" a="1"/>
  <c r="B164" i="1" s="1"/>
  <c r="D164" i="1" s="1" a="1"/>
  <c r="D164" i="1" s="1"/>
  <c r="A164" i="1"/>
  <c r="L163" i="1"/>
  <c r="K163" i="1"/>
  <c r="I163" i="1"/>
  <c r="H163" i="1"/>
  <c r="F163" i="1"/>
  <c r="B163" i="1" a="1"/>
  <c r="B163" i="1" s="1"/>
  <c r="D163" i="1" s="1" a="1"/>
  <c r="D163" i="1" s="1"/>
  <c r="A163" i="1"/>
  <c r="K162" i="1"/>
  <c r="L162" i="1" s="1"/>
  <c r="I162" i="1"/>
  <c r="H162" i="1"/>
  <c r="F162" i="1"/>
  <c r="E162" i="1"/>
  <c r="D162" i="1"/>
  <c r="B162" i="1" a="1"/>
  <c r="B162" i="1" s="1"/>
  <c r="D162" i="1" s="1" a="1"/>
  <c r="A162" i="1"/>
  <c r="H161" i="1"/>
  <c r="G161" i="1"/>
  <c r="F161" i="1"/>
  <c r="E161" i="1"/>
  <c r="B161" i="1" a="1"/>
  <c r="B161" i="1" s="1"/>
  <c r="D161" i="1" s="1" a="1"/>
  <c r="D161" i="1" s="1"/>
  <c r="A161" i="1"/>
  <c r="G160" i="1"/>
  <c r="F160" i="1"/>
  <c r="B160" i="1" a="1"/>
  <c r="B160" i="1" s="1"/>
  <c r="D160" i="1" s="1" a="1"/>
  <c r="D160" i="1" s="1"/>
  <c r="A160" i="1"/>
  <c r="K159" i="1"/>
  <c r="L159" i="1" s="1"/>
  <c r="I159" i="1"/>
  <c r="H159" i="1"/>
  <c r="F159" i="1"/>
  <c r="E159" i="1"/>
  <c r="B159" i="1" a="1"/>
  <c r="B159" i="1" s="1"/>
  <c r="D159" i="1" s="1" a="1"/>
  <c r="D159" i="1" s="1"/>
  <c r="A159" i="1"/>
  <c r="L158" i="1"/>
  <c r="K158" i="1"/>
  <c r="I158" i="1"/>
  <c r="H158" i="1"/>
  <c r="F158" i="1"/>
  <c r="B158" i="1" a="1"/>
  <c r="B158" i="1" s="1"/>
  <c r="D158" i="1" s="1" a="1"/>
  <c r="D158" i="1" s="1"/>
  <c r="A158" i="1"/>
  <c r="L157" i="1"/>
  <c r="K157" i="1"/>
  <c r="I157" i="1"/>
  <c r="H157" i="1"/>
  <c r="F157" i="1"/>
  <c r="B157" i="1" a="1"/>
  <c r="B157" i="1" s="1"/>
  <c r="D157" i="1" s="1" a="1"/>
  <c r="D157" i="1" s="1"/>
  <c r="A157" i="1"/>
  <c r="K156" i="1"/>
  <c r="L156" i="1" s="1"/>
  <c r="I156" i="1"/>
  <c r="H156" i="1"/>
  <c r="F156" i="1"/>
  <c r="E156" i="1"/>
  <c r="B156" i="1" a="1"/>
  <c r="B156" i="1" s="1"/>
  <c r="D156" i="1" s="1" a="1"/>
  <c r="D156" i="1" s="1"/>
  <c r="A156" i="1"/>
  <c r="G155" i="1"/>
  <c r="H155" i="1" s="1"/>
  <c r="F155" i="1"/>
  <c r="E155" i="1"/>
  <c r="B155" i="1" a="1"/>
  <c r="B155" i="1" s="1"/>
  <c r="D155" i="1" s="1" a="1"/>
  <c r="D155" i="1" s="1"/>
  <c r="A155" i="1"/>
  <c r="K154" i="1"/>
  <c r="L154" i="1" s="1"/>
  <c r="I154" i="1"/>
  <c r="H154" i="1"/>
  <c r="J154" i="1" s="1"/>
  <c r="F154" i="1"/>
  <c r="B154" i="1" a="1"/>
  <c r="B154" i="1" s="1"/>
  <c r="D154" i="1" s="1" a="1"/>
  <c r="D154" i="1" s="1"/>
  <c r="A154" i="1"/>
  <c r="K153" i="1"/>
  <c r="L153" i="1" s="1"/>
  <c r="I153" i="1"/>
  <c r="H153" i="1"/>
  <c r="F153" i="1"/>
  <c r="B153" i="1" a="1"/>
  <c r="B153" i="1" s="1"/>
  <c r="D153" i="1" s="1" a="1"/>
  <c r="D153" i="1" s="1"/>
  <c r="A153" i="1"/>
  <c r="K152" i="1"/>
  <c r="L152" i="1" s="1"/>
  <c r="I152" i="1"/>
  <c r="J152" i="1" s="1"/>
  <c r="H152" i="1"/>
  <c r="F152" i="1"/>
  <c r="E152" i="1"/>
  <c r="B152" i="1" a="1"/>
  <c r="B152" i="1" s="1"/>
  <c r="D152" i="1" s="1" a="1"/>
  <c r="D152" i="1" s="1"/>
  <c r="A152" i="1"/>
  <c r="G151" i="1"/>
  <c r="K151" i="1" s="1"/>
  <c r="L151" i="1" s="1"/>
  <c r="F151" i="1"/>
  <c r="E151" i="1"/>
  <c r="B151" i="1" a="1"/>
  <c r="B151" i="1" s="1"/>
  <c r="D151" i="1" s="1" a="1"/>
  <c r="D151" i="1" s="1"/>
  <c r="A151" i="1"/>
  <c r="K150" i="1"/>
  <c r="L150" i="1" s="1"/>
  <c r="I150" i="1"/>
  <c r="H150" i="1"/>
  <c r="F150" i="1"/>
  <c r="B150" i="1" a="1"/>
  <c r="B150" i="1" s="1"/>
  <c r="D150" i="1" s="1" a="1"/>
  <c r="D150" i="1" s="1"/>
  <c r="A150" i="1"/>
  <c r="K149" i="1"/>
  <c r="L149" i="1" s="1"/>
  <c r="I149" i="1"/>
  <c r="H149" i="1"/>
  <c r="F149" i="1"/>
  <c r="E149" i="1"/>
  <c r="B149" i="1" a="1"/>
  <c r="B149" i="1" s="1"/>
  <c r="D149" i="1" s="1" a="1"/>
  <c r="D149" i="1" s="1"/>
  <c r="A149" i="1"/>
  <c r="K148" i="1"/>
  <c r="L148" i="1" s="1"/>
  <c r="I148" i="1"/>
  <c r="H148" i="1"/>
  <c r="F148" i="1"/>
  <c r="D148" i="1" a="1"/>
  <c r="D148" i="1" s="1"/>
  <c r="B148" i="1" a="1"/>
  <c r="B148" i="1" s="1"/>
  <c r="A148" i="1"/>
  <c r="L147" i="1"/>
  <c r="K147" i="1"/>
  <c r="I147" i="1"/>
  <c r="J147" i="1" s="1"/>
  <c r="H147" i="1"/>
  <c r="F147" i="1"/>
  <c r="B147" i="1" a="1"/>
  <c r="B147" i="1" s="1"/>
  <c r="D147" i="1" s="1" a="1"/>
  <c r="D147" i="1" s="1"/>
  <c r="A147" i="1"/>
  <c r="L146" i="1"/>
  <c r="K146" i="1"/>
  <c r="I146" i="1"/>
  <c r="H146" i="1"/>
  <c r="F146" i="1"/>
  <c r="E146" i="1"/>
  <c r="B146" i="1" a="1"/>
  <c r="B146" i="1" s="1"/>
  <c r="D146" i="1" s="1" a="1"/>
  <c r="D146" i="1" s="1"/>
  <c r="A146" i="1"/>
  <c r="K145" i="1"/>
  <c r="L145" i="1" s="1"/>
  <c r="I145" i="1"/>
  <c r="H145" i="1"/>
  <c r="F145" i="1"/>
  <c r="E145" i="1"/>
  <c r="D145" i="1"/>
  <c r="B145" i="1" a="1"/>
  <c r="B145" i="1" s="1"/>
  <c r="D145" i="1" s="1" a="1"/>
  <c r="A145" i="1"/>
  <c r="K144" i="1"/>
  <c r="L144" i="1" s="1"/>
  <c r="I144" i="1"/>
  <c r="H144" i="1"/>
  <c r="F144" i="1"/>
  <c r="B144" i="1" a="1"/>
  <c r="B144" i="1" s="1"/>
  <c r="D144" i="1" s="1" a="1"/>
  <c r="D144" i="1" s="1"/>
  <c r="A144" i="1"/>
  <c r="K143" i="1"/>
  <c r="L143" i="1" s="1"/>
  <c r="I143" i="1"/>
  <c r="H143" i="1"/>
  <c r="F143" i="1"/>
  <c r="B143" i="1" a="1"/>
  <c r="B143" i="1" s="1"/>
  <c r="D143" i="1" s="1" a="1"/>
  <c r="D143" i="1" s="1"/>
  <c r="A143" i="1"/>
  <c r="K142" i="1"/>
  <c r="L142" i="1" s="1"/>
  <c r="J142" i="1"/>
  <c r="I142" i="1"/>
  <c r="H142" i="1"/>
  <c r="F142" i="1"/>
  <c r="E142" i="1"/>
  <c r="B142" i="1" a="1"/>
  <c r="B142" i="1" s="1"/>
  <c r="D142" i="1" s="1" a="1"/>
  <c r="D142" i="1" s="1"/>
  <c r="A142" i="1"/>
  <c r="K141" i="1"/>
  <c r="L141" i="1" s="1"/>
  <c r="I141" i="1"/>
  <c r="H141" i="1"/>
  <c r="J141" i="1" s="1"/>
  <c r="F141" i="1"/>
  <c r="E141" i="1"/>
  <c r="B141" i="1" a="1"/>
  <c r="B141" i="1" s="1"/>
  <c r="D141" i="1" s="1" a="1"/>
  <c r="D141" i="1" s="1"/>
  <c r="A141" i="1"/>
  <c r="K140" i="1"/>
  <c r="L140" i="1" s="1"/>
  <c r="I140" i="1"/>
  <c r="H140" i="1"/>
  <c r="F140" i="1"/>
  <c r="B140" i="1" a="1"/>
  <c r="B140" i="1" s="1"/>
  <c r="D140" i="1" s="1" a="1"/>
  <c r="D140" i="1" s="1"/>
  <c r="A140" i="1"/>
  <c r="G139" i="1"/>
  <c r="K139" i="1" s="1"/>
  <c r="L139" i="1" s="1"/>
  <c r="F139" i="1"/>
  <c r="E139" i="1"/>
  <c r="B139" i="1" a="1"/>
  <c r="B139" i="1" s="1"/>
  <c r="D139" i="1" s="1" a="1"/>
  <c r="D139" i="1" s="1"/>
  <c r="A139" i="1"/>
  <c r="K138" i="1"/>
  <c r="L138" i="1" s="1"/>
  <c r="H138" i="1"/>
  <c r="J138" i="1" s="1"/>
  <c r="G138" i="1"/>
  <c r="I138" i="1" s="1"/>
  <c r="F138" i="1"/>
  <c r="B138" i="1" a="1"/>
  <c r="B138" i="1" s="1"/>
  <c r="D138" i="1" s="1" a="1"/>
  <c r="D138" i="1" s="1"/>
  <c r="A138" i="1"/>
  <c r="K137" i="1"/>
  <c r="L137" i="1" s="1"/>
  <c r="I137" i="1"/>
  <c r="H137" i="1"/>
  <c r="F137" i="1"/>
  <c r="B137" i="1" a="1"/>
  <c r="B137" i="1" s="1"/>
  <c r="D137" i="1" s="1" a="1"/>
  <c r="D137" i="1" s="1"/>
  <c r="A137" i="1"/>
  <c r="G136" i="1"/>
  <c r="F136" i="1"/>
  <c r="E136" i="1"/>
  <c r="B136" i="1" a="1"/>
  <c r="B136" i="1" s="1"/>
  <c r="D136" i="1" s="1" a="1"/>
  <c r="D136" i="1" s="1"/>
  <c r="A136" i="1"/>
  <c r="G135" i="1"/>
  <c r="F135" i="1"/>
  <c r="E135" i="1"/>
  <c r="B135" i="1" a="1"/>
  <c r="B135" i="1" s="1"/>
  <c r="D135" i="1" s="1" a="1"/>
  <c r="D135" i="1" s="1"/>
  <c r="A135" i="1"/>
  <c r="I134" i="1"/>
  <c r="G134" i="1"/>
  <c r="H134" i="1" s="1"/>
  <c r="F134" i="1"/>
  <c r="B134" i="1" a="1"/>
  <c r="B134" i="1"/>
  <c r="D134" i="1" s="1" a="1"/>
  <c r="D134" i="1" s="1"/>
  <c r="A134" i="1"/>
  <c r="H133" i="1"/>
  <c r="J133" i="1" s="1"/>
  <c r="G133" i="1"/>
  <c r="I133" i="1" s="1"/>
  <c r="F133" i="1"/>
  <c r="B133" i="1" a="1"/>
  <c r="B133" i="1" s="1"/>
  <c r="D133" i="1" s="1" a="1"/>
  <c r="D133" i="1" s="1"/>
  <c r="A133" i="1"/>
  <c r="K132" i="1"/>
  <c r="L132" i="1" s="1"/>
  <c r="I132" i="1"/>
  <c r="H132" i="1"/>
  <c r="F132" i="1"/>
  <c r="E132" i="1"/>
  <c r="B132" i="1" a="1"/>
  <c r="B132" i="1" s="1"/>
  <c r="D132" i="1" s="1" a="1"/>
  <c r="D132" i="1" s="1"/>
  <c r="A132" i="1"/>
  <c r="G131" i="1"/>
  <c r="F131" i="1"/>
  <c r="E131" i="1"/>
  <c r="B131" i="1" a="1"/>
  <c r="B131" i="1" s="1"/>
  <c r="D131" i="1" s="1" a="1"/>
  <c r="D131" i="1" s="1"/>
  <c r="A131" i="1"/>
  <c r="L130" i="1"/>
  <c r="K130" i="1"/>
  <c r="I130" i="1"/>
  <c r="H130" i="1"/>
  <c r="F130" i="1"/>
  <c r="B130" i="1" a="1"/>
  <c r="B130" i="1" s="1"/>
  <c r="D130" i="1" s="1" a="1"/>
  <c r="D130" i="1" s="1"/>
  <c r="A130" i="1"/>
  <c r="G129" i="1"/>
  <c r="I129" i="1" s="1"/>
  <c r="F129" i="1"/>
  <c r="E129" i="1"/>
  <c r="D129" i="1"/>
  <c r="B129" i="1" a="1"/>
  <c r="B129" i="1" s="1"/>
  <c r="D129" i="1" s="1" a="1"/>
  <c r="A129" i="1"/>
  <c r="G128" i="1"/>
  <c r="I128" i="1" s="1"/>
  <c r="F128" i="1"/>
  <c r="B128" i="1" a="1"/>
  <c r="B128" i="1" s="1"/>
  <c r="D128" i="1" s="1" a="1"/>
  <c r="D128" i="1" s="1"/>
  <c r="A128" i="1"/>
  <c r="K127" i="1"/>
  <c r="L127" i="1" s="1"/>
  <c r="I127" i="1"/>
  <c r="H127" i="1"/>
  <c r="F127" i="1"/>
  <c r="B127" i="1" a="1"/>
  <c r="B127" i="1" s="1"/>
  <c r="D127" i="1" s="1" a="1"/>
  <c r="D127" i="1" s="1"/>
  <c r="A127" i="1"/>
  <c r="K126" i="1"/>
  <c r="L126" i="1" s="1"/>
  <c r="I126" i="1"/>
  <c r="H126" i="1"/>
  <c r="J126" i="1" s="1"/>
  <c r="F126" i="1"/>
  <c r="E126" i="1"/>
  <c r="B126" i="1" a="1"/>
  <c r="B126" i="1" s="1"/>
  <c r="D126" i="1" s="1" a="1"/>
  <c r="D126" i="1" s="1"/>
  <c r="A126" i="1"/>
  <c r="K125" i="1"/>
  <c r="L125" i="1" s="1"/>
  <c r="I125" i="1"/>
  <c r="H125" i="1"/>
  <c r="J125" i="1" s="1"/>
  <c r="F125" i="1"/>
  <c r="E125" i="1"/>
  <c r="B125" i="1" a="1"/>
  <c r="B125" i="1" s="1"/>
  <c r="D125" i="1" s="1" a="1"/>
  <c r="D125" i="1" s="1"/>
  <c r="A125" i="1"/>
  <c r="K124" i="1"/>
  <c r="L124" i="1" s="1"/>
  <c r="I124" i="1"/>
  <c r="H124" i="1"/>
  <c r="F124" i="1"/>
  <c r="B124" i="1" a="1"/>
  <c r="B124" i="1" s="1"/>
  <c r="D124" i="1" s="1" a="1"/>
  <c r="D124" i="1" s="1"/>
  <c r="A124" i="1"/>
  <c r="K123" i="1"/>
  <c r="L123" i="1" s="1"/>
  <c r="I123" i="1"/>
  <c r="H123" i="1"/>
  <c r="F123" i="1"/>
  <c r="B123" i="1" a="1"/>
  <c r="B123" i="1" s="1"/>
  <c r="D123" i="1" s="1" a="1"/>
  <c r="D123" i="1" s="1"/>
  <c r="A123" i="1"/>
  <c r="K122" i="1"/>
  <c r="L122" i="1" s="1"/>
  <c r="I122" i="1"/>
  <c r="H122" i="1"/>
  <c r="F122" i="1"/>
  <c r="E122" i="1"/>
  <c r="B122" i="1" a="1"/>
  <c r="B122" i="1" s="1"/>
  <c r="D122" i="1" s="1" a="1"/>
  <c r="D122" i="1" s="1"/>
  <c r="A122" i="1"/>
  <c r="K121" i="1"/>
  <c r="L121" i="1" s="1"/>
  <c r="I121" i="1"/>
  <c r="H121" i="1"/>
  <c r="F121" i="1"/>
  <c r="E121" i="1"/>
  <c r="B121" i="1" a="1"/>
  <c r="B121" i="1" s="1"/>
  <c r="D121" i="1" s="1" a="1"/>
  <c r="D121" i="1" s="1"/>
  <c r="A121" i="1"/>
  <c r="L120" i="1"/>
  <c r="K120" i="1"/>
  <c r="I120" i="1"/>
  <c r="J120" i="1" s="1"/>
  <c r="H120" i="1"/>
  <c r="F120" i="1"/>
  <c r="B120" i="1" a="1"/>
  <c r="B120" i="1" s="1"/>
  <c r="D120" i="1" s="1" a="1"/>
  <c r="D120" i="1" s="1"/>
  <c r="A120" i="1"/>
  <c r="K119" i="1"/>
  <c r="L119" i="1" s="1"/>
  <c r="I119" i="1"/>
  <c r="H119" i="1"/>
  <c r="F119" i="1"/>
  <c r="E119" i="1"/>
  <c r="B119" i="1" a="1"/>
  <c r="B119" i="1" s="1"/>
  <c r="D119" i="1" s="1" a="1"/>
  <c r="D119" i="1" s="1"/>
  <c r="A119" i="1"/>
  <c r="K118" i="1"/>
  <c r="L118" i="1" s="1"/>
  <c r="I118" i="1"/>
  <c r="H118" i="1"/>
  <c r="F118" i="1"/>
  <c r="B118" i="1" a="1"/>
  <c r="B118" i="1" s="1"/>
  <c r="D118" i="1" s="1" a="1"/>
  <c r="D118" i="1" s="1"/>
  <c r="A118" i="1"/>
  <c r="K117" i="1"/>
  <c r="L117" i="1" s="1"/>
  <c r="I117" i="1"/>
  <c r="H117" i="1"/>
  <c r="F117" i="1"/>
  <c r="B117" i="1" a="1"/>
  <c r="B117" i="1" s="1"/>
  <c r="D117" i="1" s="1" a="1"/>
  <c r="D117" i="1" s="1"/>
  <c r="A117" i="1"/>
  <c r="L116" i="1"/>
  <c r="K116" i="1"/>
  <c r="I116" i="1"/>
  <c r="J116" i="1" s="1"/>
  <c r="H116" i="1"/>
  <c r="F116" i="1"/>
  <c r="E116" i="1"/>
  <c r="B116" i="1" a="1"/>
  <c r="B116" i="1" s="1"/>
  <c r="D116" i="1" s="1" a="1"/>
  <c r="D116" i="1" s="1"/>
  <c r="A116" i="1"/>
  <c r="K115" i="1"/>
  <c r="L115" i="1" s="1"/>
  <c r="I115" i="1"/>
  <c r="H115" i="1"/>
  <c r="F115" i="1"/>
  <c r="E115" i="1"/>
  <c r="B115" i="1" a="1"/>
  <c r="B115" i="1" s="1"/>
  <c r="D115" i="1" s="1" a="1"/>
  <c r="D115" i="1" s="1"/>
  <c r="A115" i="1"/>
  <c r="G114" i="1"/>
  <c r="I114" i="1" s="1"/>
  <c r="F114" i="1"/>
  <c r="B114" i="1" a="1"/>
  <c r="B114" i="1" s="1"/>
  <c r="D114" i="1" s="1" a="1"/>
  <c r="D114" i="1" s="1"/>
  <c r="A114" i="1"/>
  <c r="K113" i="1"/>
  <c r="L113" i="1" s="1"/>
  <c r="I113" i="1"/>
  <c r="H113" i="1"/>
  <c r="J113" i="1" s="1"/>
  <c r="G113" i="1"/>
  <c r="F113" i="1"/>
  <c r="B113" i="1" a="1"/>
  <c r="B113" i="1" s="1"/>
  <c r="D113" i="1" s="1" a="1"/>
  <c r="D113" i="1" s="1"/>
  <c r="A113" i="1"/>
  <c r="K112" i="1"/>
  <c r="L112" i="1" s="1"/>
  <c r="I112" i="1"/>
  <c r="J112" i="1" s="1"/>
  <c r="H112" i="1"/>
  <c r="F112" i="1"/>
  <c r="E112" i="1"/>
  <c r="B112" i="1" a="1"/>
  <c r="B112" i="1" s="1"/>
  <c r="D112" i="1" s="1" a="1"/>
  <c r="D112" i="1" s="1"/>
  <c r="A112" i="1"/>
  <c r="K111" i="1"/>
  <c r="L111" i="1" s="1"/>
  <c r="I111" i="1"/>
  <c r="H111" i="1"/>
  <c r="F111" i="1"/>
  <c r="E111" i="1"/>
  <c r="B111" i="1" a="1"/>
  <c r="B111" i="1" s="1"/>
  <c r="D111" i="1" s="1" a="1"/>
  <c r="D111" i="1" s="1"/>
  <c r="A111" i="1"/>
  <c r="L110" i="1"/>
  <c r="K110" i="1"/>
  <c r="I110" i="1"/>
  <c r="H110" i="1"/>
  <c r="J110" i="1" s="1"/>
  <c r="F110" i="1"/>
  <c r="B110" i="1" a="1"/>
  <c r="B110" i="1" s="1"/>
  <c r="D110" i="1" s="1" a="1"/>
  <c r="D110" i="1" s="1"/>
  <c r="A110" i="1"/>
  <c r="K109" i="1"/>
  <c r="L109" i="1" s="1"/>
  <c r="I109" i="1"/>
  <c r="H109" i="1"/>
  <c r="F109" i="1"/>
  <c r="E109" i="1"/>
  <c r="B109" i="1" a="1"/>
  <c r="B109" i="1" s="1"/>
  <c r="D109" i="1" s="1" a="1"/>
  <c r="D109" i="1" s="1"/>
  <c r="A109" i="1"/>
  <c r="I108" i="1"/>
  <c r="G108" i="1"/>
  <c r="H108" i="1" s="1"/>
  <c r="F108" i="1"/>
  <c r="B108" i="1" a="1"/>
  <c r="B108" i="1" s="1"/>
  <c r="D108" i="1" s="1" a="1"/>
  <c r="D108" i="1" s="1"/>
  <c r="A108" i="1"/>
  <c r="K107" i="1"/>
  <c r="L107" i="1" s="1"/>
  <c r="I107" i="1"/>
  <c r="H107" i="1"/>
  <c r="F107" i="1"/>
  <c r="B107" i="1" a="1"/>
  <c r="B107" i="1" s="1"/>
  <c r="D107" i="1" s="1" a="1"/>
  <c r="D107" i="1" s="1"/>
  <c r="A107" i="1"/>
  <c r="K106" i="1"/>
  <c r="L106" i="1" s="1"/>
  <c r="I106" i="1"/>
  <c r="J106" i="1" s="1"/>
  <c r="H106" i="1"/>
  <c r="F106" i="1"/>
  <c r="E106" i="1"/>
  <c r="B106" i="1" a="1"/>
  <c r="B106" i="1" s="1"/>
  <c r="D106" i="1" s="1" a="1"/>
  <c r="D106" i="1" s="1"/>
  <c r="A106" i="1"/>
  <c r="L105" i="1"/>
  <c r="K105" i="1"/>
  <c r="I105" i="1"/>
  <c r="H105" i="1"/>
  <c r="F105" i="1"/>
  <c r="E105" i="1"/>
  <c r="B105" i="1" a="1"/>
  <c r="B105" i="1" s="1"/>
  <c r="D105" i="1" s="1" a="1"/>
  <c r="D105" i="1" s="1"/>
  <c r="A105" i="1"/>
  <c r="G104" i="1"/>
  <c r="H104" i="1" s="1"/>
  <c r="F104" i="1"/>
  <c r="B104" i="1" a="1"/>
  <c r="B104" i="1" s="1"/>
  <c r="D104" i="1" s="1" a="1"/>
  <c r="D104" i="1" s="1"/>
  <c r="A104" i="1"/>
  <c r="K103" i="1"/>
  <c r="L103" i="1" s="1"/>
  <c r="I103" i="1"/>
  <c r="H103" i="1"/>
  <c r="F103" i="1"/>
  <c r="B103" i="1" a="1"/>
  <c r="B103" i="1" s="1"/>
  <c r="D103" i="1" s="1" a="1"/>
  <c r="D103" i="1" s="1"/>
  <c r="A103" i="1"/>
  <c r="K102" i="1"/>
  <c r="L102" i="1" s="1"/>
  <c r="I102" i="1"/>
  <c r="H102" i="1"/>
  <c r="F102" i="1"/>
  <c r="E102" i="1"/>
  <c r="B102" i="1" a="1"/>
  <c r="B102" i="1" s="1"/>
  <c r="D102" i="1" s="1" a="1"/>
  <c r="D102" i="1" s="1"/>
  <c r="A102" i="1"/>
  <c r="K101" i="1"/>
  <c r="L101" i="1" s="1"/>
  <c r="I101" i="1"/>
  <c r="H101" i="1"/>
  <c r="F101" i="1"/>
  <c r="E101" i="1"/>
  <c r="B101" i="1" a="1"/>
  <c r="B101" i="1" s="1"/>
  <c r="D101" i="1" s="1" a="1"/>
  <c r="D101" i="1" s="1"/>
  <c r="A101" i="1"/>
  <c r="K100" i="1"/>
  <c r="L100" i="1" s="1"/>
  <c r="I100" i="1"/>
  <c r="H100" i="1"/>
  <c r="F100" i="1"/>
  <c r="B100" i="1" a="1"/>
  <c r="B100" i="1"/>
  <c r="D100" i="1" s="1" a="1"/>
  <c r="D100" i="1" s="1"/>
  <c r="A100" i="1"/>
  <c r="K99" i="1"/>
  <c r="L99" i="1" s="1"/>
  <c r="I99" i="1"/>
  <c r="J99" i="1" s="1"/>
  <c r="H99" i="1"/>
  <c r="F99" i="1"/>
  <c r="E99" i="1"/>
  <c r="B99" i="1" a="1"/>
  <c r="B99" i="1" s="1"/>
  <c r="D99" i="1" s="1" a="1"/>
  <c r="D99" i="1" s="1"/>
  <c r="A99" i="1"/>
  <c r="L98" i="1"/>
  <c r="K98" i="1"/>
  <c r="I98" i="1"/>
  <c r="H98" i="1"/>
  <c r="J98" i="1" s="1"/>
  <c r="F98" i="1"/>
  <c r="B98" i="1" a="1"/>
  <c r="B98" i="1" s="1"/>
  <c r="D98" i="1" s="1" a="1"/>
  <c r="D98" i="1" s="1"/>
  <c r="A98" i="1"/>
  <c r="K97" i="1"/>
  <c r="L97" i="1" s="1"/>
  <c r="I97" i="1"/>
  <c r="J97" i="1" s="1"/>
  <c r="H97" i="1"/>
  <c r="F97" i="1"/>
  <c r="B97" i="1" a="1"/>
  <c r="B97" i="1" s="1"/>
  <c r="D97" i="1" s="1" a="1"/>
  <c r="D97" i="1" s="1"/>
  <c r="A97" i="1"/>
  <c r="K96" i="1"/>
  <c r="L96" i="1" s="1"/>
  <c r="I96" i="1"/>
  <c r="H96" i="1"/>
  <c r="J96" i="1" s="1"/>
  <c r="F96" i="1"/>
  <c r="E96" i="1"/>
  <c r="B96" i="1" a="1"/>
  <c r="B96" i="1" s="1"/>
  <c r="D96" i="1" s="1" a="1"/>
  <c r="D96" i="1" s="1"/>
  <c r="A96" i="1"/>
  <c r="K95" i="1"/>
  <c r="L95" i="1" s="1"/>
  <c r="I95" i="1"/>
  <c r="H95" i="1"/>
  <c r="F95" i="1"/>
  <c r="E95" i="1"/>
  <c r="B95" i="1" a="1"/>
  <c r="B95" i="1" s="1"/>
  <c r="D95" i="1" s="1" a="1"/>
  <c r="D95" i="1" s="1"/>
  <c r="A95" i="1"/>
  <c r="K94" i="1"/>
  <c r="L94" i="1" s="1"/>
  <c r="I94" i="1"/>
  <c r="H94" i="1"/>
  <c r="F94" i="1"/>
  <c r="B94" i="1" a="1"/>
  <c r="B94" i="1" s="1"/>
  <c r="D94" i="1" s="1" a="1"/>
  <c r="D94" i="1" s="1"/>
  <c r="A94" i="1"/>
  <c r="K93" i="1"/>
  <c r="L93" i="1" s="1"/>
  <c r="I93" i="1"/>
  <c r="H93" i="1"/>
  <c r="F93" i="1"/>
  <c r="B93" i="1" a="1"/>
  <c r="B93" i="1" s="1"/>
  <c r="D93" i="1" s="1" a="1"/>
  <c r="D93" i="1" s="1"/>
  <c r="A93" i="1"/>
  <c r="G92" i="1"/>
  <c r="I92" i="1" s="1"/>
  <c r="F92" i="1"/>
  <c r="E92" i="1"/>
  <c r="B92" i="1" a="1"/>
  <c r="B92" i="1" s="1"/>
  <c r="D92" i="1" s="1" a="1"/>
  <c r="D92" i="1" s="1"/>
  <c r="A92" i="1"/>
  <c r="G91" i="1"/>
  <c r="K91" i="1" s="1"/>
  <c r="L91" i="1" s="1"/>
  <c r="F91" i="1"/>
  <c r="E91" i="1"/>
  <c r="B91" i="1" a="1"/>
  <c r="B91" i="1" s="1"/>
  <c r="D91" i="1" s="1" a="1"/>
  <c r="D91" i="1" s="1"/>
  <c r="A91" i="1"/>
  <c r="L90" i="1"/>
  <c r="K90" i="1"/>
  <c r="I90" i="1"/>
  <c r="H90" i="1"/>
  <c r="F90" i="1"/>
  <c r="D90" i="1" a="1"/>
  <c r="D90" i="1" s="1"/>
  <c r="B90" i="1" a="1"/>
  <c r="B90" i="1" s="1"/>
  <c r="A90" i="1"/>
  <c r="G89" i="1"/>
  <c r="F89" i="1"/>
  <c r="E89" i="1"/>
  <c r="B89" i="1" a="1"/>
  <c r="B89" i="1" s="1"/>
  <c r="D89" i="1" s="1" a="1"/>
  <c r="D89" i="1" s="1"/>
  <c r="A89" i="1"/>
  <c r="G88" i="1"/>
  <c r="F88" i="1"/>
  <c r="B88" i="1" a="1"/>
  <c r="B88" i="1"/>
  <c r="D88" i="1" s="1" a="1"/>
  <c r="D88" i="1" s="1"/>
  <c r="A88" i="1"/>
  <c r="G87" i="1"/>
  <c r="K87" i="1" s="1"/>
  <c r="L87" i="1" s="1"/>
  <c r="F87" i="1"/>
  <c r="B87" i="1" a="1"/>
  <c r="B87" i="1" s="1"/>
  <c r="D87" i="1" s="1" a="1"/>
  <c r="D87" i="1" s="1"/>
  <c r="A87" i="1"/>
  <c r="G86" i="1"/>
  <c r="H86" i="1" s="1"/>
  <c r="F86" i="1"/>
  <c r="E86" i="1"/>
  <c r="B86" i="1" a="1"/>
  <c r="B86" i="1" s="1"/>
  <c r="D86" i="1" s="1" a="1"/>
  <c r="D86" i="1" s="1"/>
  <c r="A86" i="1"/>
  <c r="L85" i="1"/>
  <c r="K85" i="1"/>
  <c r="I85" i="1"/>
  <c r="H85" i="1"/>
  <c r="F85" i="1"/>
  <c r="E85" i="1"/>
  <c r="B85" i="1" a="1"/>
  <c r="B85" i="1" s="1"/>
  <c r="D85" i="1" s="1" a="1"/>
  <c r="D85" i="1" s="1"/>
  <c r="A85" i="1"/>
  <c r="H84" i="1"/>
  <c r="G84" i="1"/>
  <c r="F84" i="1"/>
  <c r="D84" i="1" a="1"/>
  <c r="D84" i="1" s="1"/>
  <c r="B84" i="1" a="1"/>
  <c r="B84" i="1" s="1"/>
  <c r="A84" i="1"/>
  <c r="K83" i="1"/>
  <c r="L83" i="1" s="1"/>
  <c r="I83" i="1"/>
  <c r="H83" i="1"/>
  <c r="F83" i="1"/>
  <c r="B83" i="1" a="1"/>
  <c r="B83" i="1" s="1"/>
  <c r="D83" i="1" s="1" a="1"/>
  <c r="D83" i="1" s="1"/>
  <c r="A83" i="1"/>
  <c r="H82" i="1"/>
  <c r="G82" i="1"/>
  <c r="F82" i="1"/>
  <c r="E82" i="1"/>
  <c r="B82" i="1" a="1"/>
  <c r="B82" i="1" s="1"/>
  <c r="D82" i="1" s="1" a="1"/>
  <c r="D82" i="1" s="1"/>
  <c r="A82" i="1"/>
  <c r="G81" i="1"/>
  <c r="H81" i="1" s="1"/>
  <c r="F81" i="1"/>
  <c r="E81" i="1"/>
  <c r="B81" i="1" a="1"/>
  <c r="B81" i="1" s="1"/>
  <c r="D81" i="1" s="1" a="1"/>
  <c r="D81" i="1" s="1"/>
  <c r="A81" i="1"/>
  <c r="K80" i="1"/>
  <c r="L80" i="1" s="1"/>
  <c r="I80" i="1"/>
  <c r="H80" i="1"/>
  <c r="F80" i="1"/>
  <c r="B80" i="1" a="1"/>
  <c r="B80" i="1" s="1"/>
  <c r="D80" i="1" s="1" a="1"/>
  <c r="D80" i="1" s="1"/>
  <c r="A80" i="1"/>
  <c r="K79" i="1"/>
  <c r="L79" i="1" s="1"/>
  <c r="I79" i="1"/>
  <c r="H79" i="1"/>
  <c r="J79" i="1" s="1"/>
  <c r="F79" i="1"/>
  <c r="E79" i="1"/>
  <c r="B79" i="1" a="1"/>
  <c r="B79" i="1" s="1"/>
  <c r="D79" i="1" s="1" a="1"/>
  <c r="D79" i="1" s="1"/>
  <c r="A79" i="1"/>
  <c r="K78" i="1"/>
  <c r="L78" i="1" s="1"/>
  <c r="I78" i="1"/>
  <c r="H78" i="1"/>
  <c r="F78" i="1"/>
  <c r="B78" i="1" a="1"/>
  <c r="B78" i="1" s="1"/>
  <c r="D78" i="1" s="1" a="1"/>
  <c r="D78" i="1" s="1"/>
  <c r="A78" i="1"/>
  <c r="K77" i="1"/>
  <c r="L77" i="1" s="1"/>
  <c r="I77" i="1"/>
  <c r="H77" i="1"/>
  <c r="F77" i="1"/>
  <c r="B77" i="1" a="1"/>
  <c r="B77" i="1" s="1"/>
  <c r="D77" i="1" s="1" a="1"/>
  <c r="D77" i="1" s="1"/>
  <c r="A77" i="1"/>
  <c r="K76" i="1"/>
  <c r="L76" i="1" s="1"/>
  <c r="I76" i="1"/>
  <c r="H76" i="1"/>
  <c r="F76" i="1"/>
  <c r="E76" i="1"/>
  <c r="D76" i="1" a="1"/>
  <c r="D76" i="1" s="1"/>
  <c r="B76" i="1" a="1"/>
  <c r="B76" i="1" s="1"/>
  <c r="A76" i="1"/>
  <c r="K75" i="1"/>
  <c r="L75" i="1" s="1"/>
  <c r="J75" i="1"/>
  <c r="I75" i="1"/>
  <c r="H75" i="1"/>
  <c r="F75" i="1"/>
  <c r="E75" i="1"/>
  <c r="B75" i="1" a="1"/>
  <c r="B75" i="1" s="1"/>
  <c r="D75" i="1" s="1" a="1"/>
  <c r="D75" i="1" s="1"/>
  <c r="A75" i="1"/>
  <c r="K74" i="1"/>
  <c r="L74" i="1" s="1"/>
  <c r="I74" i="1"/>
  <c r="H74" i="1"/>
  <c r="F74" i="1"/>
  <c r="B74" i="1" a="1"/>
  <c r="B74" i="1" s="1"/>
  <c r="D74" i="1" s="1" a="1"/>
  <c r="D74" i="1" s="1"/>
  <c r="A74" i="1"/>
  <c r="L73" i="1"/>
  <c r="K73" i="1"/>
  <c r="I73" i="1"/>
  <c r="H73" i="1"/>
  <c r="F73" i="1"/>
  <c r="B73" i="1" a="1"/>
  <c r="B73" i="1" s="1"/>
  <c r="D73" i="1" s="1" a="1"/>
  <c r="D73" i="1" s="1"/>
  <c r="A73" i="1"/>
  <c r="L72" i="1"/>
  <c r="K72" i="1"/>
  <c r="I72" i="1"/>
  <c r="H72" i="1"/>
  <c r="J72" i="1" s="1"/>
  <c r="F72" i="1"/>
  <c r="E72" i="1"/>
  <c r="B72" i="1" a="1"/>
  <c r="B72" i="1" s="1"/>
  <c r="D72" i="1" s="1" a="1"/>
  <c r="D72" i="1" s="1"/>
  <c r="A72" i="1"/>
  <c r="K71" i="1"/>
  <c r="L71" i="1" s="1"/>
  <c r="I71" i="1"/>
  <c r="H71" i="1"/>
  <c r="J71" i="1" s="1"/>
  <c r="F71" i="1"/>
  <c r="E71" i="1"/>
  <c r="B71" i="1" a="1"/>
  <c r="B71" i="1" s="1"/>
  <c r="D71" i="1" s="1" a="1"/>
  <c r="D71" i="1" s="1"/>
  <c r="A71" i="1"/>
  <c r="K70" i="1"/>
  <c r="L70" i="1" s="1"/>
  <c r="I70" i="1"/>
  <c r="H70" i="1"/>
  <c r="F70" i="1"/>
  <c r="B70" i="1" a="1"/>
  <c r="B70" i="1" s="1"/>
  <c r="D70" i="1" s="1" a="1"/>
  <c r="D70" i="1" s="1"/>
  <c r="A70" i="1"/>
  <c r="K69" i="1"/>
  <c r="L69" i="1" s="1"/>
  <c r="I69" i="1"/>
  <c r="H69" i="1"/>
  <c r="F69" i="1"/>
  <c r="E69" i="1"/>
  <c r="B69" i="1" a="1"/>
  <c r="B69" i="1" s="1"/>
  <c r="D69" i="1" s="1" a="1"/>
  <c r="D69" i="1" s="1"/>
  <c r="A69" i="1"/>
  <c r="K68" i="1"/>
  <c r="L68" i="1" s="1"/>
  <c r="I68" i="1"/>
  <c r="H68" i="1"/>
  <c r="F68" i="1"/>
  <c r="B68" i="1" a="1"/>
  <c r="B68" i="1" s="1"/>
  <c r="D68" i="1" s="1" a="1"/>
  <c r="D68" i="1" s="1"/>
  <c r="A68" i="1"/>
  <c r="G67" i="1"/>
  <c r="K67" i="1" s="1"/>
  <c r="L67" i="1" s="1"/>
  <c r="F67" i="1"/>
  <c r="B67" i="1" a="1"/>
  <c r="B67" i="1" s="1"/>
  <c r="D67" i="1" s="1" a="1"/>
  <c r="D67" i="1" s="1"/>
  <c r="A67" i="1"/>
  <c r="G66" i="1"/>
  <c r="F66" i="1"/>
  <c r="E66" i="1"/>
  <c r="B66" i="1" a="1"/>
  <c r="B66" i="1" s="1"/>
  <c r="D66" i="1" s="1" a="1"/>
  <c r="D66" i="1" s="1"/>
  <c r="A66" i="1"/>
  <c r="K65" i="1"/>
  <c r="L65" i="1" s="1"/>
  <c r="I65" i="1"/>
  <c r="H65" i="1"/>
  <c r="F65" i="1"/>
  <c r="E65" i="1"/>
  <c r="B65" i="1" a="1"/>
  <c r="B65" i="1" s="1"/>
  <c r="D65" i="1" s="1" a="1"/>
  <c r="D65" i="1" s="1"/>
  <c r="A65" i="1"/>
  <c r="K64" i="1"/>
  <c r="L64" i="1" s="1"/>
  <c r="I64" i="1"/>
  <c r="H64" i="1"/>
  <c r="J64" i="1" s="1"/>
  <c r="F64" i="1"/>
  <c r="B64" i="1" a="1"/>
  <c r="B64" i="1" s="1"/>
  <c r="D64" i="1" s="1" a="1"/>
  <c r="D64" i="1" s="1"/>
  <c r="A64" i="1"/>
  <c r="K63" i="1"/>
  <c r="L63" i="1" s="1"/>
  <c r="I63" i="1"/>
  <c r="H63" i="1"/>
  <c r="F63" i="1"/>
  <c r="B63" i="1" a="1"/>
  <c r="B63" i="1" s="1"/>
  <c r="D63" i="1" s="1" a="1"/>
  <c r="D63" i="1" s="1"/>
  <c r="A63" i="1"/>
  <c r="K62" i="1"/>
  <c r="L62" i="1" s="1"/>
  <c r="I62" i="1"/>
  <c r="H62" i="1"/>
  <c r="J62" i="1" s="1"/>
  <c r="F62" i="1"/>
  <c r="E62" i="1"/>
  <c r="B62" i="1" a="1"/>
  <c r="B62" i="1" s="1"/>
  <c r="D62" i="1" s="1" a="1"/>
  <c r="D62" i="1" s="1"/>
  <c r="A62" i="1"/>
  <c r="G61" i="1"/>
  <c r="I61" i="1" s="1"/>
  <c r="F61" i="1"/>
  <c r="E61" i="1"/>
  <c r="B61" i="1" a="1"/>
  <c r="B61" i="1" s="1"/>
  <c r="D61" i="1" s="1" a="1"/>
  <c r="D61" i="1" s="1"/>
  <c r="A61" i="1"/>
  <c r="K60" i="1"/>
  <c r="L60" i="1" s="1"/>
  <c r="I60" i="1"/>
  <c r="H60" i="1"/>
  <c r="F60" i="1"/>
  <c r="B60" i="1" a="1"/>
  <c r="B60" i="1" s="1"/>
  <c r="D60" i="1" s="1" a="1"/>
  <c r="D60" i="1" s="1"/>
  <c r="A60" i="1"/>
  <c r="K59" i="1"/>
  <c r="L59" i="1" s="1"/>
  <c r="I59" i="1"/>
  <c r="J59" i="1" s="1"/>
  <c r="H59" i="1"/>
  <c r="F59" i="1"/>
  <c r="E59" i="1"/>
  <c r="B59" i="1" a="1"/>
  <c r="B59" i="1" s="1"/>
  <c r="D59" i="1" s="1" a="1"/>
  <c r="D59" i="1" s="1"/>
  <c r="A59" i="1"/>
  <c r="K58" i="1"/>
  <c r="L58" i="1" s="1"/>
  <c r="I58" i="1"/>
  <c r="H58" i="1"/>
  <c r="F58" i="1"/>
  <c r="B58" i="1" a="1"/>
  <c r="B58" i="1" s="1"/>
  <c r="D58" i="1" s="1" a="1"/>
  <c r="D58" i="1" s="1"/>
  <c r="A58" i="1"/>
  <c r="G57" i="1"/>
  <c r="H57" i="1" s="1"/>
  <c r="F57" i="1"/>
  <c r="B57" i="1" a="1"/>
  <c r="B57" i="1" s="1"/>
  <c r="D57" i="1" s="1" a="1"/>
  <c r="D57" i="1" s="1"/>
  <c r="A57" i="1"/>
  <c r="K56" i="1"/>
  <c r="L56" i="1" s="1"/>
  <c r="I56" i="1"/>
  <c r="H56" i="1"/>
  <c r="F56" i="1"/>
  <c r="E56" i="1"/>
  <c r="B56" i="1" a="1"/>
  <c r="B56" i="1" s="1"/>
  <c r="D56" i="1" s="1" a="1"/>
  <c r="D56" i="1" s="1"/>
  <c r="A56" i="1"/>
  <c r="L55" i="1"/>
  <c r="K55" i="1"/>
  <c r="I55" i="1"/>
  <c r="H55" i="1"/>
  <c r="F55" i="1"/>
  <c r="E55" i="1"/>
  <c r="B55" i="1" a="1"/>
  <c r="B55" i="1" s="1"/>
  <c r="D55" i="1" s="1" a="1"/>
  <c r="D55" i="1" s="1"/>
  <c r="A55" i="1"/>
  <c r="K54" i="1"/>
  <c r="L54" i="1" s="1"/>
  <c r="I54" i="1"/>
  <c r="H54" i="1"/>
  <c r="F54" i="1"/>
  <c r="B54" i="1" a="1"/>
  <c r="B54" i="1"/>
  <c r="D54" i="1" s="1" a="1"/>
  <c r="D54" i="1" s="1"/>
  <c r="A54" i="1"/>
  <c r="K53" i="1"/>
  <c r="L53" i="1" s="1"/>
  <c r="J53" i="1"/>
  <c r="I53" i="1"/>
  <c r="H53" i="1"/>
  <c r="F53" i="1"/>
  <c r="B53" i="1" a="1"/>
  <c r="B53" i="1"/>
  <c r="D53" i="1" s="1" a="1"/>
  <c r="D53" i="1" s="1"/>
  <c r="A53" i="1"/>
  <c r="K52" i="1"/>
  <c r="L52" i="1" s="1"/>
  <c r="I52" i="1"/>
  <c r="H52" i="1"/>
  <c r="F52" i="1"/>
  <c r="E52" i="1"/>
  <c r="B52" i="1" a="1"/>
  <c r="B52" i="1" s="1"/>
  <c r="D52" i="1" s="1" a="1"/>
  <c r="D52" i="1" s="1"/>
  <c r="A52" i="1"/>
  <c r="K51" i="1"/>
  <c r="L51" i="1" s="1"/>
  <c r="I51" i="1"/>
  <c r="H51" i="1"/>
  <c r="F51" i="1"/>
  <c r="E51" i="1"/>
  <c r="B51" i="1" a="1"/>
  <c r="B51" i="1" s="1"/>
  <c r="D51" i="1" s="1" a="1"/>
  <c r="D51" i="1" s="1"/>
  <c r="A51" i="1"/>
  <c r="K50" i="1"/>
  <c r="L50" i="1" s="1"/>
  <c r="I50" i="1"/>
  <c r="H50" i="1"/>
  <c r="F50" i="1"/>
  <c r="B50" i="1" a="1"/>
  <c r="B50" i="1" s="1"/>
  <c r="D50" i="1" s="1" a="1"/>
  <c r="D50" i="1" s="1"/>
  <c r="A50" i="1"/>
  <c r="K49" i="1"/>
  <c r="L49" i="1" s="1"/>
  <c r="I49" i="1"/>
  <c r="H49" i="1"/>
  <c r="F49" i="1"/>
  <c r="E49" i="1"/>
  <c r="B49" i="1" a="1"/>
  <c r="B49" i="1"/>
  <c r="D49" i="1" s="1" a="1"/>
  <c r="D49" i="1" s="1"/>
  <c r="A49" i="1"/>
  <c r="K48" i="1"/>
  <c r="L48" i="1" s="1"/>
  <c r="I48" i="1"/>
  <c r="H48" i="1"/>
  <c r="F48" i="1"/>
  <c r="B48" i="1" a="1"/>
  <c r="B48" i="1" s="1"/>
  <c r="D48" i="1" s="1" a="1"/>
  <c r="D48" i="1" s="1"/>
  <c r="A48" i="1"/>
  <c r="K47" i="1"/>
  <c r="L47" i="1" s="1"/>
  <c r="I47" i="1"/>
  <c r="H47" i="1"/>
  <c r="F47" i="1"/>
  <c r="B47" i="1" a="1"/>
  <c r="B47" i="1" s="1"/>
  <c r="D47" i="1" s="1" a="1"/>
  <c r="D47" i="1" s="1"/>
  <c r="A47" i="1"/>
  <c r="K46" i="1"/>
  <c r="L46" i="1" s="1"/>
  <c r="I46" i="1"/>
  <c r="H46" i="1"/>
  <c r="F46" i="1"/>
  <c r="E46" i="1"/>
  <c r="B46" i="1" a="1"/>
  <c r="B46" i="1" s="1"/>
  <c r="D46" i="1" s="1" a="1"/>
  <c r="D46" i="1" s="1"/>
  <c r="A46" i="1"/>
  <c r="G45" i="1"/>
  <c r="H45" i="1" s="1"/>
  <c r="F45" i="1"/>
  <c r="E45" i="1"/>
  <c r="B45" i="1" a="1"/>
  <c r="B45" i="1" s="1"/>
  <c r="D45" i="1" s="1" a="1"/>
  <c r="D45" i="1" s="1"/>
  <c r="A45" i="1"/>
  <c r="K44" i="1"/>
  <c r="L44" i="1" s="1"/>
  <c r="I44" i="1"/>
  <c r="G44" i="1"/>
  <c r="H44" i="1" s="1"/>
  <c r="F44" i="1"/>
  <c r="B44" i="1" a="1"/>
  <c r="B44" i="1" s="1"/>
  <c r="D44" i="1" s="1" a="1"/>
  <c r="D44" i="1" s="1"/>
  <c r="A44" i="1"/>
  <c r="K43" i="1"/>
  <c r="L43" i="1" s="1"/>
  <c r="I43" i="1"/>
  <c r="H43" i="1"/>
  <c r="F43" i="1"/>
  <c r="B43" i="1" a="1"/>
  <c r="B43" i="1" s="1"/>
  <c r="D43" i="1" s="1" a="1"/>
  <c r="D43" i="1" s="1"/>
  <c r="A43" i="1"/>
  <c r="G42" i="1"/>
  <c r="H42" i="1" s="1"/>
  <c r="F42" i="1"/>
  <c r="E42" i="1"/>
  <c r="B42" i="1" a="1"/>
  <c r="B42" i="1" s="1"/>
  <c r="D42" i="1" s="1" a="1"/>
  <c r="D42" i="1" s="1"/>
  <c r="A42" i="1"/>
  <c r="G41" i="1"/>
  <c r="H41" i="1" s="1"/>
  <c r="F41" i="1"/>
  <c r="E41" i="1"/>
  <c r="B41" i="1" a="1"/>
  <c r="B41" i="1" s="1"/>
  <c r="D41" i="1" s="1" a="1"/>
  <c r="D41" i="1" s="1"/>
  <c r="A41" i="1"/>
  <c r="G40" i="1"/>
  <c r="K40" i="1" s="1"/>
  <c r="L40" i="1" s="1"/>
  <c r="F40" i="1"/>
  <c r="B40" i="1" a="1"/>
  <c r="B40" i="1" s="1"/>
  <c r="D40" i="1" s="1" a="1"/>
  <c r="D40" i="1" s="1"/>
  <c r="A40" i="1"/>
  <c r="G39" i="1"/>
  <c r="K39" i="1" s="1"/>
  <c r="L39" i="1" s="1"/>
  <c r="F39" i="1"/>
  <c r="E39" i="1"/>
  <c r="B39" i="1" a="1"/>
  <c r="B39" i="1" s="1"/>
  <c r="D39" i="1" s="1" a="1"/>
  <c r="D39" i="1" s="1"/>
  <c r="A39" i="1"/>
  <c r="K38" i="1"/>
  <c r="L38" i="1" s="1"/>
  <c r="I38" i="1"/>
  <c r="H38" i="1"/>
  <c r="F38" i="1"/>
  <c r="B38" i="1" a="1"/>
  <c r="B38" i="1"/>
  <c r="D38" i="1" s="1" a="1"/>
  <c r="D38" i="1" s="1"/>
  <c r="A38" i="1"/>
  <c r="G37" i="1"/>
  <c r="K37" i="1" s="1"/>
  <c r="L37" i="1" s="1"/>
  <c r="F37" i="1"/>
  <c r="B37" i="1" a="1"/>
  <c r="B37" i="1"/>
  <c r="D37" i="1" s="1" a="1"/>
  <c r="D37" i="1" s="1"/>
  <c r="A37" i="1"/>
  <c r="K36" i="1"/>
  <c r="L36" i="1" s="1"/>
  <c r="I36" i="1"/>
  <c r="H36" i="1"/>
  <c r="J36" i="1" s="1"/>
  <c r="F36" i="1"/>
  <c r="E36" i="1"/>
  <c r="B36" i="1" a="1"/>
  <c r="B36" i="1" s="1"/>
  <c r="D36" i="1" s="1" a="1"/>
  <c r="D36" i="1" s="1"/>
  <c r="A36" i="1"/>
  <c r="G35" i="1"/>
  <c r="K35" i="1" s="1"/>
  <c r="L35" i="1" s="1"/>
  <c r="F35" i="1"/>
  <c r="E35" i="1"/>
  <c r="B35" i="1" a="1"/>
  <c r="B35" i="1" s="1"/>
  <c r="D35" i="1" s="1" a="1"/>
  <c r="D35" i="1" s="1"/>
  <c r="A35" i="1"/>
  <c r="G34" i="1"/>
  <c r="H34" i="1" s="1"/>
  <c r="F34" i="1"/>
  <c r="B34" i="1" a="1"/>
  <c r="B34" i="1" s="1"/>
  <c r="D34" i="1" s="1" a="1"/>
  <c r="D34" i="1" s="1"/>
  <c r="A34" i="1"/>
  <c r="K33" i="1"/>
  <c r="L33" i="1" s="1"/>
  <c r="I33" i="1"/>
  <c r="H33" i="1"/>
  <c r="F33" i="1"/>
  <c r="B33" i="1" a="1"/>
  <c r="B33" i="1" s="1"/>
  <c r="D33" i="1" s="1" a="1"/>
  <c r="D33" i="1" s="1"/>
  <c r="A33" i="1"/>
  <c r="K32" i="1"/>
  <c r="L32" i="1" s="1"/>
  <c r="I32" i="1"/>
  <c r="H32" i="1"/>
  <c r="F32" i="1"/>
  <c r="E32" i="1"/>
  <c r="B32" i="1" a="1"/>
  <c r="B32" i="1" s="1"/>
  <c r="D32" i="1" s="1" a="1"/>
  <c r="D32" i="1" s="1"/>
  <c r="A32" i="1"/>
  <c r="K31" i="1"/>
  <c r="L31" i="1" s="1"/>
  <c r="I31" i="1"/>
  <c r="H31" i="1"/>
  <c r="F31" i="1"/>
  <c r="E31" i="1"/>
  <c r="B31" i="1" a="1"/>
  <c r="B31" i="1" s="1"/>
  <c r="D31" i="1" s="1" a="1"/>
  <c r="D31" i="1" s="1"/>
  <c r="A31" i="1"/>
  <c r="K30" i="1"/>
  <c r="L30" i="1" s="1"/>
  <c r="I30" i="1"/>
  <c r="H30" i="1"/>
  <c r="F30" i="1"/>
  <c r="B30" i="1" a="1"/>
  <c r="B30" i="1" s="1"/>
  <c r="D30" i="1" s="1" a="1"/>
  <c r="D30" i="1" s="1"/>
  <c r="A30" i="1"/>
  <c r="K29" i="1"/>
  <c r="L29" i="1" s="1"/>
  <c r="I29" i="1"/>
  <c r="H29" i="1"/>
  <c r="F29" i="1"/>
  <c r="E29" i="1"/>
  <c r="B29" i="1" a="1"/>
  <c r="B29" i="1" s="1"/>
  <c r="D29" i="1" s="1" a="1"/>
  <c r="D29" i="1" s="1"/>
  <c r="A29" i="1"/>
  <c r="K28" i="1"/>
  <c r="L28" i="1" s="1"/>
  <c r="I28" i="1"/>
  <c r="J28" i="1" s="1"/>
  <c r="H28" i="1"/>
  <c r="F28" i="1"/>
  <c r="B28" i="1" a="1"/>
  <c r="B28" i="1"/>
  <c r="D28" i="1" s="1" a="1"/>
  <c r="D28" i="1" s="1"/>
  <c r="A28" i="1"/>
  <c r="K27" i="1"/>
  <c r="L27" i="1" s="1"/>
  <c r="I27" i="1"/>
  <c r="H27" i="1"/>
  <c r="J27" i="1" s="1"/>
  <c r="F27" i="1"/>
  <c r="B27" i="1" a="1"/>
  <c r="B27" i="1" s="1"/>
  <c r="D27" i="1" s="1" a="1"/>
  <c r="D27" i="1" s="1"/>
  <c r="A27" i="1"/>
  <c r="K26" i="1"/>
  <c r="L26" i="1" s="1"/>
  <c r="I26" i="1"/>
  <c r="H26" i="1"/>
  <c r="F26" i="1"/>
  <c r="E26" i="1"/>
  <c r="B26" i="1" a="1"/>
  <c r="B26" i="1"/>
  <c r="D26" i="1" s="1" a="1"/>
  <c r="D26" i="1" s="1"/>
  <c r="A26" i="1"/>
  <c r="K25" i="1"/>
  <c r="L25" i="1" s="1"/>
  <c r="I25" i="1"/>
  <c r="H25" i="1"/>
  <c r="F25" i="1"/>
  <c r="E25" i="1"/>
  <c r="B25" i="1" a="1"/>
  <c r="B25" i="1" s="1"/>
  <c r="D25" i="1" s="1" a="1"/>
  <c r="D25" i="1" s="1"/>
  <c r="A25" i="1"/>
  <c r="K24" i="1"/>
  <c r="L24" i="1" s="1"/>
  <c r="I24" i="1"/>
  <c r="H24" i="1"/>
  <c r="F24" i="1"/>
  <c r="B24" i="1" a="1"/>
  <c r="B24" i="1"/>
  <c r="D24" i="1" s="1" a="1"/>
  <c r="D24" i="1" s="1"/>
  <c r="A24" i="1"/>
  <c r="K23" i="1"/>
  <c r="L23" i="1" s="1"/>
  <c r="I23" i="1"/>
  <c r="H23" i="1"/>
  <c r="J23" i="1" s="1"/>
  <c r="F23" i="1"/>
  <c r="B23" i="1" a="1"/>
  <c r="B23" i="1" s="1"/>
  <c r="D23" i="1" s="1" a="1"/>
  <c r="D23" i="1" s="1"/>
  <c r="A23" i="1"/>
  <c r="K22" i="1"/>
  <c r="L22" i="1" s="1"/>
  <c r="I22" i="1"/>
  <c r="H22" i="1"/>
  <c r="F22" i="1"/>
  <c r="E22" i="1"/>
  <c r="B22" i="1" a="1"/>
  <c r="B22" i="1" s="1"/>
  <c r="D22" i="1" s="1" a="1"/>
  <c r="D22" i="1" s="1"/>
  <c r="A22" i="1"/>
  <c r="K21" i="1"/>
  <c r="L21" i="1" s="1"/>
  <c r="I21" i="1"/>
  <c r="H21" i="1"/>
  <c r="F21" i="1"/>
  <c r="E21" i="1"/>
  <c r="B21" i="1" a="1"/>
  <c r="B21" i="1" s="1"/>
  <c r="D21" i="1" s="1" a="1"/>
  <c r="D21" i="1" s="1"/>
  <c r="A21" i="1"/>
  <c r="G20" i="1"/>
  <c r="H20" i="1" s="1"/>
  <c r="F20" i="1"/>
  <c r="B20" i="1" a="1"/>
  <c r="B20" i="1" s="1"/>
  <c r="D20" i="1" s="1" a="1"/>
  <c r="D20" i="1" s="1"/>
  <c r="A20" i="1"/>
  <c r="K19" i="1"/>
  <c r="L19" i="1" s="1"/>
  <c r="G19" i="1"/>
  <c r="H19" i="1" s="1"/>
  <c r="F19" i="1"/>
  <c r="E19" i="1"/>
  <c r="B19" i="1" a="1"/>
  <c r="B19" i="1" s="1"/>
  <c r="D19" i="1" s="1" a="1"/>
  <c r="D19" i="1" s="1"/>
  <c r="A19" i="1"/>
  <c r="L18" i="1"/>
  <c r="K18" i="1"/>
  <c r="I18" i="1"/>
  <c r="H18" i="1"/>
  <c r="F18" i="1"/>
  <c r="B18" i="1" a="1"/>
  <c r="B18" i="1" s="1"/>
  <c r="D18" i="1" s="1" a="1"/>
  <c r="D18" i="1" s="1"/>
  <c r="A18" i="1"/>
  <c r="K17" i="1"/>
  <c r="L17" i="1" s="1"/>
  <c r="I17" i="1"/>
  <c r="J17" i="1" s="1"/>
  <c r="H17" i="1"/>
  <c r="F17" i="1"/>
  <c r="B17" i="1" a="1"/>
  <c r="B17" i="1" s="1"/>
  <c r="D17" i="1" s="1" a="1"/>
  <c r="D17" i="1" s="1"/>
  <c r="A17" i="1"/>
  <c r="K16" i="1"/>
  <c r="L16" i="1" s="1"/>
  <c r="I16" i="1"/>
  <c r="H16" i="1"/>
  <c r="F16" i="1"/>
  <c r="E16" i="1"/>
  <c r="B16" i="1" a="1"/>
  <c r="B16" i="1"/>
  <c r="D16" i="1" s="1" a="1"/>
  <c r="D16" i="1" s="1"/>
  <c r="A16" i="1"/>
  <c r="K15" i="1"/>
  <c r="L15" i="1" s="1"/>
  <c r="I15" i="1"/>
  <c r="H15" i="1"/>
  <c r="J15" i="1" s="1"/>
  <c r="F15" i="1"/>
  <c r="E15" i="1"/>
  <c r="B15" i="1" a="1"/>
  <c r="B15" i="1"/>
  <c r="D15" i="1" s="1" a="1"/>
  <c r="D15" i="1" s="1"/>
  <c r="A15" i="1"/>
  <c r="G14" i="1"/>
  <c r="H14" i="1" s="1"/>
  <c r="F14" i="1"/>
  <c r="B14" i="1" a="1"/>
  <c r="B14" i="1" s="1"/>
  <c r="D14" i="1" s="1" a="1"/>
  <c r="D14" i="1" s="1"/>
  <c r="A14" i="1"/>
  <c r="K13" i="1"/>
  <c r="L13" i="1" s="1"/>
  <c r="I13" i="1"/>
  <c r="H13" i="1"/>
  <c r="F13" i="1"/>
  <c r="B13" i="1" a="1"/>
  <c r="B13" i="1"/>
  <c r="D13" i="1" s="1" a="1"/>
  <c r="D13" i="1" s="1"/>
  <c r="A13" i="1"/>
  <c r="K12" i="1"/>
  <c r="L12" i="1" s="1"/>
  <c r="I12" i="1"/>
  <c r="H12" i="1"/>
  <c r="J12" i="1" s="1"/>
  <c r="F12" i="1"/>
  <c r="E12" i="1"/>
  <c r="B12" i="1" a="1"/>
  <c r="B12" i="1" s="1"/>
  <c r="D12" i="1" s="1" a="1"/>
  <c r="D12" i="1" s="1"/>
  <c r="A12" i="1"/>
  <c r="K11" i="1"/>
  <c r="L11" i="1" s="1"/>
  <c r="I11" i="1"/>
  <c r="H11" i="1"/>
  <c r="F11" i="1"/>
  <c r="E11" i="1"/>
  <c r="B11" i="1" a="1"/>
  <c r="B11" i="1"/>
  <c r="D11" i="1" s="1" a="1"/>
  <c r="D11" i="1" s="1"/>
  <c r="A11" i="1"/>
  <c r="G10" i="1"/>
  <c r="H10" i="1" s="1"/>
  <c r="F10" i="1"/>
  <c r="B10" i="1" a="1"/>
  <c r="B10" i="1" s="1"/>
  <c r="D10" i="1" s="1" a="1"/>
  <c r="D10" i="1" s="1"/>
  <c r="A10" i="1"/>
  <c r="K9" i="1"/>
  <c r="L9" i="1" s="1"/>
  <c r="I9" i="1"/>
  <c r="H9" i="1"/>
  <c r="F9" i="1"/>
  <c r="E9" i="1"/>
  <c r="B9" i="1" a="1"/>
  <c r="B9" i="1"/>
  <c r="D9" i="1" s="1" a="1"/>
  <c r="D9" i="1" s="1"/>
  <c r="A9" i="1"/>
  <c r="K8" i="1"/>
  <c r="L8" i="1" s="1"/>
  <c r="I8" i="1"/>
  <c r="H8" i="1"/>
  <c r="J8" i="1" s="1"/>
  <c r="F8" i="1"/>
  <c r="B8" i="1" a="1"/>
  <c r="B8" i="1" s="1"/>
  <c r="D8" i="1" s="1" a="1"/>
  <c r="D8" i="1" s="1"/>
  <c r="A8" i="1"/>
  <c r="K7" i="1"/>
  <c r="L7" i="1" s="1"/>
  <c r="I7" i="1"/>
  <c r="H7" i="1"/>
  <c r="F7" i="1"/>
  <c r="B7" i="1" a="1"/>
  <c r="B7" i="1" s="1"/>
  <c r="D7" i="1" s="1" a="1"/>
  <c r="D7" i="1" s="1"/>
  <c r="A7" i="1"/>
  <c r="K6" i="1"/>
  <c r="L6" i="1" s="1"/>
  <c r="I6" i="1"/>
  <c r="H6" i="1"/>
  <c r="F6" i="1"/>
  <c r="E6" i="1"/>
  <c r="B6" i="1" a="1"/>
  <c r="B6" i="1" s="1"/>
  <c r="D6" i="1" s="1" a="1"/>
  <c r="D6" i="1" s="1"/>
  <c r="A6" i="1"/>
  <c r="K5" i="1"/>
  <c r="L5" i="1" s="1"/>
  <c r="I5" i="1"/>
  <c r="H5" i="1"/>
  <c r="J5" i="1" s="1"/>
  <c r="F5" i="1"/>
  <c r="E5" i="1"/>
  <c r="D5" i="1" a="1"/>
  <c r="D5" i="1" s="1"/>
  <c r="B5" i="1" a="1"/>
  <c r="B5" i="1" s="1"/>
  <c r="A5" i="1"/>
  <c r="K4" i="1"/>
  <c r="L4" i="1" s="1"/>
  <c r="I4" i="1"/>
  <c r="H4" i="1"/>
  <c r="J4" i="1" s="1"/>
  <c r="F4" i="1"/>
  <c r="B4" i="1" a="1"/>
  <c r="B4" i="1" s="1"/>
  <c r="D4" i="1" s="1" a="1"/>
  <c r="D4" i="1" s="1"/>
  <c r="A4" i="1"/>
  <c r="K3" i="1"/>
  <c r="L3" i="1" s="1"/>
  <c r="I3" i="1"/>
  <c r="H3" i="1"/>
  <c r="F3" i="1"/>
  <c r="B3" i="1" a="1"/>
  <c r="B3" i="1" s="1"/>
  <c r="D3" i="1" s="1" a="1"/>
  <c r="D3" i="1" s="1"/>
  <c r="A3" i="1"/>
  <c r="K2" i="1"/>
  <c r="L2" i="1" s="1"/>
  <c r="I2" i="1"/>
  <c r="H2" i="1"/>
  <c r="F2" i="1"/>
  <c r="E2" i="1"/>
  <c r="B2" i="1" a="1"/>
  <c r="B2" i="1"/>
  <c r="D2" i="1" s="1" a="1"/>
  <c r="D2" i="1" s="1"/>
  <c r="A2" i="1"/>
  <c r="F50" i="8"/>
  <c r="D50" i="8"/>
  <c r="F49" i="8"/>
  <c r="D49" i="8"/>
  <c r="F48" i="8"/>
  <c r="D48" i="8"/>
  <c r="F47" i="8"/>
  <c r="D47" i="8"/>
  <c r="F46" i="8"/>
  <c r="D46" i="8"/>
  <c r="F45" i="8"/>
  <c r="D45" i="8"/>
  <c r="F44" i="8"/>
  <c r="D44" i="8"/>
  <c r="F43" i="8"/>
  <c r="D43" i="8"/>
  <c r="F42" i="8"/>
  <c r="D42" i="8"/>
  <c r="F41" i="8"/>
  <c r="D41" i="8"/>
  <c r="F40" i="8"/>
  <c r="D40" i="8"/>
  <c r="F39" i="8"/>
  <c r="D39" i="8"/>
  <c r="F38" i="8"/>
  <c r="D38" i="8"/>
  <c r="F37" i="8"/>
  <c r="D37" i="8"/>
  <c r="F36" i="8"/>
  <c r="D36" i="8"/>
  <c r="F35" i="8"/>
  <c r="D35" i="8"/>
  <c r="F34" i="8"/>
  <c r="D34" i="8"/>
  <c r="F33" i="8"/>
  <c r="D33" i="8"/>
  <c r="F32" i="8"/>
  <c r="D32" i="8"/>
  <c r="F31" i="8"/>
  <c r="D31" i="8"/>
  <c r="F30" i="8"/>
  <c r="D30" i="8"/>
  <c r="F29" i="8"/>
  <c r="D29" i="8"/>
  <c r="F28" i="8"/>
  <c r="D28" i="8"/>
  <c r="F27" i="8"/>
  <c r="D27" i="8"/>
  <c r="F26" i="8"/>
  <c r="D26" i="8"/>
  <c r="F25" i="8"/>
  <c r="D25" i="8"/>
  <c r="F24" i="8"/>
  <c r="D24" i="8"/>
  <c r="F23" i="8"/>
  <c r="D23" i="8"/>
  <c r="F22" i="8"/>
  <c r="D22" i="8"/>
  <c r="F21" i="8"/>
  <c r="D21" i="8"/>
  <c r="F20" i="8"/>
  <c r="D20" i="8"/>
  <c r="F19" i="8"/>
  <c r="D19" i="8"/>
  <c r="F18" i="8"/>
  <c r="D18" i="8"/>
  <c r="F17" i="8"/>
  <c r="D17" i="8"/>
  <c r="F16" i="8"/>
  <c r="D16" i="8"/>
  <c r="F15" i="8"/>
  <c r="D15" i="8"/>
  <c r="F14" i="8"/>
  <c r="D14" i="8"/>
  <c r="F13" i="8"/>
  <c r="D13" i="8"/>
  <c r="F12" i="8"/>
  <c r="D12" i="8"/>
  <c r="F11" i="8"/>
  <c r="D11" i="8"/>
  <c r="F10" i="8"/>
  <c r="D10" i="8"/>
  <c r="F9" i="8"/>
  <c r="D9" i="8"/>
  <c r="F8" i="8"/>
  <c r="D8" i="8"/>
  <c r="F7" i="8"/>
  <c r="D7" i="8"/>
  <c r="F6" i="8"/>
  <c r="D6" i="8"/>
  <c r="F5" i="8"/>
  <c r="D5" i="8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F4" i="8"/>
  <c r="D4" i="8"/>
  <c r="F3" i="8"/>
  <c r="D3" i="8"/>
  <c r="A3" i="8"/>
  <c r="A4" i="8" s="1"/>
  <c r="F2" i="8"/>
  <c r="D2" i="8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4" i="7"/>
  <c r="A3" i="7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6" i="1" l="1"/>
  <c r="I34" i="1"/>
  <c r="J55" i="1"/>
  <c r="J101" i="1"/>
  <c r="K108" i="1"/>
  <c r="L108" i="1" s="1"/>
  <c r="J216" i="1"/>
  <c r="J300" i="1"/>
  <c r="J117" i="1"/>
  <c r="J171" i="1"/>
  <c r="J32" i="1"/>
  <c r="J124" i="1"/>
  <c r="J158" i="1"/>
  <c r="I176" i="1"/>
  <c r="J176" i="1" s="1"/>
  <c r="J193" i="1"/>
  <c r="J214" i="1"/>
  <c r="J293" i="1"/>
  <c r="H316" i="1"/>
  <c r="I316" i="1"/>
  <c r="J9" i="1"/>
  <c r="J16" i="1"/>
  <c r="J30" i="1"/>
  <c r="H37" i="1"/>
  <c r="I42" i="1"/>
  <c r="J42" i="1" s="1"/>
  <c r="J49" i="1"/>
  <c r="J68" i="1"/>
  <c r="H87" i="1"/>
  <c r="I104" i="1"/>
  <c r="J104" i="1" s="1"/>
  <c r="J122" i="1"/>
  <c r="K134" i="1"/>
  <c r="L134" i="1" s="1"/>
  <c r="J156" i="1"/>
  <c r="J174" i="1"/>
  <c r="J187" i="1"/>
  <c r="J200" i="1"/>
  <c r="J210" i="1"/>
  <c r="J212" i="1"/>
  <c r="J246" i="1"/>
  <c r="J314" i="1"/>
  <c r="I37" i="1"/>
  <c r="K42" i="1"/>
  <c r="L42" i="1" s="1"/>
  <c r="J77" i="1"/>
  <c r="I87" i="1"/>
  <c r="J90" i="1"/>
  <c r="J95" i="1"/>
  <c r="K229" i="1"/>
  <c r="L229" i="1" s="1"/>
  <c r="J258" i="1"/>
  <c r="J267" i="1"/>
  <c r="J291" i="1"/>
  <c r="J303" i="1"/>
  <c r="J310" i="1"/>
  <c r="J21" i="1"/>
  <c r="I35" i="1"/>
  <c r="J111" i="1"/>
  <c r="J132" i="1"/>
  <c r="J224" i="1"/>
  <c r="J102" i="1"/>
  <c r="J130" i="1"/>
  <c r="J203" i="1"/>
  <c r="J217" i="1"/>
  <c r="J251" i="1"/>
  <c r="J265" i="1"/>
  <c r="H40" i="1"/>
  <c r="I19" i="1"/>
  <c r="J19" i="1" s="1"/>
  <c r="J26" i="1"/>
  <c r="J52" i="1"/>
  <c r="H61" i="1"/>
  <c r="J100" i="1"/>
  <c r="J235" i="1"/>
  <c r="H249" i="1"/>
  <c r="J283" i="1"/>
  <c r="J43" i="1"/>
  <c r="J48" i="1"/>
  <c r="K61" i="1"/>
  <c r="L61" i="1" s="1"/>
  <c r="J69" i="1"/>
  <c r="J83" i="1"/>
  <c r="J159" i="1"/>
  <c r="J170" i="1"/>
  <c r="J242" i="1"/>
  <c r="J247" i="1"/>
  <c r="I249" i="1"/>
  <c r="J315" i="1"/>
  <c r="J157" i="1"/>
  <c r="J168" i="1"/>
  <c r="J273" i="1"/>
  <c r="J201" i="1"/>
  <c r="J103" i="1"/>
  <c r="K133" i="1"/>
  <c r="L133" i="1" s="1"/>
  <c r="J206" i="1"/>
  <c r="H225" i="1"/>
  <c r="J313" i="1"/>
  <c r="J13" i="1"/>
  <c r="K41" i="1"/>
  <c r="L41" i="1" s="1"/>
  <c r="J76" i="1"/>
  <c r="J119" i="1"/>
  <c r="J150" i="1"/>
  <c r="J204" i="1"/>
  <c r="J228" i="1"/>
  <c r="J238" i="1"/>
  <c r="J266" i="1"/>
  <c r="J290" i="1"/>
  <c r="J18" i="1"/>
  <c r="J22" i="1"/>
  <c r="J24" i="1"/>
  <c r="K34" i="1"/>
  <c r="L34" i="1" s="1"/>
  <c r="J38" i="1"/>
  <c r="J50" i="1"/>
  <c r="I81" i="1"/>
  <c r="K104" i="1"/>
  <c r="L104" i="1" s="1"/>
  <c r="K176" i="1"/>
  <c r="L176" i="1" s="1"/>
  <c r="I185" i="1"/>
  <c r="J195" i="1"/>
  <c r="J226" i="1"/>
  <c r="K228" i="1"/>
  <c r="L228" i="1" s="1"/>
  <c r="H245" i="1"/>
  <c r="H269" i="1"/>
  <c r="J269" i="1" s="1"/>
  <c r="J308" i="1"/>
  <c r="K185" i="1"/>
  <c r="L185" i="1" s="1"/>
  <c r="K245" i="1"/>
  <c r="L245" i="1" s="1"/>
  <c r="J61" i="1"/>
  <c r="J63" i="1"/>
  <c r="J65" i="1"/>
  <c r="J137" i="1"/>
  <c r="H139" i="1"/>
  <c r="J165" i="1"/>
  <c r="J179" i="1"/>
  <c r="J197" i="1"/>
  <c r="H292" i="1"/>
  <c r="J294" i="1"/>
  <c r="I139" i="1"/>
  <c r="I292" i="1"/>
  <c r="H128" i="1"/>
  <c r="J128" i="1" s="1"/>
  <c r="H222" i="1"/>
  <c r="J231" i="1"/>
  <c r="J311" i="1"/>
  <c r="K81" i="1"/>
  <c r="L81" i="1" s="1"/>
  <c r="J2" i="1"/>
  <c r="I57" i="1"/>
  <c r="J57" i="1" s="1"/>
  <c r="J47" i="1"/>
  <c r="K57" i="1"/>
  <c r="L57" i="1" s="1"/>
  <c r="J74" i="1"/>
  <c r="H91" i="1"/>
  <c r="J93" i="1"/>
  <c r="K128" i="1"/>
  <c r="L128" i="1" s="1"/>
  <c r="J149" i="1"/>
  <c r="H151" i="1"/>
  <c r="J153" i="1"/>
  <c r="I155" i="1"/>
  <c r="J155" i="1" s="1"/>
  <c r="J177" i="1"/>
  <c r="I222" i="1"/>
  <c r="J264" i="1"/>
  <c r="I270" i="1"/>
  <c r="I91" i="1"/>
  <c r="I151" i="1"/>
  <c r="K270" i="1"/>
  <c r="L270" i="1" s="1"/>
  <c r="J277" i="1"/>
  <c r="J11" i="1"/>
  <c r="J25" i="1"/>
  <c r="J33" i="1"/>
  <c r="H35" i="1"/>
  <c r="I41" i="1"/>
  <c r="J41" i="1" s="1"/>
  <c r="J105" i="1"/>
  <c r="J109" i="1"/>
  <c r="J143" i="1"/>
  <c r="K155" i="1"/>
  <c r="L155" i="1" s="1"/>
  <c r="K175" i="1"/>
  <c r="L175" i="1" s="1"/>
  <c r="J184" i="1"/>
  <c r="J190" i="1"/>
  <c r="J215" i="1"/>
  <c r="J234" i="1"/>
  <c r="H272" i="1"/>
  <c r="J272" i="1" s="1"/>
  <c r="J285" i="1"/>
  <c r="J297" i="1"/>
  <c r="J299" i="1"/>
  <c r="H301" i="1"/>
  <c r="J305" i="1"/>
  <c r="J7" i="1"/>
  <c r="H39" i="1"/>
  <c r="J51" i="1"/>
  <c r="J70" i="1"/>
  <c r="J107" i="1"/>
  <c r="J162" i="1"/>
  <c r="K182" i="1"/>
  <c r="L182" i="1" s="1"/>
  <c r="J3" i="1"/>
  <c r="I39" i="1"/>
  <c r="J94" i="1"/>
  <c r="J115" i="1"/>
  <c r="J140" i="1"/>
  <c r="J205" i="1"/>
  <c r="J221" i="1"/>
  <c r="J60" i="1"/>
  <c r="H129" i="1"/>
  <c r="J129" i="1" s="1"/>
  <c r="K207" i="1"/>
  <c r="L207" i="1" s="1"/>
  <c r="J85" i="1"/>
  <c r="H92" i="1"/>
  <c r="J92" i="1" s="1"/>
  <c r="K129" i="1"/>
  <c r="L129" i="1" s="1"/>
  <c r="H230" i="1"/>
  <c r="J230" i="1" s="1"/>
  <c r="J34" i="1"/>
  <c r="J46" i="1"/>
  <c r="J54" i="1"/>
  <c r="J73" i="1"/>
  <c r="K92" i="1"/>
  <c r="L92" i="1" s="1"/>
  <c r="J123" i="1"/>
  <c r="J144" i="1"/>
  <c r="J146" i="1"/>
  <c r="J148" i="1"/>
  <c r="J172" i="1"/>
  <c r="K230" i="1"/>
  <c r="L230" i="1" s="1"/>
  <c r="J263" i="1"/>
  <c r="J271" i="1"/>
  <c r="J286" i="1"/>
  <c r="J316" i="1"/>
  <c r="K202" i="1"/>
  <c r="L202" i="1" s="1"/>
  <c r="H202" i="1"/>
  <c r="K88" i="1"/>
  <c r="L88" i="1" s="1"/>
  <c r="I88" i="1"/>
  <c r="H88" i="1"/>
  <c r="J88" i="1" s="1"/>
  <c r="I131" i="1"/>
  <c r="K131" i="1"/>
  <c r="L131" i="1" s="1"/>
  <c r="H131" i="1"/>
  <c r="J151" i="1"/>
  <c r="J29" i="1"/>
  <c r="I202" i="1"/>
  <c r="J118" i="1"/>
  <c r="K136" i="1"/>
  <c r="L136" i="1" s="1"/>
  <c r="I136" i="1"/>
  <c r="H136" i="1"/>
  <c r="J136" i="1" s="1"/>
  <c r="J245" i="1"/>
  <c r="K20" i="1"/>
  <c r="L20" i="1" s="1"/>
  <c r="I20" i="1"/>
  <c r="J20" i="1" s="1"/>
  <c r="J31" i="1"/>
  <c r="J185" i="1"/>
  <c r="H66" i="1"/>
  <c r="K66" i="1"/>
  <c r="L66" i="1" s="1"/>
  <c r="K45" i="1"/>
  <c r="L45" i="1" s="1"/>
  <c r="I45" i="1"/>
  <c r="J45" i="1" s="1"/>
  <c r="I66" i="1"/>
  <c r="J81" i="1"/>
  <c r="H89" i="1"/>
  <c r="J89" i="1" s="1"/>
  <c r="K89" i="1"/>
  <c r="L89" i="1" s="1"/>
  <c r="I10" i="1"/>
  <c r="J10" i="1" s="1"/>
  <c r="I89" i="1"/>
  <c r="K10" i="1"/>
  <c r="L10" i="1" s="1"/>
  <c r="K227" i="1"/>
  <c r="L227" i="1" s="1"/>
  <c r="I227" i="1"/>
  <c r="H227" i="1"/>
  <c r="K14" i="1"/>
  <c r="L14" i="1" s="1"/>
  <c r="I14" i="1"/>
  <c r="J14" i="1" s="1"/>
  <c r="K160" i="1"/>
  <c r="L160" i="1" s="1"/>
  <c r="H160" i="1"/>
  <c r="J58" i="1"/>
  <c r="J78" i="1"/>
  <c r="I160" i="1"/>
  <c r="K280" i="1"/>
  <c r="L280" i="1" s="1"/>
  <c r="I280" i="1"/>
  <c r="H280" i="1"/>
  <c r="J56" i="1"/>
  <c r="I67" i="1"/>
  <c r="H67" i="1"/>
  <c r="J67" i="1" s="1"/>
  <c r="J80" i="1"/>
  <c r="J252" i="1"/>
  <c r="K254" i="1"/>
  <c r="L254" i="1" s="1"/>
  <c r="H254" i="1"/>
  <c r="J44" i="1"/>
  <c r="K82" i="1"/>
  <c r="L82" i="1" s="1"/>
  <c r="I82" i="1"/>
  <c r="J82" i="1" s="1"/>
  <c r="K84" i="1"/>
  <c r="L84" i="1" s="1"/>
  <c r="I84" i="1"/>
  <c r="J84" i="1" s="1"/>
  <c r="K86" i="1"/>
  <c r="L86" i="1" s="1"/>
  <c r="I86" i="1"/>
  <c r="J86" i="1" s="1"/>
  <c r="J108" i="1"/>
  <c r="H135" i="1"/>
  <c r="K135" i="1"/>
  <c r="L135" i="1" s="1"/>
  <c r="I135" i="1"/>
  <c r="H180" i="1"/>
  <c r="J180" i="1" s="1"/>
  <c r="K180" i="1"/>
  <c r="L180" i="1" s="1"/>
  <c r="I254" i="1"/>
  <c r="H274" i="1"/>
  <c r="K274" i="1"/>
  <c r="L274" i="1" s="1"/>
  <c r="I274" i="1"/>
  <c r="J196" i="1"/>
  <c r="J239" i="1"/>
  <c r="K269" i="1"/>
  <c r="L269" i="1" s="1"/>
  <c r="J127" i="1"/>
  <c r="J145" i="1"/>
  <c r="K181" i="1"/>
  <c r="L181" i="1" s="1"/>
  <c r="I181" i="1"/>
  <c r="K186" i="1"/>
  <c r="L186" i="1" s="1"/>
  <c r="H186" i="1"/>
  <c r="J163" i="1"/>
  <c r="J166" i="1"/>
  <c r="H181" i="1"/>
  <c r="I186" i="1"/>
  <c r="J188" i="1"/>
  <c r="I275" i="1"/>
  <c r="H275" i="1"/>
  <c r="K275" i="1"/>
  <c r="L275" i="1" s="1"/>
  <c r="J183" i="1"/>
  <c r="K198" i="1"/>
  <c r="L198" i="1" s="1"/>
  <c r="H198" i="1"/>
  <c r="J198" i="1" s="1"/>
  <c r="J207" i="1"/>
  <c r="J211" i="1"/>
  <c r="J121" i="1"/>
  <c r="J134" i="1"/>
  <c r="K178" i="1"/>
  <c r="L178" i="1" s="1"/>
  <c r="H178" i="1"/>
  <c r="J178" i="1" s="1"/>
  <c r="J218" i="1"/>
  <c r="K232" i="1"/>
  <c r="L232" i="1" s="1"/>
  <c r="H232" i="1"/>
  <c r="J232" i="1" s="1"/>
  <c r="J250" i="1"/>
  <c r="J173" i="1"/>
  <c r="K223" i="1"/>
  <c r="L223" i="1" s="1"/>
  <c r="I223" i="1"/>
  <c r="J223" i="1" s="1"/>
  <c r="J270" i="1"/>
  <c r="J279" i="1"/>
  <c r="J281" i="1"/>
  <c r="J288" i="1"/>
  <c r="K208" i="1"/>
  <c r="L208" i="1" s="1"/>
  <c r="H208" i="1"/>
  <c r="I208" i="1"/>
  <c r="I40" i="1"/>
  <c r="J40" i="1" s="1"/>
  <c r="H182" i="1"/>
  <c r="J182" i="1" s="1"/>
  <c r="J199" i="1"/>
  <c r="I229" i="1"/>
  <c r="J229" i="1" s="1"/>
  <c r="J249" i="1"/>
  <c r="K276" i="1"/>
  <c r="L276" i="1" s="1"/>
  <c r="I276" i="1"/>
  <c r="H276" i="1"/>
  <c r="J276" i="1" s="1"/>
  <c r="J287" i="1"/>
  <c r="J292" i="1"/>
  <c r="K114" i="1"/>
  <c r="L114" i="1" s="1"/>
  <c r="H114" i="1"/>
  <c r="J114" i="1" s="1"/>
  <c r="J169" i="1"/>
  <c r="K296" i="1"/>
  <c r="L296" i="1" s="1"/>
  <c r="H296" i="1"/>
  <c r="J296" i="1" s="1"/>
  <c r="J298" i="1"/>
  <c r="K161" i="1"/>
  <c r="L161" i="1" s="1"/>
  <c r="I161" i="1"/>
  <c r="J161" i="1" s="1"/>
  <c r="K255" i="1"/>
  <c r="L255" i="1" s="1"/>
  <c r="H255" i="1"/>
  <c r="J255" i="1" s="1"/>
  <c r="J262" i="1"/>
  <c r="I225" i="1"/>
  <c r="J225" i="1" s="1"/>
  <c r="I301" i="1"/>
  <c r="J301" i="1" s="1"/>
  <c r="H319" i="1"/>
  <c r="J319" i="1" s="1"/>
  <c r="I319" i="1"/>
  <c r="H317" i="1"/>
  <c r="H321" i="1"/>
  <c r="I317" i="1"/>
  <c r="I321" i="1"/>
  <c r="J87" i="1" l="1"/>
  <c r="J275" i="1"/>
  <c r="J37" i="1"/>
  <c r="J39" i="1"/>
  <c r="J35" i="1"/>
  <c r="J160" i="1"/>
  <c r="J131" i="1"/>
  <c r="J139" i="1"/>
  <c r="J91" i="1"/>
  <c r="J227" i="1"/>
  <c r="J181" i="1"/>
  <c r="J280" i="1"/>
  <c r="J222" i="1"/>
  <c r="J254" i="1"/>
  <c r="J274" i="1"/>
  <c r="J66" i="1"/>
  <c r="J186" i="1"/>
  <c r="J208" i="1"/>
  <c r="J135" i="1"/>
  <c r="J202" i="1"/>
  <c r="J321" i="1"/>
  <c r="J3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<sst xmlns="http://schemas.openxmlformats.org/spreadsheetml/2006/main" count="1802" uniqueCount="104">
  <si>
    <t>Grupo etario</t>
  </si>
  <si>
    <t>Mujer</t>
  </si>
  <si>
    <t>NNA</t>
  </si>
  <si>
    <t>Edad</t>
  </si>
  <si>
    <t>Fecha de encuesta</t>
  </si>
  <si>
    <t>DDJJ</t>
  </si>
  <si>
    <t>Departamento</t>
  </si>
  <si>
    <t>Lima</t>
  </si>
  <si>
    <t>Lima Norte</t>
  </si>
  <si>
    <t>Apurímac</t>
  </si>
  <si>
    <t>Huánuco</t>
  </si>
  <si>
    <t>Ucayali</t>
  </si>
  <si>
    <t>Puente Piedra-Ventanilla</t>
  </si>
  <si>
    <t>Ayacucho</t>
  </si>
  <si>
    <t>Cajamarca</t>
  </si>
  <si>
    <t>Loreto</t>
  </si>
  <si>
    <t>Tratamiento</t>
  </si>
  <si>
    <t>Control</t>
  </si>
  <si>
    <t>DDJJ Tipo</t>
  </si>
  <si>
    <t>Resto del Perú</t>
  </si>
  <si>
    <t>Amazonas</t>
  </si>
  <si>
    <t>Áncash</t>
  </si>
  <si>
    <t>Arequipa</t>
  </si>
  <si>
    <t>Callao</t>
  </si>
  <si>
    <t>Cusco</t>
  </si>
  <si>
    <t>Huancavelica</t>
  </si>
  <si>
    <t>Ica</t>
  </si>
  <si>
    <t>Junín</t>
  </si>
  <si>
    <t>La Libertad</t>
  </si>
  <si>
    <t>Lambayeque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</si>
  <si>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</si>
  <si>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</si>
  <si>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</si>
  <si>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</si>
  <si>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</si>
  <si>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</si>
  <si>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</si>
  <si>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</si>
  <si>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Latitud</t>
  </si>
  <si>
    <t>Longitud</t>
  </si>
  <si>
    <t>Inicio</t>
  </si>
  <si>
    <t>Fin</t>
  </si>
  <si>
    <t>Sexo</t>
  </si>
  <si>
    <t>Femenino</t>
  </si>
  <si>
    <t>Masculino</t>
  </si>
  <si>
    <t>Ausente</t>
  </si>
  <si>
    <t>Aplazada</t>
  </si>
  <si>
    <t>Rechazada</t>
  </si>
  <si>
    <t>Incompleta</t>
  </si>
  <si>
    <t>Otro</t>
  </si>
  <si>
    <t>Resultado</t>
  </si>
  <si>
    <t>Violencia física</t>
  </si>
  <si>
    <t>Violencia sexual</t>
  </si>
  <si>
    <t>Denuncia</t>
  </si>
  <si>
    <t>Completa</t>
  </si>
  <si>
    <t>Distrito Judicial</t>
  </si>
  <si>
    <t>Contacto</t>
  </si>
  <si>
    <t>No contactado</t>
  </si>
  <si>
    <t>Contactado</t>
  </si>
  <si>
    <t>Entrevista</t>
  </si>
  <si>
    <t>Coordinada</t>
  </si>
  <si>
    <t>No coordinada</t>
  </si>
  <si>
    <t>Identificador</t>
  </si>
  <si>
    <t>Fecha de contacto</t>
  </si>
  <si>
    <t>Tipo de actor</t>
  </si>
  <si>
    <t>Hombre</t>
  </si>
  <si>
    <t>Coordinación</t>
  </si>
  <si>
    <t>Funcionario/a</t>
  </si>
  <si>
    <t>Multilateral</t>
  </si>
  <si>
    <t>ONG</t>
  </si>
  <si>
    <t>Otros</t>
  </si>
  <si>
    <t>Asistencia</t>
  </si>
  <si>
    <t>Asistió</t>
  </si>
  <si>
    <t>No asistió</t>
  </si>
  <si>
    <t>.</t>
  </si>
  <si>
    <t>Rol</t>
  </si>
  <si>
    <t>Sobreviviente</t>
  </si>
  <si>
    <t>Líder sobreviviente</t>
  </si>
  <si>
    <t>Fecha de entrevista</t>
  </si>
  <si>
    <t>Duración</t>
  </si>
  <si>
    <t>Tipo</t>
  </si>
  <si>
    <t>Revisor</t>
  </si>
  <si>
    <t>Fecha-Inicio</t>
  </si>
  <si>
    <t>Fecha-fin</t>
  </si>
  <si>
    <t>Hora-Inicio</t>
  </si>
  <si>
    <t>Hora-Fin</t>
  </si>
  <si>
    <t>Hora</t>
  </si>
  <si>
    <t>Feminicidio</t>
  </si>
  <si>
    <t>Entrevistas</t>
  </si>
  <si>
    <t>Duración (min)</t>
  </si>
  <si>
    <t>Contador</t>
  </si>
  <si>
    <t>Reconocimiento</t>
  </si>
  <si>
    <t>Profundización</t>
  </si>
  <si>
    <t>Adolescentes</t>
  </si>
  <si>
    <t>Tipo de entrevista</t>
  </si>
  <si>
    <t>Actores clave</t>
  </si>
  <si>
    <t>Sobrevivientes y líderes sobrevivientes</t>
  </si>
  <si>
    <t>Actor local o comunitario</t>
  </si>
  <si>
    <t>Funcionario del Sistema de Justicia</t>
  </si>
  <si>
    <t>Acompañante de víctimas</t>
  </si>
  <si>
    <t>Prensa</t>
  </si>
  <si>
    <t>n.a.</t>
  </si>
  <si>
    <t>Local</t>
  </si>
  <si>
    <t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</si>
</sst>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58800012207406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0" fontId="0" fillId="0" borderId="0" xfId="0" applyNumberFormat="1"/>
    <xf numFmtId="1" fontId="0" fillId="0" borderId="0" xfId="0" applyNumberFormat="1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1" fillId="2" borderId="0" xfId="0" applyFont="1" applyFill="1"/>
    <xf numFmtId="21" fontId="0" fillId="0" borderId="0" xfId="0" applyNumberFormat="1"/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DF4B-00F4-47FF-AA10-ACFEB51F948C}">
  <sheetPr>
    <tabColor rgb="FF002060"/>
  </sheetPr>
  <dimension ref="A1"/>
  <sheetViews>
    <sheetView workbookViewId="0"/>
  </sheetViews>
  <sheetFormatPr defaultColWidth="11.19921875" defaultRowHeight="13.8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B43B-7D9E-4726-8321-48AEA4B4C061}">
  <sheetPr>
    <tabColor theme="0" tint="-0.14999847407452621"/>
  </sheetPr>
  <dimension ref="A1:J31"/>
  <sheetViews>
    <sheetView workbookViewId="0">
      <selection activeCell="C1" sqref="C1"/>
    </sheetView>
  </sheetViews>
  <sheetFormatPr defaultColWidth="10.796875" defaultRowHeight="13.2"/>
  <cols>
    <col min="1" max="16384" width="10.796875" style="4"/>
  </cols>
  <sheetData>
    <row r="1" spans="1:10">
      <c r="A1" s="4" t="s">
        <v>80</v>
      </c>
      <c r="B1" s="4" t="s">
        <v>62</v>
      </c>
      <c r="C1" s="4" t="s">
        <v>63</v>
      </c>
      <c r="D1" s="4" t="s">
        <v>55</v>
      </c>
      <c r="E1" s="4" t="s">
        <v>6</v>
      </c>
      <c r="F1" s="4" t="s">
        <v>42</v>
      </c>
      <c r="G1" s="4" t="s">
        <v>56</v>
      </c>
      <c r="H1" s="4" t="s">
        <v>66</v>
      </c>
      <c r="I1" s="4" t="s">
        <v>64</v>
      </c>
      <c r="J1" s="7" t="s">
        <v>71</v>
      </c>
    </row>
    <row r="2" spans="1:10">
      <c r="A2" s="4" t="s">
        <v>91</v>
      </c>
      <c r="B2" s="4">
        <v>12456</v>
      </c>
      <c r="C2" s="5">
        <v>45927</v>
      </c>
      <c r="D2" s="4" t="s">
        <v>14</v>
      </c>
      <c r="E2" s="4" t="s">
        <v>14</v>
      </c>
      <c r="F2" s="4" t="s">
        <v>65</v>
      </c>
      <c r="G2" s="4" t="s">
        <v>58</v>
      </c>
      <c r="H2" s="4" t="s">
        <v>60</v>
      </c>
      <c r="I2" s="4" t="s">
        <v>70</v>
      </c>
      <c r="J2" s="7" t="str">
        <f>IF(H2="Coordinada","Asistió","No asistió")</f>
        <v>Asistió</v>
      </c>
    </row>
    <row r="3" spans="1:10">
      <c r="A3" s="4" t="s">
        <v>92</v>
      </c>
      <c r="B3" s="4">
        <v>12457</v>
      </c>
      <c r="C3" s="5">
        <v>45918</v>
      </c>
      <c r="D3" s="4" t="s">
        <v>13</v>
      </c>
      <c r="E3" s="4" t="s">
        <v>13</v>
      </c>
      <c r="F3" s="4" t="s">
        <v>1</v>
      </c>
      <c r="G3" s="4" t="s">
        <v>58</v>
      </c>
      <c r="H3" s="4" t="s">
        <v>61</v>
      </c>
      <c r="I3" s="4" t="s">
        <v>67</v>
      </c>
      <c r="J3" s="7" t="str">
        <f t="shared" ref="J3:J31" si="0">IF(H3="Coordinada","Asistió","No asistió")</f>
        <v>No asistió</v>
      </c>
    </row>
    <row r="4" spans="1:10">
      <c r="A4" s="4" t="s">
        <v>93</v>
      </c>
      <c r="B4" s="4">
        <v>12458</v>
      </c>
      <c r="C4" s="5">
        <v>45924</v>
      </c>
      <c r="D4" s="4" t="s">
        <v>19</v>
      </c>
      <c r="E4" s="4" t="s">
        <v>32</v>
      </c>
      <c r="F4" s="4" t="s">
        <v>65</v>
      </c>
      <c r="G4" s="4" t="s">
        <v>58</v>
      </c>
      <c r="H4" s="4" t="s">
        <v>60</v>
      </c>
      <c r="I4" s="4" t="s">
        <v>76</v>
      </c>
      <c r="J4" s="7" t="str">
        <f t="shared" si="0"/>
        <v>Asistió</v>
      </c>
    </row>
    <row r="5" spans="1:10">
      <c r="A5" s="4" t="s">
        <v>91</v>
      </c>
      <c r="B5" s="4">
        <v>12459</v>
      </c>
      <c r="C5" s="5">
        <v>45926</v>
      </c>
      <c r="D5" s="4" t="s">
        <v>9</v>
      </c>
      <c r="E5" s="4" t="s">
        <v>9</v>
      </c>
      <c r="F5" s="4" t="s">
        <v>65</v>
      </c>
      <c r="G5" s="4" t="s">
        <v>58</v>
      </c>
      <c r="H5" s="4" t="s">
        <v>61</v>
      </c>
      <c r="I5" s="4" t="s">
        <v>69</v>
      </c>
      <c r="J5" s="7" t="str">
        <f t="shared" si="0"/>
        <v>No asistió</v>
      </c>
    </row>
    <row r="6" spans="1:10">
      <c r="A6" s="4" t="s">
        <v>92</v>
      </c>
      <c r="B6" s="4">
        <v>12460</v>
      </c>
      <c r="C6" s="5">
        <v>45927</v>
      </c>
      <c r="D6" s="4" t="s">
        <v>8</v>
      </c>
      <c r="E6" s="4" t="s">
        <v>7</v>
      </c>
      <c r="F6" s="4" t="s">
        <v>1</v>
      </c>
      <c r="G6" s="4" t="s">
        <v>58</v>
      </c>
      <c r="H6" s="4" t="s">
        <v>60</v>
      </c>
      <c r="I6" s="4" t="s">
        <v>69</v>
      </c>
      <c r="J6" s="7" t="str">
        <f t="shared" si="0"/>
        <v>Asistió</v>
      </c>
    </row>
    <row r="7" spans="1:10">
      <c r="A7" s="4" t="s">
        <v>93</v>
      </c>
      <c r="B7" s="4">
        <v>12461</v>
      </c>
      <c r="C7" s="5">
        <v>45923</v>
      </c>
      <c r="D7" s="4" t="s">
        <v>9</v>
      </c>
      <c r="E7" s="4" t="s">
        <v>9</v>
      </c>
      <c r="F7" s="4" t="s">
        <v>1</v>
      </c>
      <c r="G7" s="4" t="s">
        <v>58</v>
      </c>
      <c r="H7" s="4" t="s">
        <v>60</v>
      </c>
      <c r="I7" s="4" t="s">
        <v>77</v>
      </c>
      <c r="J7" s="7" t="str">
        <f t="shared" si="0"/>
        <v>Asistió</v>
      </c>
    </row>
    <row r="8" spans="1:10">
      <c r="A8" s="4" t="s">
        <v>91</v>
      </c>
      <c r="B8" s="4">
        <v>12462</v>
      </c>
      <c r="C8" s="5">
        <v>45923</v>
      </c>
      <c r="D8" s="4" t="s">
        <v>13</v>
      </c>
      <c r="E8" s="4" t="s">
        <v>13</v>
      </c>
      <c r="F8" s="4" t="s">
        <v>65</v>
      </c>
      <c r="G8" s="4" t="s">
        <v>58</v>
      </c>
      <c r="H8" s="4" t="s">
        <v>61</v>
      </c>
      <c r="I8" s="4" t="s">
        <v>67</v>
      </c>
      <c r="J8" s="7" t="str">
        <f t="shared" si="0"/>
        <v>No asistió</v>
      </c>
    </row>
    <row r="9" spans="1:10">
      <c r="A9" s="4" t="s">
        <v>92</v>
      </c>
      <c r="B9" s="4">
        <v>12463</v>
      </c>
      <c r="C9" s="5" t="s">
        <v>74</v>
      </c>
      <c r="D9" s="4" t="s">
        <v>14</v>
      </c>
      <c r="E9" s="4" t="s">
        <v>14</v>
      </c>
      <c r="F9" s="4" t="s">
        <v>1</v>
      </c>
      <c r="G9" s="4" t="s">
        <v>57</v>
      </c>
      <c r="H9" s="4" t="s">
        <v>74</v>
      </c>
      <c r="I9" s="4" t="s">
        <v>70</v>
      </c>
      <c r="J9" s="7" t="str">
        <f t="shared" si="0"/>
        <v>No asistió</v>
      </c>
    </row>
    <row r="10" spans="1:10">
      <c r="A10" s="4" t="s">
        <v>91</v>
      </c>
      <c r="B10" s="4">
        <v>12464</v>
      </c>
      <c r="C10" s="5">
        <v>45922</v>
      </c>
      <c r="D10" s="4" t="s">
        <v>10</v>
      </c>
      <c r="E10" s="4" t="s">
        <v>10</v>
      </c>
      <c r="F10" s="4" t="s">
        <v>65</v>
      </c>
      <c r="G10" s="4" t="s">
        <v>58</v>
      </c>
      <c r="H10" s="4" t="s">
        <v>61</v>
      </c>
      <c r="I10" s="4" t="s">
        <v>69</v>
      </c>
      <c r="J10" s="7" t="str">
        <f t="shared" si="0"/>
        <v>No asistió</v>
      </c>
    </row>
    <row r="11" spans="1:10">
      <c r="A11" s="4" t="s">
        <v>91</v>
      </c>
      <c r="B11" s="4">
        <v>12465</v>
      </c>
      <c r="C11" s="5">
        <v>45918</v>
      </c>
      <c r="D11" s="4" t="s">
        <v>19</v>
      </c>
      <c r="E11" s="4" t="s">
        <v>29</v>
      </c>
      <c r="F11" s="4" t="s">
        <v>65</v>
      </c>
      <c r="G11" s="4" t="s">
        <v>58</v>
      </c>
      <c r="H11" s="4" t="s">
        <v>47</v>
      </c>
      <c r="I11" s="4" t="s">
        <v>67</v>
      </c>
      <c r="J11" s="7" t="str">
        <f t="shared" si="0"/>
        <v>No asistió</v>
      </c>
    </row>
    <row r="12" spans="1:10">
      <c r="A12" s="4" t="s">
        <v>92</v>
      </c>
      <c r="B12" s="4">
        <v>12466</v>
      </c>
      <c r="C12" s="5">
        <v>45928</v>
      </c>
      <c r="D12" s="4" t="s">
        <v>9</v>
      </c>
      <c r="E12" s="4" t="s">
        <v>9</v>
      </c>
      <c r="F12" s="4" t="s">
        <v>65</v>
      </c>
      <c r="G12" s="4" t="s">
        <v>58</v>
      </c>
      <c r="H12" s="4" t="s">
        <v>47</v>
      </c>
      <c r="I12" s="4" t="s">
        <v>69</v>
      </c>
      <c r="J12" s="7" t="str">
        <f t="shared" si="0"/>
        <v>No asistió</v>
      </c>
    </row>
    <row r="13" spans="1:10">
      <c r="A13" s="4" t="s">
        <v>91</v>
      </c>
      <c r="B13" s="4">
        <v>12467</v>
      </c>
      <c r="C13" s="5">
        <v>45919</v>
      </c>
      <c r="D13" s="4" t="s">
        <v>10</v>
      </c>
      <c r="E13" s="4" t="s">
        <v>10</v>
      </c>
      <c r="F13" s="4" t="s">
        <v>1</v>
      </c>
      <c r="G13" s="4" t="s">
        <v>58</v>
      </c>
      <c r="H13" s="4" t="s">
        <v>61</v>
      </c>
      <c r="I13" s="4" t="s">
        <v>69</v>
      </c>
      <c r="J13" s="7" t="str">
        <f t="shared" si="0"/>
        <v>No asistió</v>
      </c>
    </row>
    <row r="14" spans="1:10">
      <c r="A14" s="4" t="s">
        <v>92</v>
      </c>
      <c r="B14" s="4">
        <v>12468</v>
      </c>
      <c r="C14" s="5">
        <v>45923</v>
      </c>
      <c r="D14" s="4" t="s">
        <v>12</v>
      </c>
      <c r="E14" s="4" t="s">
        <v>7</v>
      </c>
      <c r="F14" s="4" t="s">
        <v>65</v>
      </c>
      <c r="G14" s="4" t="s">
        <v>58</v>
      </c>
      <c r="H14" s="4" t="s">
        <v>61</v>
      </c>
      <c r="I14" s="4" t="s">
        <v>67</v>
      </c>
      <c r="J14" s="7" t="str">
        <f t="shared" si="0"/>
        <v>No asistió</v>
      </c>
    </row>
    <row r="15" spans="1:10">
      <c r="A15" s="4" t="s">
        <v>91</v>
      </c>
      <c r="B15" s="4">
        <v>12469</v>
      </c>
      <c r="C15" s="5">
        <v>45923</v>
      </c>
      <c r="D15" s="4" t="s">
        <v>15</v>
      </c>
      <c r="E15" s="4" t="s">
        <v>15</v>
      </c>
      <c r="F15" s="4" t="s">
        <v>65</v>
      </c>
      <c r="G15" s="4" t="s">
        <v>58</v>
      </c>
      <c r="H15" s="4" t="s">
        <v>47</v>
      </c>
      <c r="I15" s="4" t="s">
        <v>69</v>
      </c>
      <c r="J15" s="7" t="str">
        <f t="shared" si="0"/>
        <v>No asistió</v>
      </c>
    </row>
    <row r="16" spans="1:10">
      <c r="A16" s="4" t="s">
        <v>92</v>
      </c>
      <c r="B16" s="4">
        <v>12470</v>
      </c>
      <c r="C16" s="5" t="s">
        <v>74</v>
      </c>
      <c r="D16" s="4" t="s">
        <v>13</v>
      </c>
      <c r="E16" s="4" t="s">
        <v>13</v>
      </c>
      <c r="F16" s="4" t="s">
        <v>65</v>
      </c>
      <c r="G16" s="4" t="s">
        <v>57</v>
      </c>
      <c r="H16" s="4" t="s">
        <v>74</v>
      </c>
      <c r="I16" s="4" t="s">
        <v>70</v>
      </c>
      <c r="J16" s="7" t="str">
        <f t="shared" si="0"/>
        <v>No asistió</v>
      </c>
    </row>
    <row r="17" spans="1:10">
      <c r="A17" s="4" t="s">
        <v>93</v>
      </c>
      <c r="B17" s="4">
        <v>12471</v>
      </c>
      <c r="C17" s="5">
        <v>45921</v>
      </c>
      <c r="D17" s="4" t="s">
        <v>13</v>
      </c>
      <c r="E17" s="4" t="s">
        <v>13</v>
      </c>
      <c r="F17" s="4" t="s">
        <v>65</v>
      </c>
      <c r="G17" s="4" t="s">
        <v>58</v>
      </c>
      <c r="H17" s="4" t="s">
        <v>60</v>
      </c>
      <c r="I17" s="4" t="s">
        <v>76</v>
      </c>
      <c r="J17" s="7" t="str">
        <f t="shared" si="0"/>
        <v>Asistió</v>
      </c>
    </row>
    <row r="18" spans="1:10">
      <c r="A18" s="4" t="s">
        <v>93</v>
      </c>
      <c r="B18" s="4">
        <v>12472</v>
      </c>
      <c r="C18" s="5" t="s">
        <v>74</v>
      </c>
      <c r="D18" s="4" t="s">
        <v>13</v>
      </c>
      <c r="E18" s="4" t="s">
        <v>13</v>
      </c>
      <c r="F18" s="4" t="s">
        <v>65</v>
      </c>
      <c r="G18" s="4" t="s">
        <v>57</v>
      </c>
      <c r="H18" s="4" t="s">
        <v>74</v>
      </c>
      <c r="I18" s="4" t="s">
        <v>76</v>
      </c>
      <c r="J18" s="7" t="str">
        <f t="shared" si="0"/>
        <v>No asistió</v>
      </c>
    </row>
    <row r="19" spans="1:10">
      <c r="A19" s="4" t="s">
        <v>92</v>
      </c>
      <c r="B19" s="4">
        <v>12473</v>
      </c>
      <c r="C19" s="5">
        <v>45916</v>
      </c>
      <c r="D19" s="4" t="s">
        <v>12</v>
      </c>
      <c r="E19" s="4" t="s">
        <v>7</v>
      </c>
      <c r="F19" s="4" t="s">
        <v>65</v>
      </c>
      <c r="G19" s="4" t="s">
        <v>58</v>
      </c>
      <c r="H19" s="4" t="s">
        <v>61</v>
      </c>
      <c r="I19" s="4" t="s">
        <v>67</v>
      </c>
      <c r="J19" s="7" t="str">
        <f t="shared" si="0"/>
        <v>No asistió</v>
      </c>
    </row>
    <row r="20" spans="1:10">
      <c r="A20" s="4" t="s">
        <v>91</v>
      </c>
      <c r="B20" s="4">
        <v>12474</v>
      </c>
      <c r="C20" s="5">
        <v>45921</v>
      </c>
      <c r="D20" s="4" t="s">
        <v>10</v>
      </c>
      <c r="E20" s="4" t="s">
        <v>10</v>
      </c>
      <c r="F20" s="4" t="s">
        <v>65</v>
      </c>
      <c r="G20" s="4" t="s">
        <v>58</v>
      </c>
      <c r="H20" s="4" t="s">
        <v>60</v>
      </c>
      <c r="I20" s="4" t="s">
        <v>69</v>
      </c>
      <c r="J20" s="7" t="str">
        <f t="shared" si="0"/>
        <v>Asistió</v>
      </c>
    </row>
    <row r="21" spans="1:10">
      <c r="A21" s="4" t="s">
        <v>93</v>
      </c>
      <c r="B21" s="4">
        <v>12475</v>
      </c>
      <c r="C21" s="5">
        <v>45927</v>
      </c>
      <c r="D21" s="4" t="s">
        <v>14</v>
      </c>
      <c r="E21" s="4" t="s">
        <v>14</v>
      </c>
      <c r="F21" s="4" t="s">
        <v>65</v>
      </c>
      <c r="G21" s="4" t="s">
        <v>58</v>
      </c>
      <c r="H21" s="4" t="s">
        <v>47</v>
      </c>
      <c r="I21" s="4" t="s">
        <v>77</v>
      </c>
      <c r="J21" s="7" t="str">
        <f t="shared" si="0"/>
        <v>No asistió</v>
      </c>
    </row>
    <row r="22" spans="1:10">
      <c r="A22" s="4" t="s">
        <v>92</v>
      </c>
      <c r="B22" s="4">
        <v>12476</v>
      </c>
      <c r="C22" s="5" t="s">
        <v>74</v>
      </c>
      <c r="D22" s="4" t="s">
        <v>13</v>
      </c>
      <c r="E22" s="4" t="s">
        <v>13</v>
      </c>
      <c r="F22" s="4" t="s">
        <v>1</v>
      </c>
      <c r="G22" s="4" t="s">
        <v>57</v>
      </c>
      <c r="H22" s="4" t="s">
        <v>74</v>
      </c>
      <c r="I22" s="4" t="s">
        <v>67</v>
      </c>
      <c r="J22" s="7" t="str">
        <f t="shared" si="0"/>
        <v>No asistió</v>
      </c>
    </row>
    <row r="23" spans="1:10">
      <c r="A23" s="4" t="s">
        <v>91</v>
      </c>
      <c r="B23" s="4">
        <v>12477</v>
      </c>
      <c r="C23" s="5">
        <v>45925</v>
      </c>
      <c r="D23" s="4" t="s">
        <v>19</v>
      </c>
      <c r="E23" s="4" t="s">
        <v>26</v>
      </c>
      <c r="F23" s="4" t="s">
        <v>65</v>
      </c>
      <c r="G23" s="4" t="s">
        <v>58</v>
      </c>
      <c r="H23" s="4" t="s">
        <v>60</v>
      </c>
      <c r="I23" s="4" t="s">
        <v>67</v>
      </c>
      <c r="J23" s="7" t="str">
        <f t="shared" si="0"/>
        <v>Asistió</v>
      </c>
    </row>
    <row r="24" spans="1:10">
      <c r="A24" s="4" t="s">
        <v>93</v>
      </c>
      <c r="B24" s="4">
        <v>12478</v>
      </c>
      <c r="C24" s="5" t="s">
        <v>74</v>
      </c>
      <c r="D24" s="4" t="s">
        <v>11</v>
      </c>
      <c r="E24" s="4" t="s">
        <v>11</v>
      </c>
      <c r="F24" s="4" t="s">
        <v>1</v>
      </c>
      <c r="G24" s="4" t="s">
        <v>57</v>
      </c>
      <c r="H24" s="4" t="s">
        <v>74</v>
      </c>
      <c r="I24" s="4" t="s">
        <v>76</v>
      </c>
      <c r="J24" s="7" t="str">
        <f t="shared" si="0"/>
        <v>No asistió</v>
      </c>
    </row>
    <row r="25" spans="1:10">
      <c r="A25" s="4" t="s">
        <v>92</v>
      </c>
      <c r="B25" s="4">
        <v>12479</v>
      </c>
      <c r="C25" s="5">
        <v>45916</v>
      </c>
      <c r="D25" s="4" t="s">
        <v>9</v>
      </c>
      <c r="E25" s="4" t="s">
        <v>9</v>
      </c>
      <c r="F25" s="4" t="s">
        <v>1</v>
      </c>
      <c r="G25" s="4" t="s">
        <v>58</v>
      </c>
      <c r="H25" s="4" t="s">
        <v>61</v>
      </c>
      <c r="I25" s="4" t="s">
        <v>67</v>
      </c>
      <c r="J25" s="7" t="str">
        <f t="shared" si="0"/>
        <v>No asistió</v>
      </c>
    </row>
    <row r="26" spans="1:10">
      <c r="A26" s="4" t="s">
        <v>93</v>
      </c>
      <c r="B26" s="4">
        <v>12480</v>
      </c>
      <c r="C26" s="5" t="s">
        <v>74</v>
      </c>
      <c r="D26" s="4" t="s">
        <v>9</v>
      </c>
      <c r="E26" s="4" t="s">
        <v>9</v>
      </c>
      <c r="F26" s="4" t="s">
        <v>1</v>
      </c>
      <c r="G26" s="4" t="s">
        <v>57</v>
      </c>
      <c r="H26" s="4" t="s">
        <v>74</v>
      </c>
      <c r="I26" s="4" t="s">
        <v>76</v>
      </c>
      <c r="J26" s="7" t="str">
        <f t="shared" si="0"/>
        <v>No asistió</v>
      </c>
    </row>
    <row r="27" spans="1:10">
      <c r="A27" s="4" t="s">
        <v>92</v>
      </c>
      <c r="B27" s="4">
        <v>12481</v>
      </c>
      <c r="C27" s="5">
        <v>45924</v>
      </c>
      <c r="D27" s="4" t="s">
        <v>11</v>
      </c>
      <c r="E27" s="4" t="s">
        <v>11</v>
      </c>
      <c r="F27" s="4" t="s">
        <v>1</v>
      </c>
      <c r="G27" s="4" t="s">
        <v>58</v>
      </c>
      <c r="H27" s="4" t="s">
        <v>60</v>
      </c>
      <c r="I27" s="4" t="s">
        <v>69</v>
      </c>
      <c r="J27" s="7" t="str">
        <f t="shared" si="0"/>
        <v>Asistió</v>
      </c>
    </row>
    <row r="28" spans="1:10">
      <c r="A28" s="4" t="s">
        <v>93</v>
      </c>
      <c r="B28" s="4">
        <v>12482</v>
      </c>
      <c r="C28" s="5">
        <v>45926</v>
      </c>
      <c r="D28" s="4" t="s">
        <v>13</v>
      </c>
      <c r="E28" s="4" t="s">
        <v>13</v>
      </c>
      <c r="F28" s="4" t="s">
        <v>1</v>
      </c>
      <c r="G28" s="4" t="s">
        <v>58</v>
      </c>
      <c r="H28" s="4" t="s">
        <v>47</v>
      </c>
      <c r="I28" s="4" t="s">
        <v>76</v>
      </c>
      <c r="J28" s="7" t="str">
        <f t="shared" si="0"/>
        <v>No asistió</v>
      </c>
    </row>
    <row r="29" spans="1:10">
      <c r="A29" s="4" t="s">
        <v>92</v>
      </c>
      <c r="B29" s="4">
        <v>12483</v>
      </c>
      <c r="C29" s="5" t="s">
        <v>74</v>
      </c>
      <c r="D29" s="4" t="s">
        <v>8</v>
      </c>
      <c r="E29" s="4" t="s">
        <v>7</v>
      </c>
      <c r="F29" s="4" t="s">
        <v>1</v>
      </c>
      <c r="G29" s="4" t="s">
        <v>57</v>
      </c>
      <c r="H29" s="4" t="s">
        <v>74</v>
      </c>
      <c r="I29" s="4" t="s">
        <v>70</v>
      </c>
      <c r="J29" s="7" t="str">
        <f t="shared" si="0"/>
        <v>No asistió</v>
      </c>
    </row>
    <row r="30" spans="1:10">
      <c r="A30" s="4" t="s">
        <v>91</v>
      </c>
      <c r="B30" s="4">
        <v>12484</v>
      </c>
      <c r="C30" s="5">
        <v>45924</v>
      </c>
      <c r="D30" s="4" t="s">
        <v>12</v>
      </c>
      <c r="E30" s="4" t="s">
        <v>7</v>
      </c>
      <c r="F30" s="4" t="s">
        <v>65</v>
      </c>
      <c r="G30" s="4" t="s">
        <v>58</v>
      </c>
      <c r="H30" s="4" t="s">
        <v>61</v>
      </c>
      <c r="I30" s="4" t="s">
        <v>69</v>
      </c>
      <c r="J30" s="7" t="str">
        <f t="shared" si="0"/>
        <v>No asistió</v>
      </c>
    </row>
    <row r="31" spans="1:10">
      <c r="A31" s="4" t="s">
        <v>91</v>
      </c>
      <c r="B31" s="4">
        <v>12485</v>
      </c>
      <c r="C31" s="5">
        <v>45922</v>
      </c>
      <c r="D31" s="4" t="s">
        <v>8</v>
      </c>
      <c r="E31" s="4" t="s">
        <v>7</v>
      </c>
      <c r="F31" s="4" t="s">
        <v>65</v>
      </c>
      <c r="G31" s="4" t="s">
        <v>58</v>
      </c>
      <c r="H31" s="4" t="s">
        <v>60</v>
      </c>
      <c r="I31" s="4" t="s">
        <v>70</v>
      </c>
      <c r="J31" s="7" t="str">
        <f t="shared" si="0"/>
        <v>Asistió</v>
      </c>
    </row>
  </sheetData>
  <autoFilter ref="A1:J31" xr:uid="{00000000-0009-0000-0000-000001000000}"/>
  <sortState xmlns:xlrd2="http://schemas.microsoft.com/office/spreadsheetml/2017/richdata2" ref="C2:E31">
    <sortCondition ref="C2:C3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6422B-E0AF-4715-B797-2CCA11DD49D6}">
  <sheetPr>
    <tabColor theme="0" tint="-0.14999847407452621"/>
  </sheetPr>
  <dimension ref="A1:N102"/>
  <sheetViews>
    <sheetView zoomScale="108" workbookViewId="0">
      <selection activeCell="F71" sqref="F71"/>
    </sheetView>
  </sheetViews>
  <sheetFormatPr defaultColWidth="10.796875" defaultRowHeight="13.8"/>
  <cols>
    <col min="1" max="8" width="10.796875" style="4"/>
    <col min="9" max="9" width="16.5" style="4" customWidth="1"/>
    <col min="10" max="10" width="18.19921875" style="4" customWidth="1"/>
    <col min="11" max="11" width="13" style="4" customWidth="1"/>
    <col min="12" max="12" width="10.796875" style="4"/>
    <col min="15" max="16384" width="10.796875" style="4"/>
  </cols>
  <sheetData>
    <row r="1" spans="1:12">
      <c r="A1" s="4" t="s">
        <v>62</v>
      </c>
      <c r="B1" s="4" t="s">
        <v>94</v>
      </c>
      <c r="C1" s="4" t="s">
        <v>64</v>
      </c>
      <c r="D1" s="4" t="s">
        <v>63</v>
      </c>
      <c r="E1" s="4" t="s">
        <v>55</v>
      </c>
      <c r="F1" s="4" t="s">
        <v>6</v>
      </c>
      <c r="G1" s="4" t="s">
        <v>56</v>
      </c>
      <c r="H1" s="4" t="s">
        <v>66</v>
      </c>
      <c r="I1" s="4" t="s">
        <v>75</v>
      </c>
      <c r="J1" s="7" t="s">
        <v>78</v>
      </c>
      <c r="K1" s="7" t="s">
        <v>50</v>
      </c>
      <c r="L1" s="7" t="s">
        <v>89</v>
      </c>
    </row>
    <row r="2" spans="1:12">
      <c r="A2" s="4">
        <v>12456</v>
      </c>
      <c r="B2" s="4" t="s">
        <v>96</v>
      </c>
      <c r="C2" s="4" t="s">
        <v>101</v>
      </c>
      <c r="D2" s="5" t="s">
        <v>74</v>
      </c>
      <c r="E2" s="4" t="s">
        <v>14</v>
      </c>
      <c r="F2" s="4" t="s">
        <v>14</v>
      </c>
      <c r="G2" s="4" t="s">
        <v>57</v>
      </c>
      <c r="H2" s="4" t="s">
        <v>74</v>
      </c>
      <c r="I2" s="4" t="s">
        <v>77</v>
      </c>
      <c r="J2" s="9" t="s">
        <v>74</v>
      </c>
      <c r="K2" s="7" t="s">
        <v>74</v>
      </c>
      <c r="L2" s="7">
        <v>44</v>
      </c>
    </row>
    <row r="3" spans="1:12">
      <c r="A3" s="4">
        <f>A2+1</f>
        <v>12457</v>
      </c>
      <c r="B3" s="4" t="s">
        <v>96</v>
      </c>
      <c r="C3" s="4" t="s">
        <v>101</v>
      </c>
      <c r="D3" s="5">
        <v>45930</v>
      </c>
      <c r="E3" s="4" t="s">
        <v>13</v>
      </c>
      <c r="F3" s="4" t="s">
        <v>13</v>
      </c>
      <c r="G3" s="4" t="s">
        <v>58</v>
      </c>
      <c r="H3" s="4" t="s">
        <v>61</v>
      </c>
      <c r="I3" s="4" t="s">
        <v>76</v>
      </c>
      <c r="J3" s="9" t="s">
        <v>74</v>
      </c>
      <c r="K3" s="7" t="s">
        <v>74</v>
      </c>
      <c r="L3" s="7">
        <v>48</v>
      </c>
    </row>
    <row r="4" spans="1:12">
      <c r="A4" s="4">
        <f t="shared" ref="A4:A66" si="0">A3+1</f>
        <v>12458</v>
      </c>
      <c r="B4" s="4" t="s">
        <v>96</v>
      </c>
      <c r="C4" s="4" t="s">
        <v>101</v>
      </c>
      <c r="D4" s="5">
        <v>45929</v>
      </c>
      <c r="E4" s="4" t="s">
        <v>19</v>
      </c>
      <c r="F4" s="4" t="s">
        <v>32</v>
      </c>
      <c r="G4" s="4" t="s">
        <v>58</v>
      </c>
      <c r="H4" s="4" t="s">
        <v>60</v>
      </c>
      <c r="I4" s="4" t="s">
        <v>76</v>
      </c>
      <c r="J4" s="9">
        <v>45960</v>
      </c>
      <c r="K4" s="7" t="s">
        <v>54</v>
      </c>
      <c r="L4" s="7">
        <v>50</v>
      </c>
    </row>
    <row r="5" spans="1:12">
      <c r="A5" s="4">
        <f t="shared" si="0"/>
        <v>12459</v>
      </c>
      <c r="B5" s="4" t="s">
        <v>96</v>
      </c>
      <c r="C5" s="4" t="s">
        <v>101</v>
      </c>
      <c r="D5" s="5">
        <v>45925</v>
      </c>
      <c r="E5" s="4" t="s">
        <v>9</v>
      </c>
      <c r="F5" s="4" t="s">
        <v>9</v>
      </c>
      <c r="G5" s="4" t="s">
        <v>58</v>
      </c>
      <c r="H5" s="4" t="s">
        <v>61</v>
      </c>
      <c r="I5" s="4" t="s">
        <v>77</v>
      </c>
      <c r="J5" s="9" t="s">
        <v>74</v>
      </c>
      <c r="K5" s="7" t="s">
        <v>74</v>
      </c>
      <c r="L5" s="7">
        <v>48</v>
      </c>
    </row>
    <row r="6" spans="1:12">
      <c r="A6" s="4">
        <f t="shared" si="0"/>
        <v>12460</v>
      </c>
      <c r="B6" s="4" t="s">
        <v>96</v>
      </c>
      <c r="C6" s="4" t="s">
        <v>101</v>
      </c>
      <c r="D6" s="5">
        <v>45928</v>
      </c>
      <c r="E6" s="4" t="s">
        <v>8</v>
      </c>
      <c r="F6" s="4" t="s">
        <v>7</v>
      </c>
      <c r="G6" s="4" t="s">
        <v>58</v>
      </c>
      <c r="H6" s="4" t="s">
        <v>60</v>
      </c>
      <c r="I6" s="4" t="s">
        <v>76</v>
      </c>
      <c r="J6" s="9">
        <v>45948</v>
      </c>
      <c r="K6" s="7" t="s">
        <v>54</v>
      </c>
      <c r="L6" s="7">
        <v>44</v>
      </c>
    </row>
    <row r="7" spans="1:12">
      <c r="A7" s="4">
        <f t="shared" si="0"/>
        <v>12461</v>
      </c>
      <c r="B7" s="4" t="s">
        <v>96</v>
      </c>
      <c r="C7" s="4" t="s">
        <v>101</v>
      </c>
      <c r="D7" s="5">
        <v>45917</v>
      </c>
      <c r="E7" s="4" t="s">
        <v>9</v>
      </c>
      <c r="F7" s="4" t="s">
        <v>9</v>
      </c>
      <c r="G7" s="4" t="s">
        <v>58</v>
      </c>
      <c r="H7" s="4" t="s">
        <v>60</v>
      </c>
      <c r="I7" s="4" t="s">
        <v>76</v>
      </c>
      <c r="J7" s="9">
        <v>45945</v>
      </c>
      <c r="K7" s="7" t="s">
        <v>48</v>
      </c>
      <c r="L7" s="7">
        <v>31</v>
      </c>
    </row>
    <row r="8" spans="1:12">
      <c r="A8" s="4">
        <f t="shared" si="0"/>
        <v>12462</v>
      </c>
      <c r="B8" s="4" t="s">
        <v>96</v>
      </c>
      <c r="C8" s="4" t="s">
        <v>101</v>
      </c>
      <c r="D8" s="5">
        <v>45920</v>
      </c>
      <c r="E8" s="4" t="s">
        <v>13</v>
      </c>
      <c r="F8" s="4" t="s">
        <v>13</v>
      </c>
      <c r="G8" s="4" t="s">
        <v>58</v>
      </c>
      <c r="H8" s="4" t="s">
        <v>61</v>
      </c>
      <c r="I8" s="4" t="s">
        <v>76</v>
      </c>
      <c r="J8" s="9" t="s">
        <v>74</v>
      </c>
      <c r="K8" s="7" t="s">
        <v>74</v>
      </c>
      <c r="L8" s="7">
        <v>36</v>
      </c>
    </row>
    <row r="9" spans="1:12">
      <c r="A9" s="4">
        <f t="shared" si="0"/>
        <v>12463</v>
      </c>
      <c r="B9" s="4" t="s">
        <v>96</v>
      </c>
      <c r="C9" s="4" t="s">
        <v>101</v>
      </c>
      <c r="D9" s="5">
        <v>45923</v>
      </c>
      <c r="E9" s="4" t="s">
        <v>14</v>
      </c>
      <c r="F9" s="4" t="s">
        <v>14</v>
      </c>
      <c r="G9" s="4" t="s">
        <v>58</v>
      </c>
      <c r="H9" s="4" t="s">
        <v>47</v>
      </c>
      <c r="I9" s="4" t="s">
        <v>76</v>
      </c>
      <c r="J9" s="9" t="s">
        <v>74</v>
      </c>
      <c r="K9" s="7" t="s">
        <v>74</v>
      </c>
      <c r="L9" s="7">
        <v>43</v>
      </c>
    </row>
    <row r="10" spans="1:12">
      <c r="A10" s="4">
        <f t="shared" si="0"/>
        <v>12464</v>
      </c>
      <c r="B10" s="4" t="s">
        <v>96</v>
      </c>
      <c r="C10" s="4" t="s">
        <v>101</v>
      </c>
      <c r="D10" s="5">
        <v>45921</v>
      </c>
      <c r="E10" s="4" t="s">
        <v>10</v>
      </c>
      <c r="F10" s="4" t="s">
        <v>10</v>
      </c>
      <c r="G10" s="4" t="s">
        <v>58</v>
      </c>
      <c r="H10" s="4" t="s">
        <v>61</v>
      </c>
      <c r="I10" s="4" t="s">
        <v>77</v>
      </c>
      <c r="J10" s="9" t="s">
        <v>74</v>
      </c>
      <c r="K10" s="7" t="s">
        <v>74</v>
      </c>
      <c r="L10" s="7">
        <v>30</v>
      </c>
    </row>
    <row r="11" spans="1:12">
      <c r="A11" s="4">
        <f t="shared" si="0"/>
        <v>12465</v>
      </c>
      <c r="B11" s="4" t="s">
        <v>96</v>
      </c>
      <c r="C11" s="4" t="s">
        <v>101</v>
      </c>
      <c r="D11" s="5" t="s">
        <v>74</v>
      </c>
      <c r="E11" s="4" t="s">
        <v>19</v>
      </c>
      <c r="F11" s="4" t="s">
        <v>29</v>
      </c>
      <c r="G11" s="4" t="s">
        <v>57</v>
      </c>
      <c r="H11" s="4" t="s">
        <v>74</v>
      </c>
      <c r="I11" s="4" t="s">
        <v>77</v>
      </c>
      <c r="J11" s="9" t="s">
        <v>74</v>
      </c>
      <c r="K11" s="7" t="s">
        <v>74</v>
      </c>
      <c r="L11" s="7">
        <v>33</v>
      </c>
    </row>
    <row r="12" spans="1:12">
      <c r="A12" s="4">
        <f t="shared" si="0"/>
        <v>12466</v>
      </c>
      <c r="B12" s="4" t="s">
        <v>96</v>
      </c>
      <c r="C12" s="4" t="s">
        <v>101</v>
      </c>
      <c r="D12" s="5">
        <v>45925</v>
      </c>
      <c r="E12" s="4" t="s">
        <v>9</v>
      </c>
      <c r="F12" s="4" t="s">
        <v>9</v>
      </c>
      <c r="G12" s="4" t="s">
        <v>58</v>
      </c>
      <c r="H12" s="4" t="s">
        <v>47</v>
      </c>
      <c r="I12" s="4" t="s">
        <v>76</v>
      </c>
      <c r="J12" s="9" t="s">
        <v>74</v>
      </c>
      <c r="K12" s="7" t="s">
        <v>74</v>
      </c>
      <c r="L12" s="7">
        <v>50</v>
      </c>
    </row>
    <row r="13" spans="1:12">
      <c r="A13" s="4">
        <f t="shared" si="0"/>
        <v>12467</v>
      </c>
      <c r="B13" s="4" t="s">
        <v>96</v>
      </c>
      <c r="C13" s="4" t="s">
        <v>101</v>
      </c>
      <c r="D13" s="5">
        <v>45926</v>
      </c>
      <c r="E13" s="4" t="s">
        <v>10</v>
      </c>
      <c r="F13" s="4" t="s">
        <v>10</v>
      </c>
      <c r="G13" s="4" t="s">
        <v>58</v>
      </c>
      <c r="H13" s="4" t="s">
        <v>61</v>
      </c>
      <c r="I13" s="4" t="s">
        <v>76</v>
      </c>
      <c r="J13" s="9" t="s">
        <v>74</v>
      </c>
      <c r="K13" s="7" t="s">
        <v>74</v>
      </c>
      <c r="L13" s="7">
        <v>30</v>
      </c>
    </row>
    <row r="14" spans="1:12">
      <c r="A14" s="4">
        <f t="shared" si="0"/>
        <v>12468</v>
      </c>
      <c r="B14" s="4" t="s">
        <v>96</v>
      </c>
      <c r="C14" s="4" t="s">
        <v>101</v>
      </c>
      <c r="D14" s="5">
        <v>45916</v>
      </c>
      <c r="E14" s="4" t="s">
        <v>12</v>
      </c>
      <c r="F14" s="4" t="s">
        <v>7</v>
      </c>
      <c r="G14" s="4" t="s">
        <v>58</v>
      </c>
      <c r="H14" s="4" t="s">
        <v>61</v>
      </c>
      <c r="I14" s="4" t="s">
        <v>77</v>
      </c>
      <c r="J14" s="9" t="s">
        <v>74</v>
      </c>
      <c r="K14" s="7" t="s">
        <v>74</v>
      </c>
      <c r="L14" s="7">
        <v>37</v>
      </c>
    </row>
    <row r="15" spans="1:12">
      <c r="A15" s="4">
        <f t="shared" si="0"/>
        <v>12469</v>
      </c>
      <c r="B15" s="4" t="s">
        <v>96</v>
      </c>
      <c r="C15" s="4" t="s">
        <v>101</v>
      </c>
      <c r="D15" s="5" t="s">
        <v>74</v>
      </c>
      <c r="E15" s="4" t="s">
        <v>15</v>
      </c>
      <c r="F15" s="4" t="s">
        <v>15</v>
      </c>
      <c r="G15" s="4" t="s">
        <v>57</v>
      </c>
      <c r="H15" s="4" t="s">
        <v>74</v>
      </c>
      <c r="I15" s="4" t="s">
        <v>76</v>
      </c>
      <c r="J15" s="9" t="s">
        <v>74</v>
      </c>
      <c r="K15" s="7" t="s">
        <v>74</v>
      </c>
      <c r="L15" s="7">
        <v>33</v>
      </c>
    </row>
    <row r="16" spans="1:12">
      <c r="A16" s="4">
        <f t="shared" si="0"/>
        <v>12470</v>
      </c>
      <c r="B16" s="4" t="s">
        <v>96</v>
      </c>
      <c r="C16" s="4" t="s">
        <v>101</v>
      </c>
      <c r="D16" s="5" t="s">
        <v>74</v>
      </c>
      <c r="E16" s="4" t="s">
        <v>13</v>
      </c>
      <c r="F16" s="4" t="s">
        <v>13</v>
      </c>
      <c r="G16" s="4" t="s">
        <v>57</v>
      </c>
      <c r="H16" s="4" t="s">
        <v>74</v>
      </c>
      <c r="I16" s="4" t="s">
        <v>76</v>
      </c>
      <c r="J16" s="9" t="s">
        <v>74</v>
      </c>
      <c r="K16" s="7" t="s">
        <v>74</v>
      </c>
      <c r="L16" s="7">
        <v>36</v>
      </c>
    </row>
    <row r="17" spans="1:12">
      <c r="A17" s="4">
        <f t="shared" si="0"/>
        <v>12471</v>
      </c>
      <c r="B17" s="4" t="s">
        <v>96</v>
      </c>
      <c r="C17" s="4" t="s">
        <v>101</v>
      </c>
      <c r="D17" s="5">
        <v>45927</v>
      </c>
      <c r="E17" s="4" t="s">
        <v>13</v>
      </c>
      <c r="F17" s="4" t="s">
        <v>13</v>
      </c>
      <c r="G17" s="4" t="s">
        <v>58</v>
      </c>
      <c r="H17" s="4" t="s">
        <v>60</v>
      </c>
      <c r="I17" s="4" t="s">
        <v>76</v>
      </c>
      <c r="J17" s="9">
        <v>45959</v>
      </c>
      <c r="K17" s="7" t="s">
        <v>54</v>
      </c>
      <c r="L17" s="7">
        <v>35</v>
      </c>
    </row>
    <row r="18" spans="1:12">
      <c r="A18" s="4">
        <f t="shared" si="0"/>
        <v>12472</v>
      </c>
      <c r="B18" s="4" t="s">
        <v>96</v>
      </c>
      <c r="C18" s="4" t="s">
        <v>101</v>
      </c>
      <c r="D18" s="5" t="s">
        <v>74</v>
      </c>
      <c r="E18" s="4" t="s">
        <v>13</v>
      </c>
      <c r="F18" s="4" t="s">
        <v>13</v>
      </c>
      <c r="G18" s="4" t="s">
        <v>57</v>
      </c>
      <c r="H18" s="4" t="s">
        <v>74</v>
      </c>
      <c r="I18" s="4" t="s">
        <v>77</v>
      </c>
      <c r="J18" s="9" t="s">
        <v>74</v>
      </c>
      <c r="K18" s="7" t="s">
        <v>74</v>
      </c>
      <c r="L18" s="7">
        <v>31</v>
      </c>
    </row>
    <row r="19" spans="1:12">
      <c r="A19" s="4">
        <f t="shared" si="0"/>
        <v>12473</v>
      </c>
      <c r="B19" s="4" t="s">
        <v>96</v>
      </c>
      <c r="C19" s="4" t="s">
        <v>101</v>
      </c>
      <c r="D19" s="5">
        <v>45923</v>
      </c>
      <c r="E19" s="4" t="s">
        <v>12</v>
      </c>
      <c r="F19" s="4" t="s">
        <v>7</v>
      </c>
      <c r="G19" s="4" t="s">
        <v>58</v>
      </c>
      <c r="H19" s="4" t="s">
        <v>61</v>
      </c>
      <c r="I19" s="4" t="s">
        <v>76</v>
      </c>
      <c r="J19" s="9" t="s">
        <v>74</v>
      </c>
      <c r="K19" s="7" t="s">
        <v>74</v>
      </c>
      <c r="L19" s="7">
        <v>30</v>
      </c>
    </row>
    <row r="20" spans="1:12">
      <c r="A20" s="4">
        <f t="shared" si="0"/>
        <v>12474</v>
      </c>
      <c r="B20" s="4" t="s">
        <v>96</v>
      </c>
      <c r="C20" s="4" t="s">
        <v>101</v>
      </c>
      <c r="D20" s="5" t="s">
        <v>74</v>
      </c>
      <c r="E20" s="4" t="s">
        <v>10</v>
      </c>
      <c r="F20" s="4" t="s">
        <v>10</v>
      </c>
      <c r="G20" s="4" t="s">
        <v>57</v>
      </c>
      <c r="H20" s="4" t="s">
        <v>74</v>
      </c>
      <c r="I20" s="4" t="s">
        <v>76</v>
      </c>
      <c r="J20" s="9" t="s">
        <v>74</v>
      </c>
      <c r="K20" s="7" t="s">
        <v>74</v>
      </c>
      <c r="L20" s="7">
        <v>34</v>
      </c>
    </row>
    <row r="21" spans="1:12">
      <c r="A21" s="4">
        <f t="shared" si="0"/>
        <v>12475</v>
      </c>
      <c r="B21" s="4" t="s">
        <v>96</v>
      </c>
      <c r="C21" s="4" t="s">
        <v>101</v>
      </c>
      <c r="D21" s="5">
        <v>45928</v>
      </c>
      <c r="E21" s="4" t="s">
        <v>14</v>
      </c>
      <c r="F21" s="4" t="s">
        <v>14</v>
      </c>
      <c r="G21" s="4" t="s">
        <v>58</v>
      </c>
      <c r="H21" s="4" t="s">
        <v>47</v>
      </c>
      <c r="I21" s="4" t="s">
        <v>76</v>
      </c>
      <c r="J21" s="9" t="s">
        <v>74</v>
      </c>
      <c r="K21" s="7" t="s">
        <v>74</v>
      </c>
      <c r="L21" s="7">
        <v>32</v>
      </c>
    </row>
    <row r="22" spans="1:12">
      <c r="A22" s="4">
        <f t="shared" si="0"/>
        <v>12476</v>
      </c>
      <c r="B22" s="4" t="s">
        <v>96</v>
      </c>
      <c r="C22" s="4" t="s">
        <v>101</v>
      </c>
      <c r="D22" s="5">
        <v>45930</v>
      </c>
      <c r="E22" s="4" t="s">
        <v>13</v>
      </c>
      <c r="F22" s="4" t="s">
        <v>13</v>
      </c>
      <c r="G22" s="4" t="s">
        <v>58</v>
      </c>
      <c r="H22" s="4" t="s">
        <v>47</v>
      </c>
      <c r="I22" s="4" t="s">
        <v>77</v>
      </c>
      <c r="J22" s="9" t="s">
        <v>74</v>
      </c>
      <c r="K22" s="7" t="s">
        <v>74</v>
      </c>
      <c r="L22" s="7">
        <v>43</v>
      </c>
    </row>
    <row r="23" spans="1:12">
      <c r="A23" s="4">
        <f t="shared" si="0"/>
        <v>12477</v>
      </c>
      <c r="B23" s="4" t="s">
        <v>96</v>
      </c>
      <c r="C23" s="4" t="s">
        <v>101</v>
      </c>
      <c r="D23" s="5">
        <v>45929</v>
      </c>
      <c r="E23" s="4" t="s">
        <v>19</v>
      </c>
      <c r="F23" s="4" t="s">
        <v>26</v>
      </c>
      <c r="G23" s="4" t="s">
        <v>58</v>
      </c>
      <c r="H23" s="4" t="s">
        <v>60</v>
      </c>
      <c r="I23" s="4" t="s">
        <v>77</v>
      </c>
      <c r="J23" s="9">
        <v>45960</v>
      </c>
      <c r="K23" s="7" t="s">
        <v>54</v>
      </c>
      <c r="L23" s="7">
        <v>32</v>
      </c>
    </row>
    <row r="24" spans="1:12">
      <c r="A24" s="4">
        <f t="shared" si="0"/>
        <v>12478</v>
      </c>
      <c r="B24" s="4" t="s">
        <v>96</v>
      </c>
      <c r="C24" s="4" t="s">
        <v>101</v>
      </c>
      <c r="D24" s="5" t="s">
        <v>74</v>
      </c>
      <c r="E24" s="4" t="s">
        <v>11</v>
      </c>
      <c r="F24" s="4" t="s">
        <v>11</v>
      </c>
      <c r="G24" s="4" t="s">
        <v>57</v>
      </c>
      <c r="H24" s="4" t="s">
        <v>74</v>
      </c>
      <c r="I24" s="4" t="s">
        <v>76</v>
      </c>
      <c r="J24" s="9" t="s">
        <v>74</v>
      </c>
      <c r="K24" s="7" t="s">
        <v>74</v>
      </c>
      <c r="L24" s="7">
        <v>49</v>
      </c>
    </row>
    <row r="25" spans="1:12">
      <c r="A25" s="4">
        <f t="shared" si="0"/>
        <v>12479</v>
      </c>
      <c r="B25" s="4" t="s">
        <v>96</v>
      </c>
      <c r="C25" s="4" t="s">
        <v>101</v>
      </c>
      <c r="D25" s="5">
        <v>45916</v>
      </c>
      <c r="E25" s="4" t="s">
        <v>9</v>
      </c>
      <c r="F25" s="4" t="s">
        <v>9</v>
      </c>
      <c r="G25" s="4" t="s">
        <v>58</v>
      </c>
      <c r="H25" s="4" t="s">
        <v>61</v>
      </c>
      <c r="I25" s="4" t="s">
        <v>76</v>
      </c>
      <c r="J25" s="9" t="s">
        <v>74</v>
      </c>
      <c r="K25" s="7" t="s">
        <v>74</v>
      </c>
      <c r="L25" s="7">
        <v>46</v>
      </c>
    </row>
    <row r="26" spans="1:12">
      <c r="A26" s="4">
        <f t="shared" si="0"/>
        <v>12480</v>
      </c>
      <c r="B26" s="4" t="s">
        <v>96</v>
      </c>
      <c r="C26" s="4" t="s">
        <v>101</v>
      </c>
      <c r="D26" s="5" t="s">
        <v>74</v>
      </c>
      <c r="E26" s="4" t="s">
        <v>9</v>
      </c>
      <c r="F26" s="4" t="s">
        <v>9</v>
      </c>
      <c r="G26" s="4" t="s">
        <v>57</v>
      </c>
      <c r="H26" s="4" t="s">
        <v>74</v>
      </c>
      <c r="I26" s="4" t="s">
        <v>76</v>
      </c>
      <c r="J26" s="9" t="s">
        <v>74</v>
      </c>
      <c r="K26" s="7" t="s">
        <v>74</v>
      </c>
      <c r="L26" s="7">
        <v>33</v>
      </c>
    </row>
    <row r="27" spans="1:12">
      <c r="A27" s="4">
        <f t="shared" si="0"/>
        <v>12481</v>
      </c>
      <c r="B27" s="4" t="s">
        <v>96</v>
      </c>
      <c r="C27" s="4" t="s">
        <v>101</v>
      </c>
      <c r="D27" s="5">
        <v>45926</v>
      </c>
      <c r="E27" s="4" t="s">
        <v>11</v>
      </c>
      <c r="F27" s="4" t="s">
        <v>11</v>
      </c>
      <c r="G27" s="4" t="s">
        <v>58</v>
      </c>
      <c r="H27" s="4" t="s">
        <v>60</v>
      </c>
      <c r="I27" s="4" t="s">
        <v>76</v>
      </c>
      <c r="J27" s="9">
        <v>45954</v>
      </c>
      <c r="K27" s="7" t="s">
        <v>54</v>
      </c>
    </row>
    <row r="28" spans="1:12">
      <c r="A28" s="4">
        <f t="shared" si="0"/>
        <v>12482</v>
      </c>
      <c r="B28" s="4" t="s">
        <v>96</v>
      </c>
      <c r="C28" s="4" t="s">
        <v>101</v>
      </c>
      <c r="D28" s="5">
        <v>45920</v>
      </c>
      <c r="E28" s="4" t="s">
        <v>13</v>
      </c>
      <c r="F28" s="4" t="s">
        <v>13</v>
      </c>
      <c r="G28" s="4" t="s">
        <v>58</v>
      </c>
      <c r="H28" s="4" t="s">
        <v>47</v>
      </c>
      <c r="I28" s="4" t="s">
        <v>77</v>
      </c>
      <c r="J28" s="9" t="s">
        <v>74</v>
      </c>
      <c r="K28" s="7" t="s">
        <v>74</v>
      </c>
      <c r="L28" s="7">
        <v>48</v>
      </c>
    </row>
    <row r="29" spans="1:12">
      <c r="A29" s="4">
        <f t="shared" si="0"/>
        <v>12483</v>
      </c>
      <c r="B29" s="4" t="s">
        <v>96</v>
      </c>
      <c r="C29" s="4" t="s">
        <v>101</v>
      </c>
      <c r="D29" s="5">
        <v>45919</v>
      </c>
      <c r="E29" s="4" t="s">
        <v>8</v>
      </c>
      <c r="F29" s="4" t="s">
        <v>7</v>
      </c>
      <c r="G29" s="4" t="s">
        <v>58</v>
      </c>
      <c r="H29" s="4" t="s">
        <v>61</v>
      </c>
      <c r="I29" s="4" t="s">
        <v>76</v>
      </c>
      <c r="J29" s="9" t="s">
        <v>74</v>
      </c>
      <c r="K29" s="7" t="s">
        <v>74</v>
      </c>
      <c r="L29" s="7">
        <v>41</v>
      </c>
    </row>
    <row r="30" spans="1:12">
      <c r="A30" s="4">
        <f t="shared" si="0"/>
        <v>12484</v>
      </c>
      <c r="B30" s="4" t="s">
        <v>96</v>
      </c>
      <c r="C30" s="4" t="s">
        <v>101</v>
      </c>
      <c r="D30" s="5" t="s">
        <v>74</v>
      </c>
      <c r="E30" s="4" t="s">
        <v>12</v>
      </c>
      <c r="F30" s="4" t="s">
        <v>7</v>
      </c>
      <c r="G30" s="4" t="s">
        <v>57</v>
      </c>
      <c r="H30" s="4" t="s">
        <v>74</v>
      </c>
      <c r="I30" s="4" t="s">
        <v>76</v>
      </c>
      <c r="J30" s="9" t="s">
        <v>74</v>
      </c>
      <c r="K30" s="7" t="s">
        <v>74</v>
      </c>
      <c r="L30" s="7">
        <v>38</v>
      </c>
    </row>
    <row r="31" spans="1:12">
      <c r="A31" s="4">
        <f t="shared" si="0"/>
        <v>12485</v>
      </c>
      <c r="B31" s="4" t="s">
        <v>96</v>
      </c>
      <c r="C31" s="4" t="s">
        <v>101</v>
      </c>
      <c r="D31" s="5">
        <v>45920</v>
      </c>
      <c r="E31" s="4" t="s">
        <v>8</v>
      </c>
      <c r="F31" s="4" t="s">
        <v>7</v>
      </c>
      <c r="G31" s="4" t="s">
        <v>58</v>
      </c>
      <c r="H31" s="4" t="s">
        <v>60</v>
      </c>
      <c r="I31" s="4" t="s">
        <v>77</v>
      </c>
      <c r="J31" s="9">
        <v>45951</v>
      </c>
      <c r="K31" s="7" t="s">
        <v>54</v>
      </c>
      <c r="L31" s="7">
        <v>48</v>
      </c>
    </row>
    <row r="32" spans="1:12">
      <c r="A32" s="4">
        <f t="shared" si="0"/>
        <v>12486</v>
      </c>
      <c r="B32" s="4" t="s">
        <v>96</v>
      </c>
      <c r="C32" s="4" t="s">
        <v>101</v>
      </c>
      <c r="D32" s="5">
        <v>45917</v>
      </c>
      <c r="E32" s="4" t="s">
        <v>13</v>
      </c>
      <c r="F32" s="4" t="s">
        <v>13</v>
      </c>
      <c r="G32" s="4" t="s">
        <v>58</v>
      </c>
      <c r="H32" s="4" t="s">
        <v>60</v>
      </c>
      <c r="I32" s="4" t="s">
        <v>76</v>
      </c>
      <c r="J32" s="9">
        <v>45955</v>
      </c>
      <c r="K32" s="7" t="s">
        <v>54</v>
      </c>
      <c r="L32" s="7">
        <v>34</v>
      </c>
    </row>
    <row r="33" spans="1:12">
      <c r="A33" s="4">
        <f t="shared" si="0"/>
        <v>12487</v>
      </c>
      <c r="B33" s="4" t="s">
        <v>96</v>
      </c>
      <c r="C33" s="4" t="s">
        <v>101</v>
      </c>
      <c r="D33" s="5" t="s">
        <v>74</v>
      </c>
      <c r="E33" s="4" t="s">
        <v>13</v>
      </c>
      <c r="F33" s="4" t="s">
        <v>13</v>
      </c>
      <c r="G33" s="4" t="s">
        <v>57</v>
      </c>
      <c r="H33" s="4" t="s">
        <v>74</v>
      </c>
      <c r="I33" s="4" t="s">
        <v>76</v>
      </c>
      <c r="J33" s="9" t="s">
        <v>74</v>
      </c>
      <c r="K33" s="7" t="s">
        <v>74</v>
      </c>
      <c r="L33" s="7">
        <v>48</v>
      </c>
    </row>
    <row r="34" spans="1:12">
      <c r="A34" s="4">
        <f t="shared" si="0"/>
        <v>12488</v>
      </c>
      <c r="B34" s="4" t="s">
        <v>96</v>
      </c>
      <c r="C34" s="4" t="s">
        <v>101</v>
      </c>
      <c r="D34" s="5">
        <v>45929</v>
      </c>
      <c r="E34" s="4" t="s">
        <v>12</v>
      </c>
      <c r="F34" s="4" t="s">
        <v>7</v>
      </c>
      <c r="G34" s="4" t="s">
        <v>58</v>
      </c>
      <c r="H34" s="4" t="s">
        <v>61</v>
      </c>
      <c r="I34" s="4" t="s">
        <v>76</v>
      </c>
      <c r="J34" s="9" t="s">
        <v>74</v>
      </c>
      <c r="K34" s="7" t="s">
        <v>74</v>
      </c>
      <c r="L34" s="7">
        <v>33</v>
      </c>
    </row>
    <row r="35" spans="1:12">
      <c r="A35" s="4">
        <f t="shared" si="0"/>
        <v>12489</v>
      </c>
      <c r="B35" s="4" t="s">
        <v>96</v>
      </c>
      <c r="C35" s="4" t="s">
        <v>101</v>
      </c>
      <c r="D35" s="5">
        <v>45918</v>
      </c>
      <c r="E35" s="4" t="s">
        <v>10</v>
      </c>
      <c r="F35" s="4" t="s">
        <v>10</v>
      </c>
      <c r="G35" s="4" t="s">
        <v>58</v>
      </c>
      <c r="H35" s="4" t="s">
        <v>60</v>
      </c>
      <c r="I35" s="4" t="s">
        <v>76</v>
      </c>
      <c r="J35" s="9">
        <v>45958</v>
      </c>
      <c r="K35" s="7" t="s">
        <v>54</v>
      </c>
      <c r="L35" s="7">
        <v>37</v>
      </c>
    </row>
    <row r="36" spans="1:12">
      <c r="A36" s="4">
        <f t="shared" si="0"/>
        <v>12490</v>
      </c>
      <c r="B36" s="4" t="s">
        <v>96</v>
      </c>
      <c r="C36" s="4" t="s">
        <v>101</v>
      </c>
      <c r="D36" s="5" t="s">
        <v>74</v>
      </c>
      <c r="E36" s="4" t="s">
        <v>14</v>
      </c>
      <c r="F36" s="4" t="s">
        <v>14</v>
      </c>
      <c r="G36" s="4" t="s">
        <v>57</v>
      </c>
      <c r="H36" s="4" t="s">
        <v>74</v>
      </c>
      <c r="I36" s="4" t="s">
        <v>76</v>
      </c>
      <c r="J36" s="9" t="s">
        <v>74</v>
      </c>
      <c r="K36" s="7" t="s">
        <v>74</v>
      </c>
      <c r="L36" s="7">
        <v>40</v>
      </c>
    </row>
    <row r="37" spans="1:12">
      <c r="A37" s="4">
        <f t="shared" si="0"/>
        <v>12491</v>
      </c>
      <c r="B37" s="4" t="s">
        <v>96</v>
      </c>
      <c r="C37" s="4" t="s">
        <v>101</v>
      </c>
      <c r="D37" s="5">
        <v>45929</v>
      </c>
      <c r="E37" s="4" t="s">
        <v>13</v>
      </c>
      <c r="F37" s="4" t="s">
        <v>13</v>
      </c>
      <c r="G37" s="4" t="s">
        <v>58</v>
      </c>
      <c r="H37" s="4" t="s">
        <v>47</v>
      </c>
      <c r="I37" s="4" t="s">
        <v>76</v>
      </c>
      <c r="J37" s="9" t="s">
        <v>74</v>
      </c>
      <c r="K37" s="7" t="s">
        <v>74</v>
      </c>
      <c r="L37" s="7">
        <v>37</v>
      </c>
    </row>
    <row r="38" spans="1:12">
      <c r="A38" s="4">
        <f t="shared" si="0"/>
        <v>12492</v>
      </c>
      <c r="B38" s="4" t="s">
        <v>96</v>
      </c>
      <c r="C38" s="4" t="s">
        <v>101</v>
      </c>
      <c r="D38" s="5">
        <v>45922</v>
      </c>
      <c r="E38" s="4" t="s">
        <v>19</v>
      </c>
      <c r="F38" s="4" t="s">
        <v>26</v>
      </c>
      <c r="G38" s="4" t="s">
        <v>58</v>
      </c>
      <c r="H38" s="4" t="s">
        <v>60</v>
      </c>
      <c r="I38" s="4" t="s">
        <v>77</v>
      </c>
      <c r="J38" s="9">
        <v>45952</v>
      </c>
      <c r="K38" s="7" t="s">
        <v>54</v>
      </c>
      <c r="L38" s="7">
        <v>31</v>
      </c>
    </row>
    <row r="39" spans="1:12">
      <c r="A39" s="4">
        <f t="shared" si="0"/>
        <v>12493</v>
      </c>
      <c r="B39" s="4" t="s">
        <v>96</v>
      </c>
      <c r="C39" s="4" t="s">
        <v>101</v>
      </c>
      <c r="D39" s="5" t="s">
        <v>74</v>
      </c>
      <c r="E39" s="4" t="s">
        <v>11</v>
      </c>
      <c r="F39" s="4" t="s">
        <v>11</v>
      </c>
      <c r="G39" s="4" t="s">
        <v>57</v>
      </c>
      <c r="H39" s="4" t="s">
        <v>74</v>
      </c>
      <c r="I39" s="4" t="s">
        <v>76</v>
      </c>
      <c r="J39" s="9" t="s">
        <v>74</v>
      </c>
      <c r="K39" s="7" t="s">
        <v>74</v>
      </c>
      <c r="L39" s="7">
        <v>43</v>
      </c>
    </row>
    <row r="40" spans="1:12">
      <c r="A40" s="4">
        <f t="shared" si="0"/>
        <v>12494</v>
      </c>
      <c r="B40" s="4" t="s">
        <v>96</v>
      </c>
      <c r="C40" s="4" t="s">
        <v>101</v>
      </c>
      <c r="D40" s="5">
        <v>45915</v>
      </c>
      <c r="E40" s="4" t="s">
        <v>9</v>
      </c>
      <c r="F40" s="4" t="s">
        <v>9</v>
      </c>
      <c r="G40" s="4" t="s">
        <v>58</v>
      </c>
      <c r="H40" s="4" t="s">
        <v>61</v>
      </c>
      <c r="I40" s="4" t="s">
        <v>77</v>
      </c>
      <c r="J40" s="9" t="s">
        <v>74</v>
      </c>
      <c r="K40" s="7" t="s">
        <v>74</v>
      </c>
      <c r="L40" s="7">
        <v>50</v>
      </c>
    </row>
    <row r="41" spans="1:12">
      <c r="A41" s="4">
        <f t="shared" si="0"/>
        <v>12495</v>
      </c>
      <c r="B41" s="4" t="s">
        <v>96</v>
      </c>
      <c r="C41" s="4" t="s">
        <v>101</v>
      </c>
      <c r="D41" s="5" t="s">
        <v>74</v>
      </c>
      <c r="E41" s="4" t="s">
        <v>9</v>
      </c>
      <c r="F41" s="4" t="s">
        <v>9</v>
      </c>
      <c r="G41" s="4" t="s">
        <v>57</v>
      </c>
      <c r="H41" s="4" t="s">
        <v>74</v>
      </c>
      <c r="I41" s="4" t="s">
        <v>76</v>
      </c>
      <c r="J41" s="9" t="s">
        <v>74</v>
      </c>
      <c r="K41" s="7" t="s">
        <v>74</v>
      </c>
      <c r="L41" s="7">
        <v>31</v>
      </c>
    </row>
    <row r="42" spans="1:12">
      <c r="A42" s="4">
        <f t="shared" si="0"/>
        <v>12496</v>
      </c>
      <c r="B42" s="4" t="s">
        <v>96</v>
      </c>
      <c r="C42" s="4" t="s">
        <v>101</v>
      </c>
      <c r="D42" s="5">
        <v>45924</v>
      </c>
      <c r="E42" s="4" t="s">
        <v>11</v>
      </c>
      <c r="F42" s="4" t="s">
        <v>11</v>
      </c>
      <c r="G42" s="4" t="s">
        <v>58</v>
      </c>
      <c r="H42" s="4" t="s">
        <v>60</v>
      </c>
      <c r="I42" s="4" t="s">
        <v>76</v>
      </c>
      <c r="J42" s="9">
        <v>45948</v>
      </c>
      <c r="K42" s="7" t="s">
        <v>54</v>
      </c>
      <c r="L42" s="7">
        <v>46</v>
      </c>
    </row>
    <row r="43" spans="1:12">
      <c r="A43" s="4">
        <f t="shared" si="0"/>
        <v>12497</v>
      </c>
      <c r="B43" s="4" t="s">
        <v>96</v>
      </c>
      <c r="C43" s="4" t="s">
        <v>101</v>
      </c>
      <c r="D43" s="5">
        <v>45926</v>
      </c>
      <c r="E43" s="4" t="s">
        <v>13</v>
      </c>
      <c r="F43" s="4" t="s">
        <v>13</v>
      </c>
      <c r="G43" s="4" t="s">
        <v>58</v>
      </c>
      <c r="H43" s="4" t="s">
        <v>47</v>
      </c>
      <c r="I43" s="4" t="s">
        <v>76</v>
      </c>
      <c r="J43" s="9" t="s">
        <v>74</v>
      </c>
      <c r="K43" s="7" t="s">
        <v>74</v>
      </c>
      <c r="L43" s="7">
        <v>33</v>
      </c>
    </row>
    <row r="44" spans="1:12">
      <c r="A44" s="4">
        <f t="shared" si="0"/>
        <v>12498</v>
      </c>
      <c r="B44" s="4" t="s">
        <v>96</v>
      </c>
      <c r="C44" s="4" t="s">
        <v>101</v>
      </c>
      <c r="D44" s="5" t="s">
        <v>74</v>
      </c>
      <c r="E44" s="4" t="s">
        <v>8</v>
      </c>
      <c r="F44" s="4" t="s">
        <v>7</v>
      </c>
      <c r="G44" s="4" t="s">
        <v>57</v>
      </c>
      <c r="H44" s="4" t="s">
        <v>74</v>
      </c>
      <c r="I44" s="4" t="s">
        <v>77</v>
      </c>
      <c r="J44" s="9" t="s">
        <v>74</v>
      </c>
      <c r="K44" s="7" t="s">
        <v>74</v>
      </c>
      <c r="L44" s="7">
        <v>46</v>
      </c>
    </row>
    <row r="45" spans="1:12">
      <c r="A45" s="4">
        <f t="shared" si="0"/>
        <v>12499</v>
      </c>
      <c r="B45" s="4" t="s">
        <v>96</v>
      </c>
      <c r="C45" s="4" t="s">
        <v>101</v>
      </c>
      <c r="D45" s="5">
        <v>45927</v>
      </c>
      <c r="E45" s="4" t="s">
        <v>12</v>
      </c>
      <c r="F45" s="4" t="s">
        <v>7</v>
      </c>
      <c r="G45" s="4" t="s">
        <v>58</v>
      </c>
      <c r="H45" s="4" t="s">
        <v>61</v>
      </c>
      <c r="I45" s="4" t="s">
        <v>76</v>
      </c>
      <c r="J45" s="9" t="s">
        <v>74</v>
      </c>
      <c r="K45" s="7" t="s">
        <v>74</v>
      </c>
      <c r="L45" s="7">
        <v>37</v>
      </c>
    </row>
    <row r="46" spans="1:12">
      <c r="A46" s="4">
        <f t="shared" si="0"/>
        <v>12500</v>
      </c>
      <c r="B46" s="4" t="s">
        <v>96</v>
      </c>
      <c r="C46" s="4" t="s">
        <v>101</v>
      </c>
      <c r="D46" s="5">
        <v>45915</v>
      </c>
      <c r="E46" s="4" t="s">
        <v>8</v>
      </c>
      <c r="F46" s="4" t="s">
        <v>7</v>
      </c>
      <c r="G46" s="4" t="s">
        <v>58</v>
      </c>
      <c r="H46" s="4" t="s">
        <v>60</v>
      </c>
      <c r="I46" s="4" t="s">
        <v>76</v>
      </c>
      <c r="J46" s="9">
        <v>45948</v>
      </c>
      <c r="K46" s="7" t="s">
        <v>54</v>
      </c>
      <c r="L46" s="7">
        <v>32</v>
      </c>
    </row>
    <row r="47" spans="1:12">
      <c r="A47" s="4">
        <f t="shared" si="0"/>
        <v>12501</v>
      </c>
      <c r="B47" s="5" t="s">
        <v>95</v>
      </c>
      <c r="C47" s="5" t="s">
        <v>102</v>
      </c>
      <c r="D47" s="5">
        <v>45925</v>
      </c>
      <c r="E47" s="4" t="s">
        <v>14</v>
      </c>
      <c r="F47" s="4" t="s">
        <v>14</v>
      </c>
      <c r="G47" s="4" t="s">
        <v>57</v>
      </c>
      <c r="H47" s="4" t="s">
        <v>60</v>
      </c>
      <c r="I47" s="4" t="s">
        <v>68</v>
      </c>
      <c r="J47" s="9" t="s">
        <v>74</v>
      </c>
      <c r="K47" s="7" t="s">
        <v>74</v>
      </c>
      <c r="L47" s="7">
        <v>48</v>
      </c>
    </row>
    <row r="48" spans="1:12">
      <c r="A48" s="4">
        <f t="shared" si="0"/>
        <v>12502</v>
      </c>
      <c r="B48" s="5" t="s">
        <v>95</v>
      </c>
      <c r="C48" s="5" t="s">
        <v>102</v>
      </c>
      <c r="D48" s="5">
        <v>45926</v>
      </c>
      <c r="E48" s="4" t="s">
        <v>13</v>
      </c>
      <c r="F48" s="4" t="s">
        <v>13</v>
      </c>
      <c r="G48" s="4" t="s">
        <v>58</v>
      </c>
      <c r="H48" s="4" t="s">
        <v>47</v>
      </c>
      <c r="I48" s="4" t="s">
        <v>97</v>
      </c>
      <c r="J48" s="9" t="s">
        <v>74</v>
      </c>
      <c r="K48" s="7" t="s">
        <v>74</v>
      </c>
      <c r="L48" s="7">
        <v>33</v>
      </c>
    </row>
    <row r="49" spans="1:12">
      <c r="A49" s="4">
        <f t="shared" si="0"/>
        <v>12503</v>
      </c>
      <c r="B49" s="5" t="s">
        <v>95</v>
      </c>
      <c r="C49" s="5" t="s">
        <v>103</v>
      </c>
      <c r="D49" s="5">
        <v>45916</v>
      </c>
      <c r="E49" s="4" t="s">
        <v>19</v>
      </c>
      <c r="F49" s="4" t="s">
        <v>32</v>
      </c>
      <c r="G49" s="4" t="s">
        <v>58</v>
      </c>
      <c r="H49" s="4" t="s">
        <v>61</v>
      </c>
      <c r="I49" s="4" t="s">
        <v>98</v>
      </c>
      <c r="J49" s="9">
        <v>45960</v>
      </c>
      <c r="K49" s="7" t="s">
        <v>54</v>
      </c>
      <c r="L49" s="7">
        <v>37</v>
      </c>
    </row>
    <row r="50" spans="1:12">
      <c r="A50" s="4">
        <f t="shared" si="0"/>
        <v>12504</v>
      </c>
      <c r="B50" s="5" t="s">
        <v>95</v>
      </c>
      <c r="C50" s="5" t="s">
        <v>103</v>
      </c>
      <c r="D50" s="5" t="s">
        <v>74</v>
      </c>
      <c r="E50" s="4" t="s">
        <v>9</v>
      </c>
      <c r="F50" s="4" t="s">
        <v>9</v>
      </c>
      <c r="G50" s="4" t="s">
        <v>58</v>
      </c>
      <c r="H50" s="4" t="s">
        <v>74</v>
      </c>
      <c r="I50" s="4" t="s">
        <v>99</v>
      </c>
      <c r="J50" s="9" t="s">
        <v>74</v>
      </c>
      <c r="K50" s="7" t="s">
        <v>74</v>
      </c>
      <c r="L50" s="7">
        <v>40</v>
      </c>
    </row>
    <row r="51" spans="1:12">
      <c r="A51" s="4">
        <f t="shared" si="0"/>
        <v>12505</v>
      </c>
      <c r="B51" s="5" t="s">
        <v>95</v>
      </c>
      <c r="C51" s="5" t="s">
        <v>102</v>
      </c>
      <c r="D51" s="5" t="s">
        <v>74</v>
      </c>
      <c r="E51" s="4" t="s">
        <v>8</v>
      </c>
      <c r="F51" s="4" t="s">
        <v>7</v>
      </c>
      <c r="G51" s="4" t="s">
        <v>58</v>
      </c>
      <c r="H51" s="4" t="s">
        <v>60</v>
      </c>
      <c r="I51" s="4" t="s">
        <v>100</v>
      </c>
      <c r="J51" s="9">
        <v>45948</v>
      </c>
      <c r="K51" s="7" t="s">
        <v>54</v>
      </c>
      <c r="L51" s="7">
        <v>37</v>
      </c>
    </row>
    <row r="52" spans="1:12">
      <c r="A52" s="4">
        <f t="shared" si="0"/>
        <v>12506</v>
      </c>
      <c r="B52" s="5" t="s">
        <v>95</v>
      </c>
      <c r="C52" s="5" t="s">
        <v>103</v>
      </c>
      <c r="D52" s="5">
        <v>45927</v>
      </c>
      <c r="E52" s="4" t="s">
        <v>9</v>
      </c>
      <c r="F52" s="4" t="s">
        <v>9</v>
      </c>
      <c r="G52" s="4" t="s">
        <v>58</v>
      </c>
      <c r="H52" s="4" t="s">
        <v>60</v>
      </c>
      <c r="I52" s="4" t="s">
        <v>68</v>
      </c>
      <c r="J52" s="9">
        <v>45945</v>
      </c>
      <c r="K52" s="7" t="s">
        <v>48</v>
      </c>
      <c r="L52" s="7">
        <v>31</v>
      </c>
    </row>
    <row r="53" spans="1:12">
      <c r="A53" s="4">
        <f t="shared" si="0"/>
        <v>12507</v>
      </c>
      <c r="B53" s="5" t="s">
        <v>95</v>
      </c>
      <c r="C53" s="5" t="s">
        <v>103</v>
      </c>
      <c r="D53" s="5" t="s">
        <v>74</v>
      </c>
      <c r="E53" s="4" t="s">
        <v>13</v>
      </c>
      <c r="F53" s="4" t="s">
        <v>13</v>
      </c>
      <c r="G53" s="4" t="s">
        <v>58</v>
      </c>
      <c r="H53" s="4" t="s">
        <v>74</v>
      </c>
      <c r="I53" s="4" t="s">
        <v>97</v>
      </c>
      <c r="J53" s="9" t="s">
        <v>74</v>
      </c>
      <c r="K53" s="7" t="s">
        <v>74</v>
      </c>
      <c r="L53" s="7">
        <v>43</v>
      </c>
    </row>
    <row r="54" spans="1:12">
      <c r="A54" s="4">
        <f t="shared" si="0"/>
        <v>12508</v>
      </c>
      <c r="B54" s="5" t="s">
        <v>95</v>
      </c>
      <c r="C54" s="5" t="s">
        <v>102</v>
      </c>
      <c r="D54" s="5">
        <v>45923</v>
      </c>
      <c r="E54" s="4" t="s">
        <v>14</v>
      </c>
      <c r="F54" s="4" t="s">
        <v>14</v>
      </c>
      <c r="G54" s="4" t="s">
        <v>58</v>
      </c>
      <c r="H54" s="4" t="s">
        <v>61</v>
      </c>
      <c r="I54" s="4" t="s">
        <v>68</v>
      </c>
      <c r="J54" s="9" t="s">
        <v>74</v>
      </c>
      <c r="K54" s="7" t="s">
        <v>74</v>
      </c>
      <c r="L54" s="7">
        <v>50</v>
      </c>
    </row>
    <row r="55" spans="1:12">
      <c r="A55" s="4">
        <f t="shared" si="0"/>
        <v>12509</v>
      </c>
      <c r="B55" s="5" t="s">
        <v>95</v>
      </c>
      <c r="C55" s="5" t="s">
        <v>102</v>
      </c>
      <c r="D55" s="5" t="s">
        <v>74</v>
      </c>
      <c r="E55" s="4" t="s">
        <v>10</v>
      </c>
      <c r="F55" s="4" t="s">
        <v>10</v>
      </c>
      <c r="G55" s="4" t="s">
        <v>58</v>
      </c>
      <c r="H55" s="4" t="s">
        <v>60</v>
      </c>
      <c r="I55" s="4" t="s">
        <v>97</v>
      </c>
      <c r="J55" s="9" t="s">
        <v>74</v>
      </c>
      <c r="K55" s="7" t="s">
        <v>74</v>
      </c>
      <c r="L55" s="7">
        <v>31</v>
      </c>
    </row>
    <row r="56" spans="1:12">
      <c r="A56" s="4">
        <f t="shared" si="0"/>
        <v>12510</v>
      </c>
      <c r="B56" s="5" t="s">
        <v>95</v>
      </c>
      <c r="C56" s="5" t="s">
        <v>102</v>
      </c>
      <c r="D56" s="5">
        <v>45928</v>
      </c>
      <c r="E56" s="4" t="s">
        <v>19</v>
      </c>
      <c r="F56" s="4" t="s">
        <v>29</v>
      </c>
      <c r="G56" s="4" t="s">
        <v>57</v>
      </c>
      <c r="H56" s="4" t="s">
        <v>74</v>
      </c>
      <c r="I56" s="4" t="s">
        <v>68</v>
      </c>
      <c r="J56" s="9" t="s">
        <v>74</v>
      </c>
      <c r="K56" s="7" t="s">
        <v>74</v>
      </c>
      <c r="L56" s="7">
        <v>46</v>
      </c>
    </row>
    <row r="57" spans="1:12">
      <c r="A57" s="4">
        <f t="shared" si="0"/>
        <v>12511</v>
      </c>
      <c r="B57" s="5" t="s">
        <v>95</v>
      </c>
      <c r="C57" s="5" t="s">
        <v>103</v>
      </c>
      <c r="D57" s="5">
        <v>45930</v>
      </c>
      <c r="E57" s="4" t="s">
        <v>9</v>
      </c>
      <c r="F57" s="4" t="s">
        <v>9</v>
      </c>
      <c r="G57" s="4" t="s">
        <v>58</v>
      </c>
      <c r="H57" s="4" t="s">
        <v>47</v>
      </c>
      <c r="I57" s="4" t="s">
        <v>97</v>
      </c>
      <c r="J57" s="9" t="s">
        <v>74</v>
      </c>
      <c r="K57" s="7" t="s">
        <v>74</v>
      </c>
      <c r="L57" s="7">
        <v>33</v>
      </c>
    </row>
    <row r="58" spans="1:12">
      <c r="A58" s="4">
        <f t="shared" si="0"/>
        <v>12512</v>
      </c>
      <c r="B58" s="5" t="s">
        <v>95</v>
      </c>
      <c r="C58" s="5" t="s">
        <v>103</v>
      </c>
      <c r="D58" s="5">
        <v>45929</v>
      </c>
      <c r="E58" s="4" t="s">
        <v>10</v>
      </c>
      <c r="F58" s="4" t="s">
        <v>10</v>
      </c>
      <c r="G58" s="4" t="s">
        <v>58</v>
      </c>
      <c r="H58" s="4" t="s">
        <v>60</v>
      </c>
      <c r="I58" s="4" t="s">
        <v>98</v>
      </c>
      <c r="J58" s="9" t="s">
        <v>74</v>
      </c>
      <c r="K58" s="7" t="s">
        <v>74</v>
      </c>
      <c r="L58" s="7">
        <v>46</v>
      </c>
    </row>
    <row r="59" spans="1:12">
      <c r="A59" s="4">
        <f t="shared" si="0"/>
        <v>12513</v>
      </c>
      <c r="B59" s="5" t="s">
        <v>95</v>
      </c>
      <c r="C59" s="5" t="s">
        <v>102</v>
      </c>
      <c r="D59" s="5" t="s">
        <v>74</v>
      </c>
      <c r="E59" s="4" t="s">
        <v>12</v>
      </c>
      <c r="F59" s="4" t="s">
        <v>7</v>
      </c>
      <c r="G59" s="4" t="s">
        <v>58</v>
      </c>
      <c r="H59" s="4" t="s">
        <v>74</v>
      </c>
      <c r="I59" s="4" t="s">
        <v>99</v>
      </c>
      <c r="J59" s="9" t="s">
        <v>74</v>
      </c>
      <c r="K59" s="7" t="s">
        <v>74</v>
      </c>
      <c r="L59" s="7">
        <v>37</v>
      </c>
    </row>
    <row r="60" spans="1:12">
      <c r="A60" s="4">
        <f t="shared" si="0"/>
        <v>12514</v>
      </c>
      <c r="B60" s="5" t="s">
        <v>95</v>
      </c>
      <c r="C60" s="5" t="s">
        <v>102</v>
      </c>
      <c r="D60" s="5">
        <v>45916</v>
      </c>
      <c r="E60" s="4" t="s">
        <v>14</v>
      </c>
      <c r="F60" s="4" t="s">
        <v>14</v>
      </c>
      <c r="G60" s="4" t="s">
        <v>57</v>
      </c>
      <c r="H60" s="4" t="s">
        <v>61</v>
      </c>
      <c r="I60" s="4" t="s">
        <v>100</v>
      </c>
      <c r="J60" s="9" t="s">
        <v>74</v>
      </c>
      <c r="K60" s="7" t="s">
        <v>74</v>
      </c>
      <c r="L60" s="7">
        <v>43</v>
      </c>
    </row>
    <row r="61" spans="1:12">
      <c r="A61" s="4">
        <f t="shared" si="0"/>
        <v>12515</v>
      </c>
      <c r="B61" s="5" t="s">
        <v>95</v>
      </c>
      <c r="C61" s="5" t="s">
        <v>102</v>
      </c>
      <c r="D61" s="5" t="s">
        <v>74</v>
      </c>
      <c r="E61" s="4" t="s">
        <v>13</v>
      </c>
      <c r="F61" s="4" t="s">
        <v>13</v>
      </c>
      <c r="G61" s="4" t="s">
        <v>57</v>
      </c>
      <c r="H61" s="4" t="s">
        <v>74</v>
      </c>
      <c r="I61" s="4" t="s">
        <v>68</v>
      </c>
      <c r="J61" s="9" t="s">
        <v>74</v>
      </c>
      <c r="K61" s="7" t="s">
        <v>54</v>
      </c>
      <c r="L61" s="7">
        <v>50</v>
      </c>
    </row>
    <row r="62" spans="1:12">
      <c r="A62" s="4">
        <f t="shared" si="0"/>
        <v>12516</v>
      </c>
      <c r="B62" s="5" t="s">
        <v>95</v>
      </c>
      <c r="C62" s="5" t="s">
        <v>102</v>
      </c>
      <c r="D62" s="5">
        <v>45926</v>
      </c>
      <c r="E62" s="4" t="s">
        <v>19</v>
      </c>
      <c r="F62" s="4" t="s">
        <v>32</v>
      </c>
      <c r="G62" s="4" t="s">
        <v>58</v>
      </c>
      <c r="H62" s="4" t="s">
        <v>60</v>
      </c>
      <c r="I62" s="4" t="s">
        <v>97</v>
      </c>
      <c r="J62" s="9">
        <v>45959</v>
      </c>
      <c r="K62" s="7" t="s">
        <v>74</v>
      </c>
      <c r="L62" s="7">
        <v>31</v>
      </c>
    </row>
    <row r="63" spans="1:12">
      <c r="A63" s="4">
        <f t="shared" si="0"/>
        <v>12517</v>
      </c>
      <c r="B63" s="5" t="s">
        <v>95</v>
      </c>
      <c r="C63" s="5" t="s">
        <v>102</v>
      </c>
      <c r="D63" s="5">
        <v>45920</v>
      </c>
      <c r="E63" s="4" t="s">
        <v>9</v>
      </c>
      <c r="F63" s="4" t="s">
        <v>9</v>
      </c>
      <c r="G63" s="4" t="s">
        <v>58</v>
      </c>
      <c r="H63" s="4" t="s">
        <v>47</v>
      </c>
      <c r="I63" s="4" t="s">
        <v>68</v>
      </c>
      <c r="J63" s="9" t="s">
        <v>74</v>
      </c>
      <c r="K63" s="7" t="s">
        <v>54</v>
      </c>
      <c r="L63" s="7">
        <v>46</v>
      </c>
    </row>
    <row r="64" spans="1:12">
      <c r="A64" s="4">
        <f t="shared" si="0"/>
        <v>12518</v>
      </c>
      <c r="B64" s="5" t="s">
        <v>95</v>
      </c>
      <c r="C64" s="5" t="s">
        <v>103</v>
      </c>
      <c r="D64" s="5">
        <v>45919</v>
      </c>
      <c r="E64" s="4" t="s">
        <v>8</v>
      </c>
      <c r="F64" s="4" t="s">
        <v>7</v>
      </c>
      <c r="G64" s="4" t="s">
        <v>58</v>
      </c>
      <c r="H64" s="4" t="s">
        <v>74</v>
      </c>
      <c r="I64" s="4" t="s">
        <v>100</v>
      </c>
      <c r="J64" s="9" t="s">
        <v>74</v>
      </c>
      <c r="K64" s="7" t="s">
        <v>48</v>
      </c>
      <c r="L64" s="7">
        <v>33</v>
      </c>
    </row>
    <row r="65" spans="1:12">
      <c r="A65" s="4">
        <f t="shared" si="0"/>
        <v>12519</v>
      </c>
      <c r="B65" s="5" t="s">
        <v>95</v>
      </c>
      <c r="C65" s="5" t="s">
        <v>103</v>
      </c>
      <c r="D65" s="5" t="s">
        <v>74</v>
      </c>
      <c r="E65" s="4" t="s">
        <v>9</v>
      </c>
      <c r="F65" s="4" t="s">
        <v>9</v>
      </c>
      <c r="G65" s="4" t="s">
        <v>57</v>
      </c>
      <c r="H65" s="4" t="s">
        <v>61</v>
      </c>
      <c r="I65" s="4" t="s">
        <v>100</v>
      </c>
      <c r="J65" s="9" t="s">
        <v>74</v>
      </c>
      <c r="K65" s="7" t="s">
        <v>54</v>
      </c>
      <c r="L65" s="7">
        <v>46</v>
      </c>
    </row>
    <row r="66" spans="1:12">
      <c r="A66" s="4">
        <f t="shared" si="0"/>
        <v>12520</v>
      </c>
      <c r="B66" s="5" t="s">
        <v>95</v>
      </c>
      <c r="C66" s="5" t="s">
        <v>103</v>
      </c>
      <c r="D66" s="5">
        <v>45920</v>
      </c>
      <c r="E66" s="4" t="s">
        <v>13</v>
      </c>
      <c r="F66" s="4" t="s">
        <v>13</v>
      </c>
      <c r="G66" s="4" t="s">
        <v>57</v>
      </c>
      <c r="H66" s="4" t="s">
        <v>60</v>
      </c>
      <c r="I66" s="4" t="s">
        <v>97</v>
      </c>
      <c r="J66" s="9" t="s">
        <v>74</v>
      </c>
      <c r="K66" s="7" t="s">
        <v>48</v>
      </c>
      <c r="L66" s="7">
        <v>37</v>
      </c>
    </row>
    <row r="67" spans="1:12">
      <c r="A67" s="5"/>
      <c r="B67" s="5"/>
      <c r="C67" s="5"/>
      <c r="D67" s="5"/>
    </row>
    <row r="68" spans="1:12">
      <c r="A68" s="5"/>
      <c r="B68" s="5"/>
      <c r="C68" s="5"/>
      <c r="D68" s="5"/>
    </row>
    <row r="69" spans="1:12">
      <c r="A69" s="5"/>
      <c r="B69" s="5"/>
      <c r="C69" s="5"/>
      <c r="D69" s="5"/>
    </row>
    <row r="70" spans="1:12">
      <c r="A70" s="5"/>
      <c r="B70" s="5"/>
      <c r="C70" s="5"/>
      <c r="D70" s="5"/>
    </row>
    <row r="71" spans="1:12">
      <c r="A71" s="5"/>
      <c r="B71" s="5"/>
      <c r="C71" s="5"/>
      <c r="D71" s="5"/>
    </row>
    <row r="72" spans="1:12">
      <c r="A72" s="5"/>
      <c r="B72" s="5"/>
      <c r="C72" s="5"/>
      <c r="D72" s="5"/>
    </row>
    <row r="73" spans="1:12">
      <c r="A73" s="5"/>
      <c r="B73" s="5"/>
      <c r="C73" s="5"/>
      <c r="D73" s="5"/>
    </row>
    <row r="74" spans="1:12">
      <c r="A74" s="5"/>
      <c r="B74" s="5"/>
      <c r="C74" s="5"/>
      <c r="D74" s="5"/>
    </row>
    <row r="75" spans="1:12">
      <c r="A75" s="5"/>
      <c r="B75" s="5"/>
      <c r="C75" s="5"/>
      <c r="D75" s="5"/>
    </row>
    <row r="76" spans="1:12">
      <c r="A76" s="5"/>
      <c r="B76" s="5"/>
      <c r="C76" s="5"/>
      <c r="D76" s="5"/>
    </row>
    <row r="77" spans="1:12">
      <c r="A77" s="5"/>
      <c r="B77" s="5"/>
      <c r="C77" s="5"/>
      <c r="D77" s="5"/>
    </row>
    <row r="78" spans="1:12">
      <c r="A78" s="5"/>
      <c r="B78" s="5"/>
      <c r="C78" s="5"/>
      <c r="D78" s="5"/>
    </row>
    <row r="79" spans="1:12">
      <c r="A79" s="5"/>
      <c r="B79" s="5"/>
      <c r="C79" s="5"/>
      <c r="D79" s="5"/>
    </row>
    <row r="80" spans="1:12">
      <c r="A80" s="5"/>
      <c r="B80" s="5"/>
      <c r="C80" s="5"/>
      <c r="D80" s="5"/>
    </row>
    <row r="81" spans="1:4">
      <c r="A81" s="5"/>
      <c r="B81" s="5"/>
      <c r="C81" s="5"/>
      <c r="D81" s="5"/>
    </row>
    <row r="82" spans="1:4">
      <c r="A82" s="5"/>
      <c r="B82" s="5"/>
      <c r="C82" s="5"/>
    </row>
    <row r="83" spans="1:4">
      <c r="A83" s="5"/>
      <c r="B83" s="5"/>
      <c r="C83" s="5"/>
    </row>
    <row r="84" spans="1:4">
      <c r="A84" s="5"/>
      <c r="B84" s="5"/>
      <c r="C84" s="5"/>
    </row>
    <row r="85" spans="1:4">
      <c r="A85" s="5"/>
      <c r="B85" s="5"/>
      <c r="C85" s="5"/>
    </row>
    <row r="86" spans="1:4">
      <c r="A86" s="5"/>
      <c r="B86" s="5"/>
      <c r="C86" s="5"/>
    </row>
    <row r="87" spans="1:4">
      <c r="A87" s="5"/>
      <c r="B87" s="5"/>
      <c r="C87" s="5"/>
    </row>
    <row r="88" spans="1:4">
      <c r="A88" s="5"/>
      <c r="B88" s="5"/>
      <c r="C88" s="5"/>
    </row>
    <row r="89" spans="1:4">
      <c r="A89" s="5"/>
      <c r="B89" s="5"/>
      <c r="C89" s="5"/>
    </row>
    <row r="90" spans="1:4">
      <c r="A90" s="5"/>
      <c r="B90" s="5"/>
      <c r="C90" s="5"/>
    </row>
    <row r="91" spans="1:4">
      <c r="A91" s="5"/>
      <c r="B91" s="5"/>
      <c r="C91" s="5"/>
    </row>
    <row r="92" spans="1:4">
      <c r="A92" s="5"/>
      <c r="B92" s="5"/>
      <c r="C92" s="5"/>
    </row>
    <row r="93" spans="1:4">
      <c r="A93" s="5"/>
      <c r="B93" s="5"/>
      <c r="C93" s="5"/>
    </row>
    <row r="94" spans="1:4">
      <c r="A94" s="5"/>
      <c r="B94" s="5"/>
      <c r="C94" s="5"/>
    </row>
    <row r="95" spans="1:4">
      <c r="A95" s="5"/>
      <c r="B95" s="5"/>
      <c r="C95" s="5"/>
    </row>
    <row r="96" spans="1:4">
      <c r="A96" s="5"/>
      <c r="B96" s="5"/>
      <c r="C96" s="5"/>
    </row>
    <row r="97" spans="1:3">
      <c r="A97" s="5"/>
      <c r="B97" s="5"/>
      <c r="C97" s="5"/>
    </row>
    <row r="98" spans="1:3">
      <c r="A98" s="5"/>
      <c r="B98" s="5"/>
      <c r="C98" s="5"/>
    </row>
    <row r="99" spans="1:3">
      <c r="A99" s="5"/>
      <c r="B99" s="5"/>
      <c r="C99" s="5"/>
    </row>
    <row r="100" spans="1:3">
      <c r="A100" s="5"/>
      <c r="B100" s="5"/>
      <c r="C100" s="5"/>
    </row>
    <row r="101" spans="1:3">
      <c r="A101" s="5"/>
      <c r="B101" s="5"/>
      <c r="C101" s="5"/>
    </row>
    <row r="102" spans="1:3">
      <c r="A102" s="5"/>
      <c r="B102" s="5"/>
      <c r="C10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C99A-E46F-4A36-9D01-84BA2E7650F1}">
  <sheetPr>
    <tabColor theme="0" tint="-0.14999847407452621"/>
  </sheetPr>
  <dimension ref="A1:N50"/>
  <sheetViews>
    <sheetView workbookViewId="0">
      <selection activeCell="C1" sqref="C1"/>
    </sheetView>
  </sheetViews>
  <sheetFormatPr defaultColWidth="11.19921875" defaultRowHeight="13.8"/>
  <cols>
    <col min="8" max="8" width="15.19921875" customWidth="1"/>
    <col min="9" max="9" width="12.69921875" customWidth="1"/>
    <col min="12" max="12" width="12" bestFit="1" customWidth="1"/>
  </cols>
  <sheetData>
    <row r="1" spans="1:11">
      <c r="A1" t="s">
        <v>62</v>
      </c>
      <c r="B1" t="s">
        <v>82</v>
      </c>
      <c r="C1" t="s">
        <v>84</v>
      </c>
      <c r="D1" t="s">
        <v>83</v>
      </c>
      <c r="E1" t="s">
        <v>85</v>
      </c>
      <c r="F1" t="s">
        <v>79</v>
      </c>
      <c r="G1" t="s">
        <v>81</v>
      </c>
      <c r="H1" s="4" t="s">
        <v>55</v>
      </c>
      <c r="I1" s="4" t="s">
        <v>6</v>
      </c>
      <c r="J1" t="s">
        <v>80</v>
      </c>
      <c r="K1" t="s">
        <v>90</v>
      </c>
    </row>
    <row r="2" spans="1:11">
      <c r="A2" s="4">
        <v>12456</v>
      </c>
      <c r="B2" s="5">
        <v>45930</v>
      </c>
      <c r="C2" s="6">
        <v>0.375</v>
      </c>
      <c r="D2" s="1">
        <f>B2</f>
        <v>45930</v>
      </c>
      <c r="E2" s="2">
        <v>0.45833333333333331</v>
      </c>
      <c r="F2" s="3">
        <f>(E2-C2)*24*60</f>
        <v>119.99999999999997</v>
      </c>
      <c r="G2">
        <v>4</v>
      </c>
      <c r="H2" s="1" t="s">
        <v>14</v>
      </c>
      <c r="I2" t="s">
        <v>14</v>
      </c>
      <c r="J2" s="1" t="s">
        <v>52</v>
      </c>
      <c r="K2">
        <v>1</v>
      </c>
    </row>
    <row r="3" spans="1:11">
      <c r="A3">
        <f>A2+1</f>
        <v>12457</v>
      </c>
      <c r="B3" s="5">
        <v>45930</v>
      </c>
      <c r="C3" s="6">
        <v>0.375</v>
      </c>
      <c r="D3" s="1">
        <f t="shared" ref="D3:D50" si="0">B3</f>
        <v>45930</v>
      </c>
      <c r="E3" s="2">
        <v>0.45833333333333331</v>
      </c>
      <c r="F3" s="3">
        <f t="shared" ref="F3:F50" si="1">(E3-C3)*24*60</f>
        <v>119.99999999999997</v>
      </c>
      <c r="G3">
        <v>7</v>
      </c>
      <c r="H3" s="1" t="s">
        <v>13</v>
      </c>
      <c r="I3" t="s">
        <v>13</v>
      </c>
      <c r="J3" s="1" t="s">
        <v>51</v>
      </c>
      <c r="K3">
        <v>1</v>
      </c>
    </row>
    <row r="4" spans="1:11">
      <c r="A4">
        <f t="shared" ref="A4:A50" si="2">A3+1</f>
        <v>12458</v>
      </c>
      <c r="B4" s="5">
        <v>45929</v>
      </c>
      <c r="C4" s="6">
        <v>0.375</v>
      </c>
      <c r="D4" s="1">
        <f t="shared" si="0"/>
        <v>45929</v>
      </c>
      <c r="E4" s="2">
        <v>0.45833333333333331</v>
      </c>
      <c r="F4" s="3">
        <f t="shared" si="1"/>
        <v>119.99999999999997</v>
      </c>
      <c r="G4">
        <v>8</v>
      </c>
      <c r="H4" s="1" t="s">
        <v>13</v>
      </c>
      <c r="I4" t="s">
        <v>13</v>
      </c>
      <c r="J4" s="1" t="s">
        <v>51</v>
      </c>
      <c r="K4">
        <v>1</v>
      </c>
    </row>
    <row r="5" spans="1:11">
      <c r="A5">
        <f t="shared" si="2"/>
        <v>12459</v>
      </c>
      <c r="B5" s="5">
        <v>45925</v>
      </c>
      <c r="C5" s="6">
        <v>0.375</v>
      </c>
      <c r="D5" s="1">
        <f t="shared" si="0"/>
        <v>45925</v>
      </c>
      <c r="E5" s="2">
        <v>0.45833333333333331</v>
      </c>
      <c r="F5" s="3">
        <f t="shared" si="1"/>
        <v>119.99999999999997</v>
      </c>
      <c r="G5">
        <v>8</v>
      </c>
      <c r="H5" s="1" t="s">
        <v>10</v>
      </c>
      <c r="I5" t="s">
        <v>10</v>
      </c>
      <c r="J5" s="1" t="s">
        <v>51</v>
      </c>
      <c r="K5">
        <v>1</v>
      </c>
    </row>
    <row r="6" spans="1:11">
      <c r="A6">
        <f t="shared" si="2"/>
        <v>12460</v>
      </c>
      <c r="B6" s="5">
        <v>45928</v>
      </c>
      <c r="C6" s="6">
        <v>0.375</v>
      </c>
      <c r="D6" s="1">
        <f t="shared" si="0"/>
        <v>45928</v>
      </c>
      <c r="E6" s="2">
        <v>0.45833333333333331</v>
      </c>
      <c r="F6" s="3">
        <f t="shared" si="1"/>
        <v>119.99999999999997</v>
      </c>
      <c r="G6">
        <v>1</v>
      </c>
      <c r="H6" s="1" t="s">
        <v>13</v>
      </c>
      <c r="I6" t="s">
        <v>13</v>
      </c>
      <c r="J6" s="1" t="s">
        <v>87</v>
      </c>
      <c r="K6">
        <v>1</v>
      </c>
    </row>
    <row r="7" spans="1:11">
      <c r="A7">
        <f t="shared" si="2"/>
        <v>12461</v>
      </c>
      <c r="B7" s="5">
        <v>45917</v>
      </c>
      <c r="C7" s="6">
        <v>0.375</v>
      </c>
      <c r="D7" s="1">
        <f t="shared" si="0"/>
        <v>45917</v>
      </c>
      <c r="E7" s="2">
        <v>0.45833333333333331</v>
      </c>
      <c r="F7" s="3">
        <f t="shared" si="1"/>
        <v>119.99999999999997</v>
      </c>
      <c r="G7">
        <v>6</v>
      </c>
      <c r="H7" s="1" t="s">
        <v>9</v>
      </c>
      <c r="I7" t="s">
        <v>9</v>
      </c>
      <c r="J7" s="1" t="s">
        <v>51</v>
      </c>
      <c r="K7">
        <v>1</v>
      </c>
    </row>
    <row r="8" spans="1:11">
      <c r="A8">
        <f t="shared" si="2"/>
        <v>12462</v>
      </c>
      <c r="B8" s="5">
        <v>45920</v>
      </c>
      <c r="C8" s="6">
        <v>0.375</v>
      </c>
      <c r="D8" s="1">
        <f t="shared" si="0"/>
        <v>45920</v>
      </c>
      <c r="E8" s="2">
        <v>0.45833333333333331</v>
      </c>
      <c r="F8" s="3">
        <f t="shared" si="1"/>
        <v>119.99999999999997</v>
      </c>
      <c r="G8">
        <v>5</v>
      </c>
      <c r="H8" s="1" t="s">
        <v>9</v>
      </c>
      <c r="I8" t="s">
        <v>9</v>
      </c>
      <c r="J8" s="1" t="s">
        <v>51</v>
      </c>
      <c r="K8">
        <v>1</v>
      </c>
    </row>
    <row r="9" spans="1:11">
      <c r="A9">
        <f t="shared" si="2"/>
        <v>12463</v>
      </c>
      <c r="B9" s="5">
        <v>45923</v>
      </c>
      <c r="C9" s="6">
        <v>0.375</v>
      </c>
      <c r="D9" s="1">
        <f t="shared" si="0"/>
        <v>45923</v>
      </c>
      <c r="E9" s="2">
        <v>0.45833333333333331</v>
      </c>
      <c r="F9" s="3">
        <f t="shared" si="1"/>
        <v>119.99999999999997</v>
      </c>
      <c r="G9">
        <v>3</v>
      </c>
      <c r="H9" s="1" t="s">
        <v>10</v>
      </c>
      <c r="I9" t="s">
        <v>10</v>
      </c>
      <c r="J9" s="1" t="s">
        <v>51</v>
      </c>
      <c r="K9">
        <v>1</v>
      </c>
    </row>
    <row r="10" spans="1:11">
      <c r="A10">
        <f t="shared" si="2"/>
        <v>12464</v>
      </c>
      <c r="B10" s="5">
        <v>45921</v>
      </c>
      <c r="C10" s="6">
        <v>0.375</v>
      </c>
      <c r="D10" s="1">
        <f t="shared" si="0"/>
        <v>45921</v>
      </c>
      <c r="E10" s="2">
        <v>0.45833333333333331</v>
      </c>
      <c r="F10" s="3">
        <f t="shared" si="1"/>
        <v>119.99999999999997</v>
      </c>
      <c r="G10">
        <v>8</v>
      </c>
      <c r="H10" s="1" t="s">
        <v>14</v>
      </c>
      <c r="I10" t="s">
        <v>14</v>
      </c>
      <c r="J10" s="1" t="s">
        <v>51</v>
      </c>
      <c r="K10">
        <v>1</v>
      </c>
    </row>
    <row r="11" spans="1:11">
      <c r="A11">
        <f t="shared" si="2"/>
        <v>12465</v>
      </c>
      <c r="B11" s="5">
        <v>45921</v>
      </c>
      <c r="C11" s="6">
        <v>0.375</v>
      </c>
      <c r="D11" s="1">
        <f t="shared" si="0"/>
        <v>45921</v>
      </c>
      <c r="E11" s="2">
        <v>0.45833333333333331</v>
      </c>
      <c r="F11" s="3">
        <f t="shared" si="1"/>
        <v>119.99999999999997</v>
      </c>
      <c r="G11">
        <v>3</v>
      </c>
      <c r="H11" s="1" t="s">
        <v>19</v>
      </c>
      <c r="I11" t="s">
        <v>19</v>
      </c>
      <c r="J11" s="1" t="s">
        <v>52</v>
      </c>
      <c r="K11">
        <v>1</v>
      </c>
    </row>
    <row r="12" spans="1:11">
      <c r="A12">
        <f t="shared" si="2"/>
        <v>12466</v>
      </c>
      <c r="B12" s="5">
        <v>45925</v>
      </c>
      <c r="C12" s="6">
        <v>0.375</v>
      </c>
      <c r="D12" s="1">
        <f t="shared" si="0"/>
        <v>45925</v>
      </c>
      <c r="E12" s="2">
        <v>0.45833333333333331</v>
      </c>
      <c r="F12" s="3">
        <f t="shared" si="1"/>
        <v>119.99999999999997</v>
      </c>
      <c r="G12">
        <v>6</v>
      </c>
      <c r="H12" s="1" t="s">
        <v>11</v>
      </c>
      <c r="I12" t="s">
        <v>11</v>
      </c>
      <c r="J12" s="1" t="s">
        <v>51</v>
      </c>
      <c r="K12">
        <v>1</v>
      </c>
    </row>
    <row r="13" spans="1:11">
      <c r="A13">
        <f t="shared" si="2"/>
        <v>12467</v>
      </c>
      <c r="B13" s="5">
        <v>45926</v>
      </c>
      <c r="C13" s="6">
        <v>0.375</v>
      </c>
      <c r="D13" s="1">
        <f t="shared" si="0"/>
        <v>45926</v>
      </c>
      <c r="E13" s="2">
        <v>0.45833333333333331</v>
      </c>
      <c r="F13" s="3">
        <f t="shared" si="1"/>
        <v>119.99999999999997</v>
      </c>
      <c r="G13">
        <v>3</v>
      </c>
      <c r="H13" s="1" t="s">
        <v>9</v>
      </c>
      <c r="I13" t="s">
        <v>9</v>
      </c>
      <c r="J13" s="1" t="s">
        <v>51</v>
      </c>
      <c r="K13">
        <v>1</v>
      </c>
    </row>
    <row r="14" spans="1:11">
      <c r="A14">
        <f t="shared" si="2"/>
        <v>12468</v>
      </c>
      <c r="B14" s="5">
        <v>45916</v>
      </c>
      <c r="C14" s="6">
        <v>0.375</v>
      </c>
      <c r="D14" s="1">
        <f t="shared" si="0"/>
        <v>45916</v>
      </c>
      <c r="E14" s="2">
        <v>0.45833333333333331</v>
      </c>
      <c r="F14" s="3">
        <f t="shared" si="1"/>
        <v>119.99999999999997</v>
      </c>
      <c r="G14">
        <v>2</v>
      </c>
      <c r="H14" s="1" t="s">
        <v>8</v>
      </c>
      <c r="I14" t="s">
        <v>8</v>
      </c>
      <c r="J14" s="1" t="s">
        <v>51</v>
      </c>
      <c r="K14">
        <v>1</v>
      </c>
    </row>
    <row r="15" spans="1:11">
      <c r="A15">
        <f t="shared" si="2"/>
        <v>12469</v>
      </c>
      <c r="B15" s="5">
        <v>45927</v>
      </c>
      <c r="C15" s="6">
        <v>0.375</v>
      </c>
      <c r="D15" s="1">
        <f t="shared" si="0"/>
        <v>45927</v>
      </c>
      <c r="E15" s="2">
        <v>0.45833333333333331</v>
      </c>
      <c r="F15" s="3">
        <f t="shared" si="1"/>
        <v>119.99999999999997</v>
      </c>
      <c r="G15">
        <v>1</v>
      </c>
      <c r="H15" s="1" t="s">
        <v>14</v>
      </c>
      <c r="I15" t="s">
        <v>14</v>
      </c>
      <c r="J15" s="1" t="s">
        <v>51</v>
      </c>
      <c r="K15">
        <v>1</v>
      </c>
    </row>
    <row r="16" spans="1:11">
      <c r="A16">
        <f t="shared" si="2"/>
        <v>12470</v>
      </c>
      <c r="B16" s="5">
        <v>45927</v>
      </c>
      <c r="C16" s="6">
        <v>0.375</v>
      </c>
      <c r="D16" s="1">
        <f t="shared" si="0"/>
        <v>45927</v>
      </c>
      <c r="E16" s="2">
        <v>0.45833333333333331</v>
      </c>
      <c r="F16" s="3">
        <f t="shared" si="1"/>
        <v>119.99999999999997</v>
      </c>
      <c r="G16">
        <v>4</v>
      </c>
      <c r="H16" s="1" t="s">
        <v>10</v>
      </c>
      <c r="I16" t="s">
        <v>10</v>
      </c>
      <c r="J16" s="1" t="s">
        <v>52</v>
      </c>
      <c r="K16">
        <v>1</v>
      </c>
    </row>
    <row r="17" spans="1:11">
      <c r="A17">
        <f t="shared" si="2"/>
        <v>12471</v>
      </c>
      <c r="B17" s="5">
        <v>45927</v>
      </c>
      <c r="C17" s="6">
        <v>0.375</v>
      </c>
      <c r="D17" s="1">
        <f t="shared" si="0"/>
        <v>45927</v>
      </c>
      <c r="E17" s="2">
        <v>0.45833333333333331</v>
      </c>
      <c r="F17" s="3">
        <f t="shared" si="1"/>
        <v>119.99999999999997</v>
      </c>
      <c r="G17">
        <v>3</v>
      </c>
      <c r="H17" s="1" t="s">
        <v>14</v>
      </c>
      <c r="I17" t="s">
        <v>14</v>
      </c>
      <c r="J17" s="1" t="s">
        <v>52</v>
      </c>
      <c r="K17">
        <v>1</v>
      </c>
    </row>
    <row r="18" spans="1:11">
      <c r="A18">
        <f t="shared" si="2"/>
        <v>12472</v>
      </c>
      <c r="B18" s="5">
        <v>45923</v>
      </c>
      <c r="C18" s="6">
        <v>0.375</v>
      </c>
      <c r="D18" s="1">
        <f t="shared" si="0"/>
        <v>45923</v>
      </c>
      <c r="E18" s="2">
        <v>0.45833333333333331</v>
      </c>
      <c r="F18" s="3">
        <f t="shared" si="1"/>
        <v>119.99999999999997</v>
      </c>
      <c r="G18">
        <v>8</v>
      </c>
      <c r="H18" s="1" t="s">
        <v>14</v>
      </c>
      <c r="I18" t="s">
        <v>14</v>
      </c>
      <c r="J18" s="1" t="s">
        <v>51</v>
      </c>
      <c r="K18">
        <v>1</v>
      </c>
    </row>
    <row r="19" spans="1:11">
      <c r="A19">
        <f t="shared" si="2"/>
        <v>12473</v>
      </c>
      <c r="B19" s="5">
        <v>45923</v>
      </c>
      <c r="C19" s="6">
        <v>0.375</v>
      </c>
      <c r="D19" s="1">
        <f t="shared" si="0"/>
        <v>45923</v>
      </c>
      <c r="E19" s="2">
        <v>0.45833333333333331</v>
      </c>
      <c r="F19" s="3">
        <f t="shared" si="1"/>
        <v>119.99999999999997</v>
      </c>
      <c r="G19">
        <v>5</v>
      </c>
      <c r="H19" s="1" t="s">
        <v>13</v>
      </c>
      <c r="I19" t="s">
        <v>13</v>
      </c>
      <c r="J19" s="1" t="s">
        <v>51</v>
      </c>
      <c r="K19">
        <v>1</v>
      </c>
    </row>
    <row r="20" spans="1:11">
      <c r="A20">
        <f t="shared" si="2"/>
        <v>12474</v>
      </c>
      <c r="B20" s="5">
        <v>45923</v>
      </c>
      <c r="C20" s="6">
        <v>0.375</v>
      </c>
      <c r="D20" s="1">
        <f t="shared" si="0"/>
        <v>45923</v>
      </c>
      <c r="E20" s="2">
        <v>0.45833333333333331</v>
      </c>
      <c r="F20" s="3">
        <f t="shared" si="1"/>
        <v>119.99999999999997</v>
      </c>
      <c r="G20">
        <v>5</v>
      </c>
      <c r="H20" s="1" t="s">
        <v>11</v>
      </c>
      <c r="I20" t="s">
        <v>11</v>
      </c>
      <c r="J20" s="1" t="s">
        <v>51</v>
      </c>
      <c r="K20">
        <v>1</v>
      </c>
    </row>
    <row r="21" spans="1:11">
      <c r="A21">
        <f t="shared" si="2"/>
        <v>12475</v>
      </c>
      <c r="B21" s="5">
        <v>45928</v>
      </c>
      <c r="C21" s="6">
        <v>0.375</v>
      </c>
      <c r="D21" s="1">
        <f t="shared" si="0"/>
        <v>45928</v>
      </c>
      <c r="E21" s="2">
        <v>0.45833333333333331</v>
      </c>
      <c r="F21" s="3">
        <f t="shared" si="1"/>
        <v>119.99999999999997</v>
      </c>
      <c r="G21">
        <v>7</v>
      </c>
      <c r="H21" s="1" t="s">
        <v>14</v>
      </c>
      <c r="I21" t="s">
        <v>14</v>
      </c>
      <c r="J21" s="1" t="s">
        <v>52</v>
      </c>
      <c r="K21">
        <v>1</v>
      </c>
    </row>
    <row r="22" spans="1:11">
      <c r="A22">
        <f t="shared" si="2"/>
        <v>12476</v>
      </c>
      <c r="B22" s="5">
        <v>45930</v>
      </c>
      <c r="C22" s="6">
        <v>0.375</v>
      </c>
      <c r="D22" s="1">
        <f t="shared" si="0"/>
        <v>45930</v>
      </c>
      <c r="E22" s="2">
        <v>0.45833333333333331</v>
      </c>
      <c r="F22" s="3">
        <f t="shared" si="1"/>
        <v>119.99999999999997</v>
      </c>
      <c r="G22">
        <v>1</v>
      </c>
      <c r="H22" s="1" t="s">
        <v>13</v>
      </c>
      <c r="I22" t="s">
        <v>13</v>
      </c>
      <c r="J22" s="1" t="s">
        <v>51</v>
      </c>
      <c r="K22">
        <v>1</v>
      </c>
    </row>
    <row r="23" spans="1:11">
      <c r="A23">
        <f t="shared" si="2"/>
        <v>12477</v>
      </c>
      <c r="B23" s="5">
        <v>45929</v>
      </c>
      <c r="C23" s="6">
        <v>0.375</v>
      </c>
      <c r="D23" s="1">
        <f t="shared" si="0"/>
        <v>45929</v>
      </c>
      <c r="E23" s="2">
        <v>0.45833333333333331</v>
      </c>
      <c r="F23" s="3">
        <f t="shared" si="1"/>
        <v>119.99999999999997</v>
      </c>
      <c r="G23">
        <v>5</v>
      </c>
      <c r="H23" s="1" t="s">
        <v>14</v>
      </c>
      <c r="I23" t="s">
        <v>14</v>
      </c>
      <c r="J23" s="1" t="s">
        <v>51</v>
      </c>
      <c r="K23">
        <v>1</v>
      </c>
    </row>
    <row r="24" spans="1:11">
      <c r="A24">
        <f t="shared" si="2"/>
        <v>12478</v>
      </c>
      <c r="B24" s="5">
        <v>45929</v>
      </c>
      <c r="C24" s="6">
        <v>0.375</v>
      </c>
      <c r="D24" s="1">
        <f t="shared" si="0"/>
        <v>45929</v>
      </c>
      <c r="E24" s="2">
        <v>0.45833333333333331</v>
      </c>
      <c r="F24" s="3">
        <f t="shared" si="1"/>
        <v>119.99999999999997</v>
      </c>
      <c r="G24">
        <v>6</v>
      </c>
      <c r="H24" s="1" t="s">
        <v>19</v>
      </c>
      <c r="I24" t="s">
        <v>19</v>
      </c>
      <c r="J24" s="1" t="s">
        <v>51</v>
      </c>
      <c r="K24">
        <v>1</v>
      </c>
    </row>
    <row r="25" spans="1:11">
      <c r="A25">
        <f t="shared" si="2"/>
        <v>12479</v>
      </c>
      <c r="B25" s="5">
        <v>45916</v>
      </c>
      <c r="C25" s="6">
        <v>0.375</v>
      </c>
      <c r="D25" s="1">
        <f t="shared" si="0"/>
        <v>45916</v>
      </c>
      <c r="E25" s="2">
        <v>0.45833333333333331</v>
      </c>
      <c r="F25" s="3">
        <f t="shared" si="1"/>
        <v>119.99999999999997</v>
      </c>
      <c r="G25">
        <v>8</v>
      </c>
      <c r="H25" s="1" t="s">
        <v>9</v>
      </c>
      <c r="I25" t="s">
        <v>9</v>
      </c>
      <c r="J25" s="1" t="s">
        <v>51</v>
      </c>
      <c r="K25">
        <v>1</v>
      </c>
    </row>
    <row r="26" spans="1:11">
      <c r="A26">
        <f t="shared" si="2"/>
        <v>12480</v>
      </c>
      <c r="B26" s="5">
        <v>45916</v>
      </c>
      <c r="C26" s="6">
        <v>0.375</v>
      </c>
      <c r="D26" s="1">
        <f t="shared" si="0"/>
        <v>45916</v>
      </c>
      <c r="E26" s="2">
        <v>0.45833333333333331</v>
      </c>
      <c r="F26" s="3">
        <f t="shared" si="1"/>
        <v>119.99999999999997</v>
      </c>
      <c r="G26">
        <v>7</v>
      </c>
      <c r="H26" s="1" t="s">
        <v>13</v>
      </c>
      <c r="I26" t="s">
        <v>13</v>
      </c>
      <c r="J26" s="1" t="s">
        <v>87</v>
      </c>
      <c r="K26">
        <v>1</v>
      </c>
    </row>
    <row r="27" spans="1:11">
      <c r="A27">
        <f t="shared" si="2"/>
        <v>12481</v>
      </c>
      <c r="B27" s="5">
        <v>45926</v>
      </c>
      <c r="C27" s="6">
        <v>0.375</v>
      </c>
      <c r="D27" s="1">
        <f t="shared" si="0"/>
        <v>45926</v>
      </c>
      <c r="E27" s="2">
        <v>0.45833333333333331</v>
      </c>
      <c r="F27" s="3">
        <f t="shared" si="1"/>
        <v>119.99999999999997</v>
      </c>
      <c r="G27">
        <v>1</v>
      </c>
      <c r="H27" s="1" t="s">
        <v>11</v>
      </c>
      <c r="I27" t="s">
        <v>11</v>
      </c>
      <c r="J27" s="1" t="s">
        <v>52</v>
      </c>
      <c r="K27">
        <v>1</v>
      </c>
    </row>
    <row r="28" spans="1:11">
      <c r="A28">
        <f t="shared" si="2"/>
        <v>12482</v>
      </c>
      <c r="B28" s="5">
        <v>45920</v>
      </c>
      <c r="C28" s="6">
        <v>0.375</v>
      </c>
      <c r="D28" s="1">
        <f t="shared" si="0"/>
        <v>45920</v>
      </c>
      <c r="E28" s="2">
        <v>0.45833333333333331</v>
      </c>
      <c r="F28" s="3">
        <f t="shared" si="1"/>
        <v>119.99999999999997</v>
      </c>
      <c r="G28">
        <v>6</v>
      </c>
      <c r="H28" s="1" t="s">
        <v>10</v>
      </c>
      <c r="I28" t="s">
        <v>10</v>
      </c>
      <c r="J28" s="1" t="s">
        <v>51</v>
      </c>
      <c r="K28">
        <v>1</v>
      </c>
    </row>
    <row r="29" spans="1:11">
      <c r="A29">
        <f t="shared" si="2"/>
        <v>12483</v>
      </c>
      <c r="B29" s="5">
        <v>45919</v>
      </c>
      <c r="C29" s="6">
        <v>0.375</v>
      </c>
      <c r="D29" s="1">
        <f t="shared" si="0"/>
        <v>45919</v>
      </c>
      <c r="E29" s="2">
        <v>0.45833333333333331</v>
      </c>
      <c r="F29" s="3">
        <f t="shared" si="1"/>
        <v>119.99999999999997</v>
      </c>
      <c r="G29">
        <v>8</v>
      </c>
      <c r="H29" s="1" t="s">
        <v>9</v>
      </c>
      <c r="I29" t="s">
        <v>9</v>
      </c>
      <c r="J29" s="1" t="s">
        <v>51</v>
      </c>
      <c r="K29">
        <v>1</v>
      </c>
    </row>
    <row r="30" spans="1:11">
      <c r="A30">
        <f t="shared" si="2"/>
        <v>12484</v>
      </c>
      <c r="B30" s="5">
        <v>45919</v>
      </c>
      <c r="C30" s="6">
        <v>0.375</v>
      </c>
      <c r="D30" s="1">
        <f t="shared" si="0"/>
        <v>45919</v>
      </c>
      <c r="E30" s="2">
        <v>0.45833333333333331</v>
      </c>
      <c r="F30" s="3">
        <f t="shared" si="1"/>
        <v>119.99999999999997</v>
      </c>
      <c r="G30">
        <v>2</v>
      </c>
      <c r="H30" s="1" t="s">
        <v>19</v>
      </c>
      <c r="I30" t="s">
        <v>19</v>
      </c>
      <c r="J30" s="1" t="s">
        <v>51</v>
      </c>
      <c r="K30">
        <v>1</v>
      </c>
    </row>
    <row r="31" spans="1:11">
      <c r="A31">
        <f t="shared" si="2"/>
        <v>12485</v>
      </c>
      <c r="B31" s="5">
        <v>45920</v>
      </c>
      <c r="C31" s="6">
        <v>0.375</v>
      </c>
      <c r="D31" s="1">
        <f t="shared" si="0"/>
        <v>45920</v>
      </c>
      <c r="E31" s="2">
        <v>0.45833333333333331</v>
      </c>
      <c r="F31" s="3">
        <f t="shared" si="1"/>
        <v>119.99999999999997</v>
      </c>
      <c r="G31">
        <v>7</v>
      </c>
      <c r="H31" s="1" t="s">
        <v>11</v>
      </c>
      <c r="I31" t="s">
        <v>11</v>
      </c>
      <c r="J31" s="1" t="s">
        <v>51</v>
      </c>
      <c r="K31">
        <v>1</v>
      </c>
    </row>
    <row r="32" spans="1:11">
      <c r="A32">
        <f t="shared" si="2"/>
        <v>12486</v>
      </c>
      <c r="B32" s="5">
        <v>45917</v>
      </c>
      <c r="C32" s="6">
        <v>0.375</v>
      </c>
      <c r="D32" s="1">
        <f t="shared" si="0"/>
        <v>45917</v>
      </c>
      <c r="E32" s="2">
        <v>0.45833333333333331</v>
      </c>
      <c r="F32" s="3">
        <f t="shared" si="1"/>
        <v>119.99999999999997</v>
      </c>
      <c r="G32">
        <v>2</v>
      </c>
      <c r="H32" s="1" t="s">
        <v>12</v>
      </c>
      <c r="I32" t="s">
        <v>12</v>
      </c>
      <c r="J32" s="1" t="s">
        <v>52</v>
      </c>
      <c r="K32">
        <v>1</v>
      </c>
    </row>
    <row r="33" spans="1:14">
      <c r="A33">
        <f t="shared" si="2"/>
        <v>12487</v>
      </c>
      <c r="B33" s="5">
        <v>45917</v>
      </c>
      <c r="C33" s="6">
        <v>0.375</v>
      </c>
      <c r="D33" s="1">
        <f t="shared" si="0"/>
        <v>45917</v>
      </c>
      <c r="E33" s="2">
        <v>0.45833333333333331</v>
      </c>
      <c r="F33" s="3">
        <f t="shared" si="1"/>
        <v>119.99999999999997</v>
      </c>
      <c r="G33">
        <v>2</v>
      </c>
      <c r="H33" s="1" t="s">
        <v>9</v>
      </c>
      <c r="I33" t="s">
        <v>9</v>
      </c>
      <c r="J33" s="1" t="s">
        <v>51</v>
      </c>
      <c r="K33">
        <v>1</v>
      </c>
    </row>
    <row r="34" spans="1:14">
      <c r="A34">
        <f t="shared" si="2"/>
        <v>12488</v>
      </c>
      <c r="B34" s="5">
        <v>45929</v>
      </c>
      <c r="C34" s="6">
        <v>0.375</v>
      </c>
      <c r="D34" s="1">
        <f t="shared" si="0"/>
        <v>45929</v>
      </c>
      <c r="E34" s="2">
        <v>0.45833333333333331</v>
      </c>
      <c r="F34" s="3">
        <f t="shared" si="1"/>
        <v>119.99999999999997</v>
      </c>
      <c r="G34">
        <v>4</v>
      </c>
      <c r="H34" s="1" t="s">
        <v>8</v>
      </c>
      <c r="I34" t="s">
        <v>8</v>
      </c>
      <c r="J34" s="1" t="s">
        <v>52</v>
      </c>
      <c r="K34">
        <v>1</v>
      </c>
    </row>
    <row r="35" spans="1:14">
      <c r="A35">
        <f t="shared" si="2"/>
        <v>12489</v>
      </c>
      <c r="B35" s="5">
        <v>45918</v>
      </c>
      <c r="C35" s="6">
        <v>0.375</v>
      </c>
      <c r="D35" s="1">
        <f t="shared" si="0"/>
        <v>45918</v>
      </c>
      <c r="E35" s="2">
        <v>0.45833333333333331</v>
      </c>
      <c r="F35" s="3">
        <f t="shared" si="1"/>
        <v>119.99999999999997</v>
      </c>
      <c r="G35">
        <v>8</v>
      </c>
      <c r="H35" s="1" t="s">
        <v>13</v>
      </c>
      <c r="I35" t="s">
        <v>13</v>
      </c>
      <c r="J35" s="1" t="s">
        <v>87</v>
      </c>
      <c r="K35">
        <v>1</v>
      </c>
    </row>
    <row r="36" spans="1:14">
      <c r="A36">
        <f t="shared" si="2"/>
        <v>12490</v>
      </c>
      <c r="B36" s="5">
        <v>45918</v>
      </c>
      <c r="C36" s="6">
        <v>0.375</v>
      </c>
      <c r="D36" s="1">
        <f t="shared" si="0"/>
        <v>45918</v>
      </c>
      <c r="E36" s="2">
        <v>0.45833333333333331</v>
      </c>
      <c r="F36" s="3">
        <f t="shared" si="1"/>
        <v>119.99999999999997</v>
      </c>
      <c r="G36">
        <v>4</v>
      </c>
      <c r="H36" s="1" t="s">
        <v>12</v>
      </c>
      <c r="I36" t="s">
        <v>12</v>
      </c>
      <c r="J36" s="1" t="s">
        <v>51</v>
      </c>
      <c r="K36">
        <v>1</v>
      </c>
    </row>
    <row r="37" spans="1:14">
      <c r="A37">
        <f t="shared" si="2"/>
        <v>12491</v>
      </c>
      <c r="B37" s="5">
        <v>45929</v>
      </c>
      <c r="C37" s="6">
        <v>0.375</v>
      </c>
      <c r="D37" s="1">
        <f t="shared" si="0"/>
        <v>45929</v>
      </c>
      <c r="E37" s="2">
        <v>0.45833333333333331</v>
      </c>
      <c r="F37" s="3">
        <f t="shared" si="1"/>
        <v>119.99999999999997</v>
      </c>
      <c r="G37">
        <v>6</v>
      </c>
      <c r="H37" s="1" t="s">
        <v>8</v>
      </c>
      <c r="I37" t="s">
        <v>8</v>
      </c>
      <c r="J37" s="1" t="s">
        <v>51</v>
      </c>
      <c r="K37">
        <v>1</v>
      </c>
    </row>
    <row r="38" spans="1:14">
      <c r="A38">
        <f t="shared" si="2"/>
        <v>12492</v>
      </c>
      <c r="B38" s="5">
        <v>45922</v>
      </c>
      <c r="C38" s="6">
        <v>0.375</v>
      </c>
      <c r="D38" s="1">
        <f t="shared" si="0"/>
        <v>45922</v>
      </c>
      <c r="E38" s="2">
        <v>0.45833333333333331</v>
      </c>
      <c r="F38" s="3">
        <f t="shared" si="1"/>
        <v>119.99999999999997</v>
      </c>
      <c r="G38">
        <v>5</v>
      </c>
      <c r="H38" s="1" t="s">
        <v>10</v>
      </c>
      <c r="I38" t="s">
        <v>10</v>
      </c>
      <c r="J38" s="1" t="s">
        <v>51</v>
      </c>
      <c r="K38">
        <v>1</v>
      </c>
    </row>
    <row r="39" spans="1:14">
      <c r="A39">
        <f t="shared" si="2"/>
        <v>12493</v>
      </c>
      <c r="B39" s="5">
        <v>45922</v>
      </c>
      <c r="C39" s="6">
        <v>0.375</v>
      </c>
      <c r="D39" s="1">
        <f t="shared" si="0"/>
        <v>45922</v>
      </c>
      <c r="E39" s="2">
        <v>0.45833333333333331</v>
      </c>
      <c r="F39" s="3">
        <f t="shared" si="1"/>
        <v>119.99999999999997</v>
      </c>
      <c r="G39">
        <v>2</v>
      </c>
      <c r="H39" s="1" t="s">
        <v>13</v>
      </c>
      <c r="I39" t="s">
        <v>13</v>
      </c>
      <c r="J39" s="1" t="s">
        <v>52</v>
      </c>
      <c r="K39">
        <v>1</v>
      </c>
    </row>
    <row r="40" spans="1:14">
      <c r="A40">
        <f t="shared" si="2"/>
        <v>12494</v>
      </c>
      <c r="B40" s="5">
        <v>45915</v>
      </c>
      <c r="C40" s="6">
        <v>0.375</v>
      </c>
      <c r="D40" s="1">
        <f t="shared" si="0"/>
        <v>45915</v>
      </c>
      <c r="E40" s="2">
        <v>0.45833333333333331</v>
      </c>
      <c r="F40" s="3">
        <f t="shared" si="1"/>
        <v>119.99999999999997</v>
      </c>
      <c r="G40">
        <v>1</v>
      </c>
      <c r="H40" s="1" t="s">
        <v>15</v>
      </c>
      <c r="I40" t="s">
        <v>15</v>
      </c>
      <c r="J40" s="1" t="s">
        <v>51</v>
      </c>
      <c r="K40">
        <v>1</v>
      </c>
    </row>
    <row r="41" spans="1:14">
      <c r="A41">
        <f t="shared" si="2"/>
        <v>12495</v>
      </c>
      <c r="B41" s="5">
        <v>45915</v>
      </c>
      <c r="C41" s="6">
        <v>0.375</v>
      </c>
      <c r="D41" s="1">
        <f t="shared" si="0"/>
        <v>45915</v>
      </c>
      <c r="E41" s="2">
        <v>0.45833333333333331</v>
      </c>
      <c r="F41" s="3">
        <f t="shared" si="1"/>
        <v>119.99999999999997</v>
      </c>
      <c r="G41">
        <v>5</v>
      </c>
      <c r="H41" s="1" t="s">
        <v>14</v>
      </c>
      <c r="I41" t="s">
        <v>14</v>
      </c>
      <c r="J41" s="1" t="s">
        <v>52</v>
      </c>
      <c r="K41">
        <v>1</v>
      </c>
    </row>
    <row r="42" spans="1:14">
      <c r="A42">
        <f t="shared" si="2"/>
        <v>12496</v>
      </c>
      <c r="B42" s="5">
        <v>45924</v>
      </c>
      <c r="C42" s="6">
        <v>0.375</v>
      </c>
      <c r="D42" s="1">
        <f t="shared" si="0"/>
        <v>45924</v>
      </c>
      <c r="E42" s="2">
        <v>0.45833333333333331</v>
      </c>
      <c r="F42" s="3">
        <f t="shared" si="1"/>
        <v>119.99999999999997</v>
      </c>
      <c r="G42">
        <v>1</v>
      </c>
      <c r="H42" s="1" t="s">
        <v>14</v>
      </c>
      <c r="I42" t="s">
        <v>14</v>
      </c>
      <c r="J42" s="1" t="s">
        <v>51</v>
      </c>
      <c r="K42">
        <v>1</v>
      </c>
    </row>
    <row r="43" spans="1:14">
      <c r="A43">
        <f t="shared" si="2"/>
        <v>12497</v>
      </c>
      <c r="B43" s="5">
        <v>45926</v>
      </c>
      <c r="C43" s="6">
        <v>0.375</v>
      </c>
      <c r="D43" s="1">
        <f t="shared" si="0"/>
        <v>45926</v>
      </c>
      <c r="E43" s="2">
        <v>0.45833333333333331</v>
      </c>
      <c r="F43" s="3">
        <f t="shared" si="1"/>
        <v>119.99999999999997</v>
      </c>
      <c r="G43">
        <v>5</v>
      </c>
      <c r="H43" s="1" t="s">
        <v>13</v>
      </c>
      <c r="I43" t="s">
        <v>13</v>
      </c>
      <c r="J43" s="1" t="s">
        <v>51</v>
      </c>
      <c r="K43">
        <v>1</v>
      </c>
    </row>
    <row r="44" spans="1:14">
      <c r="A44">
        <f t="shared" si="2"/>
        <v>12498</v>
      </c>
      <c r="B44" s="5">
        <v>45926</v>
      </c>
      <c r="C44" s="6">
        <v>0.375</v>
      </c>
      <c r="D44" s="1">
        <f t="shared" si="0"/>
        <v>45926</v>
      </c>
      <c r="E44" s="2">
        <v>0.45833333333333331</v>
      </c>
      <c r="F44" s="3">
        <f t="shared" si="1"/>
        <v>119.99999999999997</v>
      </c>
      <c r="G44">
        <v>4</v>
      </c>
      <c r="H44" s="1" t="s">
        <v>10</v>
      </c>
      <c r="I44" t="s">
        <v>10</v>
      </c>
      <c r="J44" s="1" t="s">
        <v>87</v>
      </c>
      <c r="K44">
        <v>1</v>
      </c>
    </row>
    <row r="45" spans="1:14">
      <c r="A45">
        <f t="shared" si="2"/>
        <v>12499</v>
      </c>
      <c r="B45" s="5">
        <v>45927</v>
      </c>
      <c r="C45" s="6">
        <v>0.375</v>
      </c>
      <c r="D45" s="1">
        <f t="shared" si="0"/>
        <v>45927</v>
      </c>
      <c r="E45" s="2">
        <v>0.45833333333333331</v>
      </c>
      <c r="F45" s="3">
        <f t="shared" si="1"/>
        <v>119.99999999999997</v>
      </c>
      <c r="G45">
        <v>5</v>
      </c>
      <c r="H45" s="1" t="s">
        <v>12</v>
      </c>
      <c r="I45" t="s">
        <v>12</v>
      </c>
      <c r="J45" s="1" t="s">
        <v>51</v>
      </c>
      <c r="K45">
        <v>1</v>
      </c>
    </row>
    <row r="46" spans="1:14">
      <c r="A46">
        <f t="shared" si="2"/>
        <v>12500</v>
      </c>
      <c r="B46" s="5">
        <v>45915</v>
      </c>
      <c r="C46" s="6">
        <v>0.375</v>
      </c>
      <c r="D46" s="1">
        <f t="shared" si="0"/>
        <v>45915</v>
      </c>
      <c r="E46" s="2">
        <v>0.45833333333333331</v>
      </c>
      <c r="F46" s="3">
        <f t="shared" si="1"/>
        <v>119.99999999999997</v>
      </c>
      <c r="G46">
        <v>8</v>
      </c>
      <c r="H46" s="1" t="s">
        <v>15</v>
      </c>
      <c r="I46" t="s">
        <v>15</v>
      </c>
      <c r="J46" s="1" t="s">
        <v>51</v>
      </c>
      <c r="K46">
        <v>1</v>
      </c>
    </row>
    <row r="47" spans="1:14">
      <c r="A47">
        <f t="shared" si="2"/>
        <v>12501</v>
      </c>
      <c r="B47" s="5">
        <v>45915</v>
      </c>
      <c r="C47" s="6">
        <v>0.375</v>
      </c>
      <c r="D47" s="1">
        <f t="shared" si="0"/>
        <v>45915</v>
      </c>
      <c r="E47" s="2">
        <v>0.45833333333333331</v>
      </c>
      <c r="F47" s="3">
        <f t="shared" si="1"/>
        <v>119.99999999999997</v>
      </c>
      <c r="G47">
        <v>7</v>
      </c>
      <c r="H47" s="1" t="s">
        <v>19</v>
      </c>
      <c r="I47" t="s">
        <v>19</v>
      </c>
      <c r="J47" s="1" t="s">
        <v>51</v>
      </c>
      <c r="K47">
        <v>1</v>
      </c>
      <c r="N47" s="4"/>
    </row>
    <row r="48" spans="1:14">
      <c r="A48">
        <f t="shared" si="2"/>
        <v>12502</v>
      </c>
      <c r="B48" s="5">
        <v>45915</v>
      </c>
      <c r="C48" s="6">
        <v>0.375</v>
      </c>
      <c r="D48" s="1">
        <f t="shared" si="0"/>
        <v>45915</v>
      </c>
      <c r="E48" s="2">
        <v>0.45833333333333331</v>
      </c>
      <c r="F48" s="3">
        <f t="shared" si="1"/>
        <v>119.99999999999997</v>
      </c>
      <c r="G48">
        <v>6</v>
      </c>
      <c r="H48" s="1" t="s">
        <v>13</v>
      </c>
      <c r="I48" t="s">
        <v>13</v>
      </c>
      <c r="J48" s="1" t="s">
        <v>51</v>
      </c>
      <c r="K48">
        <v>1</v>
      </c>
    </row>
    <row r="49" spans="1:11">
      <c r="A49">
        <f t="shared" si="2"/>
        <v>12503</v>
      </c>
      <c r="B49" s="5">
        <v>45915</v>
      </c>
      <c r="C49" s="6">
        <v>0.375</v>
      </c>
      <c r="D49" s="1">
        <f t="shared" si="0"/>
        <v>45915</v>
      </c>
      <c r="E49" s="2">
        <v>0.45833333333333331</v>
      </c>
      <c r="F49" s="3">
        <f t="shared" si="1"/>
        <v>119.99999999999997</v>
      </c>
      <c r="G49">
        <v>8</v>
      </c>
      <c r="H49" s="1" t="s">
        <v>8</v>
      </c>
      <c r="I49" t="s">
        <v>8</v>
      </c>
      <c r="J49" s="1" t="s">
        <v>52</v>
      </c>
      <c r="K49">
        <v>1</v>
      </c>
    </row>
    <row r="50" spans="1:11">
      <c r="A50">
        <f t="shared" si="2"/>
        <v>12504</v>
      </c>
      <c r="B50" s="5">
        <v>45915</v>
      </c>
      <c r="C50" s="6">
        <v>0.375</v>
      </c>
      <c r="D50" s="1">
        <f t="shared" si="0"/>
        <v>45915</v>
      </c>
      <c r="E50" s="2">
        <v>0.45833333333333331</v>
      </c>
      <c r="F50" s="3">
        <f t="shared" si="1"/>
        <v>119.99999999999997</v>
      </c>
      <c r="G50">
        <v>5</v>
      </c>
      <c r="H50" s="1" t="s">
        <v>10</v>
      </c>
      <c r="I50" t="s">
        <v>10</v>
      </c>
      <c r="J50" s="1" t="s">
        <v>51</v>
      </c>
      <c r="K5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6C17-E30F-4AFD-B5A6-3C3F7505674F}">
  <sheetPr>
    <tabColor rgb="FF002060"/>
  </sheetPr>
  <dimension ref="A1"/>
  <sheetViews>
    <sheetView workbookViewId="0">
      <selection activeCell="K15" sqref="K15:K16"/>
    </sheetView>
  </sheetViews>
  <sheetFormatPr defaultColWidth="11.19921875" defaultRowHeight="13.8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69930-EF81-42CA-AC11-20DDAAF7DE0C}">
  <sheetPr>
    <tabColor theme="0" tint="-0.14999847407452621"/>
  </sheetPr>
  <dimension ref="A1:N321"/>
  <sheetViews>
    <sheetView workbookViewId="0">
      <selection activeCell="B2" sqref="B2"/>
    </sheetView>
  </sheetViews>
  <sheetFormatPr defaultColWidth="11.19921875" defaultRowHeight="13.8"/>
  <cols>
    <col min="2" max="2" width="14.5" customWidth="1"/>
  </cols>
  <sheetData>
    <row r="1" spans="1:14">
      <c r="A1" t="s">
        <v>4</v>
      </c>
      <c r="B1" t="s">
        <v>5</v>
      </c>
      <c r="C1" t="s">
        <v>0</v>
      </c>
      <c r="D1" t="s">
        <v>6</v>
      </c>
      <c r="E1" t="s">
        <v>42</v>
      </c>
      <c r="F1" t="s">
        <v>3</v>
      </c>
      <c r="G1" t="s">
        <v>50</v>
      </c>
      <c r="H1" t="s">
        <v>51</v>
      </c>
      <c r="I1" t="s">
        <v>52</v>
      </c>
      <c r="J1" t="s">
        <v>53</v>
      </c>
      <c r="K1" t="s">
        <v>40</v>
      </c>
      <c r="L1" t="s">
        <v>41</v>
      </c>
      <c r="M1" t="s">
        <v>38</v>
      </c>
      <c r="N1" t="s">
        <v>39</v>
      </c>
    </row>
    <row r="2" spans="1:14">
      <c r="A2" s="1">
        <f ca="1">+RANDBETWEEN(Apoyo!$P$2,Apoyo!$P$3)</f>
        <v>45945</v>
      </c>
      <c r="B2" s="1" t="str" cm="1">
        <f t="array" aca="1" ref="B2" ca="1">+INDEX(Apoyo!$B$2:$B$10,RANDBETWEEN(1,9))</f>
        <v>Ayacucho</v>
      </c>
      <c r="C2" t="s">
        <v>1</v>
      </c>
      <c r="D2" t="str" cm="1">
        <f t="array" aca="1" ref="D2" ca="1">+IF(OR($B2=Apoyo!$B$2,$B2=Apoyo!$B$6),"Lima",IF($B2=Apoyo!$B$10,INDEX(Apoyo!$D$2:$D$19,RANDBETWEEN(1,18)),IF(OR($B2&lt;&gt;Apoyo!$B$10,$B2&lt;&gt;Apoyo!$B$2,$B2&lt;&gt;Apoyo!$B$6),B2,0)))</f>
        <v>Ayacucho</v>
      </c>
      <c r="E2" t="str">
        <f>+IF(C2="Mujer","Femenino",2)</f>
        <v>Femenino</v>
      </c>
      <c r="F2">
        <f t="shared" ref="F2:F65" ca="1" si="0">+IF(C2="Mujer",RANDBETWEEN(18,65),RANDBETWEEN(12,17))</f>
        <v>32</v>
      </c>
      <c r="G2" t="s">
        <v>54</v>
      </c>
      <c r="H2" s="3">
        <f ca="1">+IF($G2&lt;&gt;"Completa",IF($G2&lt;&gt;"Discapacidad",0,RANDBETWEEN(0,1)),RANDBETWEEN(0,1))</f>
        <v>0</v>
      </c>
      <c r="I2" s="3">
        <f ca="1">+IF($G2&lt;&gt;"Completa",IF($G2&lt;&gt;"Discapacidad",0,RANDBETWEEN(0,1)),RANDBETWEEN(0,1))</f>
        <v>0</v>
      </c>
      <c r="J2">
        <f ca="1">+IF(OR(H2=1,I2=1),RANDBETWEEN(0,1),0)</f>
        <v>0</v>
      </c>
      <c r="K2" s="2">
        <f ca="1">IF(G2&lt;&gt;"Completa","n.a.",RAND())</f>
        <v>0.42833557251065313</v>
      </c>
      <c r="L2" s="2">
        <f ca="1">+IFERROR(K2+0.04,"n.a.")</f>
        <v>0.46833557251065311</v>
      </c>
      <c r="M2" s="2"/>
    </row>
    <row r="3" spans="1:14">
      <c r="A3" s="1">
        <f ca="1">+RANDBETWEEN(Apoyo!$P$2,Apoyo!$P$3)</f>
        <v>45952</v>
      </c>
      <c r="B3" s="1" t="str" cm="1">
        <f t="array" aca="1" ref="B3" ca="1">+INDEX(Apoyo!$B$2:$B$10,RANDBETWEEN(1,9))</f>
        <v>Puente Piedra-Ventanilla</v>
      </c>
      <c r="C3" t="s">
        <v>2</v>
      </c>
      <c r="D3" t="str" cm="1">
        <f t="array" aca="1" ref="D3" ca="1">+IF(OR($B3=Apoyo!$B$2,$B3=Apoyo!$B$6),"Lima",IF($B3=Apoyo!$B$10,INDEX(Apoyo!$D$2:$D$19,RANDBETWEEN(1,18)),IF(OR($B3&lt;&gt;Apoyo!$B$10,$B3&lt;&gt;Apoyo!$B$2,$B3&lt;&gt;Apoyo!$B$6),B3,0)))</f>
        <v>Lima</v>
      </c>
      <c r="E3" t="s">
        <v>43</v>
      </c>
      <c r="F3">
        <f t="shared" ca="1" si="0"/>
        <v>12</v>
      </c>
      <c r="G3" t="s">
        <v>54</v>
      </c>
      <c r="H3" s="3">
        <f t="shared" ref="H3:I66" ca="1" si="1">+IF($G3&lt;&gt;"Completa",IF($G3&lt;&gt;"Discapacidad",0,RANDBETWEEN(0,1)),RANDBETWEEN(0,1))</f>
        <v>0</v>
      </c>
      <c r="I3" s="3">
        <f t="shared" ca="1" si="1"/>
        <v>0</v>
      </c>
      <c r="J3">
        <f t="shared" ref="J3:J66" ca="1" si="2">+IF(OR(H3=1,I3=1),RANDBETWEEN(0,1),0)</f>
        <v>0</v>
      </c>
      <c r="K3" s="2">
        <f t="shared" ref="K3:K66" ca="1" si="3">IF(G3&lt;&gt;"Completa","n.a.",RAND())</f>
        <v>0.16810297647229544</v>
      </c>
      <c r="L3" s="2">
        <f ca="1">+IFERROR(K3+0.05,"n.a.")</f>
        <v>0.21810297647229543</v>
      </c>
      <c r="M3" s="2"/>
    </row>
    <row r="4" spans="1:14">
      <c r="A4" s="1">
        <f ca="1">+RANDBETWEEN(Apoyo!$P$2,Apoyo!$P$3)</f>
        <v>45948</v>
      </c>
      <c r="B4" s="1" t="str" cm="1">
        <f t="array" aca="1" ref="B4" ca="1">+INDEX(Apoyo!$B$2:$B$10,RANDBETWEEN(1,9))</f>
        <v>Huánuco</v>
      </c>
      <c r="C4" t="s">
        <v>2</v>
      </c>
      <c r="D4" t="str" cm="1">
        <f t="array" aca="1" ref="D4" ca="1">+IF(OR($B4=Apoyo!$B$2,$B4=Apoyo!$B$6),"Lima",IF($B4=Apoyo!$B$10,INDEX(Apoyo!$D$2:$D$19,RANDBETWEEN(1,18)),IF(OR($B4&lt;&gt;Apoyo!$B$10,$B4&lt;&gt;Apoyo!$B$2,$B4&lt;&gt;Apoyo!$B$6),B4,0)))</f>
        <v>Huánuco</v>
      </c>
      <c r="E4" t="s">
        <v>44</v>
      </c>
      <c r="F4">
        <f t="shared" ca="1" si="0"/>
        <v>16</v>
      </c>
      <c r="G4" t="s">
        <v>54</v>
      </c>
      <c r="H4" s="3">
        <f t="shared" ca="1" si="1"/>
        <v>0</v>
      </c>
      <c r="I4" s="3">
        <f t="shared" ca="1" si="1"/>
        <v>0</v>
      </c>
      <c r="J4">
        <f t="shared" ca="1" si="2"/>
        <v>0</v>
      </c>
      <c r="K4" s="2">
        <f t="shared" ca="1" si="3"/>
        <v>0.82331395039796074</v>
      </c>
      <c r="L4" s="2">
        <f ca="1">+IFERROR(K4+0.03,"n.a.")</f>
        <v>0.85331395039796076</v>
      </c>
      <c r="M4" s="2"/>
    </row>
    <row r="5" spans="1:14">
      <c r="A5" s="1">
        <f ca="1">+RANDBETWEEN(Apoyo!$P$2,Apoyo!$P$3)</f>
        <v>45959</v>
      </c>
      <c r="B5" s="1" t="str" cm="1">
        <f t="array" aca="1" ref="B5" ca="1">+INDEX(Apoyo!$B$2:$B$10,RANDBETWEEN(1,9))</f>
        <v>Resto del Perú</v>
      </c>
      <c r="C5" t="s">
        <v>1</v>
      </c>
      <c r="D5" t="str" cm="1">
        <f t="array" aca="1" ref="D5" ca="1">+IF(OR($B5=Apoyo!$B$2,$B5=Apoyo!$B$6),"Lima",IF($B5=Apoyo!$B$10,INDEX(Apoyo!$D$2:$D$19,RANDBETWEEN(1,18)),IF(OR($B5&lt;&gt;Apoyo!$B$10,$B5&lt;&gt;Apoyo!$B$2,$B5&lt;&gt;Apoyo!$B$6),B5,0)))</f>
        <v>Amazonas</v>
      </c>
      <c r="E5" t="str">
        <f t="shared" ref="E5:E11" si="4">+IF(C5="Mujer","Femenino",2)</f>
        <v>Femenino</v>
      </c>
      <c r="F5">
        <f t="shared" ca="1" si="0"/>
        <v>38</v>
      </c>
      <c r="G5" t="s">
        <v>54</v>
      </c>
      <c r="H5" s="3">
        <f t="shared" ca="1" si="1"/>
        <v>0</v>
      </c>
      <c r="I5" s="3">
        <f t="shared" ca="1" si="1"/>
        <v>0</v>
      </c>
      <c r="J5">
        <f t="shared" ca="1" si="2"/>
        <v>0</v>
      </c>
      <c r="K5" s="2">
        <f t="shared" ca="1" si="3"/>
        <v>0.92488921285950509</v>
      </c>
      <c r="L5" s="2">
        <f ca="1">+IFERROR(K5+0.03,"n.a.")</f>
        <v>0.95488921285950512</v>
      </c>
      <c r="M5" s="2"/>
    </row>
    <row r="6" spans="1:14">
      <c r="A6" s="1">
        <f ca="1">+RANDBETWEEN(Apoyo!$P$2,Apoyo!$P$3)</f>
        <v>45950</v>
      </c>
      <c r="B6" s="1" t="str" cm="1">
        <f t="array" aca="1" ref="B6" ca="1">+INDEX(Apoyo!$B$2:$B$10,RANDBETWEEN(1,9))</f>
        <v>Resto del Perú</v>
      </c>
      <c r="C6" t="s">
        <v>1</v>
      </c>
      <c r="D6" t="str" cm="1">
        <f t="array" aca="1" ref="D6" ca="1">+IF(OR($B6=Apoyo!$B$2,$B6=Apoyo!$B$6),"Lima",IF($B6=Apoyo!$B$10,INDEX(Apoyo!$D$2:$D$19,RANDBETWEEN(1,18)),IF(OR($B6&lt;&gt;Apoyo!$B$10,$B6&lt;&gt;Apoyo!$B$2,$B6&lt;&gt;Apoyo!$B$6),B6,0)))</f>
        <v>Pasco</v>
      </c>
      <c r="E6" t="str">
        <f t="shared" si="4"/>
        <v>Femenino</v>
      </c>
      <c r="F6">
        <f t="shared" ca="1" si="0"/>
        <v>38</v>
      </c>
      <c r="G6" t="s">
        <v>54</v>
      </c>
      <c r="H6" s="3">
        <f t="shared" ca="1" si="1"/>
        <v>0</v>
      </c>
      <c r="I6" s="3">
        <f t="shared" ca="1" si="1"/>
        <v>0</v>
      </c>
      <c r="J6">
        <f t="shared" ca="1" si="2"/>
        <v>0</v>
      </c>
      <c r="K6" s="2">
        <f t="shared" ca="1" si="3"/>
        <v>0.38412841420591193</v>
      </c>
      <c r="L6" s="2">
        <f t="shared" ref="L6:L66" ca="1" si="5">+IFERROR(K6+0.04,"n.a.")</f>
        <v>0.42412841420591191</v>
      </c>
      <c r="M6" s="2"/>
    </row>
    <row r="7" spans="1:14">
      <c r="A7" s="1">
        <f ca="1">+RANDBETWEEN(Apoyo!$P$2,Apoyo!$P$3)</f>
        <v>45956</v>
      </c>
      <c r="B7" s="1" t="str" cm="1">
        <f t="array" aca="1" ref="B7" ca="1">+INDEX(Apoyo!$B$2:$B$10,RANDBETWEEN(1,9))</f>
        <v>Lima Norte</v>
      </c>
      <c r="C7" t="s">
        <v>2</v>
      </c>
      <c r="D7" t="str" cm="1">
        <f t="array" aca="1" ref="D7" ca="1">+IF(OR($B7=Apoyo!$B$2,$B7=Apoyo!$B$6),"Lima",IF($B7=Apoyo!$B$10,INDEX(Apoyo!$D$2:$D$19,RANDBETWEEN(1,18)),IF(OR($B7&lt;&gt;Apoyo!$B$10,$B7&lt;&gt;Apoyo!$B$2,$B7&lt;&gt;Apoyo!$B$6),B7,0)))</f>
        <v>Lima</v>
      </c>
      <c r="E7" t="s">
        <v>44</v>
      </c>
      <c r="F7">
        <f t="shared" ca="1" si="0"/>
        <v>15</v>
      </c>
      <c r="G7" t="s">
        <v>54</v>
      </c>
      <c r="H7" s="3">
        <f t="shared" ca="1" si="1"/>
        <v>0</v>
      </c>
      <c r="I7" s="3">
        <f t="shared" ca="1" si="1"/>
        <v>0</v>
      </c>
      <c r="J7">
        <f t="shared" ca="1" si="2"/>
        <v>0</v>
      </c>
      <c r="K7" s="2">
        <f t="shared" ca="1" si="3"/>
        <v>0.96778019875046839</v>
      </c>
      <c r="L7" s="2">
        <f ca="1">+IFERROR(K7+0.06,"n.a.")</f>
        <v>1.0277801987504684</v>
      </c>
      <c r="M7" s="2"/>
    </row>
    <row r="8" spans="1:14">
      <c r="A8" s="1">
        <f ca="1">+RANDBETWEEN(Apoyo!$P$2,Apoyo!$P$3)</f>
        <v>45959</v>
      </c>
      <c r="B8" s="1" t="str" cm="1">
        <f t="array" aca="1" ref="B8" ca="1">+INDEX(Apoyo!$B$2:$B$10,RANDBETWEEN(1,9))</f>
        <v>Puente Piedra-Ventanilla</v>
      </c>
      <c r="C8" t="s">
        <v>2</v>
      </c>
      <c r="D8" t="str" cm="1">
        <f t="array" aca="1" ref="D8" ca="1">+IF(OR($B8=Apoyo!$B$2,$B8=Apoyo!$B$6),"Lima",IF($B8=Apoyo!$B$10,INDEX(Apoyo!$D$2:$D$19,RANDBETWEEN(1,18)),IF(OR($B8&lt;&gt;Apoyo!$B$10,$B8&lt;&gt;Apoyo!$B$2,$B8&lt;&gt;Apoyo!$B$6),B8,0)))</f>
        <v>Lima</v>
      </c>
      <c r="E8" t="s">
        <v>43</v>
      </c>
      <c r="F8">
        <f t="shared" ca="1" si="0"/>
        <v>15</v>
      </c>
      <c r="G8" t="s">
        <v>54</v>
      </c>
      <c r="H8" s="3">
        <f t="shared" ca="1" si="1"/>
        <v>0</v>
      </c>
      <c r="I8" s="3">
        <f t="shared" ca="1" si="1"/>
        <v>0</v>
      </c>
      <c r="J8">
        <f t="shared" ca="1" si="2"/>
        <v>0</v>
      </c>
      <c r="K8" s="2">
        <f t="shared" ca="1" si="3"/>
        <v>1.7072983780467288E-3</v>
      </c>
      <c r="L8" s="2">
        <f ca="1">+IFERROR(K8+0.03,"n.a.")</f>
        <v>3.1707298378046728E-2</v>
      </c>
      <c r="M8" s="2"/>
    </row>
    <row r="9" spans="1:14">
      <c r="A9" s="1">
        <f ca="1">+RANDBETWEEN(Apoyo!$P$2,Apoyo!$P$3)</f>
        <v>45958</v>
      </c>
      <c r="B9" s="1" t="str" cm="1">
        <f t="array" aca="1" ref="B9" ca="1">+INDEX(Apoyo!$B$2:$B$10,RANDBETWEEN(1,9))</f>
        <v>Ucayali</v>
      </c>
      <c r="C9" t="s">
        <v>1</v>
      </c>
      <c r="D9" t="str" cm="1">
        <f t="array" aca="1" ref="D9" ca="1">+IF(OR($B9=Apoyo!$B$2,$B9=Apoyo!$B$6),"Lima",IF($B9=Apoyo!$B$10,INDEX(Apoyo!$D$2:$D$19,RANDBETWEEN(1,18)),IF(OR($B9&lt;&gt;Apoyo!$B$10,$B9&lt;&gt;Apoyo!$B$2,$B9&lt;&gt;Apoyo!$B$6),B9,0)))</f>
        <v>Ucayali</v>
      </c>
      <c r="E9" t="str">
        <f t="shared" si="4"/>
        <v>Femenino</v>
      </c>
      <c r="F9">
        <f t="shared" ca="1" si="0"/>
        <v>41</v>
      </c>
      <c r="G9" t="s">
        <v>54</v>
      </c>
      <c r="H9" s="3">
        <f t="shared" ca="1" si="1"/>
        <v>0</v>
      </c>
      <c r="I9" s="3">
        <f t="shared" ca="1" si="1"/>
        <v>1</v>
      </c>
      <c r="J9">
        <f t="shared" ca="1" si="2"/>
        <v>0</v>
      </c>
      <c r="K9" s="2">
        <f t="shared" ca="1" si="3"/>
        <v>0.69673941287904173</v>
      </c>
      <c r="L9" s="2">
        <f ca="1">+IFERROR(K9+0.05,"n.a.")</f>
        <v>0.74673941287904178</v>
      </c>
      <c r="M9" s="2"/>
    </row>
    <row r="10" spans="1:14">
      <c r="A10" s="1">
        <f ca="1">+RANDBETWEEN(Apoyo!$P$2,Apoyo!$P$3)</f>
        <v>45955</v>
      </c>
      <c r="B10" s="1" t="str" cm="1">
        <f t="array" aca="1" ref="B10" ca="1">+INDEX(Apoyo!$B$2:$B$10,RANDBETWEEN(1,9))</f>
        <v>Loreto</v>
      </c>
      <c r="C10" t="s">
        <v>2</v>
      </c>
      <c r="D10" t="str" cm="1">
        <f t="array" aca="1" ref="D10" ca="1">+IF(OR($B10=Apoyo!$B$2,$B10=Apoyo!$B$6),"Lima",IF($B10=Apoyo!$B$10,INDEX(Apoyo!$D$2:$D$19,RANDBETWEEN(1,18)),IF(OR($B10&lt;&gt;Apoyo!$B$10,$B10&lt;&gt;Apoyo!$B$2,$B10&lt;&gt;Apoyo!$B$6),B10,0)))</f>
        <v>Loreto</v>
      </c>
      <c r="E10" t="s">
        <v>44</v>
      </c>
      <c r="F10">
        <f t="shared" ca="1" si="0"/>
        <v>12</v>
      </c>
      <c r="G10" t="str">
        <f ca="1">+CHOOSE(RANDBETWEEN(1,5),Apoyo!$E$3,Apoyo!$E$4,Apoyo!$E$5,Apoyo!$E$6,Apoyo!$E$7)</f>
        <v>Rechazada</v>
      </c>
      <c r="H10" s="3">
        <f t="shared" ca="1" si="1"/>
        <v>0</v>
      </c>
      <c r="I10" s="3">
        <f t="shared" ca="1" si="1"/>
        <v>0</v>
      </c>
      <c r="J10">
        <f t="shared" ca="1" si="2"/>
        <v>0</v>
      </c>
      <c r="K10" s="2" t="str">
        <f t="shared" ca="1" si="3"/>
        <v>n.a.</v>
      </c>
      <c r="L10" s="2" t="str">
        <f ca="1">+IFERROR(K10+0.04,"n.a.")</f>
        <v>n.a.</v>
      </c>
      <c r="M10" s="2"/>
    </row>
    <row r="11" spans="1:14">
      <c r="A11" s="1">
        <f ca="1">+RANDBETWEEN(Apoyo!$P$2,Apoyo!$P$3)</f>
        <v>45954</v>
      </c>
      <c r="B11" s="1" t="str" cm="1">
        <f t="array" aca="1" ref="B11" ca="1">+INDEX(Apoyo!$B$2:$B$10,RANDBETWEEN(1,9))</f>
        <v>Huánuco</v>
      </c>
      <c r="C11" t="s">
        <v>1</v>
      </c>
      <c r="D11" t="str" cm="1">
        <f t="array" aca="1" ref="D11" ca="1">+IF(OR($B11=Apoyo!$B$2,$B11=Apoyo!$B$6),"Lima",IF($B11=Apoyo!$B$10,INDEX(Apoyo!$D$2:$D$19,RANDBETWEEN(1,18)),IF(OR($B11&lt;&gt;Apoyo!$B$10,$B11&lt;&gt;Apoyo!$B$2,$B11&lt;&gt;Apoyo!$B$6),B11,0)))</f>
        <v>Huánuco</v>
      </c>
      <c r="E11" t="str">
        <f t="shared" si="4"/>
        <v>Femenino</v>
      </c>
      <c r="F11">
        <f t="shared" ca="1" si="0"/>
        <v>24</v>
      </c>
      <c r="G11" t="s">
        <v>54</v>
      </c>
      <c r="H11" s="3">
        <f t="shared" ca="1" si="1"/>
        <v>0</v>
      </c>
      <c r="I11" s="3">
        <f t="shared" ca="1" si="1"/>
        <v>0</v>
      </c>
      <c r="J11">
        <f t="shared" ca="1" si="2"/>
        <v>0</v>
      </c>
      <c r="K11" s="2">
        <f t="shared" ca="1" si="3"/>
        <v>0.66952186715630468</v>
      </c>
      <c r="L11" s="2">
        <f ca="1">+IFERROR(K11+0.05,"n.a.")</f>
        <v>0.71952186715630473</v>
      </c>
      <c r="M11" s="2"/>
    </row>
    <row r="12" spans="1:14">
      <c r="A12" s="1">
        <f ca="1">+RANDBETWEEN(Apoyo!$P$2,Apoyo!$P$3)</f>
        <v>45952</v>
      </c>
      <c r="B12" s="1" t="str" cm="1">
        <f t="array" aca="1" ref="B12" ca="1">+INDEX(Apoyo!$B$2:$B$10,RANDBETWEEN(1,9))</f>
        <v>Apurímac</v>
      </c>
      <c r="C12" t="s">
        <v>1</v>
      </c>
      <c r="D12" t="str" cm="1">
        <f t="array" aca="1" ref="D12" ca="1">+IF(OR($B12=Apoyo!$B$2,$B12=Apoyo!$B$6),"Lima",IF($B12=Apoyo!$B$10,INDEX(Apoyo!$D$2:$D$19,RANDBETWEEN(1,18)),IF(OR($B12&lt;&gt;Apoyo!$B$10,$B12&lt;&gt;Apoyo!$B$2,$B12&lt;&gt;Apoyo!$B$6),B12,0)))</f>
        <v>Apurímac</v>
      </c>
      <c r="E12" t="str">
        <f>+IF(C12="Mujer","Femenino",2)</f>
        <v>Femenino</v>
      </c>
      <c r="F12">
        <f t="shared" ca="1" si="0"/>
        <v>58</v>
      </c>
      <c r="G12" t="s">
        <v>54</v>
      </c>
      <c r="H12" s="3">
        <f t="shared" ca="1" si="1"/>
        <v>0</v>
      </c>
      <c r="I12" s="3">
        <f t="shared" ca="1" si="1"/>
        <v>1</v>
      </c>
      <c r="J12">
        <f t="shared" ca="1" si="2"/>
        <v>1</v>
      </c>
      <c r="K12" s="2">
        <f t="shared" ca="1" si="3"/>
        <v>0.91037046496825846</v>
      </c>
      <c r="L12" s="2">
        <f ca="1">+IFERROR(K12+0.03,"n.a.")</f>
        <v>0.94037046496825849</v>
      </c>
    </row>
    <row r="13" spans="1:14">
      <c r="A13" s="1">
        <f ca="1">+RANDBETWEEN(Apoyo!$P$2,Apoyo!$P$3)</f>
        <v>45953</v>
      </c>
      <c r="B13" s="1" t="str" cm="1">
        <f t="array" aca="1" ref="B13" ca="1">+INDEX(Apoyo!$B$2:$B$10,RANDBETWEEN(1,9))</f>
        <v>Lima Norte</v>
      </c>
      <c r="C13" t="s">
        <v>2</v>
      </c>
      <c r="D13" t="str" cm="1">
        <f t="array" aca="1" ref="D13" ca="1">+IF(OR($B13=Apoyo!$B$2,$B13=Apoyo!$B$6),"Lima",IF($B13=Apoyo!$B$10,INDEX(Apoyo!$D$2:$D$19,RANDBETWEEN(1,18)),IF(OR($B13&lt;&gt;Apoyo!$B$10,$B13&lt;&gt;Apoyo!$B$2,$B13&lt;&gt;Apoyo!$B$6),B13,0)))</f>
        <v>Lima</v>
      </c>
      <c r="E13" t="s">
        <v>43</v>
      </c>
      <c r="F13">
        <f t="shared" ca="1" si="0"/>
        <v>13</v>
      </c>
      <c r="G13" t="s">
        <v>54</v>
      </c>
      <c r="H13" s="3">
        <f t="shared" ca="1" si="1"/>
        <v>1</v>
      </c>
      <c r="I13" s="3">
        <f t="shared" ca="1" si="1"/>
        <v>0</v>
      </c>
      <c r="J13">
        <f t="shared" ca="1" si="2"/>
        <v>0</v>
      </c>
      <c r="K13" s="2">
        <f t="shared" ca="1" si="3"/>
        <v>0.1374933293072389</v>
      </c>
      <c r="L13" s="2">
        <f ca="1">+IFERROR(K13+0.03,"n.a.")</f>
        <v>0.1674933293072389</v>
      </c>
    </row>
    <row r="14" spans="1:14">
      <c r="A14" s="1">
        <f ca="1">+RANDBETWEEN(Apoyo!$P$2,Apoyo!$P$3)</f>
        <v>45955</v>
      </c>
      <c r="B14" s="1" t="str" cm="1">
        <f t="array" aca="1" ref="B14" ca="1">+INDEX(Apoyo!$B$2:$B$10,RANDBETWEEN(1,9))</f>
        <v>Ucayali</v>
      </c>
      <c r="C14" t="s">
        <v>2</v>
      </c>
      <c r="D14" t="str" cm="1">
        <f t="array" aca="1" ref="D14" ca="1">+IF(OR($B14=Apoyo!$B$2,$B14=Apoyo!$B$6),"Lima",IF($B14=Apoyo!$B$10,INDEX(Apoyo!$D$2:$D$19,RANDBETWEEN(1,18)),IF(OR($B14&lt;&gt;Apoyo!$B$10,$B14&lt;&gt;Apoyo!$B$2,$B14&lt;&gt;Apoyo!$B$6),B14,0)))</f>
        <v>Ucayali</v>
      </c>
      <c r="E14" t="s">
        <v>44</v>
      </c>
      <c r="F14">
        <f t="shared" ca="1" si="0"/>
        <v>16</v>
      </c>
      <c r="G14" t="str">
        <f ca="1">+CHOOSE(RANDBETWEEN(1,5),Apoyo!$E$3,Apoyo!$E$4,Apoyo!$E$5,Apoyo!$E$6,Apoyo!$E$7)</f>
        <v>Ausente</v>
      </c>
      <c r="H14" s="3">
        <f t="shared" ca="1" si="1"/>
        <v>0</v>
      </c>
      <c r="I14" s="3">
        <f t="shared" ca="1" si="1"/>
        <v>0</v>
      </c>
      <c r="J14">
        <f t="shared" ca="1" si="2"/>
        <v>0</v>
      </c>
      <c r="K14" s="2" t="str">
        <f t="shared" ca="1" si="3"/>
        <v>n.a.</v>
      </c>
      <c r="L14" s="2" t="str">
        <f t="shared" ref="L14" ca="1" si="6">+IFERROR(K14+0.04,"n.a.")</f>
        <v>n.a.</v>
      </c>
    </row>
    <row r="15" spans="1:14">
      <c r="A15" s="1">
        <f ca="1">+RANDBETWEEN(Apoyo!$P$2,Apoyo!$P$3)</f>
        <v>45959</v>
      </c>
      <c r="B15" s="1" t="str" cm="1">
        <f t="array" aca="1" ref="B15" ca="1">+INDEX(Apoyo!$B$2:$B$10,RANDBETWEEN(1,9))</f>
        <v>Puente Piedra-Ventanilla</v>
      </c>
      <c r="C15" t="s">
        <v>1</v>
      </c>
      <c r="D15" t="str" cm="1">
        <f t="array" aca="1" ref="D15" ca="1">+IF(OR($B15=Apoyo!$B$2,$B15=Apoyo!$B$6),"Lima",IF($B15=Apoyo!$B$10,INDEX(Apoyo!$D$2:$D$19,RANDBETWEEN(1,18)),IF(OR($B15&lt;&gt;Apoyo!$B$10,$B15&lt;&gt;Apoyo!$B$2,$B15&lt;&gt;Apoyo!$B$6),B15,0)))</f>
        <v>Lima</v>
      </c>
      <c r="E15" t="str">
        <f t="shared" ref="E15:E16" si="7">+IF(C15="Mujer","Femenino",2)</f>
        <v>Femenino</v>
      </c>
      <c r="F15">
        <f t="shared" ca="1" si="0"/>
        <v>60</v>
      </c>
      <c r="G15" t="s">
        <v>54</v>
      </c>
      <c r="H15" s="3">
        <f t="shared" ca="1" si="1"/>
        <v>1</v>
      </c>
      <c r="I15" s="3">
        <f t="shared" ca="1" si="1"/>
        <v>1</v>
      </c>
      <c r="J15">
        <f t="shared" ca="1" si="2"/>
        <v>1</v>
      </c>
      <c r="K15" s="2">
        <f t="shared" ca="1" si="3"/>
        <v>0.461526827532454</v>
      </c>
      <c r="L15" s="2">
        <f t="shared" ref="L15" ca="1" si="8">+IFERROR(K15+0.05,"n.a.")</f>
        <v>0.51152682753245404</v>
      </c>
    </row>
    <row r="16" spans="1:14">
      <c r="A16" s="1">
        <f ca="1">+RANDBETWEEN(Apoyo!$P$2,Apoyo!$P$3)</f>
        <v>45953</v>
      </c>
      <c r="B16" s="1" t="str" cm="1">
        <f t="array" aca="1" ref="B16" ca="1">+INDEX(Apoyo!$B$2:$B$10,RANDBETWEEN(1,9))</f>
        <v>Ucayali</v>
      </c>
      <c r="C16" t="s">
        <v>1</v>
      </c>
      <c r="D16" t="str" cm="1">
        <f t="array" aca="1" ref="D16" ca="1">+IF(OR($B16=Apoyo!$B$2,$B16=Apoyo!$B$6),"Lima",IF($B16=Apoyo!$B$10,INDEX(Apoyo!$D$2:$D$19,RANDBETWEEN(1,18)),IF(OR($B16&lt;&gt;Apoyo!$B$10,$B16&lt;&gt;Apoyo!$B$2,$B16&lt;&gt;Apoyo!$B$6),B16,0)))</f>
        <v>Ucayali</v>
      </c>
      <c r="E16" t="str">
        <f t="shared" si="7"/>
        <v>Femenino</v>
      </c>
      <c r="F16">
        <f t="shared" ca="1" si="0"/>
        <v>44</v>
      </c>
      <c r="G16" t="s">
        <v>54</v>
      </c>
      <c r="H16" s="3">
        <f t="shared" ca="1" si="1"/>
        <v>1</v>
      </c>
      <c r="I16" s="3">
        <f t="shared" ca="1" si="1"/>
        <v>1</v>
      </c>
      <c r="J16">
        <f t="shared" ca="1" si="2"/>
        <v>0</v>
      </c>
      <c r="K16" s="2">
        <f t="shared" ca="1" si="3"/>
        <v>5.8386196986155658E-2</v>
      </c>
      <c r="L16" s="2">
        <f t="shared" ref="L16:L17" ca="1" si="9">+IFERROR(K16+0.03,"n.a.")</f>
        <v>8.8386196986155657E-2</v>
      </c>
    </row>
    <row r="17" spans="1:12">
      <c r="A17" s="1">
        <f ca="1">+RANDBETWEEN(Apoyo!$P$2,Apoyo!$P$3)</f>
        <v>45955</v>
      </c>
      <c r="B17" s="1" t="str" cm="1">
        <f t="array" aca="1" ref="B17" ca="1">+INDEX(Apoyo!$B$2:$B$10,RANDBETWEEN(1,9))</f>
        <v>Lima Norte</v>
      </c>
      <c r="C17" t="s">
        <v>2</v>
      </c>
      <c r="D17" t="str" cm="1">
        <f t="array" aca="1" ref="D17" ca="1">+IF(OR($B17=Apoyo!$B$2,$B17=Apoyo!$B$6),"Lima",IF($B17=Apoyo!$B$10,INDEX(Apoyo!$D$2:$D$19,RANDBETWEEN(1,18)),IF(OR($B17&lt;&gt;Apoyo!$B$10,$B17&lt;&gt;Apoyo!$B$2,$B17&lt;&gt;Apoyo!$B$6),B17,0)))</f>
        <v>Lima</v>
      </c>
      <c r="E17" t="s">
        <v>44</v>
      </c>
      <c r="F17">
        <f t="shared" ca="1" si="0"/>
        <v>12</v>
      </c>
      <c r="G17" t="s">
        <v>54</v>
      </c>
      <c r="H17" s="3">
        <f t="shared" ca="1" si="1"/>
        <v>0</v>
      </c>
      <c r="I17" s="3">
        <f t="shared" ca="1" si="1"/>
        <v>1</v>
      </c>
      <c r="J17">
        <f t="shared" ca="1" si="2"/>
        <v>1</v>
      </c>
      <c r="K17" s="2">
        <f t="shared" ca="1" si="3"/>
        <v>0.65823744899018954</v>
      </c>
      <c r="L17" s="2">
        <f t="shared" ca="1" si="9"/>
        <v>0.68823744899018957</v>
      </c>
    </row>
    <row r="18" spans="1:12">
      <c r="A18" s="1">
        <f ca="1">+RANDBETWEEN(Apoyo!$P$2,Apoyo!$P$3)</f>
        <v>45953</v>
      </c>
      <c r="B18" s="1" t="str" cm="1">
        <f t="array" aca="1" ref="B18" ca="1">+INDEX(Apoyo!$B$2:$B$10,RANDBETWEEN(1,9))</f>
        <v>Resto del Perú</v>
      </c>
      <c r="C18" t="s">
        <v>2</v>
      </c>
      <c r="D18" t="str" cm="1">
        <f t="array" aca="1" ref="D18" ca="1">+IF(OR($B18=Apoyo!$B$2,$B18=Apoyo!$B$6),"Lima",IF($B18=Apoyo!$B$10,INDEX(Apoyo!$D$2:$D$19,RANDBETWEEN(1,18)),IF(OR($B18&lt;&gt;Apoyo!$B$10,$B18&lt;&gt;Apoyo!$B$2,$B18&lt;&gt;Apoyo!$B$6),B18,0)))</f>
        <v>Piura</v>
      </c>
      <c r="E18" t="s">
        <v>43</v>
      </c>
      <c r="F18">
        <f t="shared" ca="1" si="0"/>
        <v>12</v>
      </c>
      <c r="G18" t="s">
        <v>54</v>
      </c>
      <c r="H18" s="3">
        <f t="shared" ca="1" si="1"/>
        <v>0</v>
      </c>
      <c r="I18" s="3">
        <f t="shared" ca="1" si="1"/>
        <v>1</v>
      </c>
      <c r="J18">
        <f t="shared" ca="1" si="2"/>
        <v>1</v>
      </c>
      <c r="K18" s="2">
        <f t="shared" ca="1" si="3"/>
        <v>1.4745248221255891E-2</v>
      </c>
      <c r="L18" s="2">
        <f t="shared" ca="1" si="5"/>
        <v>5.4745248221255892E-2</v>
      </c>
    </row>
    <row r="19" spans="1:12">
      <c r="A19" s="1">
        <f ca="1">+RANDBETWEEN(Apoyo!$P$2,Apoyo!$P$3)</f>
        <v>45945</v>
      </c>
      <c r="B19" s="1" t="str" cm="1">
        <f t="array" aca="1" ref="B19" ca="1">+INDEX(Apoyo!$B$2:$B$10,RANDBETWEEN(1,9))</f>
        <v>Apurímac</v>
      </c>
      <c r="C19" t="s">
        <v>1</v>
      </c>
      <c r="D19" t="str" cm="1">
        <f t="array" aca="1" ref="D19" ca="1">+IF(OR($B19=Apoyo!$B$2,$B19=Apoyo!$B$6),"Lima",IF($B19=Apoyo!$B$10,INDEX(Apoyo!$D$2:$D$19,RANDBETWEEN(1,18)),IF(OR($B19&lt;&gt;Apoyo!$B$10,$B19&lt;&gt;Apoyo!$B$2,$B19&lt;&gt;Apoyo!$B$6),B19,0)))</f>
        <v>Apurímac</v>
      </c>
      <c r="E19" t="str">
        <f t="shared" ref="E19" si="10">+IF(C19="Mujer","Femenino",2)</f>
        <v>Femenino</v>
      </c>
      <c r="F19">
        <f t="shared" ca="1" si="0"/>
        <v>35</v>
      </c>
      <c r="G19" t="str">
        <f ca="1">+CHOOSE(RANDBETWEEN(1,5),Apoyo!$E$3,Apoyo!$E$4,Apoyo!$E$5,Apoyo!$E$6,Apoyo!$E$7)</f>
        <v>Otro</v>
      </c>
      <c r="H19" s="3">
        <f t="shared" ca="1" si="1"/>
        <v>0</v>
      </c>
      <c r="I19" s="3">
        <f t="shared" ca="1" si="1"/>
        <v>0</v>
      </c>
      <c r="J19">
        <f t="shared" ca="1" si="2"/>
        <v>0</v>
      </c>
      <c r="K19" s="2" t="str">
        <f t="shared" ca="1" si="3"/>
        <v>n.a.</v>
      </c>
      <c r="L19" s="2" t="str">
        <f t="shared" ref="L19" ca="1" si="11">+IFERROR(K19+0.06,"n.a.")</f>
        <v>n.a.</v>
      </c>
    </row>
    <row r="20" spans="1:12">
      <c r="A20" s="1">
        <f ca="1">+RANDBETWEEN(Apoyo!$P$2,Apoyo!$P$3)</f>
        <v>45947</v>
      </c>
      <c r="B20" s="1" t="str" cm="1">
        <f t="array" aca="1" ref="B20" ca="1">+INDEX(Apoyo!$B$2:$B$10,RANDBETWEEN(1,9))</f>
        <v>Ucayali</v>
      </c>
      <c r="C20" t="s">
        <v>2</v>
      </c>
      <c r="D20" t="str" cm="1">
        <f t="array" aca="1" ref="D20" ca="1">+IF(OR($B20=Apoyo!$B$2,$B20=Apoyo!$B$6),"Lima",IF($B20=Apoyo!$B$10,INDEX(Apoyo!$D$2:$D$19,RANDBETWEEN(1,18)),IF(OR($B20&lt;&gt;Apoyo!$B$10,$B20&lt;&gt;Apoyo!$B$2,$B20&lt;&gt;Apoyo!$B$6),B20,0)))</f>
        <v>Ucayali</v>
      </c>
      <c r="E20" t="s">
        <v>44</v>
      </c>
      <c r="F20">
        <f t="shared" ca="1" si="0"/>
        <v>17</v>
      </c>
      <c r="G20" t="str">
        <f ca="1">+CHOOSE(RANDBETWEEN(1,5),Apoyo!$E$3,Apoyo!$E$4,Apoyo!$E$5,Apoyo!$E$6,Apoyo!$E$7)</f>
        <v>Aplazada</v>
      </c>
      <c r="H20" s="3">
        <f t="shared" ca="1" si="1"/>
        <v>0</v>
      </c>
      <c r="I20" s="3">
        <f t="shared" ca="1" si="1"/>
        <v>0</v>
      </c>
      <c r="J20">
        <f t="shared" ca="1" si="2"/>
        <v>0</v>
      </c>
      <c r="K20" s="2" t="str">
        <f t="shared" ca="1" si="3"/>
        <v>n.a.</v>
      </c>
      <c r="L20" s="2" t="str">
        <f t="shared" ref="L20" ca="1" si="12">+IFERROR(K20+0.03,"n.a.")</f>
        <v>n.a.</v>
      </c>
    </row>
    <row r="21" spans="1:12">
      <c r="A21" s="1">
        <f ca="1">+RANDBETWEEN(Apoyo!$P$2,Apoyo!$P$3)</f>
        <v>45951</v>
      </c>
      <c r="B21" s="1" t="str" cm="1">
        <f t="array" aca="1" ref="B21" ca="1">+INDEX(Apoyo!$B$2:$B$10,RANDBETWEEN(1,9))</f>
        <v>Loreto</v>
      </c>
      <c r="C21" t="s">
        <v>1</v>
      </c>
      <c r="D21" t="str" cm="1">
        <f t="array" aca="1" ref="D21" ca="1">+IF(OR($B21=Apoyo!$B$2,$B21=Apoyo!$B$6),"Lima",IF($B21=Apoyo!$B$10,INDEX(Apoyo!$D$2:$D$19,RANDBETWEEN(1,18)),IF(OR($B21&lt;&gt;Apoyo!$B$10,$B21&lt;&gt;Apoyo!$B$2,$B21&lt;&gt;Apoyo!$B$6),B21,0)))</f>
        <v>Loreto</v>
      </c>
      <c r="E21" t="str">
        <f t="shared" ref="E21" si="13">+IF(C21="Mujer","Femenino",2)</f>
        <v>Femenino</v>
      </c>
      <c r="F21">
        <f t="shared" ca="1" si="0"/>
        <v>45</v>
      </c>
      <c r="G21" t="s">
        <v>54</v>
      </c>
      <c r="H21" s="3">
        <f t="shared" ca="1" si="1"/>
        <v>1</v>
      </c>
      <c r="I21" s="3">
        <f t="shared" ca="1" si="1"/>
        <v>1</v>
      </c>
      <c r="J21">
        <f t="shared" ca="1" si="2"/>
        <v>0</v>
      </c>
      <c r="K21" s="2">
        <f t="shared" ca="1" si="3"/>
        <v>0.38820747170435754</v>
      </c>
      <c r="L21" s="2">
        <f t="shared" ref="L21" ca="1" si="14">+IFERROR(K21+0.05,"n.a.")</f>
        <v>0.43820747170435753</v>
      </c>
    </row>
    <row r="22" spans="1:12">
      <c r="A22" s="1">
        <f ca="1">+RANDBETWEEN(Apoyo!$P$2,Apoyo!$P$3)</f>
        <v>45952</v>
      </c>
      <c r="B22" s="1" t="str" cm="1">
        <f t="array" aca="1" ref="B22" ca="1">+INDEX(Apoyo!$B$2:$B$10,RANDBETWEEN(1,9))</f>
        <v>Loreto</v>
      </c>
      <c r="C22" t="s">
        <v>1</v>
      </c>
      <c r="D22" t="str" cm="1">
        <f t="array" aca="1" ref="D22" ca="1">+IF(OR($B22=Apoyo!$B$2,$B22=Apoyo!$B$6),"Lima",IF($B22=Apoyo!$B$10,INDEX(Apoyo!$D$2:$D$19,RANDBETWEEN(1,18)),IF(OR($B22&lt;&gt;Apoyo!$B$10,$B22&lt;&gt;Apoyo!$B$2,$B22&lt;&gt;Apoyo!$B$6),B22,0)))</f>
        <v>Loreto</v>
      </c>
      <c r="E22" t="str">
        <f>+IF(C22="Mujer","Femenino",2)</f>
        <v>Femenino</v>
      </c>
      <c r="F22">
        <f t="shared" ca="1" si="0"/>
        <v>38</v>
      </c>
      <c r="G22" t="s">
        <v>54</v>
      </c>
      <c r="H22" s="3">
        <f t="shared" ca="1" si="1"/>
        <v>1</v>
      </c>
      <c r="I22" s="3">
        <f t="shared" ca="1" si="1"/>
        <v>0</v>
      </c>
      <c r="J22">
        <f t="shared" ca="1" si="2"/>
        <v>1</v>
      </c>
      <c r="K22" s="2">
        <f t="shared" ca="1" si="3"/>
        <v>0.43546679261053656</v>
      </c>
      <c r="L22" s="2">
        <f t="shared" ref="L22" ca="1" si="15">+IFERROR(K22+0.04,"n.a.")</f>
        <v>0.47546679261053654</v>
      </c>
    </row>
    <row r="23" spans="1:12">
      <c r="A23" s="1">
        <f ca="1">+RANDBETWEEN(Apoyo!$P$2,Apoyo!$P$3)</f>
        <v>45951</v>
      </c>
      <c r="B23" s="1" t="str" cm="1">
        <f t="array" aca="1" ref="B23" ca="1">+INDEX(Apoyo!$B$2:$B$10,RANDBETWEEN(1,9))</f>
        <v>Apurímac</v>
      </c>
      <c r="C23" t="s">
        <v>2</v>
      </c>
      <c r="D23" t="str" cm="1">
        <f t="array" aca="1" ref="D23" ca="1">+IF(OR($B23=Apoyo!$B$2,$B23=Apoyo!$B$6),"Lima",IF($B23=Apoyo!$B$10,INDEX(Apoyo!$D$2:$D$19,RANDBETWEEN(1,18)),IF(OR($B23&lt;&gt;Apoyo!$B$10,$B23&lt;&gt;Apoyo!$B$2,$B23&lt;&gt;Apoyo!$B$6),B23,0)))</f>
        <v>Apurímac</v>
      </c>
      <c r="E23" t="s">
        <v>43</v>
      </c>
      <c r="F23">
        <f t="shared" ca="1" si="0"/>
        <v>17</v>
      </c>
      <c r="G23" t="s">
        <v>54</v>
      </c>
      <c r="H23" s="3">
        <f t="shared" ca="1" si="1"/>
        <v>1</v>
      </c>
      <c r="I23" s="3">
        <f t="shared" ca="1" si="1"/>
        <v>0</v>
      </c>
      <c r="J23">
        <f t="shared" ca="1" si="2"/>
        <v>1</v>
      </c>
      <c r="K23" s="2">
        <f t="shared" ca="1" si="3"/>
        <v>0.50243688578452228</v>
      </c>
      <c r="L23" s="2">
        <f t="shared" ref="L23" ca="1" si="16">+IFERROR(K23+0.05,"n.a.")</f>
        <v>0.55243688578452232</v>
      </c>
    </row>
    <row r="24" spans="1:12">
      <c r="A24" s="1">
        <f ca="1">+RANDBETWEEN(Apoyo!$P$2,Apoyo!$P$3)</f>
        <v>45957</v>
      </c>
      <c r="B24" s="1" t="str" cm="1">
        <f t="array" aca="1" ref="B24" ca="1">+INDEX(Apoyo!$B$2:$B$10,RANDBETWEEN(1,9))</f>
        <v>Puente Piedra-Ventanilla</v>
      </c>
      <c r="C24" t="s">
        <v>2</v>
      </c>
      <c r="D24" t="str" cm="1">
        <f t="array" aca="1" ref="D24" ca="1">+IF(OR($B24=Apoyo!$B$2,$B24=Apoyo!$B$6),"Lima",IF($B24=Apoyo!$B$10,INDEX(Apoyo!$D$2:$D$19,RANDBETWEEN(1,18)),IF(OR($B24&lt;&gt;Apoyo!$B$10,$B24&lt;&gt;Apoyo!$B$2,$B24&lt;&gt;Apoyo!$B$6),B24,0)))</f>
        <v>Lima</v>
      </c>
      <c r="E24" t="s">
        <v>44</v>
      </c>
      <c r="F24">
        <f t="shared" ca="1" si="0"/>
        <v>14</v>
      </c>
      <c r="G24" t="s">
        <v>54</v>
      </c>
      <c r="H24" s="3">
        <f t="shared" ca="1" si="1"/>
        <v>1</v>
      </c>
      <c r="I24" s="3">
        <f t="shared" ca="1" si="1"/>
        <v>0</v>
      </c>
      <c r="J24">
        <f t="shared" ca="1" si="2"/>
        <v>0</v>
      </c>
      <c r="K24" s="2">
        <f t="shared" ca="1" si="3"/>
        <v>0.86966586092210219</v>
      </c>
      <c r="L24" s="2">
        <f t="shared" ref="L24:L25" ca="1" si="17">+IFERROR(K24+0.03,"n.a.")</f>
        <v>0.89966586092210221</v>
      </c>
    </row>
    <row r="25" spans="1:12">
      <c r="A25" s="1">
        <f ca="1">+RANDBETWEEN(Apoyo!$P$2,Apoyo!$P$3)</f>
        <v>45950</v>
      </c>
      <c r="B25" s="1" t="str" cm="1">
        <f t="array" aca="1" ref="B25" ca="1">+INDEX(Apoyo!$B$2:$B$10,RANDBETWEEN(1,9))</f>
        <v>Apurímac</v>
      </c>
      <c r="C25" t="s">
        <v>1</v>
      </c>
      <c r="D25" t="str" cm="1">
        <f t="array" aca="1" ref="D25" ca="1">+IF(OR($B25=Apoyo!$B$2,$B25=Apoyo!$B$6),"Lima",IF($B25=Apoyo!$B$10,INDEX(Apoyo!$D$2:$D$19,RANDBETWEEN(1,18)),IF(OR($B25&lt;&gt;Apoyo!$B$10,$B25&lt;&gt;Apoyo!$B$2,$B25&lt;&gt;Apoyo!$B$6),B25,0)))</f>
        <v>Apurímac</v>
      </c>
      <c r="E25" t="str">
        <f t="shared" ref="E25:E26" si="18">+IF(C25="Mujer","Femenino",2)</f>
        <v>Femenino</v>
      </c>
      <c r="F25">
        <f t="shared" ca="1" si="0"/>
        <v>39</v>
      </c>
      <c r="G25" t="s">
        <v>54</v>
      </c>
      <c r="H25" s="3">
        <f t="shared" ca="1" si="1"/>
        <v>1</v>
      </c>
      <c r="I25" s="3">
        <f t="shared" ca="1" si="1"/>
        <v>0</v>
      </c>
      <c r="J25">
        <f t="shared" ca="1" si="2"/>
        <v>0</v>
      </c>
      <c r="K25" s="2">
        <f t="shared" ca="1" si="3"/>
        <v>0.34439114260045733</v>
      </c>
      <c r="L25" s="2">
        <f t="shared" ca="1" si="17"/>
        <v>0.37439114260045736</v>
      </c>
    </row>
    <row r="26" spans="1:12">
      <c r="A26" s="1">
        <f ca="1">+RANDBETWEEN(Apoyo!$P$2,Apoyo!$P$3)</f>
        <v>45945</v>
      </c>
      <c r="B26" s="1" t="str" cm="1">
        <f t="array" aca="1" ref="B26" ca="1">+INDEX(Apoyo!$B$2:$B$10,RANDBETWEEN(1,9))</f>
        <v>Huánuco</v>
      </c>
      <c r="C26" t="s">
        <v>1</v>
      </c>
      <c r="D26" t="str" cm="1">
        <f t="array" aca="1" ref="D26" ca="1">+IF(OR($B26=Apoyo!$B$2,$B26=Apoyo!$B$6),"Lima",IF($B26=Apoyo!$B$10,INDEX(Apoyo!$D$2:$D$19,RANDBETWEEN(1,18)),IF(OR($B26&lt;&gt;Apoyo!$B$10,$B26&lt;&gt;Apoyo!$B$2,$B26&lt;&gt;Apoyo!$B$6),B26,0)))</f>
        <v>Huánuco</v>
      </c>
      <c r="E26" t="str">
        <f t="shared" si="18"/>
        <v>Femenino</v>
      </c>
      <c r="F26">
        <f t="shared" ca="1" si="0"/>
        <v>60</v>
      </c>
      <c r="G26" t="s">
        <v>54</v>
      </c>
      <c r="H26" s="3">
        <f t="shared" ca="1" si="1"/>
        <v>0</v>
      </c>
      <c r="I26" s="3">
        <f t="shared" ca="1" si="1"/>
        <v>0</v>
      </c>
      <c r="J26">
        <f t="shared" ca="1" si="2"/>
        <v>0</v>
      </c>
      <c r="K26" s="2">
        <f t="shared" ca="1" si="3"/>
        <v>0.4094253778104926</v>
      </c>
      <c r="L26" s="2">
        <f t="shared" ref="L26" ca="1" si="19">+IFERROR(K26+0.04,"n.a.")</f>
        <v>0.44942537781049258</v>
      </c>
    </row>
    <row r="27" spans="1:12">
      <c r="A27" s="1">
        <f ca="1">+RANDBETWEEN(Apoyo!$P$2,Apoyo!$P$3)</f>
        <v>45958</v>
      </c>
      <c r="B27" s="1" t="str" cm="1">
        <f t="array" aca="1" ref="B27" ca="1">+INDEX(Apoyo!$B$2:$B$10,RANDBETWEEN(1,9))</f>
        <v>Huánuco</v>
      </c>
      <c r="C27" t="s">
        <v>2</v>
      </c>
      <c r="D27" t="str" cm="1">
        <f t="array" aca="1" ref="D27" ca="1">+IF(OR($B27=Apoyo!$B$2,$B27=Apoyo!$B$6),"Lima",IF($B27=Apoyo!$B$10,INDEX(Apoyo!$D$2:$D$19,RANDBETWEEN(1,18)),IF(OR($B27&lt;&gt;Apoyo!$B$10,$B27&lt;&gt;Apoyo!$B$2,$B27&lt;&gt;Apoyo!$B$6),B27,0)))</f>
        <v>Huánuco</v>
      </c>
      <c r="E27" t="s">
        <v>44</v>
      </c>
      <c r="F27">
        <f t="shared" ca="1" si="0"/>
        <v>14</v>
      </c>
      <c r="G27" t="s">
        <v>54</v>
      </c>
      <c r="H27" s="3">
        <f t="shared" ca="1" si="1"/>
        <v>1</v>
      </c>
      <c r="I27" s="3">
        <f t="shared" ca="1" si="1"/>
        <v>0</v>
      </c>
      <c r="J27">
        <f t="shared" ca="1" si="2"/>
        <v>0</v>
      </c>
      <c r="K27" s="2">
        <f t="shared" ca="1" si="3"/>
        <v>0.93626736370328245</v>
      </c>
      <c r="L27" s="2">
        <f t="shared" ref="L27" ca="1" si="20">+IFERROR(K27+0.05,"n.a.")</f>
        <v>0.9862673637032825</v>
      </c>
    </row>
    <row r="28" spans="1:12">
      <c r="A28" s="1">
        <f ca="1">+RANDBETWEEN(Apoyo!$P$2,Apoyo!$P$3)</f>
        <v>45957</v>
      </c>
      <c r="B28" s="1" t="str" cm="1">
        <f t="array" aca="1" ref="B28" ca="1">+INDEX(Apoyo!$B$2:$B$10,RANDBETWEEN(1,9))</f>
        <v>Loreto</v>
      </c>
      <c r="C28" t="s">
        <v>2</v>
      </c>
      <c r="D28" t="str" cm="1">
        <f t="array" aca="1" ref="D28" ca="1">+IF(OR($B28=Apoyo!$B$2,$B28=Apoyo!$B$6),"Lima",IF($B28=Apoyo!$B$10,INDEX(Apoyo!$D$2:$D$19,RANDBETWEEN(1,18)),IF(OR($B28&lt;&gt;Apoyo!$B$10,$B28&lt;&gt;Apoyo!$B$2,$B28&lt;&gt;Apoyo!$B$6),B28,0)))</f>
        <v>Loreto</v>
      </c>
      <c r="E28" t="s">
        <v>43</v>
      </c>
      <c r="F28">
        <f t="shared" ca="1" si="0"/>
        <v>16</v>
      </c>
      <c r="G28" t="s">
        <v>54</v>
      </c>
      <c r="H28" s="3">
        <f t="shared" ca="1" si="1"/>
        <v>1</v>
      </c>
      <c r="I28" s="3">
        <f t="shared" ca="1" si="1"/>
        <v>0</v>
      </c>
      <c r="J28">
        <f t="shared" ca="1" si="2"/>
        <v>1</v>
      </c>
      <c r="K28" s="2">
        <f t="shared" ca="1" si="3"/>
        <v>0.57836763426079507</v>
      </c>
      <c r="L28" s="2">
        <f t="shared" ref="L28:L29" ca="1" si="21">+IFERROR(K28+0.03,"n.a.")</f>
        <v>0.6083676342607951</v>
      </c>
    </row>
    <row r="29" spans="1:12">
      <c r="A29" s="1">
        <f ca="1">+RANDBETWEEN(Apoyo!$P$2,Apoyo!$P$3)</f>
        <v>45946</v>
      </c>
      <c r="B29" s="1" t="str" cm="1">
        <f t="array" aca="1" ref="B29" ca="1">+INDEX(Apoyo!$B$2:$B$10,RANDBETWEEN(1,9))</f>
        <v>Lima Norte</v>
      </c>
      <c r="C29" t="s">
        <v>1</v>
      </c>
      <c r="D29" t="str" cm="1">
        <f t="array" aca="1" ref="D29" ca="1">+IF(OR($B29=Apoyo!$B$2,$B29=Apoyo!$B$6),"Lima",IF($B29=Apoyo!$B$10,INDEX(Apoyo!$D$2:$D$19,RANDBETWEEN(1,18)),IF(OR($B29&lt;&gt;Apoyo!$B$10,$B29&lt;&gt;Apoyo!$B$2,$B29&lt;&gt;Apoyo!$B$6),B29,0)))</f>
        <v>Lima</v>
      </c>
      <c r="E29" t="str">
        <f t="shared" ref="E29" si="22">+IF(C29="Mujer","Femenino",2)</f>
        <v>Femenino</v>
      </c>
      <c r="F29">
        <f t="shared" ca="1" si="0"/>
        <v>60</v>
      </c>
      <c r="G29" t="s">
        <v>54</v>
      </c>
      <c r="H29" s="3">
        <f t="shared" ca="1" si="1"/>
        <v>0</v>
      </c>
      <c r="I29" s="3">
        <f t="shared" ca="1" si="1"/>
        <v>1</v>
      </c>
      <c r="J29">
        <f t="shared" ca="1" si="2"/>
        <v>0</v>
      </c>
      <c r="K29" s="2">
        <f t="shared" ca="1" si="3"/>
        <v>0.88627067830990025</v>
      </c>
      <c r="L29" s="2">
        <f t="shared" ca="1" si="21"/>
        <v>0.91627067830990028</v>
      </c>
    </row>
    <row r="30" spans="1:12">
      <c r="A30" s="1">
        <f ca="1">+RANDBETWEEN(Apoyo!$P$2,Apoyo!$P$3)</f>
        <v>45954</v>
      </c>
      <c r="B30" s="1" t="str" cm="1">
        <f t="array" aca="1" ref="B30" ca="1">+INDEX(Apoyo!$B$2:$B$10,RANDBETWEEN(1,9))</f>
        <v>Cajamarca</v>
      </c>
      <c r="C30" t="s">
        <v>2</v>
      </c>
      <c r="D30" t="str" cm="1">
        <f t="array" aca="1" ref="D30" ca="1">+IF(OR($B30=Apoyo!$B$2,$B30=Apoyo!$B$6),"Lima",IF($B30=Apoyo!$B$10,INDEX(Apoyo!$D$2:$D$19,RANDBETWEEN(1,18)),IF(OR($B30&lt;&gt;Apoyo!$B$10,$B30&lt;&gt;Apoyo!$B$2,$B30&lt;&gt;Apoyo!$B$6),B30,0)))</f>
        <v>Cajamarca</v>
      </c>
      <c r="E30" t="s">
        <v>44</v>
      </c>
      <c r="F30">
        <f t="shared" ca="1" si="0"/>
        <v>12</v>
      </c>
      <c r="G30" t="s">
        <v>54</v>
      </c>
      <c r="H30" s="3">
        <f t="shared" ca="1" si="1"/>
        <v>1</v>
      </c>
      <c r="I30" s="3">
        <f t="shared" ca="1" si="1"/>
        <v>1</v>
      </c>
      <c r="J30">
        <f t="shared" ca="1" si="2"/>
        <v>0</v>
      </c>
      <c r="K30" s="2">
        <f t="shared" ca="1" si="3"/>
        <v>8.4572315198373049E-2</v>
      </c>
      <c r="L30" s="2">
        <f t="shared" ca="1" si="5"/>
        <v>0.12457231519837306</v>
      </c>
    </row>
    <row r="31" spans="1:12">
      <c r="A31" s="1">
        <f ca="1">+RANDBETWEEN(Apoyo!$P$2,Apoyo!$P$3)</f>
        <v>45956</v>
      </c>
      <c r="B31" s="1" t="str" cm="1">
        <f t="array" aca="1" ref="B31" ca="1">+INDEX(Apoyo!$B$2:$B$10,RANDBETWEEN(1,9))</f>
        <v>Ucayali</v>
      </c>
      <c r="C31" t="s">
        <v>1</v>
      </c>
      <c r="D31" t="str" cm="1">
        <f t="array" aca="1" ref="D31" ca="1">+IF(OR($B31=Apoyo!$B$2,$B31=Apoyo!$B$6),"Lima",IF($B31=Apoyo!$B$10,INDEX(Apoyo!$D$2:$D$19,RANDBETWEEN(1,18)),IF(OR($B31&lt;&gt;Apoyo!$B$10,$B31&lt;&gt;Apoyo!$B$2,$B31&lt;&gt;Apoyo!$B$6),B31,0)))</f>
        <v>Ucayali</v>
      </c>
      <c r="E31" t="str">
        <f t="shared" ref="E31" si="23">+IF(C31="Mujer","Femenino",2)</f>
        <v>Femenino</v>
      </c>
      <c r="F31">
        <f t="shared" ca="1" si="0"/>
        <v>52</v>
      </c>
      <c r="G31" t="s">
        <v>54</v>
      </c>
      <c r="H31" s="3">
        <f t="shared" ca="1" si="1"/>
        <v>1</v>
      </c>
      <c r="I31" s="3">
        <f t="shared" ca="1" si="1"/>
        <v>0</v>
      </c>
      <c r="J31">
        <f t="shared" ca="1" si="2"/>
        <v>0</v>
      </c>
      <c r="K31" s="2">
        <f t="shared" ca="1" si="3"/>
        <v>0.22255807028283325</v>
      </c>
      <c r="L31" s="2">
        <f t="shared" ref="L31" ca="1" si="24">+IFERROR(K31+0.06,"n.a.")</f>
        <v>0.28255807028283325</v>
      </c>
    </row>
    <row r="32" spans="1:12">
      <c r="A32" s="1">
        <f ca="1">+RANDBETWEEN(Apoyo!$P$2,Apoyo!$P$3)</f>
        <v>45947</v>
      </c>
      <c r="B32" s="1" t="str" cm="1">
        <f t="array" aca="1" ref="B32" ca="1">+INDEX(Apoyo!$B$2:$B$10,RANDBETWEEN(1,9))</f>
        <v>Ucayali</v>
      </c>
      <c r="C32" t="s">
        <v>1</v>
      </c>
      <c r="D32" t="str" cm="1">
        <f t="array" aca="1" ref="D32" ca="1">+IF(OR($B32=Apoyo!$B$2,$B32=Apoyo!$B$6),"Lima",IF($B32=Apoyo!$B$10,INDEX(Apoyo!$D$2:$D$19,RANDBETWEEN(1,18)),IF(OR($B32&lt;&gt;Apoyo!$B$10,$B32&lt;&gt;Apoyo!$B$2,$B32&lt;&gt;Apoyo!$B$6),B32,0)))</f>
        <v>Ucayali</v>
      </c>
      <c r="E32" t="str">
        <f>+IF(C32="Mujer","Femenino",2)</f>
        <v>Femenino</v>
      </c>
      <c r="F32">
        <f t="shared" ca="1" si="0"/>
        <v>28</v>
      </c>
      <c r="G32" t="s">
        <v>54</v>
      </c>
      <c r="H32" s="3">
        <f t="shared" ca="1" si="1"/>
        <v>0</v>
      </c>
      <c r="I32" s="3">
        <f t="shared" ca="1" si="1"/>
        <v>0</v>
      </c>
      <c r="J32">
        <f t="shared" ca="1" si="2"/>
        <v>0</v>
      </c>
      <c r="K32" s="2">
        <f t="shared" ca="1" si="3"/>
        <v>0.76681680797444862</v>
      </c>
      <c r="L32" s="2">
        <f t="shared" ref="L32" ca="1" si="25">+IFERROR(K32+0.03,"n.a.")</f>
        <v>0.79681680797444865</v>
      </c>
    </row>
    <row r="33" spans="1:12">
      <c r="A33" s="1">
        <f ca="1">+RANDBETWEEN(Apoyo!$P$2,Apoyo!$P$3)</f>
        <v>45946</v>
      </c>
      <c r="B33" s="1" t="str" cm="1">
        <f t="array" aca="1" ref="B33" ca="1">+INDEX(Apoyo!$B$2:$B$10,RANDBETWEEN(1,9))</f>
        <v>Resto del Perú</v>
      </c>
      <c r="C33" t="s">
        <v>2</v>
      </c>
      <c r="D33" t="str" cm="1">
        <f t="array" aca="1" ref="D33" ca="1">+IF(OR($B33=Apoyo!$B$2,$B33=Apoyo!$B$6),"Lima",IF($B33=Apoyo!$B$10,INDEX(Apoyo!$D$2:$D$19,RANDBETWEEN(1,18)),IF(OR($B33&lt;&gt;Apoyo!$B$10,$B33&lt;&gt;Apoyo!$B$2,$B33&lt;&gt;Apoyo!$B$6),B33,0)))</f>
        <v>Ica</v>
      </c>
      <c r="E33" t="s">
        <v>43</v>
      </c>
      <c r="F33">
        <f t="shared" ca="1" si="0"/>
        <v>17</v>
      </c>
      <c r="G33" t="s">
        <v>54</v>
      </c>
      <c r="H33" s="3">
        <f t="shared" ca="1" si="1"/>
        <v>1</v>
      </c>
      <c r="I33" s="3">
        <f t="shared" ca="1" si="1"/>
        <v>0</v>
      </c>
      <c r="J33">
        <f t="shared" ca="1" si="2"/>
        <v>1</v>
      </c>
      <c r="K33" s="2">
        <f t="shared" ca="1" si="3"/>
        <v>0.19728805868209864</v>
      </c>
      <c r="L33" s="2">
        <f t="shared" ref="L33" ca="1" si="26">+IFERROR(K33+0.05,"n.a.")</f>
        <v>0.24728805868209863</v>
      </c>
    </row>
    <row r="34" spans="1:12">
      <c r="A34" s="1">
        <f ca="1">+RANDBETWEEN(Apoyo!$P$2,Apoyo!$P$3)</f>
        <v>45948</v>
      </c>
      <c r="B34" s="1" t="str" cm="1">
        <f t="array" aca="1" ref="B34" ca="1">+INDEX(Apoyo!$B$2:$B$10,RANDBETWEEN(1,9))</f>
        <v>Ucayali</v>
      </c>
      <c r="C34" t="s">
        <v>2</v>
      </c>
      <c r="D34" t="str" cm="1">
        <f t="array" aca="1" ref="D34" ca="1">+IF(OR($B34=Apoyo!$B$2,$B34=Apoyo!$B$6),"Lima",IF($B34=Apoyo!$B$10,INDEX(Apoyo!$D$2:$D$19,RANDBETWEEN(1,18)),IF(OR($B34&lt;&gt;Apoyo!$B$10,$B34&lt;&gt;Apoyo!$B$2,$B34&lt;&gt;Apoyo!$B$6),B34,0)))</f>
        <v>Ucayali</v>
      </c>
      <c r="E34" t="s">
        <v>44</v>
      </c>
      <c r="F34">
        <f t="shared" ca="1" si="0"/>
        <v>14</v>
      </c>
      <c r="G34" t="str">
        <f ca="1">+CHOOSE(RANDBETWEEN(1,5),Apoyo!$E$3,Apoyo!$E$4,Apoyo!$E$5,Apoyo!$E$6,Apoyo!$E$7)</f>
        <v>Aplazada</v>
      </c>
      <c r="H34" s="3">
        <f t="shared" ca="1" si="1"/>
        <v>0</v>
      </c>
      <c r="I34" s="3">
        <f t="shared" ca="1" si="1"/>
        <v>0</v>
      </c>
      <c r="J34">
        <f t="shared" ca="1" si="2"/>
        <v>0</v>
      </c>
      <c r="K34" s="2" t="str">
        <f t="shared" ca="1" si="3"/>
        <v>n.a.</v>
      </c>
      <c r="L34" s="2" t="str">
        <f t="shared" ref="L34" ca="1" si="27">+IFERROR(K34+0.04,"n.a.")</f>
        <v>n.a.</v>
      </c>
    </row>
    <row r="35" spans="1:12">
      <c r="A35" s="1">
        <f ca="1">+RANDBETWEEN(Apoyo!$P$2,Apoyo!$P$3)</f>
        <v>45956</v>
      </c>
      <c r="B35" s="1" t="str" cm="1">
        <f t="array" aca="1" ref="B35" ca="1">+INDEX(Apoyo!$B$2:$B$10,RANDBETWEEN(1,9))</f>
        <v>Resto del Perú</v>
      </c>
      <c r="C35" t="s">
        <v>1</v>
      </c>
      <c r="D35" t="str" cm="1">
        <f t="array" aca="1" ref="D35" ca="1">+IF(OR($B35=Apoyo!$B$2,$B35=Apoyo!$B$6),"Lima",IF($B35=Apoyo!$B$10,INDEX(Apoyo!$D$2:$D$19,RANDBETWEEN(1,18)),IF(OR($B35&lt;&gt;Apoyo!$B$10,$B35&lt;&gt;Apoyo!$B$2,$B35&lt;&gt;Apoyo!$B$6),B35,0)))</f>
        <v>Ica</v>
      </c>
      <c r="E35" t="str">
        <f t="shared" ref="E35:E36" si="28">+IF(C35="Mujer","Femenino",2)</f>
        <v>Femenino</v>
      </c>
      <c r="F35">
        <f t="shared" ca="1" si="0"/>
        <v>56</v>
      </c>
      <c r="G35" t="str">
        <f ca="1">+CHOOSE(RANDBETWEEN(1,5),Apoyo!$E$3,Apoyo!$E$4,Apoyo!$E$5,Apoyo!$E$6,Apoyo!$E$7)</f>
        <v>Ausente</v>
      </c>
      <c r="H35" s="3">
        <f t="shared" ca="1" si="1"/>
        <v>0</v>
      </c>
      <c r="I35" s="3">
        <f t="shared" ca="1" si="1"/>
        <v>0</v>
      </c>
      <c r="J35">
        <f t="shared" ca="1" si="2"/>
        <v>0</v>
      </c>
      <c r="K35" s="2" t="str">
        <f t="shared" ca="1" si="3"/>
        <v>n.a.</v>
      </c>
      <c r="L35" s="2" t="str">
        <f t="shared" ref="L35" ca="1" si="29">+IFERROR(K35+0.05,"n.a.")</f>
        <v>n.a.</v>
      </c>
    </row>
    <row r="36" spans="1:12">
      <c r="A36" s="1">
        <f ca="1">+RANDBETWEEN(Apoyo!$P$2,Apoyo!$P$3)</f>
        <v>45957</v>
      </c>
      <c r="B36" s="1" t="str" cm="1">
        <f t="array" aca="1" ref="B36" ca="1">+INDEX(Apoyo!$B$2:$B$10,RANDBETWEEN(1,9))</f>
        <v>Lima Norte</v>
      </c>
      <c r="C36" t="s">
        <v>1</v>
      </c>
      <c r="D36" t="str" cm="1">
        <f t="array" aca="1" ref="D36" ca="1">+IF(OR($B36=Apoyo!$B$2,$B36=Apoyo!$B$6),"Lima",IF($B36=Apoyo!$B$10,INDEX(Apoyo!$D$2:$D$19,RANDBETWEEN(1,18)),IF(OR($B36&lt;&gt;Apoyo!$B$10,$B36&lt;&gt;Apoyo!$B$2,$B36&lt;&gt;Apoyo!$B$6),B36,0)))</f>
        <v>Lima</v>
      </c>
      <c r="E36" t="str">
        <f t="shared" si="28"/>
        <v>Femenino</v>
      </c>
      <c r="F36">
        <f t="shared" ca="1" si="0"/>
        <v>50</v>
      </c>
      <c r="G36" t="s">
        <v>54</v>
      </c>
      <c r="H36" s="3">
        <f t="shared" ca="1" si="1"/>
        <v>1</v>
      </c>
      <c r="I36" s="3">
        <f t="shared" ca="1" si="1"/>
        <v>0</v>
      </c>
      <c r="J36">
        <f t="shared" ca="1" si="2"/>
        <v>1</v>
      </c>
      <c r="K36" s="2">
        <f t="shared" ca="1" si="3"/>
        <v>0.45470529024872142</v>
      </c>
      <c r="L36" s="2">
        <f t="shared" ref="L36:L37" ca="1" si="30">+IFERROR(K36+0.03,"n.a.")</f>
        <v>0.48470529024872144</v>
      </c>
    </row>
    <row r="37" spans="1:12">
      <c r="A37" s="1">
        <f ca="1">+RANDBETWEEN(Apoyo!$P$2,Apoyo!$P$3)</f>
        <v>45955</v>
      </c>
      <c r="B37" s="1" t="str" cm="1">
        <f t="array" aca="1" ref="B37" ca="1">+INDEX(Apoyo!$B$2:$B$10,RANDBETWEEN(1,9))</f>
        <v>Ayacucho</v>
      </c>
      <c r="C37" t="s">
        <v>2</v>
      </c>
      <c r="D37" t="str" cm="1">
        <f t="array" aca="1" ref="D37" ca="1">+IF(OR($B37=Apoyo!$B$2,$B37=Apoyo!$B$6),"Lima",IF($B37=Apoyo!$B$10,INDEX(Apoyo!$D$2:$D$19,RANDBETWEEN(1,18)),IF(OR($B37&lt;&gt;Apoyo!$B$10,$B37&lt;&gt;Apoyo!$B$2,$B37&lt;&gt;Apoyo!$B$6),B37,0)))</f>
        <v>Ayacucho</v>
      </c>
      <c r="E37" t="s">
        <v>44</v>
      </c>
      <c r="F37">
        <f t="shared" ca="1" si="0"/>
        <v>14</v>
      </c>
      <c r="G37" t="str">
        <f ca="1">+CHOOSE(RANDBETWEEN(1,5),Apoyo!$E$3,Apoyo!$E$4,Apoyo!$E$5,Apoyo!$E$6,Apoyo!$E$7)</f>
        <v>Otro</v>
      </c>
      <c r="H37" s="3">
        <f t="shared" ca="1" si="1"/>
        <v>0</v>
      </c>
      <c r="I37" s="3">
        <f t="shared" ca="1" si="1"/>
        <v>0</v>
      </c>
      <c r="J37">
        <f t="shared" ca="1" si="2"/>
        <v>0</v>
      </c>
      <c r="K37" s="2" t="str">
        <f t="shared" ca="1" si="3"/>
        <v>n.a.</v>
      </c>
      <c r="L37" s="2" t="str">
        <f t="shared" ca="1" si="30"/>
        <v>n.a.</v>
      </c>
    </row>
    <row r="38" spans="1:12">
      <c r="A38" s="1">
        <f ca="1">+RANDBETWEEN(Apoyo!$P$2,Apoyo!$P$3)</f>
        <v>45950</v>
      </c>
      <c r="B38" s="1" t="str" cm="1">
        <f t="array" aca="1" ref="B38" ca="1">+INDEX(Apoyo!$B$2:$B$10,RANDBETWEEN(1,9))</f>
        <v>Cajamarca</v>
      </c>
      <c r="C38" t="s">
        <v>2</v>
      </c>
      <c r="D38" t="str" cm="1">
        <f t="array" aca="1" ref="D38" ca="1">+IF(OR($B38=Apoyo!$B$2,$B38=Apoyo!$B$6),"Lima",IF($B38=Apoyo!$B$10,INDEX(Apoyo!$D$2:$D$19,RANDBETWEEN(1,18)),IF(OR($B38&lt;&gt;Apoyo!$B$10,$B38&lt;&gt;Apoyo!$B$2,$B38&lt;&gt;Apoyo!$B$6),B38,0)))</f>
        <v>Cajamarca</v>
      </c>
      <c r="E38" t="s">
        <v>43</v>
      </c>
      <c r="F38">
        <f t="shared" ca="1" si="0"/>
        <v>15</v>
      </c>
      <c r="G38" t="s">
        <v>54</v>
      </c>
      <c r="H38" s="3">
        <f t="shared" ca="1" si="1"/>
        <v>0</v>
      </c>
      <c r="I38" s="3">
        <f t="shared" ca="1" si="1"/>
        <v>1</v>
      </c>
      <c r="J38">
        <f t="shared" ca="1" si="2"/>
        <v>0</v>
      </c>
      <c r="K38" s="2">
        <f t="shared" ca="1" si="3"/>
        <v>0.98155085059566793</v>
      </c>
      <c r="L38" s="2">
        <f t="shared" ref="L38" ca="1" si="31">+IFERROR(K38+0.04,"n.a.")</f>
        <v>1.0215508505956679</v>
      </c>
    </row>
    <row r="39" spans="1:12">
      <c r="A39" s="1">
        <f ca="1">+RANDBETWEEN(Apoyo!$P$2,Apoyo!$P$3)</f>
        <v>45956</v>
      </c>
      <c r="B39" s="1" t="str" cm="1">
        <f t="array" aca="1" ref="B39" ca="1">+INDEX(Apoyo!$B$2:$B$10,RANDBETWEEN(1,9))</f>
        <v>Puente Piedra-Ventanilla</v>
      </c>
      <c r="C39" t="s">
        <v>1</v>
      </c>
      <c r="D39" t="str" cm="1">
        <f t="array" aca="1" ref="D39" ca="1">+IF(OR($B39=Apoyo!$B$2,$B39=Apoyo!$B$6),"Lima",IF($B39=Apoyo!$B$10,INDEX(Apoyo!$D$2:$D$19,RANDBETWEEN(1,18)),IF(OR($B39&lt;&gt;Apoyo!$B$10,$B39&lt;&gt;Apoyo!$B$2,$B39&lt;&gt;Apoyo!$B$6),B39,0)))</f>
        <v>Lima</v>
      </c>
      <c r="E39" t="str">
        <f t="shared" ref="E39" si="32">+IF(C39="Mujer","Femenino",2)</f>
        <v>Femenino</v>
      </c>
      <c r="F39">
        <f t="shared" ca="1" si="0"/>
        <v>23</v>
      </c>
      <c r="G39" t="str">
        <f ca="1">+CHOOSE(RANDBETWEEN(1,5),Apoyo!$E$3,Apoyo!$E$4,Apoyo!$E$5,Apoyo!$E$6,Apoyo!$E$7)</f>
        <v>Aplazada</v>
      </c>
      <c r="H39" s="3">
        <f t="shared" ca="1" si="1"/>
        <v>0</v>
      </c>
      <c r="I39" s="3">
        <f t="shared" ca="1" si="1"/>
        <v>0</v>
      </c>
      <c r="J39">
        <f t="shared" ca="1" si="2"/>
        <v>0</v>
      </c>
      <c r="K39" s="2" t="str">
        <f t="shared" ca="1" si="3"/>
        <v>n.a.</v>
      </c>
      <c r="L39" s="2" t="str">
        <f t="shared" ref="L39" ca="1" si="33">+IFERROR(K39+0.05,"n.a.")</f>
        <v>n.a.</v>
      </c>
    </row>
    <row r="40" spans="1:12">
      <c r="A40" s="1">
        <f ca="1">+RANDBETWEEN(Apoyo!$P$2,Apoyo!$P$3)</f>
        <v>45951</v>
      </c>
      <c r="B40" s="1" t="str" cm="1">
        <f t="array" aca="1" ref="B40" ca="1">+INDEX(Apoyo!$B$2:$B$10,RANDBETWEEN(1,9))</f>
        <v>Puente Piedra-Ventanilla</v>
      </c>
      <c r="C40" t="s">
        <v>2</v>
      </c>
      <c r="D40" t="str" cm="1">
        <f t="array" aca="1" ref="D40" ca="1">+IF(OR($B40=Apoyo!$B$2,$B40=Apoyo!$B$6),"Lima",IF($B40=Apoyo!$B$10,INDEX(Apoyo!$D$2:$D$19,RANDBETWEEN(1,18)),IF(OR($B40&lt;&gt;Apoyo!$B$10,$B40&lt;&gt;Apoyo!$B$2,$B40&lt;&gt;Apoyo!$B$6),B40,0)))</f>
        <v>Lima</v>
      </c>
      <c r="E40" t="s">
        <v>44</v>
      </c>
      <c r="F40">
        <f t="shared" ca="1" si="0"/>
        <v>17</v>
      </c>
      <c r="G40" t="str">
        <f ca="1">+CHOOSE(RANDBETWEEN(1,5),Apoyo!$E$3,Apoyo!$E$4,Apoyo!$E$5,Apoyo!$E$6,Apoyo!$E$7)</f>
        <v>Ausente</v>
      </c>
      <c r="H40" s="3">
        <f t="shared" ca="1" si="1"/>
        <v>0</v>
      </c>
      <c r="I40" s="3">
        <f t="shared" ca="1" si="1"/>
        <v>0</v>
      </c>
      <c r="J40">
        <f t="shared" ca="1" si="2"/>
        <v>0</v>
      </c>
      <c r="K40" s="2" t="str">
        <f t="shared" ca="1" si="3"/>
        <v>n.a.</v>
      </c>
      <c r="L40" s="2" t="str">
        <f t="shared" ref="L40:L41" ca="1" si="34">+IFERROR(K40+0.03,"n.a.")</f>
        <v>n.a.</v>
      </c>
    </row>
    <row r="41" spans="1:12">
      <c r="A41" s="1">
        <f ca="1">+RANDBETWEEN(Apoyo!$P$2,Apoyo!$P$3)</f>
        <v>45952</v>
      </c>
      <c r="B41" s="1" t="str" cm="1">
        <f t="array" aca="1" ref="B41" ca="1">+INDEX(Apoyo!$B$2:$B$10,RANDBETWEEN(1,9))</f>
        <v>Lima Norte</v>
      </c>
      <c r="C41" t="s">
        <v>1</v>
      </c>
      <c r="D41" t="str" cm="1">
        <f t="array" aca="1" ref="D41" ca="1">+IF(OR($B41=Apoyo!$B$2,$B41=Apoyo!$B$6),"Lima",IF($B41=Apoyo!$B$10,INDEX(Apoyo!$D$2:$D$19,RANDBETWEEN(1,18)),IF(OR($B41&lt;&gt;Apoyo!$B$10,$B41&lt;&gt;Apoyo!$B$2,$B41&lt;&gt;Apoyo!$B$6),B41,0)))</f>
        <v>Lima</v>
      </c>
      <c r="E41" t="str">
        <f t="shared" ref="E41" si="35">+IF(C41="Mujer","Femenino",2)</f>
        <v>Femenino</v>
      </c>
      <c r="F41">
        <f t="shared" ca="1" si="0"/>
        <v>58</v>
      </c>
      <c r="G41" t="str">
        <f ca="1">+CHOOSE(RANDBETWEEN(1,5),Apoyo!$E$3,Apoyo!$E$4,Apoyo!$E$5,Apoyo!$E$6,Apoyo!$E$7)</f>
        <v>Ausente</v>
      </c>
      <c r="H41" s="3">
        <f t="shared" ca="1" si="1"/>
        <v>0</v>
      </c>
      <c r="I41" s="3">
        <f t="shared" ca="1" si="1"/>
        <v>0</v>
      </c>
      <c r="J41">
        <f t="shared" ca="1" si="2"/>
        <v>0</v>
      </c>
      <c r="K41" s="2" t="str">
        <f t="shared" ca="1" si="3"/>
        <v>n.a.</v>
      </c>
      <c r="L41" s="2" t="str">
        <f t="shared" ca="1" si="34"/>
        <v>n.a.</v>
      </c>
    </row>
    <row r="42" spans="1:12">
      <c r="A42" s="1">
        <f ca="1">+RANDBETWEEN(Apoyo!$P$2,Apoyo!$P$3)</f>
        <v>45953</v>
      </c>
      <c r="B42" s="1" t="str" cm="1">
        <f t="array" aca="1" ref="B42" ca="1">+INDEX(Apoyo!$B$2:$B$10,RANDBETWEEN(1,9))</f>
        <v>Cajamarca</v>
      </c>
      <c r="C42" t="s">
        <v>1</v>
      </c>
      <c r="D42" t="str" cm="1">
        <f t="array" aca="1" ref="D42" ca="1">+IF(OR($B42=Apoyo!$B$2,$B42=Apoyo!$B$6),"Lima",IF($B42=Apoyo!$B$10,INDEX(Apoyo!$D$2:$D$19,RANDBETWEEN(1,18)),IF(OR($B42&lt;&gt;Apoyo!$B$10,$B42&lt;&gt;Apoyo!$B$2,$B42&lt;&gt;Apoyo!$B$6),B42,0)))</f>
        <v>Cajamarca</v>
      </c>
      <c r="E42" t="str">
        <f>+IF(C42="Mujer","Femenino",2)</f>
        <v>Femenino</v>
      </c>
      <c r="F42">
        <f t="shared" ca="1" si="0"/>
        <v>47</v>
      </c>
      <c r="G42" t="str">
        <f ca="1">+CHOOSE(RANDBETWEEN(1,5),Apoyo!$E$3,Apoyo!$E$4,Apoyo!$E$5,Apoyo!$E$6,Apoyo!$E$7)</f>
        <v>Otro</v>
      </c>
      <c r="H42" s="3">
        <f t="shared" ca="1" si="1"/>
        <v>0</v>
      </c>
      <c r="I42" s="3">
        <f t="shared" ca="1" si="1"/>
        <v>0</v>
      </c>
      <c r="J42">
        <f t="shared" ca="1" si="2"/>
        <v>0</v>
      </c>
      <c r="K42" s="2" t="str">
        <f t="shared" ca="1" si="3"/>
        <v>n.a.</v>
      </c>
      <c r="L42" s="2" t="str">
        <f t="shared" ca="1" si="5"/>
        <v>n.a.</v>
      </c>
    </row>
    <row r="43" spans="1:12">
      <c r="A43" s="1">
        <f ca="1">+RANDBETWEEN(Apoyo!$P$2,Apoyo!$P$3)</f>
        <v>45957</v>
      </c>
      <c r="B43" s="1" t="str" cm="1">
        <f t="array" aca="1" ref="B43" ca="1">+INDEX(Apoyo!$B$2:$B$10,RANDBETWEEN(1,9))</f>
        <v>Resto del Perú</v>
      </c>
      <c r="C43" t="s">
        <v>2</v>
      </c>
      <c r="D43" t="str" cm="1">
        <f t="array" aca="1" ref="D43" ca="1">+IF(OR($B43=Apoyo!$B$2,$B43=Apoyo!$B$6),"Lima",IF($B43=Apoyo!$B$10,INDEX(Apoyo!$D$2:$D$19,RANDBETWEEN(1,18)),IF(OR($B43&lt;&gt;Apoyo!$B$10,$B43&lt;&gt;Apoyo!$B$2,$B43&lt;&gt;Apoyo!$B$6),B43,0)))</f>
        <v>Junín</v>
      </c>
      <c r="E43" t="s">
        <v>43</v>
      </c>
      <c r="F43">
        <f t="shared" ca="1" si="0"/>
        <v>14</v>
      </c>
      <c r="G43" t="s">
        <v>54</v>
      </c>
      <c r="H43" s="3">
        <f t="shared" ca="1" si="1"/>
        <v>1</v>
      </c>
      <c r="I43" s="3">
        <f t="shared" ca="1" si="1"/>
        <v>1</v>
      </c>
      <c r="J43">
        <f t="shared" ca="1" si="2"/>
        <v>0</v>
      </c>
      <c r="K43" s="2">
        <f t="shared" ca="1" si="3"/>
        <v>0.70369976570909065</v>
      </c>
      <c r="L43" s="2">
        <f t="shared" ref="L43" ca="1" si="36">+IFERROR(K43+0.06,"n.a.")</f>
        <v>0.76369976570909071</v>
      </c>
    </row>
    <row r="44" spans="1:12">
      <c r="A44" s="1">
        <f ca="1">+RANDBETWEEN(Apoyo!$P$2,Apoyo!$P$3)</f>
        <v>45955</v>
      </c>
      <c r="B44" s="1" t="str" cm="1">
        <f t="array" aca="1" ref="B44" ca="1">+INDEX(Apoyo!$B$2:$B$10,RANDBETWEEN(1,9))</f>
        <v>Ucayali</v>
      </c>
      <c r="C44" t="s">
        <v>2</v>
      </c>
      <c r="D44" t="str" cm="1">
        <f t="array" aca="1" ref="D44" ca="1">+IF(OR($B44=Apoyo!$B$2,$B44=Apoyo!$B$6),"Lima",IF($B44=Apoyo!$B$10,INDEX(Apoyo!$D$2:$D$19,RANDBETWEEN(1,18)),IF(OR($B44&lt;&gt;Apoyo!$B$10,$B44&lt;&gt;Apoyo!$B$2,$B44&lt;&gt;Apoyo!$B$6),B44,0)))</f>
        <v>Ucayali</v>
      </c>
      <c r="E44" t="s">
        <v>44</v>
      </c>
      <c r="F44">
        <f t="shared" ca="1" si="0"/>
        <v>14</v>
      </c>
      <c r="G44" t="str">
        <f ca="1">+CHOOSE(RANDBETWEEN(1,5),Apoyo!$E$3,Apoyo!$E$4,Apoyo!$E$5,Apoyo!$E$6,Apoyo!$E$7)</f>
        <v>Ausente</v>
      </c>
      <c r="H44" s="3">
        <f t="shared" ca="1" si="1"/>
        <v>0</v>
      </c>
      <c r="I44" s="3">
        <f t="shared" ca="1" si="1"/>
        <v>0</v>
      </c>
      <c r="J44">
        <f t="shared" ca="1" si="2"/>
        <v>0</v>
      </c>
      <c r="K44" s="2" t="str">
        <f t="shared" ca="1" si="3"/>
        <v>n.a.</v>
      </c>
      <c r="L44" s="2" t="str">
        <f t="shared" ref="L44" ca="1" si="37">+IFERROR(K44+0.03,"n.a.")</f>
        <v>n.a.</v>
      </c>
    </row>
    <row r="45" spans="1:12">
      <c r="A45" s="1">
        <f ca="1">+RANDBETWEEN(Apoyo!$P$2,Apoyo!$P$3)</f>
        <v>45950</v>
      </c>
      <c r="B45" s="1" t="str" cm="1">
        <f t="array" aca="1" ref="B45" ca="1">+INDEX(Apoyo!$B$2:$B$10,RANDBETWEEN(1,9))</f>
        <v>Resto del Perú</v>
      </c>
      <c r="C45" t="s">
        <v>1</v>
      </c>
      <c r="D45" t="str" cm="1">
        <f t="array" aca="1" ref="D45" ca="1">+IF(OR($B45=Apoyo!$B$2,$B45=Apoyo!$B$6),"Lima",IF($B45=Apoyo!$B$10,INDEX(Apoyo!$D$2:$D$19,RANDBETWEEN(1,18)),IF(OR($B45&lt;&gt;Apoyo!$B$10,$B45&lt;&gt;Apoyo!$B$2,$B45&lt;&gt;Apoyo!$B$6),B45,0)))</f>
        <v>Ica</v>
      </c>
      <c r="E45" t="str">
        <f t="shared" ref="E45:E46" si="38">+IF(C45="Mujer","Femenino",2)</f>
        <v>Femenino</v>
      </c>
      <c r="F45">
        <f t="shared" ca="1" si="0"/>
        <v>53</v>
      </c>
      <c r="G45" t="str">
        <f ca="1">+CHOOSE(RANDBETWEEN(1,5),Apoyo!$E$3,Apoyo!$E$4,Apoyo!$E$5,Apoyo!$E$6,Apoyo!$E$7)</f>
        <v>Rechazada</v>
      </c>
      <c r="H45" s="3">
        <f t="shared" ca="1" si="1"/>
        <v>0</v>
      </c>
      <c r="I45" s="3">
        <f t="shared" ca="1" si="1"/>
        <v>0</v>
      </c>
      <c r="J45">
        <f t="shared" ca="1" si="2"/>
        <v>0</v>
      </c>
      <c r="K45" s="2" t="str">
        <f t="shared" ca="1" si="3"/>
        <v>n.a.</v>
      </c>
      <c r="L45" s="2" t="str">
        <f t="shared" ref="L45" ca="1" si="39">+IFERROR(K45+0.05,"n.a.")</f>
        <v>n.a.</v>
      </c>
    </row>
    <row r="46" spans="1:12">
      <c r="A46" s="1">
        <f ca="1">+RANDBETWEEN(Apoyo!$P$2,Apoyo!$P$3)</f>
        <v>45945</v>
      </c>
      <c r="B46" s="1" t="str" cm="1">
        <f t="array" aca="1" ref="B46" ca="1">+INDEX(Apoyo!$B$2:$B$10,RANDBETWEEN(1,9))</f>
        <v>Loreto</v>
      </c>
      <c r="C46" t="s">
        <v>1</v>
      </c>
      <c r="D46" t="str" cm="1">
        <f t="array" aca="1" ref="D46" ca="1">+IF(OR($B46=Apoyo!$B$2,$B46=Apoyo!$B$6),"Lima",IF($B46=Apoyo!$B$10,INDEX(Apoyo!$D$2:$D$19,RANDBETWEEN(1,18)),IF(OR($B46&lt;&gt;Apoyo!$B$10,$B46&lt;&gt;Apoyo!$B$2,$B46&lt;&gt;Apoyo!$B$6),B46,0)))</f>
        <v>Loreto</v>
      </c>
      <c r="E46" t="str">
        <f t="shared" si="38"/>
        <v>Femenino</v>
      </c>
      <c r="F46">
        <f t="shared" ca="1" si="0"/>
        <v>61</v>
      </c>
      <c r="G46" t="s">
        <v>54</v>
      </c>
      <c r="H46" s="3">
        <f t="shared" ca="1" si="1"/>
        <v>1</v>
      </c>
      <c r="I46" s="3">
        <f t="shared" ca="1" si="1"/>
        <v>0</v>
      </c>
      <c r="J46">
        <f t="shared" ca="1" si="2"/>
        <v>1</v>
      </c>
      <c r="K46" s="2">
        <f t="shared" ca="1" si="3"/>
        <v>0.30047061811691878</v>
      </c>
      <c r="L46" s="2">
        <f t="shared" ref="L46" ca="1" si="40">+IFERROR(K46+0.04,"n.a.")</f>
        <v>0.34047061811691876</v>
      </c>
    </row>
    <row r="47" spans="1:12">
      <c r="A47" s="1">
        <f ca="1">+RANDBETWEEN(Apoyo!$P$2,Apoyo!$P$3)</f>
        <v>45957</v>
      </c>
      <c r="B47" s="1" t="str" cm="1">
        <f t="array" aca="1" ref="B47" ca="1">+INDEX(Apoyo!$B$2:$B$10,RANDBETWEEN(1,9))</f>
        <v>Cajamarca</v>
      </c>
      <c r="C47" t="s">
        <v>2</v>
      </c>
      <c r="D47" t="str" cm="1">
        <f t="array" aca="1" ref="D47" ca="1">+IF(OR($B47=Apoyo!$B$2,$B47=Apoyo!$B$6),"Lima",IF($B47=Apoyo!$B$10,INDEX(Apoyo!$D$2:$D$19,RANDBETWEEN(1,18)),IF(OR($B47&lt;&gt;Apoyo!$B$10,$B47&lt;&gt;Apoyo!$B$2,$B47&lt;&gt;Apoyo!$B$6),B47,0)))</f>
        <v>Cajamarca</v>
      </c>
      <c r="E47" t="s">
        <v>44</v>
      </c>
      <c r="F47">
        <f t="shared" ca="1" si="0"/>
        <v>13</v>
      </c>
      <c r="G47" t="s">
        <v>54</v>
      </c>
      <c r="H47" s="3">
        <f t="shared" ca="1" si="1"/>
        <v>1</v>
      </c>
      <c r="I47" s="3">
        <f t="shared" ca="1" si="1"/>
        <v>1</v>
      </c>
      <c r="J47">
        <f t="shared" ca="1" si="2"/>
        <v>0</v>
      </c>
      <c r="K47" s="2">
        <f t="shared" ca="1" si="3"/>
        <v>0.33910234385519411</v>
      </c>
      <c r="L47" s="2">
        <f t="shared" ref="L47" ca="1" si="41">+IFERROR(K47+0.05,"n.a.")</f>
        <v>0.3891023438551941</v>
      </c>
    </row>
    <row r="48" spans="1:12">
      <c r="A48" s="1">
        <f ca="1">+RANDBETWEEN(Apoyo!$P$2,Apoyo!$P$3)</f>
        <v>45947</v>
      </c>
      <c r="B48" s="1" t="str" cm="1">
        <f t="array" aca="1" ref="B48" ca="1">+INDEX(Apoyo!$B$2:$B$10,RANDBETWEEN(1,9))</f>
        <v>Apurímac</v>
      </c>
      <c r="C48" t="s">
        <v>2</v>
      </c>
      <c r="D48" t="str" cm="1">
        <f t="array" aca="1" ref="D48" ca="1">+IF(OR($B48=Apoyo!$B$2,$B48=Apoyo!$B$6),"Lima",IF($B48=Apoyo!$B$10,INDEX(Apoyo!$D$2:$D$19,RANDBETWEEN(1,18)),IF(OR($B48&lt;&gt;Apoyo!$B$10,$B48&lt;&gt;Apoyo!$B$2,$B48&lt;&gt;Apoyo!$B$6),B48,0)))</f>
        <v>Apurímac</v>
      </c>
      <c r="E48" t="s">
        <v>43</v>
      </c>
      <c r="F48">
        <f t="shared" ca="1" si="0"/>
        <v>17</v>
      </c>
      <c r="G48" t="s">
        <v>54</v>
      </c>
      <c r="H48" s="3">
        <f t="shared" ca="1" si="1"/>
        <v>0</v>
      </c>
      <c r="I48" s="3">
        <f t="shared" ca="1" si="1"/>
        <v>1</v>
      </c>
      <c r="J48">
        <f t="shared" ca="1" si="2"/>
        <v>1</v>
      </c>
      <c r="K48" s="2">
        <f t="shared" ca="1" si="3"/>
        <v>0.65179833117608965</v>
      </c>
      <c r="L48" s="2">
        <f t="shared" ref="L48:L49" ca="1" si="42">+IFERROR(K48+0.03,"n.a.")</f>
        <v>0.68179833117608968</v>
      </c>
    </row>
    <row r="49" spans="1:12">
      <c r="A49" s="1">
        <f ca="1">+RANDBETWEEN(Apoyo!$P$2,Apoyo!$P$3)</f>
        <v>45946</v>
      </c>
      <c r="B49" s="1" t="str" cm="1">
        <f t="array" aca="1" ref="B49" ca="1">+INDEX(Apoyo!$B$2:$B$10,RANDBETWEEN(1,9))</f>
        <v>Cajamarca</v>
      </c>
      <c r="C49" t="s">
        <v>1</v>
      </c>
      <c r="D49" t="str" cm="1">
        <f t="array" aca="1" ref="D49" ca="1">+IF(OR($B49=Apoyo!$B$2,$B49=Apoyo!$B$6),"Lima",IF($B49=Apoyo!$B$10,INDEX(Apoyo!$D$2:$D$19,RANDBETWEEN(1,18)),IF(OR($B49&lt;&gt;Apoyo!$B$10,$B49&lt;&gt;Apoyo!$B$2,$B49&lt;&gt;Apoyo!$B$6),B49,0)))</f>
        <v>Cajamarca</v>
      </c>
      <c r="E49" t="str">
        <f t="shared" ref="E49" si="43">+IF(C49="Mujer","Femenino",2)</f>
        <v>Femenino</v>
      </c>
      <c r="F49">
        <f t="shared" ca="1" si="0"/>
        <v>27</v>
      </c>
      <c r="G49" t="s">
        <v>54</v>
      </c>
      <c r="H49" s="3">
        <f t="shared" ca="1" si="1"/>
        <v>0</v>
      </c>
      <c r="I49" s="3">
        <f t="shared" ca="1" si="1"/>
        <v>0</v>
      </c>
      <c r="J49">
        <f t="shared" ca="1" si="2"/>
        <v>0</v>
      </c>
      <c r="K49" s="2">
        <f t="shared" ca="1" si="3"/>
        <v>0.52368775171427784</v>
      </c>
      <c r="L49" s="2">
        <f t="shared" ca="1" si="42"/>
        <v>0.55368775171427786</v>
      </c>
    </row>
    <row r="50" spans="1:12">
      <c r="A50" s="1">
        <f ca="1">+RANDBETWEEN(Apoyo!$P$2,Apoyo!$P$3)</f>
        <v>45951</v>
      </c>
      <c r="B50" s="1" t="str" cm="1">
        <f t="array" aca="1" ref="B50" ca="1">+INDEX(Apoyo!$B$2:$B$10,RANDBETWEEN(1,9))</f>
        <v>Ucayali</v>
      </c>
      <c r="C50" t="s">
        <v>2</v>
      </c>
      <c r="D50" t="str" cm="1">
        <f t="array" aca="1" ref="D50" ca="1">+IF(OR($B50=Apoyo!$B$2,$B50=Apoyo!$B$6),"Lima",IF($B50=Apoyo!$B$10,INDEX(Apoyo!$D$2:$D$19,RANDBETWEEN(1,18)),IF(OR($B50&lt;&gt;Apoyo!$B$10,$B50&lt;&gt;Apoyo!$B$2,$B50&lt;&gt;Apoyo!$B$6),B50,0)))</f>
        <v>Ucayali</v>
      </c>
      <c r="E50" t="s">
        <v>44</v>
      </c>
      <c r="F50">
        <f t="shared" ca="1" si="0"/>
        <v>16</v>
      </c>
      <c r="G50" t="s">
        <v>54</v>
      </c>
      <c r="H50" s="3">
        <f t="shared" ca="1" si="1"/>
        <v>1</v>
      </c>
      <c r="I50" s="3">
        <f t="shared" ca="1" si="1"/>
        <v>1</v>
      </c>
      <c r="J50">
        <f t="shared" ca="1" si="2"/>
        <v>0</v>
      </c>
      <c r="K50" s="2">
        <f t="shared" ca="1" si="3"/>
        <v>0.45898770283884338</v>
      </c>
      <c r="L50" s="2">
        <f t="shared" ref="L50" ca="1" si="44">+IFERROR(K50+0.04,"n.a.")</f>
        <v>0.49898770283884336</v>
      </c>
    </row>
    <row r="51" spans="1:12">
      <c r="A51" s="1">
        <f ca="1">+RANDBETWEEN(Apoyo!$P$2,Apoyo!$P$3)</f>
        <v>45959</v>
      </c>
      <c r="B51" s="1" t="str" cm="1">
        <f t="array" aca="1" ref="B51" ca="1">+INDEX(Apoyo!$B$2:$B$10,RANDBETWEEN(1,9))</f>
        <v>Apurímac</v>
      </c>
      <c r="C51" t="s">
        <v>1</v>
      </c>
      <c r="D51" t="str" cm="1">
        <f t="array" aca="1" ref="D51" ca="1">+IF(OR($B51=Apoyo!$B$2,$B51=Apoyo!$B$6),"Lima",IF($B51=Apoyo!$B$10,INDEX(Apoyo!$D$2:$D$19,RANDBETWEEN(1,18)),IF(OR($B51&lt;&gt;Apoyo!$B$10,$B51&lt;&gt;Apoyo!$B$2,$B51&lt;&gt;Apoyo!$B$6),B51,0)))</f>
        <v>Apurímac</v>
      </c>
      <c r="E51" t="str">
        <f t="shared" ref="E51" si="45">+IF(C51="Mujer","Femenino",2)</f>
        <v>Femenino</v>
      </c>
      <c r="F51">
        <f t="shared" ca="1" si="0"/>
        <v>58</v>
      </c>
      <c r="G51" t="s">
        <v>54</v>
      </c>
      <c r="H51" s="3">
        <f t="shared" ca="1" si="1"/>
        <v>0</v>
      </c>
      <c r="I51" s="3">
        <f t="shared" ca="1" si="1"/>
        <v>1</v>
      </c>
      <c r="J51">
        <f t="shared" ca="1" si="2"/>
        <v>0</v>
      </c>
      <c r="K51" s="2">
        <f t="shared" ca="1" si="3"/>
        <v>0.40431616145558325</v>
      </c>
      <c r="L51" s="2">
        <f t="shared" ref="L51" ca="1" si="46">+IFERROR(K51+0.05,"n.a.")</f>
        <v>0.45431616145558323</v>
      </c>
    </row>
    <row r="52" spans="1:12">
      <c r="A52" s="1">
        <f ca="1">+RANDBETWEEN(Apoyo!$P$2,Apoyo!$P$3)</f>
        <v>45953</v>
      </c>
      <c r="B52" s="1" t="str" cm="1">
        <f t="array" aca="1" ref="B52" ca="1">+INDEX(Apoyo!$B$2:$B$10,RANDBETWEEN(1,9))</f>
        <v>Ucayali</v>
      </c>
      <c r="C52" t="s">
        <v>1</v>
      </c>
      <c r="D52" t="str" cm="1">
        <f t="array" aca="1" ref="D52" ca="1">+IF(OR($B52=Apoyo!$B$2,$B52=Apoyo!$B$6),"Lima",IF($B52=Apoyo!$B$10,INDEX(Apoyo!$D$2:$D$19,RANDBETWEEN(1,18)),IF(OR($B52&lt;&gt;Apoyo!$B$10,$B52&lt;&gt;Apoyo!$B$2,$B52&lt;&gt;Apoyo!$B$6),B52,0)))</f>
        <v>Ucayali</v>
      </c>
      <c r="E52" t="str">
        <f>+IF(C52="Mujer","Femenino",2)</f>
        <v>Femenino</v>
      </c>
      <c r="F52">
        <f t="shared" ca="1" si="0"/>
        <v>63</v>
      </c>
      <c r="G52" t="s">
        <v>54</v>
      </c>
      <c r="H52" s="3">
        <f t="shared" ca="1" si="1"/>
        <v>0</v>
      </c>
      <c r="I52" s="3">
        <f t="shared" ca="1" si="1"/>
        <v>1</v>
      </c>
      <c r="J52">
        <f t="shared" ca="1" si="2"/>
        <v>1</v>
      </c>
      <c r="K52" s="2">
        <f t="shared" ca="1" si="3"/>
        <v>0.27299595515832575</v>
      </c>
      <c r="L52" s="2">
        <f t="shared" ref="L52:L53" ca="1" si="47">+IFERROR(K52+0.03,"n.a.")</f>
        <v>0.30299595515832578</v>
      </c>
    </row>
    <row r="53" spans="1:12">
      <c r="A53" s="1">
        <f ca="1">+RANDBETWEEN(Apoyo!$P$2,Apoyo!$P$3)</f>
        <v>45956</v>
      </c>
      <c r="B53" s="1" t="str" cm="1">
        <f t="array" aca="1" ref="B53" ca="1">+INDEX(Apoyo!$B$2:$B$10,RANDBETWEEN(1,9))</f>
        <v>Apurímac</v>
      </c>
      <c r="C53" t="s">
        <v>2</v>
      </c>
      <c r="D53" t="str" cm="1">
        <f t="array" aca="1" ref="D53" ca="1">+IF(OR($B53=Apoyo!$B$2,$B53=Apoyo!$B$6),"Lima",IF($B53=Apoyo!$B$10,INDEX(Apoyo!$D$2:$D$19,RANDBETWEEN(1,18)),IF(OR($B53&lt;&gt;Apoyo!$B$10,$B53&lt;&gt;Apoyo!$B$2,$B53&lt;&gt;Apoyo!$B$6),B53,0)))</f>
        <v>Apurímac</v>
      </c>
      <c r="E53" t="s">
        <v>43</v>
      </c>
      <c r="F53">
        <f t="shared" ca="1" si="0"/>
        <v>16</v>
      </c>
      <c r="G53" t="s">
        <v>54</v>
      </c>
      <c r="H53" s="3">
        <f t="shared" ca="1" si="1"/>
        <v>0</v>
      </c>
      <c r="I53" s="3">
        <f t="shared" ca="1" si="1"/>
        <v>0</v>
      </c>
      <c r="J53">
        <f t="shared" ca="1" si="2"/>
        <v>0</v>
      </c>
      <c r="K53" s="2">
        <f t="shared" ca="1" si="3"/>
        <v>0.76780997111284299</v>
      </c>
      <c r="L53" s="2">
        <f t="shared" ca="1" si="47"/>
        <v>0.79780997111284302</v>
      </c>
    </row>
    <row r="54" spans="1:12">
      <c r="A54" s="1">
        <f ca="1">+RANDBETWEEN(Apoyo!$P$2,Apoyo!$P$3)</f>
        <v>45945</v>
      </c>
      <c r="B54" s="1" t="str" cm="1">
        <f t="array" aca="1" ref="B54" ca="1">+INDEX(Apoyo!$B$2:$B$10,RANDBETWEEN(1,9))</f>
        <v>Ucayali</v>
      </c>
      <c r="C54" t="s">
        <v>2</v>
      </c>
      <c r="D54" t="str" cm="1">
        <f t="array" aca="1" ref="D54" ca="1">+IF(OR($B54=Apoyo!$B$2,$B54=Apoyo!$B$6),"Lima",IF($B54=Apoyo!$B$10,INDEX(Apoyo!$D$2:$D$19,RANDBETWEEN(1,18)),IF(OR($B54&lt;&gt;Apoyo!$B$10,$B54&lt;&gt;Apoyo!$B$2,$B54&lt;&gt;Apoyo!$B$6),B54,0)))</f>
        <v>Ucayali</v>
      </c>
      <c r="E54" t="s">
        <v>44</v>
      </c>
      <c r="F54">
        <f t="shared" ca="1" si="0"/>
        <v>14</v>
      </c>
      <c r="G54" t="s">
        <v>54</v>
      </c>
      <c r="H54" s="3">
        <f t="shared" ca="1" si="1"/>
        <v>1</v>
      </c>
      <c r="I54" s="3">
        <f t="shared" ca="1" si="1"/>
        <v>1</v>
      </c>
      <c r="J54">
        <f t="shared" ca="1" si="2"/>
        <v>0</v>
      </c>
      <c r="K54" s="2">
        <f t="shared" ca="1" si="3"/>
        <v>4.2604860252116961E-2</v>
      </c>
      <c r="L54" s="2">
        <f t="shared" ca="1" si="5"/>
        <v>8.2604860252116968E-2</v>
      </c>
    </row>
    <row r="55" spans="1:12">
      <c r="A55" s="1">
        <f ca="1">+RANDBETWEEN(Apoyo!$P$2,Apoyo!$P$3)</f>
        <v>45955</v>
      </c>
      <c r="B55" s="1" t="str" cm="1">
        <f t="array" aca="1" ref="B55" ca="1">+INDEX(Apoyo!$B$2:$B$10,RANDBETWEEN(1,9))</f>
        <v>Cajamarca</v>
      </c>
      <c r="C55" t="s">
        <v>1</v>
      </c>
      <c r="D55" t="str" cm="1">
        <f t="array" aca="1" ref="D55" ca="1">+IF(OR($B55=Apoyo!$B$2,$B55=Apoyo!$B$6),"Lima",IF($B55=Apoyo!$B$10,INDEX(Apoyo!$D$2:$D$19,RANDBETWEEN(1,18)),IF(OR($B55&lt;&gt;Apoyo!$B$10,$B55&lt;&gt;Apoyo!$B$2,$B55&lt;&gt;Apoyo!$B$6),B55,0)))</f>
        <v>Cajamarca</v>
      </c>
      <c r="E55" t="str">
        <f t="shared" ref="E55:E56" si="48">+IF(C55="Mujer","Femenino",2)</f>
        <v>Femenino</v>
      </c>
      <c r="F55">
        <f t="shared" ca="1" si="0"/>
        <v>28</v>
      </c>
      <c r="G55" t="s">
        <v>54</v>
      </c>
      <c r="H55" s="3">
        <f t="shared" ca="1" si="1"/>
        <v>0</v>
      </c>
      <c r="I55" s="3">
        <f t="shared" ca="1" si="1"/>
        <v>0</v>
      </c>
      <c r="J55">
        <f t="shared" ca="1" si="2"/>
        <v>0</v>
      </c>
      <c r="K55" s="2">
        <f t="shared" ca="1" si="3"/>
        <v>0.56647185126857358</v>
      </c>
      <c r="L55" s="2">
        <f t="shared" ref="L55" ca="1" si="49">+IFERROR(K55+0.06,"n.a.")</f>
        <v>0.62647185126857363</v>
      </c>
    </row>
    <row r="56" spans="1:12">
      <c r="A56" s="1">
        <f ca="1">+RANDBETWEEN(Apoyo!$P$2,Apoyo!$P$3)</f>
        <v>45950</v>
      </c>
      <c r="B56" s="1" t="str" cm="1">
        <f t="array" aca="1" ref="B56" ca="1">+INDEX(Apoyo!$B$2:$B$10,RANDBETWEEN(1,9))</f>
        <v>Ucayali</v>
      </c>
      <c r="C56" t="s">
        <v>1</v>
      </c>
      <c r="D56" t="str" cm="1">
        <f t="array" aca="1" ref="D56" ca="1">+IF(OR($B56=Apoyo!$B$2,$B56=Apoyo!$B$6),"Lima",IF($B56=Apoyo!$B$10,INDEX(Apoyo!$D$2:$D$19,RANDBETWEEN(1,18)),IF(OR($B56&lt;&gt;Apoyo!$B$10,$B56&lt;&gt;Apoyo!$B$2,$B56&lt;&gt;Apoyo!$B$6),B56,0)))</f>
        <v>Ucayali</v>
      </c>
      <c r="E56" t="str">
        <f t="shared" si="48"/>
        <v>Femenino</v>
      </c>
      <c r="F56">
        <f t="shared" ca="1" si="0"/>
        <v>53</v>
      </c>
      <c r="G56" t="s">
        <v>54</v>
      </c>
      <c r="H56" s="3">
        <f t="shared" ca="1" si="1"/>
        <v>1</v>
      </c>
      <c r="I56" s="3">
        <f t="shared" ca="1" si="1"/>
        <v>1</v>
      </c>
      <c r="J56">
        <f t="shared" ca="1" si="2"/>
        <v>0</v>
      </c>
      <c r="K56" s="2">
        <f t="shared" ca="1" si="3"/>
        <v>0.14671414183672482</v>
      </c>
      <c r="L56" s="2">
        <f t="shared" ref="L56" ca="1" si="50">+IFERROR(K56+0.03,"n.a.")</f>
        <v>0.17671414183672482</v>
      </c>
    </row>
    <row r="57" spans="1:12">
      <c r="A57" s="1">
        <f ca="1">+RANDBETWEEN(Apoyo!$P$2,Apoyo!$P$3)</f>
        <v>45945</v>
      </c>
      <c r="B57" s="1" t="str" cm="1">
        <f t="array" aca="1" ref="B57" ca="1">+INDEX(Apoyo!$B$2:$B$10,RANDBETWEEN(1,9))</f>
        <v>Loreto</v>
      </c>
      <c r="C57" t="s">
        <v>2</v>
      </c>
      <c r="D57" t="str" cm="1">
        <f t="array" aca="1" ref="D57" ca="1">+IF(OR($B57=Apoyo!$B$2,$B57=Apoyo!$B$6),"Lima",IF($B57=Apoyo!$B$10,INDEX(Apoyo!$D$2:$D$19,RANDBETWEEN(1,18)),IF(OR($B57&lt;&gt;Apoyo!$B$10,$B57&lt;&gt;Apoyo!$B$2,$B57&lt;&gt;Apoyo!$B$6),B57,0)))</f>
        <v>Loreto</v>
      </c>
      <c r="E57" t="s">
        <v>44</v>
      </c>
      <c r="F57">
        <f t="shared" ca="1" si="0"/>
        <v>12</v>
      </c>
      <c r="G57" t="str">
        <f ca="1">+CHOOSE(RANDBETWEEN(1,5),Apoyo!$E$3,Apoyo!$E$4,Apoyo!$E$5,Apoyo!$E$6,Apoyo!$E$7)</f>
        <v>Otro</v>
      </c>
      <c r="H57" s="3">
        <f t="shared" ca="1" si="1"/>
        <v>0</v>
      </c>
      <c r="I57" s="3">
        <f t="shared" ca="1" si="1"/>
        <v>0</v>
      </c>
      <c r="J57">
        <f t="shared" ca="1" si="2"/>
        <v>0</v>
      </c>
      <c r="K57" s="2" t="str">
        <f t="shared" ca="1" si="3"/>
        <v>n.a.</v>
      </c>
      <c r="L57" s="2" t="str">
        <f t="shared" ref="L57" ca="1" si="51">+IFERROR(K57+0.05,"n.a.")</f>
        <v>n.a.</v>
      </c>
    </row>
    <row r="58" spans="1:12">
      <c r="A58" s="1">
        <f ca="1">+RANDBETWEEN(Apoyo!$P$2,Apoyo!$P$3)</f>
        <v>45947</v>
      </c>
      <c r="B58" s="1" t="str" cm="1">
        <f t="array" aca="1" ref="B58" ca="1">+INDEX(Apoyo!$B$2:$B$10,RANDBETWEEN(1,9))</f>
        <v>Ayacucho</v>
      </c>
      <c r="C58" t="s">
        <v>2</v>
      </c>
      <c r="D58" t="str" cm="1">
        <f t="array" aca="1" ref="D58" ca="1">+IF(OR($B58=Apoyo!$B$2,$B58=Apoyo!$B$6),"Lima",IF($B58=Apoyo!$B$10,INDEX(Apoyo!$D$2:$D$19,RANDBETWEEN(1,18)),IF(OR($B58&lt;&gt;Apoyo!$B$10,$B58&lt;&gt;Apoyo!$B$2,$B58&lt;&gt;Apoyo!$B$6),B58,0)))</f>
        <v>Ayacucho</v>
      </c>
      <c r="E58" t="s">
        <v>43</v>
      </c>
      <c r="F58">
        <f t="shared" ca="1" si="0"/>
        <v>14</v>
      </c>
      <c r="G58" t="s">
        <v>54</v>
      </c>
      <c r="H58" s="3">
        <f t="shared" ca="1" si="1"/>
        <v>0</v>
      </c>
      <c r="I58" s="3">
        <f t="shared" ca="1" si="1"/>
        <v>0</v>
      </c>
      <c r="J58">
        <f t="shared" ca="1" si="2"/>
        <v>0</v>
      </c>
      <c r="K58" s="2">
        <f t="shared" ca="1" si="3"/>
        <v>0.98991727057367829</v>
      </c>
      <c r="L58" s="2">
        <f t="shared" ref="L58" ca="1" si="52">+IFERROR(K58+0.04,"n.a.")</f>
        <v>1.0299172705736783</v>
      </c>
    </row>
    <row r="59" spans="1:12">
      <c r="A59" s="1">
        <f ca="1">+RANDBETWEEN(Apoyo!$P$2,Apoyo!$P$3)</f>
        <v>45953</v>
      </c>
      <c r="B59" s="1" t="str" cm="1">
        <f t="array" aca="1" ref="B59" ca="1">+INDEX(Apoyo!$B$2:$B$10,RANDBETWEEN(1,9))</f>
        <v>Huánuco</v>
      </c>
      <c r="C59" t="s">
        <v>1</v>
      </c>
      <c r="D59" t="str" cm="1">
        <f t="array" aca="1" ref="D59" ca="1">+IF(OR($B59=Apoyo!$B$2,$B59=Apoyo!$B$6),"Lima",IF($B59=Apoyo!$B$10,INDEX(Apoyo!$D$2:$D$19,RANDBETWEEN(1,18)),IF(OR($B59&lt;&gt;Apoyo!$B$10,$B59&lt;&gt;Apoyo!$B$2,$B59&lt;&gt;Apoyo!$B$6),B59,0)))</f>
        <v>Huánuco</v>
      </c>
      <c r="E59" t="str">
        <f t="shared" ref="E59" si="53">+IF(C59="Mujer","Femenino",2)</f>
        <v>Femenino</v>
      </c>
      <c r="F59">
        <f t="shared" ca="1" si="0"/>
        <v>25</v>
      </c>
      <c r="G59" t="s">
        <v>54</v>
      </c>
      <c r="H59" s="3">
        <f t="shared" ca="1" si="1"/>
        <v>0</v>
      </c>
      <c r="I59" s="3">
        <f t="shared" ca="1" si="1"/>
        <v>0</v>
      </c>
      <c r="J59">
        <f t="shared" ca="1" si="2"/>
        <v>0</v>
      </c>
      <c r="K59" s="2">
        <f t="shared" ca="1" si="3"/>
        <v>0.99970028387856369</v>
      </c>
      <c r="L59" s="2">
        <f t="shared" ref="L59" ca="1" si="54">+IFERROR(K59+0.05,"n.a.")</f>
        <v>1.0497002838785636</v>
      </c>
    </row>
    <row r="60" spans="1:12">
      <c r="A60" s="1">
        <f ca="1">+RANDBETWEEN(Apoyo!$P$2,Apoyo!$P$3)</f>
        <v>45956</v>
      </c>
      <c r="B60" s="1" t="str" cm="1">
        <f t="array" aca="1" ref="B60" ca="1">+INDEX(Apoyo!$B$2:$B$10,RANDBETWEEN(1,9))</f>
        <v>Puente Piedra-Ventanilla</v>
      </c>
      <c r="C60" t="s">
        <v>2</v>
      </c>
      <c r="D60" t="str" cm="1">
        <f t="array" aca="1" ref="D60" ca="1">+IF(OR($B60=Apoyo!$B$2,$B60=Apoyo!$B$6),"Lima",IF($B60=Apoyo!$B$10,INDEX(Apoyo!$D$2:$D$19,RANDBETWEEN(1,18)),IF(OR($B60&lt;&gt;Apoyo!$B$10,$B60&lt;&gt;Apoyo!$B$2,$B60&lt;&gt;Apoyo!$B$6),B60,0)))</f>
        <v>Lima</v>
      </c>
      <c r="E60" t="s">
        <v>44</v>
      </c>
      <c r="F60">
        <f t="shared" ca="1" si="0"/>
        <v>15</v>
      </c>
      <c r="G60" t="s">
        <v>54</v>
      </c>
      <c r="H60" s="3">
        <f t="shared" ca="1" si="1"/>
        <v>1</v>
      </c>
      <c r="I60" s="3">
        <f t="shared" ca="1" si="1"/>
        <v>0</v>
      </c>
      <c r="J60">
        <f t="shared" ca="1" si="2"/>
        <v>1</v>
      </c>
      <c r="K60" s="2">
        <f t="shared" ca="1" si="3"/>
        <v>0.99963082830913186</v>
      </c>
      <c r="L60" s="2">
        <f t="shared" ref="L60:L61" ca="1" si="55">+IFERROR(K60+0.03,"n.a.")</f>
        <v>1.0296308283091318</v>
      </c>
    </row>
    <row r="61" spans="1:12">
      <c r="A61" s="1">
        <f ca="1">+RANDBETWEEN(Apoyo!$P$2,Apoyo!$P$3)</f>
        <v>45950</v>
      </c>
      <c r="B61" s="1" t="str" cm="1">
        <f t="array" aca="1" ref="B61" ca="1">+INDEX(Apoyo!$B$2:$B$10,RANDBETWEEN(1,9))</f>
        <v>Puente Piedra-Ventanilla</v>
      </c>
      <c r="C61" t="s">
        <v>1</v>
      </c>
      <c r="D61" t="str" cm="1">
        <f t="array" aca="1" ref="D61" ca="1">+IF(OR($B61=Apoyo!$B$2,$B61=Apoyo!$B$6),"Lima",IF($B61=Apoyo!$B$10,INDEX(Apoyo!$D$2:$D$19,RANDBETWEEN(1,18)),IF(OR($B61&lt;&gt;Apoyo!$B$10,$B61&lt;&gt;Apoyo!$B$2,$B61&lt;&gt;Apoyo!$B$6),B61,0)))</f>
        <v>Lima</v>
      </c>
      <c r="E61" t="str">
        <f t="shared" ref="E61" si="56">+IF(C61="Mujer","Femenino",2)</f>
        <v>Femenino</v>
      </c>
      <c r="F61">
        <f t="shared" ca="1" si="0"/>
        <v>33</v>
      </c>
      <c r="G61" t="str">
        <f ca="1">+CHOOSE(RANDBETWEEN(1,5),Apoyo!$E$3,Apoyo!$E$4,Apoyo!$E$5,Apoyo!$E$6,Apoyo!$E$7)</f>
        <v>Incompleta</v>
      </c>
      <c r="H61" s="3">
        <f t="shared" ca="1" si="1"/>
        <v>0</v>
      </c>
      <c r="I61" s="3">
        <f t="shared" ca="1" si="1"/>
        <v>0</v>
      </c>
      <c r="J61">
        <f t="shared" ca="1" si="2"/>
        <v>0</v>
      </c>
      <c r="K61" s="2" t="str">
        <f t="shared" ca="1" si="3"/>
        <v>n.a.</v>
      </c>
      <c r="L61" s="2" t="str">
        <f t="shared" ca="1" si="55"/>
        <v>n.a.</v>
      </c>
    </row>
    <row r="62" spans="1:12">
      <c r="A62" s="1">
        <f ca="1">+RANDBETWEEN(Apoyo!$P$2,Apoyo!$P$3)</f>
        <v>45959</v>
      </c>
      <c r="B62" s="1" t="str" cm="1">
        <f t="array" aca="1" ref="B62" ca="1">+INDEX(Apoyo!$B$2:$B$10,RANDBETWEEN(1,9))</f>
        <v>Lima Norte</v>
      </c>
      <c r="C62" t="s">
        <v>1</v>
      </c>
      <c r="D62" t="str" cm="1">
        <f t="array" aca="1" ref="D62" ca="1">+IF(OR($B62=Apoyo!$B$2,$B62=Apoyo!$B$6),"Lima",IF($B62=Apoyo!$B$10,INDEX(Apoyo!$D$2:$D$19,RANDBETWEEN(1,18)),IF(OR($B62&lt;&gt;Apoyo!$B$10,$B62&lt;&gt;Apoyo!$B$2,$B62&lt;&gt;Apoyo!$B$6),B62,0)))</f>
        <v>Lima</v>
      </c>
      <c r="E62" t="str">
        <f>+IF(C62="Mujer","Femenino",2)</f>
        <v>Femenino</v>
      </c>
      <c r="F62">
        <f t="shared" ca="1" si="0"/>
        <v>34</v>
      </c>
      <c r="G62" t="s">
        <v>54</v>
      </c>
      <c r="H62" s="3">
        <f t="shared" ca="1" si="1"/>
        <v>0</v>
      </c>
      <c r="I62" s="3">
        <f t="shared" ca="1" si="1"/>
        <v>0</v>
      </c>
      <c r="J62">
        <f t="shared" ca="1" si="2"/>
        <v>0</v>
      </c>
      <c r="K62" s="2">
        <f t="shared" ca="1" si="3"/>
        <v>0.75431310760402093</v>
      </c>
      <c r="L62" s="2">
        <f t="shared" ref="L62" ca="1" si="57">+IFERROR(K62+0.04,"n.a.")</f>
        <v>0.79431310760402096</v>
      </c>
    </row>
    <row r="63" spans="1:12">
      <c r="A63" s="1">
        <f ca="1">+RANDBETWEEN(Apoyo!$P$2,Apoyo!$P$3)</f>
        <v>45960</v>
      </c>
      <c r="B63" s="1" t="str" cm="1">
        <f t="array" aca="1" ref="B63" ca="1">+INDEX(Apoyo!$B$2:$B$10,RANDBETWEEN(1,9))</f>
        <v>Cajamarca</v>
      </c>
      <c r="C63" t="s">
        <v>2</v>
      </c>
      <c r="D63" t="str" cm="1">
        <f t="array" aca="1" ref="D63" ca="1">+IF(OR($B63=Apoyo!$B$2,$B63=Apoyo!$B$6),"Lima",IF($B63=Apoyo!$B$10,INDEX(Apoyo!$D$2:$D$19,RANDBETWEEN(1,18)),IF(OR($B63&lt;&gt;Apoyo!$B$10,$B63&lt;&gt;Apoyo!$B$2,$B63&lt;&gt;Apoyo!$B$6),B63,0)))</f>
        <v>Cajamarca</v>
      </c>
      <c r="E63" t="s">
        <v>43</v>
      </c>
      <c r="F63">
        <f t="shared" ca="1" si="0"/>
        <v>12</v>
      </c>
      <c r="G63" t="s">
        <v>54</v>
      </c>
      <c r="H63" s="3">
        <f t="shared" ca="1" si="1"/>
        <v>1</v>
      </c>
      <c r="I63" s="3">
        <f t="shared" ca="1" si="1"/>
        <v>1</v>
      </c>
      <c r="J63">
        <f t="shared" ca="1" si="2"/>
        <v>0</v>
      </c>
      <c r="K63" s="2">
        <f t="shared" ca="1" si="3"/>
        <v>0.78525972669463162</v>
      </c>
      <c r="L63" s="2">
        <f t="shared" ref="L63" ca="1" si="58">+IFERROR(K63+0.05,"n.a.")</f>
        <v>0.83525972669463167</v>
      </c>
    </row>
    <row r="64" spans="1:12">
      <c r="A64" s="1">
        <f ca="1">+RANDBETWEEN(Apoyo!$P$2,Apoyo!$P$3)</f>
        <v>45949</v>
      </c>
      <c r="B64" s="1" t="str" cm="1">
        <f t="array" aca="1" ref="B64" ca="1">+INDEX(Apoyo!$B$2:$B$10,RANDBETWEEN(1,9))</f>
        <v>Loreto</v>
      </c>
      <c r="C64" t="s">
        <v>2</v>
      </c>
      <c r="D64" t="str" cm="1">
        <f t="array" aca="1" ref="D64" ca="1">+IF(OR($B64=Apoyo!$B$2,$B64=Apoyo!$B$6),"Lima",IF($B64=Apoyo!$B$10,INDEX(Apoyo!$D$2:$D$19,RANDBETWEEN(1,18)),IF(OR($B64&lt;&gt;Apoyo!$B$10,$B64&lt;&gt;Apoyo!$B$2,$B64&lt;&gt;Apoyo!$B$6),B64,0)))</f>
        <v>Loreto</v>
      </c>
      <c r="E64" t="s">
        <v>44</v>
      </c>
      <c r="F64">
        <f t="shared" ca="1" si="0"/>
        <v>12</v>
      </c>
      <c r="G64" t="s">
        <v>54</v>
      </c>
      <c r="H64" s="3">
        <f t="shared" ca="1" si="1"/>
        <v>0</v>
      </c>
      <c r="I64" s="3">
        <f t="shared" ca="1" si="1"/>
        <v>0</v>
      </c>
      <c r="J64">
        <f t="shared" ca="1" si="2"/>
        <v>0</v>
      </c>
      <c r="K64" s="2">
        <f t="shared" ca="1" si="3"/>
        <v>1.3100011508400344E-2</v>
      </c>
      <c r="L64" s="2">
        <f t="shared" ref="L64:L65" ca="1" si="59">+IFERROR(K64+0.03,"n.a.")</f>
        <v>4.3100011508400343E-2</v>
      </c>
    </row>
    <row r="65" spans="1:12">
      <c r="A65" s="1">
        <f ca="1">+RANDBETWEEN(Apoyo!$P$2,Apoyo!$P$3)</f>
        <v>45955</v>
      </c>
      <c r="B65" s="1" t="str" cm="1">
        <f t="array" aca="1" ref="B65" ca="1">+INDEX(Apoyo!$B$2:$B$10,RANDBETWEEN(1,9))</f>
        <v>Lima Norte</v>
      </c>
      <c r="C65" t="s">
        <v>1</v>
      </c>
      <c r="D65" t="str" cm="1">
        <f t="array" aca="1" ref="D65" ca="1">+IF(OR($B65=Apoyo!$B$2,$B65=Apoyo!$B$6),"Lima",IF($B65=Apoyo!$B$10,INDEX(Apoyo!$D$2:$D$19,RANDBETWEEN(1,18)),IF(OR($B65&lt;&gt;Apoyo!$B$10,$B65&lt;&gt;Apoyo!$B$2,$B65&lt;&gt;Apoyo!$B$6),B65,0)))</f>
        <v>Lima</v>
      </c>
      <c r="E65" t="str">
        <f t="shared" ref="E65:E66" si="60">+IF(C65="Mujer","Femenino",2)</f>
        <v>Femenino</v>
      </c>
      <c r="F65">
        <f t="shared" ca="1" si="0"/>
        <v>23</v>
      </c>
      <c r="G65" t="s">
        <v>54</v>
      </c>
      <c r="H65" s="3">
        <f t="shared" ca="1" si="1"/>
        <v>0</v>
      </c>
      <c r="I65" s="3">
        <f t="shared" ca="1" si="1"/>
        <v>1</v>
      </c>
      <c r="J65">
        <f t="shared" ca="1" si="2"/>
        <v>1</v>
      </c>
      <c r="K65" s="2">
        <f t="shared" ca="1" si="3"/>
        <v>0.47032415810960526</v>
      </c>
      <c r="L65" s="2">
        <f t="shared" ca="1" si="59"/>
        <v>0.50032415810960529</v>
      </c>
    </row>
    <row r="66" spans="1:12">
      <c r="A66" s="1">
        <f ca="1">+RANDBETWEEN(Apoyo!$P$2,Apoyo!$P$3)</f>
        <v>45945</v>
      </c>
      <c r="B66" s="1" t="str" cm="1">
        <f t="array" aca="1" ref="B66" ca="1">+INDEX(Apoyo!$B$2:$B$10,RANDBETWEEN(1,9))</f>
        <v>Resto del Perú</v>
      </c>
      <c r="C66" t="s">
        <v>1</v>
      </c>
      <c r="D66" t="str" cm="1">
        <f t="array" aca="1" ref="D66" ca="1">+IF(OR($B66=Apoyo!$B$2,$B66=Apoyo!$B$6),"Lima",IF($B66=Apoyo!$B$10,INDEX(Apoyo!$D$2:$D$19,RANDBETWEEN(1,18)),IF(OR($B66&lt;&gt;Apoyo!$B$10,$B66&lt;&gt;Apoyo!$B$2,$B66&lt;&gt;Apoyo!$B$6),B66,0)))</f>
        <v>Puno</v>
      </c>
      <c r="E66" t="str">
        <f t="shared" si="60"/>
        <v>Femenino</v>
      </c>
      <c r="F66">
        <f t="shared" ref="F66:F129" ca="1" si="61">+IF(C66="Mujer",RANDBETWEEN(18,65),RANDBETWEEN(12,17))</f>
        <v>32</v>
      </c>
      <c r="G66" t="str">
        <f ca="1">+CHOOSE(RANDBETWEEN(1,5),Apoyo!$E$3,Apoyo!$E$4,Apoyo!$E$5,Apoyo!$E$6,Apoyo!$E$7)</f>
        <v>Rechazada</v>
      </c>
      <c r="H66" s="3">
        <f t="shared" ca="1" si="1"/>
        <v>0</v>
      </c>
      <c r="I66" s="3">
        <f t="shared" ca="1" si="1"/>
        <v>0</v>
      </c>
      <c r="J66">
        <f t="shared" ca="1" si="2"/>
        <v>0</v>
      </c>
      <c r="K66" s="2" t="str">
        <f t="shared" ca="1" si="3"/>
        <v>n.a.</v>
      </c>
      <c r="L66" s="2" t="str">
        <f t="shared" ca="1" si="5"/>
        <v>n.a.</v>
      </c>
    </row>
    <row r="67" spans="1:12">
      <c r="A67" s="1">
        <f ca="1">+RANDBETWEEN(Apoyo!$P$2,Apoyo!$P$3)</f>
        <v>45954</v>
      </c>
      <c r="B67" s="1" t="str" cm="1">
        <f t="array" aca="1" ref="B67" ca="1">+INDEX(Apoyo!$B$2:$B$10,RANDBETWEEN(1,9))</f>
        <v>Cajamarca</v>
      </c>
      <c r="C67" t="s">
        <v>2</v>
      </c>
      <c r="D67" t="str" cm="1">
        <f t="array" aca="1" ref="D67" ca="1">+IF(OR($B67=Apoyo!$B$2,$B67=Apoyo!$B$6),"Lima",IF($B67=Apoyo!$B$10,INDEX(Apoyo!$D$2:$D$19,RANDBETWEEN(1,18)),IF(OR($B67&lt;&gt;Apoyo!$B$10,$B67&lt;&gt;Apoyo!$B$2,$B67&lt;&gt;Apoyo!$B$6),B67,0)))</f>
        <v>Cajamarca</v>
      </c>
      <c r="E67" t="s">
        <v>44</v>
      </c>
      <c r="F67">
        <f t="shared" ca="1" si="61"/>
        <v>13</v>
      </c>
      <c r="G67" t="str">
        <f ca="1">+CHOOSE(RANDBETWEEN(1,5),Apoyo!$E$3,Apoyo!$E$4,Apoyo!$E$5,Apoyo!$E$6,Apoyo!$E$7)</f>
        <v>Rechazada</v>
      </c>
      <c r="H67" s="3">
        <f t="shared" ref="H67:I130" ca="1" si="62">+IF($G67&lt;&gt;"Completa",IF($G67&lt;&gt;"Discapacidad",0,RANDBETWEEN(0,1)),RANDBETWEEN(0,1))</f>
        <v>0</v>
      </c>
      <c r="I67" s="3">
        <f t="shared" ca="1" si="62"/>
        <v>0</v>
      </c>
      <c r="J67">
        <f t="shared" ref="J67:J130" ca="1" si="63">+IF(OR(H67=1,I67=1),RANDBETWEEN(0,1),0)</f>
        <v>0</v>
      </c>
      <c r="K67" s="2" t="str">
        <f t="shared" ref="K67:K130" ca="1" si="64">IF(G67&lt;&gt;"Completa","n.a.",RAND())</f>
        <v>n.a.</v>
      </c>
      <c r="L67" s="2" t="str">
        <f t="shared" ref="L67" ca="1" si="65">+IFERROR(K67+0.06,"n.a.")</f>
        <v>n.a.</v>
      </c>
    </row>
    <row r="68" spans="1:12">
      <c r="A68" s="1">
        <f ca="1">+RANDBETWEEN(Apoyo!$P$2,Apoyo!$P$3)</f>
        <v>45959</v>
      </c>
      <c r="B68" s="1" t="str" cm="1">
        <f t="array" aca="1" ref="B68" ca="1">+INDEX(Apoyo!$B$2:$B$10,RANDBETWEEN(1,9))</f>
        <v>Resto del Perú</v>
      </c>
      <c r="C68" t="s">
        <v>2</v>
      </c>
      <c r="D68" t="str" cm="1">
        <f t="array" aca="1" ref="D68" ca="1">+IF(OR($B68=Apoyo!$B$2,$B68=Apoyo!$B$6),"Lima",IF($B68=Apoyo!$B$10,INDEX(Apoyo!$D$2:$D$19,RANDBETWEEN(1,18)),IF(OR($B68&lt;&gt;Apoyo!$B$10,$B68&lt;&gt;Apoyo!$B$2,$B68&lt;&gt;Apoyo!$B$6),B68,0)))</f>
        <v>Madre de Dios</v>
      </c>
      <c r="E68" t="s">
        <v>43</v>
      </c>
      <c r="F68">
        <f t="shared" ca="1" si="61"/>
        <v>12</v>
      </c>
      <c r="G68" t="s">
        <v>54</v>
      </c>
      <c r="H68" s="3">
        <f t="shared" ca="1" si="62"/>
        <v>1</v>
      </c>
      <c r="I68" s="3">
        <f t="shared" ca="1" si="62"/>
        <v>1</v>
      </c>
      <c r="J68">
        <f t="shared" ca="1" si="63"/>
        <v>0</v>
      </c>
      <c r="K68" s="2">
        <f t="shared" ca="1" si="64"/>
        <v>0.92868847242853902</v>
      </c>
      <c r="L68" s="2">
        <f t="shared" ref="L68" ca="1" si="66">+IFERROR(K68+0.03,"n.a.")</f>
        <v>0.95868847242853905</v>
      </c>
    </row>
    <row r="69" spans="1:12">
      <c r="A69" s="1">
        <f ca="1">+RANDBETWEEN(Apoyo!$P$2,Apoyo!$P$3)</f>
        <v>45959</v>
      </c>
      <c r="B69" s="1" t="str" cm="1">
        <f t="array" aca="1" ref="B69" ca="1">+INDEX(Apoyo!$B$2:$B$10,RANDBETWEEN(1,9))</f>
        <v>Huánuco</v>
      </c>
      <c r="C69" t="s">
        <v>1</v>
      </c>
      <c r="D69" t="str" cm="1">
        <f t="array" aca="1" ref="D69" ca="1">+IF(OR($B69=Apoyo!$B$2,$B69=Apoyo!$B$6),"Lima",IF($B69=Apoyo!$B$10,INDEX(Apoyo!$D$2:$D$19,RANDBETWEEN(1,18)),IF(OR($B69&lt;&gt;Apoyo!$B$10,$B69&lt;&gt;Apoyo!$B$2,$B69&lt;&gt;Apoyo!$B$6),B69,0)))</f>
        <v>Huánuco</v>
      </c>
      <c r="E69" t="str">
        <f t="shared" ref="E69" si="67">+IF(C69="Mujer","Femenino",2)</f>
        <v>Femenino</v>
      </c>
      <c r="F69">
        <f t="shared" ca="1" si="61"/>
        <v>35</v>
      </c>
      <c r="G69" t="s">
        <v>54</v>
      </c>
      <c r="H69" s="3">
        <f t="shared" ca="1" si="62"/>
        <v>1</v>
      </c>
      <c r="I69" s="3">
        <f t="shared" ca="1" si="62"/>
        <v>1</v>
      </c>
      <c r="J69">
        <f t="shared" ca="1" si="63"/>
        <v>1</v>
      </c>
      <c r="K69" s="2">
        <f t="shared" ca="1" si="64"/>
        <v>0.30505366627823249</v>
      </c>
      <c r="L69" s="2">
        <f t="shared" ref="L69" ca="1" si="68">+IFERROR(K69+0.05,"n.a.")</f>
        <v>0.35505366627823248</v>
      </c>
    </row>
    <row r="70" spans="1:12">
      <c r="A70" s="1">
        <f ca="1">+RANDBETWEEN(Apoyo!$P$2,Apoyo!$P$3)</f>
        <v>45959</v>
      </c>
      <c r="B70" s="1" t="str" cm="1">
        <f t="array" aca="1" ref="B70" ca="1">+INDEX(Apoyo!$B$2:$B$10,RANDBETWEEN(1,9))</f>
        <v>Ucayali</v>
      </c>
      <c r="C70" t="s">
        <v>2</v>
      </c>
      <c r="D70" t="str" cm="1">
        <f t="array" aca="1" ref="D70" ca="1">+IF(OR($B70=Apoyo!$B$2,$B70=Apoyo!$B$6),"Lima",IF($B70=Apoyo!$B$10,INDEX(Apoyo!$D$2:$D$19,RANDBETWEEN(1,18)),IF(OR($B70&lt;&gt;Apoyo!$B$10,$B70&lt;&gt;Apoyo!$B$2,$B70&lt;&gt;Apoyo!$B$6),B70,0)))</f>
        <v>Ucayali</v>
      </c>
      <c r="E70" t="s">
        <v>44</v>
      </c>
      <c r="F70">
        <f t="shared" ca="1" si="61"/>
        <v>16</v>
      </c>
      <c r="G70" t="s">
        <v>54</v>
      </c>
      <c r="H70" s="3">
        <f t="shared" ca="1" si="62"/>
        <v>1</v>
      </c>
      <c r="I70" s="3">
        <f t="shared" ca="1" si="62"/>
        <v>0</v>
      </c>
      <c r="J70">
        <f t="shared" ca="1" si="63"/>
        <v>1</v>
      </c>
      <c r="K70" s="2">
        <f t="shared" ca="1" si="64"/>
        <v>0.67337867606235602</v>
      </c>
      <c r="L70" s="2">
        <f t="shared" ref="L70" ca="1" si="69">+IFERROR(K70+0.04,"n.a.")</f>
        <v>0.71337867606235605</v>
      </c>
    </row>
    <row r="71" spans="1:12">
      <c r="A71" s="1">
        <f ca="1">+RANDBETWEEN(Apoyo!$P$2,Apoyo!$P$3)</f>
        <v>45957</v>
      </c>
      <c r="B71" s="1" t="str" cm="1">
        <f t="array" aca="1" ref="B71" ca="1">+INDEX(Apoyo!$B$2:$B$10,RANDBETWEEN(1,9))</f>
        <v>Puente Piedra-Ventanilla</v>
      </c>
      <c r="C71" t="s">
        <v>1</v>
      </c>
      <c r="D71" t="str" cm="1">
        <f t="array" aca="1" ref="D71" ca="1">+IF(OR($B71=Apoyo!$B$2,$B71=Apoyo!$B$6),"Lima",IF($B71=Apoyo!$B$10,INDEX(Apoyo!$D$2:$D$19,RANDBETWEEN(1,18)),IF(OR($B71&lt;&gt;Apoyo!$B$10,$B71&lt;&gt;Apoyo!$B$2,$B71&lt;&gt;Apoyo!$B$6),B71,0)))</f>
        <v>Lima</v>
      </c>
      <c r="E71" t="str">
        <f t="shared" ref="E71" si="70">+IF(C71="Mujer","Femenino",2)</f>
        <v>Femenino</v>
      </c>
      <c r="F71">
        <f t="shared" ca="1" si="61"/>
        <v>32</v>
      </c>
      <c r="G71" t="s">
        <v>54</v>
      </c>
      <c r="H71" s="3">
        <f t="shared" ca="1" si="62"/>
        <v>0</v>
      </c>
      <c r="I71" s="3">
        <f t="shared" ca="1" si="62"/>
        <v>1</v>
      </c>
      <c r="J71">
        <f t="shared" ca="1" si="63"/>
        <v>0</v>
      </c>
      <c r="K71" s="2">
        <f t="shared" ca="1" si="64"/>
        <v>0.39149333844684608</v>
      </c>
      <c r="L71" s="2">
        <f t="shared" ref="L71" ca="1" si="71">+IFERROR(K71+0.05,"n.a.")</f>
        <v>0.44149333844684607</v>
      </c>
    </row>
    <row r="72" spans="1:12">
      <c r="A72" s="1">
        <f ca="1">+RANDBETWEEN(Apoyo!$P$2,Apoyo!$P$3)</f>
        <v>45960</v>
      </c>
      <c r="B72" s="1" t="str" cm="1">
        <f t="array" aca="1" ref="B72" ca="1">+INDEX(Apoyo!$B$2:$B$10,RANDBETWEEN(1,9))</f>
        <v>Apurímac</v>
      </c>
      <c r="C72" t="s">
        <v>1</v>
      </c>
      <c r="D72" t="str" cm="1">
        <f t="array" aca="1" ref="D72" ca="1">+IF(OR($B72=Apoyo!$B$2,$B72=Apoyo!$B$6),"Lima",IF($B72=Apoyo!$B$10,INDEX(Apoyo!$D$2:$D$19,RANDBETWEEN(1,18)),IF(OR($B72&lt;&gt;Apoyo!$B$10,$B72&lt;&gt;Apoyo!$B$2,$B72&lt;&gt;Apoyo!$B$6),B72,0)))</f>
        <v>Apurímac</v>
      </c>
      <c r="E72" t="str">
        <f>+IF(C72="Mujer","Femenino",2)</f>
        <v>Femenino</v>
      </c>
      <c r="F72">
        <f t="shared" ca="1" si="61"/>
        <v>57</v>
      </c>
      <c r="G72" t="s">
        <v>54</v>
      </c>
      <c r="H72" s="3">
        <f t="shared" ca="1" si="62"/>
        <v>0</v>
      </c>
      <c r="I72" s="3">
        <f t="shared" ca="1" si="62"/>
        <v>0</v>
      </c>
      <c r="J72">
        <f t="shared" ca="1" si="63"/>
        <v>0</v>
      </c>
      <c r="K72" s="2">
        <f t="shared" ca="1" si="64"/>
        <v>1.2915951662268332E-2</v>
      </c>
      <c r="L72" s="2">
        <f t="shared" ref="L72:L73" ca="1" si="72">+IFERROR(K72+0.03,"n.a.")</f>
        <v>4.2915951662268331E-2</v>
      </c>
    </row>
    <row r="73" spans="1:12">
      <c r="A73" s="1">
        <f ca="1">+RANDBETWEEN(Apoyo!$P$2,Apoyo!$P$3)</f>
        <v>45956</v>
      </c>
      <c r="B73" s="1" t="str" cm="1">
        <f t="array" aca="1" ref="B73" ca="1">+INDEX(Apoyo!$B$2:$B$10,RANDBETWEEN(1,9))</f>
        <v>Resto del Perú</v>
      </c>
      <c r="C73" t="s">
        <v>2</v>
      </c>
      <c r="D73" t="str" cm="1">
        <f t="array" aca="1" ref="D73" ca="1">+IF(OR($B73=Apoyo!$B$2,$B73=Apoyo!$B$6),"Lima",IF($B73=Apoyo!$B$10,INDEX(Apoyo!$D$2:$D$19,RANDBETWEEN(1,18)),IF(OR($B73&lt;&gt;Apoyo!$B$10,$B73&lt;&gt;Apoyo!$B$2,$B73&lt;&gt;Apoyo!$B$6),B73,0)))</f>
        <v>Tumbes</v>
      </c>
      <c r="E73" t="s">
        <v>43</v>
      </c>
      <c r="F73">
        <f t="shared" ca="1" si="61"/>
        <v>17</v>
      </c>
      <c r="G73" t="s">
        <v>54</v>
      </c>
      <c r="H73" s="3">
        <f t="shared" ca="1" si="62"/>
        <v>1</v>
      </c>
      <c r="I73" s="3">
        <f t="shared" ca="1" si="62"/>
        <v>0</v>
      </c>
      <c r="J73">
        <f t="shared" ca="1" si="63"/>
        <v>0</v>
      </c>
      <c r="K73" s="2">
        <f t="shared" ca="1" si="64"/>
        <v>0.10759498709915594</v>
      </c>
      <c r="L73" s="2">
        <f t="shared" ca="1" si="72"/>
        <v>0.13759498709915594</v>
      </c>
    </row>
    <row r="74" spans="1:12">
      <c r="A74" s="1">
        <f ca="1">+RANDBETWEEN(Apoyo!$P$2,Apoyo!$P$3)</f>
        <v>45946</v>
      </c>
      <c r="B74" s="1" t="str" cm="1">
        <f t="array" aca="1" ref="B74" ca="1">+INDEX(Apoyo!$B$2:$B$10,RANDBETWEEN(1,9))</f>
        <v>Lima Norte</v>
      </c>
      <c r="C74" t="s">
        <v>2</v>
      </c>
      <c r="D74" t="str" cm="1">
        <f t="array" aca="1" ref="D74" ca="1">+IF(OR($B74=Apoyo!$B$2,$B74=Apoyo!$B$6),"Lima",IF($B74=Apoyo!$B$10,INDEX(Apoyo!$D$2:$D$19,RANDBETWEEN(1,18)),IF(OR($B74&lt;&gt;Apoyo!$B$10,$B74&lt;&gt;Apoyo!$B$2,$B74&lt;&gt;Apoyo!$B$6),B74,0)))</f>
        <v>Lima</v>
      </c>
      <c r="E74" t="s">
        <v>44</v>
      </c>
      <c r="F74">
        <f t="shared" ca="1" si="61"/>
        <v>17</v>
      </c>
      <c r="G74" t="s">
        <v>54</v>
      </c>
      <c r="H74" s="3">
        <f t="shared" ca="1" si="62"/>
        <v>0</v>
      </c>
      <c r="I74" s="3">
        <f t="shared" ca="1" si="62"/>
        <v>0</v>
      </c>
      <c r="J74">
        <f t="shared" ca="1" si="63"/>
        <v>0</v>
      </c>
      <c r="K74" s="2">
        <f t="shared" ca="1" si="64"/>
        <v>0.96831900285347383</v>
      </c>
      <c r="L74" s="2">
        <f t="shared" ref="L74" ca="1" si="73">+IFERROR(K74+0.04,"n.a.")</f>
        <v>1.0083190028534739</v>
      </c>
    </row>
    <row r="75" spans="1:12">
      <c r="A75" s="1">
        <f ca="1">+RANDBETWEEN(Apoyo!$P$2,Apoyo!$P$3)</f>
        <v>45958</v>
      </c>
      <c r="B75" s="1" t="str" cm="1">
        <f t="array" aca="1" ref="B75" ca="1">+INDEX(Apoyo!$B$2:$B$10,RANDBETWEEN(1,9))</f>
        <v>Ucayali</v>
      </c>
      <c r="C75" t="s">
        <v>1</v>
      </c>
      <c r="D75" t="str" cm="1">
        <f t="array" aca="1" ref="D75" ca="1">+IF(OR($B75=Apoyo!$B$2,$B75=Apoyo!$B$6),"Lima",IF($B75=Apoyo!$B$10,INDEX(Apoyo!$D$2:$D$19,RANDBETWEEN(1,18)),IF(OR($B75&lt;&gt;Apoyo!$B$10,$B75&lt;&gt;Apoyo!$B$2,$B75&lt;&gt;Apoyo!$B$6),B75,0)))</f>
        <v>Ucayali</v>
      </c>
      <c r="E75" t="str">
        <f t="shared" ref="E75:E76" si="74">+IF(C75="Mujer","Femenino",2)</f>
        <v>Femenino</v>
      </c>
      <c r="F75">
        <f t="shared" ca="1" si="61"/>
        <v>34</v>
      </c>
      <c r="G75" t="s">
        <v>54</v>
      </c>
      <c r="H75" s="3">
        <f t="shared" ca="1" si="62"/>
        <v>1</v>
      </c>
      <c r="I75" s="3">
        <f t="shared" ca="1" si="62"/>
        <v>1</v>
      </c>
      <c r="J75">
        <f t="shared" ca="1" si="63"/>
        <v>1</v>
      </c>
      <c r="K75" s="2">
        <f t="shared" ca="1" si="64"/>
        <v>0.72271671266239568</v>
      </c>
      <c r="L75" s="2">
        <f t="shared" ref="L75" ca="1" si="75">+IFERROR(K75+0.05,"n.a.")</f>
        <v>0.77271671266239572</v>
      </c>
    </row>
    <row r="76" spans="1:12">
      <c r="A76" s="1">
        <f ca="1">+RANDBETWEEN(Apoyo!$P$2,Apoyo!$P$3)</f>
        <v>45947</v>
      </c>
      <c r="B76" s="1" t="str" cm="1">
        <f t="array" aca="1" ref="B76" ca="1">+INDEX(Apoyo!$B$2:$B$10,RANDBETWEEN(1,9))</f>
        <v>Resto del Perú</v>
      </c>
      <c r="C76" t="s">
        <v>1</v>
      </c>
      <c r="D76" t="str" cm="1">
        <f t="array" aca="1" ref="D76" ca="1">+IF(OR($B76=Apoyo!$B$2,$B76=Apoyo!$B$6),"Lima",IF($B76=Apoyo!$B$10,INDEX(Apoyo!$D$2:$D$19,RANDBETWEEN(1,18)),IF(OR($B76&lt;&gt;Apoyo!$B$10,$B76&lt;&gt;Apoyo!$B$2,$B76&lt;&gt;Apoyo!$B$6),B76,0)))</f>
        <v>Lambayeque</v>
      </c>
      <c r="E76" t="str">
        <f t="shared" si="74"/>
        <v>Femenino</v>
      </c>
      <c r="F76">
        <f t="shared" ca="1" si="61"/>
        <v>63</v>
      </c>
      <c r="G76" t="s">
        <v>54</v>
      </c>
      <c r="H76" s="3">
        <f t="shared" ca="1" si="62"/>
        <v>0</v>
      </c>
      <c r="I76" s="3">
        <f t="shared" ca="1" si="62"/>
        <v>1</v>
      </c>
      <c r="J76">
        <f t="shared" ca="1" si="63"/>
        <v>1</v>
      </c>
      <c r="K76" s="2">
        <f t="shared" ca="1" si="64"/>
        <v>0.60368706181236653</v>
      </c>
      <c r="L76" s="2">
        <f t="shared" ref="L76:L77" ca="1" si="76">+IFERROR(K76+0.03,"n.a.")</f>
        <v>0.63368706181236656</v>
      </c>
    </row>
    <row r="77" spans="1:12">
      <c r="A77" s="1">
        <f ca="1">+RANDBETWEEN(Apoyo!$P$2,Apoyo!$P$3)</f>
        <v>45960</v>
      </c>
      <c r="B77" s="1" t="str" cm="1">
        <f t="array" aca="1" ref="B77" ca="1">+INDEX(Apoyo!$B$2:$B$10,RANDBETWEEN(1,9))</f>
        <v>Lima Norte</v>
      </c>
      <c r="C77" t="s">
        <v>2</v>
      </c>
      <c r="D77" t="str" cm="1">
        <f t="array" aca="1" ref="D77" ca="1">+IF(OR($B77=Apoyo!$B$2,$B77=Apoyo!$B$6),"Lima",IF($B77=Apoyo!$B$10,INDEX(Apoyo!$D$2:$D$19,RANDBETWEEN(1,18)),IF(OR($B77&lt;&gt;Apoyo!$B$10,$B77&lt;&gt;Apoyo!$B$2,$B77&lt;&gt;Apoyo!$B$6),B77,0)))</f>
        <v>Lima</v>
      </c>
      <c r="E77" t="s">
        <v>44</v>
      </c>
      <c r="F77">
        <f t="shared" ca="1" si="61"/>
        <v>16</v>
      </c>
      <c r="G77" t="s">
        <v>54</v>
      </c>
      <c r="H77" s="3">
        <f t="shared" ca="1" si="62"/>
        <v>1</v>
      </c>
      <c r="I77" s="3">
        <f t="shared" ca="1" si="62"/>
        <v>0</v>
      </c>
      <c r="J77">
        <f t="shared" ca="1" si="63"/>
        <v>1</v>
      </c>
      <c r="K77" s="2">
        <f t="shared" ca="1" si="64"/>
        <v>0.65708743473273634</v>
      </c>
      <c r="L77" s="2">
        <f t="shared" ca="1" si="76"/>
        <v>0.68708743473273637</v>
      </c>
    </row>
    <row r="78" spans="1:12">
      <c r="A78" s="1">
        <f ca="1">+RANDBETWEEN(Apoyo!$P$2,Apoyo!$P$3)</f>
        <v>45949</v>
      </c>
      <c r="B78" s="1" t="str" cm="1">
        <f t="array" aca="1" ref="B78" ca="1">+INDEX(Apoyo!$B$2:$B$10,RANDBETWEEN(1,9))</f>
        <v>Ucayali</v>
      </c>
      <c r="C78" t="s">
        <v>2</v>
      </c>
      <c r="D78" t="str" cm="1">
        <f t="array" aca="1" ref="D78" ca="1">+IF(OR($B78=Apoyo!$B$2,$B78=Apoyo!$B$6),"Lima",IF($B78=Apoyo!$B$10,INDEX(Apoyo!$D$2:$D$19,RANDBETWEEN(1,18)),IF(OR($B78&lt;&gt;Apoyo!$B$10,$B78&lt;&gt;Apoyo!$B$2,$B78&lt;&gt;Apoyo!$B$6),B78,0)))</f>
        <v>Ucayali</v>
      </c>
      <c r="E78" t="s">
        <v>43</v>
      </c>
      <c r="F78">
        <f t="shared" ca="1" si="61"/>
        <v>14</v>
      </c>
      <c r="G78" t="s">
        <v>54</v>
      </c>
      <c r="H78" s="3">
        <f t="shared" ca="1" si="62"/>
        <v>0</v>
      </c>
      <c r="I78" s="3">
        <f t="shared" ca="1" si="62"/>
        <v>0</v>
      </c>
      <c r="J78">
        <f t="shared" ca="1" si="63"/>
        <v>0</v>
      </c>
      <c r="K78" s="2">
        <f t="shared" ca="1" si="64"/>
        <v>0.12432321695631487</v>
      </c>
      <c r="L78" s="2">
        <f t="shared" ref="L78:L138" ca="1" si="77">+IFERROR(K78+0.04,"n.a.")</f>
        <v>0.16432321695631488</v>
      </c>
    </row>
    <row r="79" spans="1:12">
      <c r="A79" s="1">
        <f ca="1">+RANDBETWEEN(Apoyo!$P$2,Apoyo!$P$3)</f>
        <v>45960</v>
      </c>
      <c r="B79" s="1" t="str" cm="1">
        <f t="array" aca="1" ref="B79" ca="1">+INDEX(Apoyo!$B$2:$B$10,RANDBETWEEN(1,9))</f>
        <v>Loreto</v>
      </c>
      <c r="C79" t="s">
        <v>1</v>
      </c>
      <c r="D79" t="str" cm="1">
        <f t="array" aca="1" ref="D79" ca="1">+IF(OR($B79=Apoyo!$B$2,$B79=Apoyo!$B$6),"Lima",IF($B79=Apoyo!$B$10,INDEX(Apoyo!$D$2:$D$19,RANDBETWEEN(1,18)),IF(OR($B79&lt;&gt;Apoyo!$B$10,$B79&lt;&gt;Apoyo!$B$2,$B79&lt;&gt;Apoyo!$B$6),B79,0)))</f>
        <v>Loreto</v>
      </c>
      <c r="E79" t="str">
        <f t="shared" ref="E79" si="78">+IF(C79="Mujer","Femenino",2)</f>
        <v>Femenino</v>
      </c>
      <c r="F79">
        <f t="shared" ca="1" si="61"/>
        <v>33</v>
      </c>
      <c r="G79" t="s">
        <v>54</v>
      </c>
      <c r="H79" s="3">
        <f t="shared" ca="1" si="62"/>
        <v>0</v>
      </c>
      <c r="I79" s="3">
        <f t="shared" ca="1" si="62"/>
        <v>0</v>
      </c>
      <c r="J79">
        <f t="shared" ca="1" si="63"/>
        <v>0</v>
      </c>
      <c r="K79" s="2">
        <f t="shared" ca="1" si="64"/>
        <v>0.63951212149268688</v>
      </c>
      <c r="L79" s="2">
        <f t="shared" ref="L79" ca="1" si="79">+IFERROR(K79+0.06,"n.a.")</f>
        <v>0.69951212149268693</v>
      </c>
    </row>
    <row r="80" spans="1:12">
      <c r="A80" s="1">
        <f ca="1">+RANDBETWEEN(Apoyo!$P$2,Apoyo!$P$3)</f>
        <v>45953</v>
      </c>
      <c r="B80" s="1" t="str" cm="1">
        <f t="array" aca="1" ref="B80" ca="1">+INDEX(Apoyo!$B$2:$B$10,RANDBETWEEN(1,9))</f>
        <v>Lima Norte</v>
      </c>
      <c r="C80" t="s">
        <v>2</v>
      </c>
      <c r="D80" t="str" cm="1">
        <f t="array" aca="1" ref="D80" ca="1">+IF(OR($B80=Apoyo!$B$2,$B80=Apoyo!$B$6),"Lima",IF($B80=Apoyo!$B$10,INDEX(Apoyo!$D$2:$D$19,RANDBETWEEN(1,18)),IF(OR($B80&lt;&gt;Apoyo!$B$10,$B80&lt;&gt;Apoyo!$B$2,$B80&lt;&gt;Apoyo!$B$6),B80,0)))</f>
        <v>Lima</v>
      </c>
      <c r="E80" t="s">
        <v>44</v>
      </c>
      <c r="F80">
        <f t="shared" ca="1" si="61"/>
        <v>13</v>
      </c>
      <c r="G80" t="s">
        <v>54</v>
      </c>
      <c r="H80" s="3">
        <f t="shared" ca="1" si="62"/>
        <v>1</v>
      </c>
      <c r="I80" s="3">
        <f t="shared" ca="1" si="62"/>
        <v>0</v>
      </c>
      <c r="J80">
        <f t="shared" ca="1" si="63"/>
        <v>0</v>
      </c>
      <c r="K80" s="2">
        <f t="shared" ca="1" si="64"/>
        <v>0.35873648457916174</v>
      </c>
      <c r="L80" s="2">
        <f t="shared" ref="L80" ca="1" si="80">+IFERROR(K80+0.03,"n.a.")</f>
        <v>0.38873648457916177</v>
      </c>
    </row>
    <row r="81" spans="1:12">
      <c r="A81" s="1">
        <f ca="1">+RANDBETWEEN(Apoyo!$P$2,Apoyo!$P$3)</f>
        <v>45956</v>
      </c>
      <c r="B81" s="1" t="str" cm="1">
        <f t="array" aca="1" ref="B81" ca="1">+INDEX(Apoyo!$B$2:$B$10,RANDBETWEEN(1,9))</f>
        <v>Lima Norte</v>
      </c>
      <c r="C81" t="s">
        <v>1</v>
      </c>
      <c r="D81" t="str" cm="1">
        <f t="array" aca="1" ref="D81" ca="1">+IF(OR($B81=Apoyo!$B$2,$B81=Apoyo!$B$6),"Lima",IF($B81=Apoyo!$B$10,INDEX(Apoyo!$D$2:$D$19,RANDBETWEEN(1,18)),IF(OR($B81&lt;&gt;Apoyo!$B$10,$B81&lt;&gt;Apoyo!$B$2,$B81&lt;&gt;Apoyo!$B$6),B81,0)))</f>
        <v>Lima</v>
      </c>
      <c r="E81" t="str">
        <f t="shared" ref="E81" si="81">+IF(C81="Mujer","Femenino",2)</f>
        <v>Femenino</v>
      </c>
      <c r="F81">
        <f t="shared" ca="1" si="61"/>
        <v>27</v>
      </c>
      <c r="G81" t="str">
        <f ca="1">+CHOOSE(RANDBETWEEN(1,5),Apoyo!$E$3,Apoyo!$E$4,Apoyo!$E$5,Apoyo!$E$6,Apoyo!$E$7)</f>
        <v>Incompleta</v>
      </c>
      <c r="H81" s="3">
        <f t="shared" ca="1" si="62"/>
        <v>0</v>
      </c>
      <c r="I81" s="3">
        <f t="shared" ca="1" si="62"/>
        <v>0</v>
      </c>
      <c r="J81">
        <f t="shared" ca="1" si="63"/>
        <v>0</v>
      </c>
      <c r="K81" s="2" t="str">
        <f t="shared" ca="1" si="64"/>
        <v>n.a.</v>
      </c>
      <c r="L81" s="2" t="str">
        <f t="shared" ref="L81" ca="1" si="82">+IFERROR(K81+0.05,"n.a.")</f>
        <v>n.a.</v>
      </c>
    </row>
    <row r="82" spans="1:12">
      <c r="A82" s="1">
        <f ca="1">+RANDBETWEEN(Apoyo!$P$2,Apoyo!$P$3)</f>
        <v>45949</v>
      </c>
      <c r="B82" s="1" t="str" cm="1">
        <f t="array" aca="1" ref="B82" ca="1">+INDEX(Apoyo!$B$2:$B$10,RANDBETWEEN(1,9))</f>
        <v>Cajamarca</v>
      </c>
      <c r="C82" t="s">
        <v>1</v>
      </c>
      <c r="D82" t="str" cm="1">
        <f t="array" aca="1" ref="D82" ca="1">+IF(OR($B82=Apoyo!$B$2,$B82=Apoyo!$B$6),"Lima",IF($B82=Apoyo!$B$10,INDEX(Apoyo!$D$2:$D$19,RANDBETWEEN(1,18)),IF(OR($B82&lt;&gt;Apoyo!$B$10,$B82&lt;&gt;Apoyo!$B$2,$B82&lt;&gt;Apoyo!$B$6),B82,0)))</f>
        <v>Cajamarca</v>
      </c>
      <c r="E82" t="str">
        <f>+IF(C82="Mujer","Femenino",2)</f>
        <v>Femenino</v>
      </c>
      <c r="F82">
        <f t="shared" ca="1" si="61"/>
        <v>27</v>
      </c>
      <c r="G82" t="str">
        <f ca="1">+CHOOSE(RANDBETWEEN(1,5),Apoyo!$E$3,Apoyo!$E$4,Apoyo!$E$5,Apoyo!$E$6,Apoyo!$E$7)</f>
        <v>Rechazada</v>
      </c>
      <c r="H82" s="3">
        <f t="shared" ca="1" si="62"/>
        <v>0</v>
      </c>
      <c r="I82" s="3">
        <f t="shared" ca="1" si="62"/>
        <v>0</v>
      </c>
      <c r="J82">
        <f t="shared" ca="1" si="63"/>
        <v>0</v>
      </c>
      <c r="K82" s="2" t="str">
        <f t="shared" ca="1" si="64"/>
        <v>n.a.</v>
      </c>
      <c r="L82" s="2" t="str">
        <f t="shared" ref="L82" ca="1" si="83">+IFERROR(K82+0.04,"n.a.")</f>
        <v>n.a.</v>
      </c>
    </row>
    <row r="83" spans="1:12">
      <c r="A83" s="1">
        <f ca="1">+RANDBETWEEN(Apoyo!$P$2,Apoyo!$P$3)</f>
        <v>45954</v>
      </c>
      <c r="B83" s="1" t="str" cm="1">
        <f t="array" aca="1" ref="B83" ca="1">+INDEX(Apoyo!$B$2:$B$10,RANDBETWEEN(1,9))</f>
        <v>Cajamarca</v>
      </c>
      <c r="C83" t="s">
        <v>2</v>
      </c>
      <c r="D83" t="str" cm="1">
        <f t="array" aca="1" ref="D83" ca="1">+IF(OR($B83=Apoyo!$B$2,$B83=Apoyo!$B$6),"Lima",IF($B83=Apoyo!$B$10,INDEX(Apoyo!$D$2:$D$19,RANDBETWEEN(1,18)),IF(OR($B83&lt;&gt;Apoyo!$B$10,$B83&lt;&gt;Apoyo!$B$2,$B83&lt;&gt;Apoyo!$B$6),B83,0)))</f>
        <v>Cajamarca</v>
      </c>
      <c r="E83" t="s">
        <v>43</v>
      </c>
      <c r="F83">
        <f t="shared" ca="1" si="61"/>
        <v>12</v>
      </c>
      <c r="G83" t="s">
        <v>54</v>
      </c>
      <c r="H83" s="3">
        <f t="shared" ca="1" si="62"/>
        <v>1</v>
      </c>
      <c r="I83" s="3">
        <f t="shared" ca="1" si="62"/>
        <v>1</v>
      </c>
      <c r="J83">
        <f t="shared" ca="1" si="63"/>
        <v>0</v>
      </c>
      <c r="K83" s="2">
        <f t="shared" ca="1" si="64"/>
        <v>0.3792266778194654</v>
      </c>
      <c r="L83" s="2">
        <f t="shared" ref="L83" ca="1" si="84">+IFERROR(K83+0.05,"n.a.")</f>
        <v>0.42922667781946539</v>
      </c>
    </row>
    <row r="84" spans="1:12">
      <c r="A84" s="1">
        <f ca="1">+RANDBETWEEN(Apoyo!$P$2,Apoyo!$P$3)</f>
        <v>45955</v>
      </c>
      <c r="B84" s="1" t="str" cm="1">
        <f t="array" aca="1" ref="B84" ca="1">+INDEX(Apoyo!$B$2:$B$10,RANDBETWEEN(1,9))</f>
        <v>Loreto</v>
      </c>
      <c r="C84" t="s">
        <v>2</v>
      </c>
      <c r="D84" t="str" cm="1">
        <f t="array" aca="1" ref="D84" ca="1">+IF(OR($B84=Apoyo!$B$2,$B84=Apoyo!$B$6),"Lima",IF($B84=Apoyo!$B$10,INDEX(Apoyo!$D$2:$D$19,RANDBETWEEN(1,18)),IF(OR($B84&lt;&gt;Apoyo!$B$10,$B84&lt;&gt;Apoyo!$B$2,$B84&lt;&gt;Apoyo!$B$6),B84,0)))</f>
        <v>Loreto</v>
      </c>
      <c r="E84" t="s">
        <v>44</v>
      </c>
      <c r="F84">
        <f t="shared" ca="1" si="61"/>
        <v>15</v>
      </c>
      <c r="G84" t="str">
        <f ca="1">+CHOOSE(RANDBETWEEN(1,5),Apoyo!$E$3,Apoyo!$E$4,Apoyo!$E$5,Apoyo!$E$6,Apoyo!$E$7)</f>
        <v>Rechazada</v>
      </c>
      <c r="H84" s="3">
        <f t="shared" ca="1" si="62"/>
        <v>0</v>
      </c>
      <c r="I84" s="3">
        <f t="shared" ca="1" si="62"/>
        <v>0</v>
      </c>
      <c r="J84">
        <f t="shared" ca="1" si="63"/>
        <v>0</v>
      </c>
      <c r="K84" s="2" t="str">
        <f t="shared" ca="1" si="64"/>
        <v>n.a.</v>
      </c>
      <c r="L84" s="2" t="str">
        <f t="shared" ref="L84:L85" ca="1" si="85">+IFERROR(K84+0.03,"n.a.")</f>
        <v>n.a.</v>
      </c>
    </row>
    <row r="85" spans="1:12">
      <c r="A85" s="1">
        <f ca="1">+RANDBETWEEN(Apoyo!$P$2,Apoyo!$P$3)</f>
        <v>45958</v>
      </c>
      <c r="B85" s="1" t="str" cm="1">
        <f t="array" aca="1" ref="B85" ca="1">+INDEX(Apoyo!$B$2:$B$10,RANDBETWEEN(1,9))</f>
        <v>Ucayali</v>
      </c>
      <c r="C85" t="s">
        <v>1</v>
      </c>
      <c r="D85" t="str" cm="1">
        <f t="array" aca="1" ref="D85" ca="1">+IF(OR($B85=Apoyo!$B$2,$B85=Apoyo!$B$6),"Lima",IF($B85=Apoyo!$B$10,INDEX(Apoyo!$D$2:$D$19,RANDBETWEEN(1,18)),IF(OR($B85&lt;&gt;Apoyo!$B$10,$B85&lt;&gt;Apoyo!$B$2,$B85&lt;&gt;Apoyo!$B$6),B85,0)))</f>
        <v>Ucayali</v>
      </c>
      <c r="E85" t="str">
        <f t="shared" ref="E85:E86" si="86">+IF(C85="Mujer","Femenino",2)</f>
        <v>Femenino</v>
      </c>
      <c r="F85">
        <f t="shared" ca="1" si="61"/>
        <v>30</v>
      </c>
      <c r="G85" t="s">
        <v>54</v>
      </c>
      <c r="H85" s="3">
        <f t="shared" ca="1" si="62"/>
        <v>0</v>
      </c>
      <c r="I85" s="3">
        <f t="shared" ca="1" si="62"/>
        <v>0</v>
      </c>
      <c r="J85">
        <f t="shared" ca="1" si="63"/>
        <v>0</v>
      </c>
      <c r="K85" s="2">
        <f t="shared" ca="1" si="64"/>
        <v>0.88725859694047893</v>
      </c>
      <c r="L85" s="2">
        <f t="shared" ca="1" si="85"/>
        <v>0.91725859694047895</v>
      </c>
    </row>
    <row r="86" spans="1:12">
      <c r="A86" s="1">
        <f ca="1">+RANDBETWEEN(Apoyo!$P$2,Apoyo!$P$3)</f>
        <v>45954</v>
      </c>
      <c r="B86" s="1" t="str" cm="1">
        <f t="array" aca="1" ref="B86" ca="1">+INDEX(Apoyo!$B$2:$B$10,RANDBETWEEN(1,9))</f>
        <v>Ucayali</v>
      </c>
      <c r="C86" t="s">
        <v>1</v>
      </c>
      <c r="D86" t="str" cm="1">
        <f t="array" aca="1" ref="D86" ca="1">+IF(OR($B86=Apoyo!$B$2,$B86=Apoyo!$B$6),"Lima",IF($B86=Apoyo!$B$10,INDEX(Apoyo!$D$2:$D$19,RANDBETWEEN(1,18)),IF(OR($B86&lt;&gt;Apoyo!$B$10,$B86&lt;&gt;Apoyo!$B$2,$B86&lt;&gt;Apoyo!$B$6),B86,0)))</f>
        <v>Ucayali</v>
      </c>
      <c r="E86" t="str">
        <f t="shared" si="86"/>
        <v>Femenino</v>
      </c>
      <c r="F86">
        <f t="shared" ca="1" si="61"/>
        <v>31</v>
      </c>
      <c r="G86" t="str">
        <f ca="1">+CHOOSE(RANDBETWEEN(1,5),Apoyo!$E$3,Apoyo!$E$4,Apoyo!$E$5,Apoyo!$E$6,Apoyo!$E$7)</f>
        <v>Otro</v>
      </c>
      <c r="H86" s="3">
        <f t="shared" ca="1" si="62"/>
        <v>0</v>
      </c>
      <c r="I86" s="3">
        <f t="shared" ca="1" si="62"/>
        <v>0</v>
      </c>
      <c r="J86">
        <f t="shared" ca="1" si="63"/>
        <v>0</v>
      </c>
      <c r="K86" s="2" t="str">
        <f t="shared" ca="1" si="64"/>
        <v>n.a.</v>
      </c>
      <c r="L86" s="2" t="str">
        <f t="shared" ref="L86" ca="1" si="87">+IFERROR(K86+0.04,"n.a.")</f>
        <v>n.a.</v>
      </c>
    </row>
    <row r="87" spans="1:12">
      <c r="A87" s="1">
        <f ca="1">+RANDBETWEEN(Apoyo!$P$2,Apoyo!$P$3)</f>
        <v>45952</v>
      </c>
      <c r="B87" s="1" t="str" cm="1">
        <f t="array" aca="1" ref="B87" ca="1">+INDEX(Apoyo!$B$2:$B$10,RANDBETWEEN(1,9))</f>
        <v>Ucayali</v>
      </c>
      <c r="C87" t="s">
        <v>2</v>
      </c>
      <c r="D87" t="str" cm="1">
        <f t="array" aca="1" ref="D87" ca="1">+IF(OR($B87=Apoyo!$B$2,$B87=Apoyo!$B$6),"Lima",IF($B87=Apoyo!$B$10,INDEX(Apoyo!$D$2:$D$19,RANDBETWEEN(1,18)),IF(OR($B87&lt;&gt;Apoyo!$B$10,$B87&lt;&gt;Apoyo!$B$2,$B87&lt;&gt;Apoyo!$B$6),B87,0)))</f>
        <v>Ucayali</v>
      </c>
      <c r="E87" t="s">
        <v>44</v>
      </c>
      <c r="F87">
        <f t="shared" ca="1" si="61"/>
        <v>17</v>
      </c>
      <c r="G87" t="str">
        <f ca="1">+CHOOSE(RANDBETWEEN(1,5),Apoyo!$E$3,Apoyo!$E$4,Apoyo!$E$5,Apoyo!$E$6,Apoyo!$E$7)</f>
        <v>Aplazada</v>
      </c>
      <c r="H87" s="3">
        <f t="shared" ca="1" si="62"/>
        <v>0</v>
      </c>
      <c r="I87" s="3">
        <f t="shared" ca="1" si="62"/>
        <v>0</v>
      </c>
      <c r="J87">
        <f t="shared" ca="1" si="63"/>
        <v>0</v>
      </c>
      <c r="K87" s="2" t="str">
        <f t="shared" ca="1" si="64"/>
        <v>n.a.</v>
      </c>
      <c r="L87" s="2" t="str">
        <f t="shared" ref="L87" ca="1" si="88">+IFERROR(K87+0.05,"n.a.")</f>
        <v>n.a.</v>
      </c>
    </row>
    <row r="88" spans="1:12">
      <c r="A88" s="1">
        <f ca="1">+RANDBETWEEN(Apoyo!$P$2,Apoyo!$P$3)</f>
        <v>45953</v>
      </c>
      <c r="B88" s="1" t="str" cm="1">
        <f t="array" aca="1" ref="B88" ca="1">+INDEX(Apoyo!$B$2:$B$10,RANDBETWEEN(1,9))</f>
        <v>Apurímac</v>
      </c>
      <c r="C88" t="s">
        <v>2</v>
      </c>
      <c r="D88" t="str" cm="1">
        <f t="array" aca="1" ref="D88" ca="1">+IF(OR($B88=Apoyo!$B$2,$B88=Apoyo!$B$6),"Lima",IF($B88=Apoyo!$B$10,INDEX(Apoyo!$D$2:$D$19,RANDBETWEEN(1,18)),IF(OR($B88&lt;&gt;Apoyo!$B$10,$B88&lt;&gt;Apoyo!$B$2,$B88&lt;&gt;Apoyo!$B$6),B88,0)))</f>
        <v>Apurímac</v>
      </c>
      <c r="E88" t="s">
        <v>43</v>
      </c>
      <c r="F88">
        <f t="shared" ca="1" si="61"/>
        <v>15</v>
      </c>
      <c r="G88" t="str">
        <f ca="1">+CHOOSE(RANDBETWEEN(1,5),Apoyo!$E$3,Apoyo!$E$4,Apoyo!$E$5,Apoyo!$E$6,Apoyo!$E$7)</f>
        <v>Rechazada</v>
      </c>
      <c r="H88" s="3">
        <f t="shared" ca="1" si="62"/>
        <v>0</v>
      </c>
      <c r="I88" s="3">
        <f t="shared" ca="1" si="62"/>
        <v>0</v>
      </c>
      <c r="J88">
        <f t="shared" ca="1" si="63"/>
        <v>0</v>
      </c>
      <c r="K88" s="2" t="str">
        <f t="shared" ca="1" si="64"/>
        <v>n.a.</v>
      </c>
      <c r="L88" s="2" t="str">
        <f t="shared" ref="L88:L89" ca="1" si="89">+IFERROR(K88+0.03,"n.a.")</f>
        <v>n.a.</v>
      </c>
    </row>
    <row r="89" spans="1:12">
      <c r="A89" s="1">
        <f ca="1">+RANDBETWEEN(Apoyo!$P$2,Apoyo!$P$3)</f>
        <v>45960</v>
      </c>
      <c r="B89" s="1" t="str" cm="1">
        <f t="array" aca="1" ref="B89" ca="1">+INDEX(Apoyo!$B$2:$B$10,RANDBETWEEN(1,9))</f>
        <v>Cajamarca</v>
      </c>
      <c r="C89" t="s">
        <v>1</v>
      </c>
      <c r="D89" t="str" cm="1">
        <f t="array" aca="1" ref="D89" ca="1">+IF(OR($B89=Apoyo!$B$2,$B89=Apoyo!$B$6),"Lima",IF($B89=Apoyo!$B$10,INDEX(Apoyo!$D$2:$D$19,RANDBETWEEN(1,18)),IF(OR($B89&lt;&gt;Apoyo!$B$10,$B89&lt;&gt;Apoyo!$B$2,$B89&lt;&gt;Apoyo!$B$6),B89,0)))</f>
        <v>Cajamarca</v>
      </c>
      <c r="E89" t="str">
        <f t="shared" ref="E89" si="90">+IF(C89="Mujer","Femenino",2)</f>
        <v>Femenino</v>
      </c>
      <c r="F89">
        <f t="shared" ca="1" si="61"/>
        <v>35</v>
      </c>
      <c r="G89" t="str">
        <f ca="1">+CHOOSE(RANDBETWEEN(1,5),Apoyo!$E$3,Apoyo!$E$4,Apoyo!$E$5,Apoyo!$E$6,Apoyo!$E$7)</f>
        <v>Otro</v>
      </c>
      <c r="H89" s="3">
        <f t="shared" ca="1" si="62"/>
        <v>0</v>
      </c>
      <c r="I89" s="3">
        <f t="shared" ca="1" si="62"/>
        <v>0</v>
      </c>
      <c r="J89">
        <f t="shared" ca="1" si="63"/>
        <v>0</v>
      </c>
      <c r="K89" s="2" t="str">
        <f t="shared" ca="1" si="64"/>
        <v>n.a.</v>
      </c>
      <c r="L89" s="2" t="str">
        <f t="shared" ca="1" si="89"/>
        <v>n.a.</v>
      </c>
    </row>
    <row r="90" spans="1:12">
      <c r="A90" s="1">
        <f ca="1">+RANDBETWEEN(Apoyo!$P$2,Apoyo!$P$3)</f>
        <v>45952</v>
      </c>
      <c r="B90" s="1" t="str" cm="1">
        <f t="array" aca="1" ref="B90" ca="1">+INDEX(Apoyo!$B$2:$B$10,RANDBETWEEN(1,9))</f>
        <v>Apurímac</v>
      </c>
      <c r="C90" t="s">
        <v>2</v>
      </c>
      <c r="D90" t="str" cm="1">
        <f t="array" aca="1" ref="D90" ca="1">+IF(OR($B90=Apoyo!$B$2,$B90=Apoyo!$B$6),"Lima",IF($B90=Apoyo!$B$10,INDEX(Apoyo!$D$2:$D$19,RANDBETWEEN(1,18)),IF(OR($B90&lt;&gt;Apoyo!$B$10,$B90&lt;&gt;Apoyo!$B$2,$B90&lt;&gt;Apoyo!$B$6),B90,0)))</f>
        <v>Apurímac</v>
      </c>
      <c r="E90" t="s">
        <v>44</v>
      </c>
      <c r="F90">
        <f t="shared" ca="1" si="61"/>
        <v>12</v>
      </c>
      <c r="G90" t="s">
        <v>54</v>
      </c>
      <c r="H90" s="3">
        <f t="shared" ca="1" si="62"/>
        <v>1</v>
      </c>
      <c r="I90" s="3">
        <f t="shared" ca="1" si="62"/>
        <v>1</v>
      </c>
      <c r="J90">
        <f t="shared" ca="1" si="63"/>
        <v>0</v>
      </c>
      <c r="K90" s="2">
        <f t="shared" ca="1" si="64"/>
        <v>0.37132840536909284</v>
      </c>
      <c r="L90" s="2">
        <f t="shared" ca="1" si="77"/>
        <v>0.41132840536909282</v>
      </c>
    </row>
    <row r="91" spans="1:12">
      <c r="A91" s="1">
        <f ca="1">+RANDBETWEEN(Apoyo!$P$2,Apoyo!$P$3)</f>
        <v>45955</v>
      </c>
      <c r="B91" s="1" t="str" cm="1">
        <f t="array" aca="1" ref="B91" ca="1">+INDEX(Apoyo!$B$2:$B$10,RANDBETWEEN(1,9))</f>
        <v>Loreto</v>
      </c>
      <c r="C91" t="s">
        <v>1</v>
      </c>
      <c r="D91" t="str" cm="1">
        <f t="array" aca="1" ref="D91" ca="1">+IF(OR($B91=Apoyo!$B$2,$B91=Apoyo!$B$6),"Lima",IF($B91=Apoyo!$B$10,INDEX(Apoyo!$D$2:$D$19,RANDBETWEEN(1,18)),IF(OR($B91&lt;&gt;Apoyo!$B$10,$B91&lt;&gt;Apoyo!$B$2,$B91&lt;&gt;Apoyo!$B$6),B91,0)))</f>
        <v>Loreto</v>
      </c>
      <c r="E91" t="str">
        <f t="shared" ref="E91" si="91">+IF(C91="Mujer","Femenino",2)</f>
        <v>Femenino</v>
      </c>
      <c r="F91">
        <f t="shared" ca="1" si="61"/>
        <v>26</v>
      </c>
      <c r="G91" t="str">
        <f ca="1">+CHOOSE(RANDBETWEEN(1,5),Apoyo!$E$3,Apoyo!$E$4,Apoyo!$E$5,Apoyo!$E$6,Apoyo!$E$7)</f>
        <v>Otro</v>
      </c>
      <c r="H91" s="3">
        <f t="shared" ca="1" si="62"/>
        <v>0</v>
      </c>
      <c r="I91" s="3">
        <f t="shared" ca="1" si="62"/>
        <v>0</v>
      </c>
      <c r="J91">
        <f t="shared" ca="1" si="63"/>
        <v>0</v>
      </c>
      <c r="K91" s="2" t="str">
        <f t="shared" ca="1" si="64"/>
        <v>n.a.</v>
      </c>
      <c r="L91" s="2" t="str">
        <f t="shared" ref="L91" ca="1" si="92">+IFERROR(K91+0.06,"n.a.")</f>
        <v>n.a.</v>
      </c>
    </row>
    <row r="92" spans="1:12">
      <c r="A92" s="1">
        <f ca="1">+RANDBETWEEN(Apoyo!$P$2,Apoyo!$P$3)</f>
        <v>45953</v>
      </c>
      <c r="B92" s="1" t="str" cm="1">
        <f t="array" aca="1" ref="B92" ca="1">+INDEX(Apoyo!$B$2:$B$10,RANDBETWEEN(1,9))</f>
        <v>Ayacucho</v>
      </c>
      <c r="C92" t="s">
        <v>1</v>
      </c>
      <c r="D92" t="str" cm="1">
        <f t="array" aca="1" ref="D92" ca="1">+IF(OR($B92=Apoyo!$B$2,$B92=Apoyo!$B$6),"Lima",IF($B92=Apoyo!$B$10,INDEX(Apoyo!$D$2:$D$19,RANDBETWEEN(1,18)),IF(OR($B92&lt;&gt;Apoyo!$B$10,$B92&lt;&gt;Apoyo!$B$2,$B92&lt;&gt;Apoyo!$B$6),B92,0)))</f>
        <v>Ayacucho</v>
      </c>
      <c r="E92" t="str">
        <f>+IF(C92="Mujer","Femenino",2)</f>
        <v>Femenino</v>
      </c>
      <c r="F92">
        <f t="shared" ca="1" si="61"/>
        <v>39</v>
      </c>
      <c r="G92" t="str">
        <f ca="1">+CHOOSE(RANDBETWEEN(1,5),Apoyo!$E$3,Apoyo!$E$4,Apoyo!$E$5,Apoyo!$E$6,Apoyo!$E$7)</f>
        <v>Aplazada</v>
      </c>
      <c r="H92" s="3">
        <f t="shared" ca="1" si="62"/>
        <v>0</v>
      </c>
      <c r="I92" s="3">
        <f t="shared" ca="1" si="62"/>
        <v>0</v>
      </c>
      <c r="J92">
        <f t="shared" ca="1" si="63"/>
        <v>0</v>
      </c>
      <c r="K92" s="2" t="str">
        <f t="shared" ca="1" si="64"/>
        <v>n.a.</v>
      </c>
      <c r="L92" s="2" t="str">
        <f t="shared" ref="L92" ca="1" si="93">+IFERROR(K92+0.03,"n.a.")</f>
        <v>n.a.</v>
      </c>
    </row>
    <row r="93" spans="1:12">
      <c r="A93" s="1">
        <f ca="1">+RANDBETWEEN(Apoyo!$P$2,Apoyo!$P$3)</f>
        <v>45954</v>
      </c>
      <c r="B93" s="1" t="str" cm="1">
        <f t="array" aca="1" ref="B93" ca="1">+INDEX(Apoyo!$B$2:$B$10,RANDBETWEEN(1,9))</f>
        <v>Ayacucho</v>
      </c>
      <c r="C93" t="s">
        <v>2</v>
      </c>
      <c r="D93" t="str" cm="1">
        <f t="array" aca="1" ref="D93" ca="1">+IF(OR($B93=Apoyo!$B$2,$B93=Apoyo!$B$6),"Lima",IF($B93=Apoyo!$B$10,INDEX(Apoyo!$D$2:$D$19,RANDBETWEEN(1,18)),IF(OR($B93&lt;&gt;Apoyo!$B$10,$B93&lt;&gt;Apoyo!$B$2,$B93&lt;&gt;Apoyo!$B$6),B93,0)))</f>
        <v>Ayacucho</v>
      </c>
      <c r="E93" t="s">
        <v>43</v>
      </c>
      <c r="F93">
        <f t="shared" ca="1" si="61"/>
        <v>13</v>
      </c>
      <c r="G93" t="s">
        <v>54</v>
      </c>
      <c r="H93" s="3">
        <f t="shared" ca="1" si="62"/>
        <v>1</v>
      </c>
      <c r="I93" s="3">
        <f t="shared" ca="1" si="62"/>
        <v>1</v>
      </c>
      <c r="J93">
        <f t="shared" ca="1" si="63"/>
        <v>1</v>
      </c>
      <c r="K93" s="2">
        <f t="shared" ca="1" si="64"/>
        <v>0.12997775320455751</v>
      </c>
      <c r="L93" s="2">
        <f t="shared" ref="L93" ca="1" si="94">+IFERROR(K93+0.05,"n.a.")</f>
        <v>0.1799777532045575</v>
      </c>
    </row>
    <row r="94" spans="1:12">
      <c r="A94" s="1">
        <f ca="1">+RANDBETWEEN(Apoyo!$P$2,Apoyo!$P$3)</f>
        <v>45959</v>
      </c>
      <c r="B94" s="1" t="str" cm="1">
        <f t="array" aca="1" ref="B94" ca="1">+INDEX(Apoyo!$B$2:$B$10,RANDBETWEEN(1,9))</f>
        <v>Lima Norte</v>
      </c>
      <c r="C94" t="s">
        <v>2</v>
      </c>
      <c r="D94" t="str" cm="1">
        <f t="array" aca="1" ref="D94" ca="1">+IF(OR($B94=Apoyo!$B$2,$B94=Apoyo!$B$6),"Lima",IF($B94=Apoyo!$B$10,INDEX(Apoyo!$D$2:$D$19,RANDBETWEEN(1,18)),IF(OR($B94&lt;&gt;Apoyo!$B$10,$B94&lt;&gt;Apoyo!$B$2,$B94&lt;&gt;Apoyo!$B$6),B94,0)))</f>
        <v>Lima</v>
      </c>
      <c r="E94" t="s">
        <v>44</v>
      </c>
      <c r="F94">
        <f t="shared" ca="1" si="61"/>
        <v>17</v>
      </c>
      <c r="G94" t="s">
        <v>54</v>
      </c>
      <c r="H94" s="3">
        <f t="shared" ca="1" si="62"/>
        <v>1</v>
      </c>
      <c r="I94" s="3">
        <f t="shared" ca="1" si="62"/>
        <v>0</v>
      </c>
      <c r="J94">
        <f t="shared" ca="1" si="63"/>
        <v>1</v>
      </c>
      <c r="K94" s="2">
        <f t="shared" ca="1" si="64"/>
        <v>0.80917290063720926</v>
      </c>
      <c r="L94" s="2">
        <f t="shared" ref="L94" ca="1" si="95">+IFERROR(K94+0.04,"n.a.")</f>
        <v>0.84917290063720929</v>
      </c>
    </row>
    <row r="95" spans="1:12">
      <c r="A95" s="1">
        <f ca="1">+RANDBETWEEN(Apoyo!$P$2,Apoyo!$P$3)</f>
        <v>45948</v>
      </c>
      <c r="B95" s="1" t="str" cm="1">
        <f t="array" aca="1" ref="B95" ca="1">+INDEX(Apoyo!$B$2:$B$10,RANDBETWEEN(1,9))</f>
        <v>Apurímac</v>
      </c>
      <c r="C95" t="s">
        <v>1</v>
      </c>
      <c r="D95" t="str" cm="1">
        <f t="array" aca="1" ref="D95" ca="1">+IF(OR($B95=Apoyo!$B$2,$B95=Apoyo!$B$6),"Lima",IF($B95=Apoyo!$B$10,INDEX(Apoyo!$D$2:$D$19,RANDBETWEEN(1,18)),IF(OR($B95&lt;&gt;Apoyo!$B$10,$B95&lt;&gt;Apoyo!$B$2,$B95&lt;&gt;Apoyo!$B$6),B95,0)))</f>
        <v>Apurímac</v>
      </c>
      <c r="E95" t="str">
        <f t="shared" ref="E95:E96" si="96">+IF(C95="Mujer","Femenino",2)</f>
        <v>Femenino</v>
      </c>
      <c r="F95">
        <f t="shared" ca="1" si="61"/>
        <v>59</v>
      </c>
      <c r="G95" t="s">
        <v>54</v>
      </c>
      <c r="H95" s="3">
        <f t="shared" ca="1" si="62"/>
        <v>1</v>
      </c>
      <c r="I95" s="3">
        <f t="shared" ca="1" si="62"/>
        <v>0</v>
      </c>
      <c r="J95">
        <f t="shared" ca="1" si="63"/>
        <v>0</v>
      </c>
      <c r="K95" s="2">
        <f t="shared" ca="1" si="64"/>
        <v>0.29571315353290173</v>
      </c>
      <c r="L95" s="2">
        <f t="shared" ref="L95" ca="1" si="97">+IFERROR(K95+0.05,"n.a.")</f>
        <v>0.34571315353290172</v>
      </c>
    </row>
    <row r="96" spans="1:12">
      <c r="A96" s="1">
        <f ca="1">+RANDBETWEEN(Apoyo!$P$2,Apoyo!$P$3)</f>
        <v>45955</v>
      </c>
      <c r="B96" s="1" t="str" cm="1">
        <f t="array" aca="1" ref="B96" ca="1">+INDEX(Apoyo!$B$2:$B$10,RANDBETWEEN(1,9))</f>
        <v>Apurímac</v>
      </c>
      <c r="C96" t="s">
        <v>1</v>
      </c>
      <c r="D96" t="str" cm="1">
        <f t="array" aca="1" ref="D96" ca="1">+IF(OR($B96=Apoyo!$B$2,$B96=Apoyo!$B$6),"Lima",IF($B96=Apoyo!$B$10,INDEX(Apoyo!$D$2:$D$19,RANDBETWEEN(1,18)),IF(OR($B96&lt;&gt;Apoyo!$B$10,$B96&lt;&gt;Apoyo!$B$2,$B96&lt;&gt;Apoyo!$B$6),B96,0)))</f>
        <v>Apurímac</v>
      </c>
      <c r="E96" t="str">
        <f t="shared" si="96"/>
        <v>Femenino</v>
      </c>
      <c r="F96">
        <f t="shared" ca="1" si="61"/>
        <v>22</v>
      </c>
      <c r="G96" t="s">
        <v>54</v>
      </c>
      <c r="H96" s="3">
        <f t="shared" ca="1" si="62"/>
        <v>0</v>
      </c>
      <c r="I96" s="3">
        <f t="shared" ca="1" si="62"/>
        <v>1</v>
      </c>
      <c r="J96">
        <f t="shared" ca="1" si="63"/>
        <v>0</v>
      </c>
      <c r="K96" s="2">
        <f t="shared" ca="1" si="64"/>
        <v>0.67372154987334776</v>
      </c>
      <c r="L96" s="2">
        <f t="shared" ref="L96:L97" ca="1" si="98">+IFERROR(K96+0.03,"n.a.")</f>
        <v>0.70372154987334778</v>
      </c>
    </row>
    <row r="97" spans="1:12">
      <c r="A97" s="1">
        <f ca="1">+RANDBETWEEN(Apoyo!$P$2,Apoyo!$P$3)</f>
        <v>45953</v>
      </c>
      <c r="B97" s="1" t="str" cm="1">
        <f t="array" aca="1" ref="B97" ca="1">+INDEX(Apoyo!$B$2:$B$10,RANDBETWEEN(1,9))</f>
        <v>Ayacucho</v>
      </c>
      <c r="C97" t="s">
        <v>2</v>
      </c>
      <c r="D97" t="str" cm="1">
        <f t="array" aca="1" ref="D97" ca="1">+IF(OR($B97=Apoyo!$B$2,$B97=Apoyo!$B$6),"Lima",IF($B97=Apoyo!$B$10,INDEX(Apoyo!$D$2:$D$19,RANDBETWEEN(1,18)),IF(OR($B97&lt;&gt;Apoyo!$B$10,$B97&lt;&gt;Apoyo!$B$2,$B97&lt;&gt;Apoyo!$B$6),B97,0)))</f>
        <v>Ayacucho</v>
      </c>
      <c r="E97" t="s">
        <v>44</v>
      </c>
      <c r="F97">
        <f t="shared" ca="1" si="61"/>
        <v>12</v>
      </c>
      <c r="G97" t="s">
        <v>54</v>
      </c>
      <c r="H97" s="3">
        <f t="shared" ca="1" si="62"/>
        <v>0</v>
      </c>
      <c r="I97" s="3">
        <f t="shared" ca="1" si="62"/>
        <v>0</v>
      </c>
      <c r="J97">
        <f t="shared" ca="1" si="63"/>
        <v>0</v>
      </c>
      <c r="K97" s="2">
        <f t="shared" ca="1" si="64"/>
        <v>0.6747448884656404</v>
      </c>
      <c r="L97" s="2">
        <f t="shared" ca="1" si="98"/>
        <v>0.70474488846564043</v>
      </c>
    </row>
    <row r="98" spans="1:12">
      <c r="A98" s="1">
        <f ca="1">+RANDBETWEEN(Apoyo!$P$2,Apoyo!$P$3)</f>
        <v>45949</v>
      </c>
      <c r="B98" s="1" t="str" cm="1">
        <f t="array" aca="1" ref="B98" ca="1">+INDEX(Apoyo!$B$2:$B$10,RANDBETWEEN(1,9))</f>
        <v>Ucayali</v>
      </c>
      <c r="C98" t="s">
        <v>2</v>
      </c>
      <c r="D98" t="str" cm="1">
        <f t="array" aca="1" ref="D98" ca="1">+IF(OR($B98=Apoyo!$B$2,$B98=Apoyo!$B$6),"Lima",IF($B98=Apoyo!$B$10,INDEX(Apoyo!$D$2:$D$19,RANDBETWEEN(1,18)),IF(OR($B98&lt;&gt;Apoyo!$B$10,$B98&lt;&gt;Apoyo!$B$2,$B98&lt;&gt;Apoyo!$B$6),B98,0)))</f>
        <v>Ucayali</v>
      </c>
      <c r="E98" t="s">
        <v>43</v>
      </c>
      <c r="F98">
        <f t="shared" ca="1" si="61"/>
        <v>14</v>
      </c>
      <c r="G98" t="s">
        <v>54</v>
      </c>
      <c r="H98" s="3">
        <f t="shared" ca="1" si="62"/>
        <v>0</v>
      </c>
      <c r="I98" s="3">
        <f t="shared" ca="1" si="62"/>
        <v>1</v>
      </c>
      <c r="J98">
        <f t="shared" ca="1" si="63"/>
        <v>0</v>
      </c>
      <c r="K98" s="2">
        <f t="shared" ca="1" si="64"/>
        <v>0.8743446249080935</v>
      </c>
      <c r="L98" s="2">
        <f t="shared" ref="L98" ca="1" si="99">+IFERROR(K98+0.04,"n.a.")</f>
        <v>0.91434462490809354</v>
      </c>
    </row>
    <row r="99" spans="1:12">
      <c r="A99" s="1">
        <f ca="1">+RANDBETWEEN(Apoyo!$P$2,Apoyo!$P$3)</f>
        <v>45951</v>
      </c>
      <c r="B99" s="1" t="str" cm="1">
        <f t="array" aca="1" ref="B99" ca="1">+INDEX(Apoyo!$B$2:$B$10,RANDBETWEEN(1,9))</f>
        <v>Lima Norte</v>
      </c>
      <c r="C99" t="s">
        <v>1</v>
      </c>
      <c r="D99" t="str" cm="1">
        <f t="array" aca="1" ref="D99" ca="1">+IF(OR($B99=Apoyo!$B$2,$B99=Apoyo!$B$6),"Lima",IF($B99=Apoyo!$B$10,INDEX(Apoyo!$D$2:$D$19,RANDBETWEEN(1,18)),IF(OR($B99&lt;&gt;Apoyo!$B$10,$B99&lt;&gt;Apoyo!$B$2,$B99&lt;&gt;Apoyo!$B$6),B99,0)))</f>
        <v>Lima</v>
      </c>
      <c r="E99" t="str">
        <f t="shared" ref="E99" si="100">+IF(C99="Mujer","Femenino",2)</f>
        <v>Femenino</v>
      </c>
      <c r="F99">
        <f t="shared" ca="1" si="61"/>
        <v>24</v>
      </c>
      <c r="G99" t="s">
        <v>54</v>
      </c>
      <c r="H99" s="3">
        <f t="shared" ca="1" si="62"/>
        <v>1</v>
      </c>
      <c r="I99" s="3">
        <f t="shared" ca="1" si="62"/>
        <v>0</v>
      </c>
      <c r="J99">
        <f t="shared" ca="1" si="63"/>
        <v>0</v>
      </c>
      <c r="K99" s="2">
        <f t="shared" ca="1" si="64"/>
        <v>0.7083701278436948</v>
      </c>
      <c r="L99" s="2">
        <f t="shared" ref="L99" ca="1" si="101">+IFERROR(K99+0.05,"n.a.")</f>
        <v>0.75837012784369484</v>
      </c>
    </row>
    <row r="100" spans="1:12">
      <c r="A100" s="1">
        <f ca="1">+RANDBETWEEN(Apoyo!$P$2,Apoyo!$P$3)</f>
        <v>45946</v>
      </c>
      <c r="B100" s="1" t="str" cm="1">
        <f t="array" aca="1" ref="B100" ca="1">+INDEX(Apoyo!$B$2:$B$10,RANDBETWEEN(1,9))</f>
        <v>Puente Piedra-Ventanilla</v>
      </c>
      <c r="C100" t="s">
        <v>2</v>
      </c>
      <c r="D100" t="str" cm="1">
        <f t="array" aca="1" ref="D100" ca="1">+IF(OR($B100=Apoyo!$B$2,$B100=Apoyo!$B$6),"Lima",IF($B100=Apoyo!$B$10,INDEX(Apoyo!$D$2:$D$19,RANDBETWEEN(1,18)),IF(OR($B100&lt;&gt;Apoyo!$B$10,$B100&lt;&gt;Apoyo!$B$2,$B100&lt;&gt;Apoyo!$B$6),B100,0)))</f>
        <v>Lima</v>
      </c>
      <c r="E100" t="s">
        <v>44</v>
      </c>
      <c r="F100">
        <f t="shared" ca="1" si="61"/>
        <v>17</v>
      </c>
      <c r="G100" t="s">
        <v>54</v>
      </c>
      <c r="H100" s="3">
        <f t="shared" ca="1" si="62"/>
        <v>0</v>
      </c>
      <c r="I100" s="3">
        <f t="shared" ca="1" si="62"/>
        <v>1</v>
      </c>
      <c r="J100">
        <f t="shared" ca="1" si="63"/>
        <v>0</v>
      </c>
      <c r="K100" s="2">
        <f t="shared" ca="1" si="64"/>
        <v>0.9078506025024734</v>
      </c>
      <c r="L100" s="2">
        <f t="shared" ref="L100:L101" ca="1" si="102">+IFERROR(K100+0.03,"n.a.")</f>
        <v>0.93785060250247343</v>
      </c>
    </row>
    <row r="101" spans="1:12">
      <c r="A101" s="1">
        <f ca="1">+RANDBETWEEN(Apoyo!$P$2,Apoyo!$P$3)</f>
        <v>45948</v>
      </c>
      <c r="B101" s="1" t="str" cm="1">
        <f t="array" aca="1" ref="B101" ca="1">+INDEX(Apoyo!$B$2:$B$10,RANDBETWEEN(1,9))</f>
        <v>Ayacucho</v>
      </c>
      <c r="C101" t="s">
        <v>1</v>
      </c>
      <c r="D101" t="str" cm="1">
        <f t="array" aca="1" ref="D101" ca="1">+IF(OR($B101=Apoyo!$B$2,$B101=Apoyo!$B$6),"Lima",IF($B101=Apoyo!$B$10,INDEX(Apoyo!$D$2:$D$19,RANDBETWEEN(1,18)),IF(OR($B101&lt;&gt;Apoyo!$B$10,$B101&lt;&gt;Apoyo!$B$2,$B101&lt;&gt;Apoyo!$B$6),B101,0)))</f>
        <v>Ayacucho</v>
      </c>
      <c r="E101" t="str">
        <f t="shared" ref="E101" si="103">+IF(C101="Mujer","Femenino",2)</f>
        <v>Femenino</v>
      </c>
      <c r="F101">
        <f t="shared" ca="1" si="61"/>
        <v>45</v>
      </c>
      <c r="G101" t="s">
        <v>54</v>
      </c>
      <c r="H101" s="3">
        <f t="shared" ca="1" si="62"/>
        <v>0</v>
      </c>
      <c r="I101" s="3">
        <f t="shared" ca="1" si="62"/>
        <v>1</v>
      </c>
      <c r="J101">
        <f t="shared" ca="1" si="63"/>
        <v>1</v>
      </c>
      <c r="K101" s="2">
        <f t="shared" ca="1" si="64"/>
        <v>0.48403651193194719</v>
      </c>
      <c r="L101" s="2">
        <f t="shared" ca="1" si="102"/>
        <v>0.51403651193194722</v>
      </c>
    </row>
    <row r="102" spans="1:12">
      <c r="A102" s="1">
        <f ca="1">+RANDBETWEEN(Apoyo!$P$2,Apoyo!$P$3)</f>
        <v>45946</v>
      </c>
      <c r="B102" s="1" t="str" cm="1">
        <f t="array" aca="1" ref="B102" ca="1">+INDEX(Apoyo!$B$2:$B$10,RANDBETWEEN(1,9))</f>
        <v>Ayacucho</v>
      </c>
      <c r="C102" t="s">
        <v>1</v>
      </c>
      <c r="D102" t="str" cm="1">
        <f t="array" aca="1" ref="D102" ca="1">+IF(OR($B102=Apoyo!$B$2,$B102=Apoyo!$B$6),"Lima",IF($B102=Apoyo!$B$10,INDEX(Apoyo!$D$2:$D$19,RANDBETWEEN(1,18)),IF(OR($B102&lt;&gt;Apoyo!$B$10,$B102&lt;&gt;Apoyo!$B$2,$B102&lt;&gt;Apoyo!$B$6),B102,0)))</f>
        <v>Ayacucho</v>
      </c>
      <c r="E102" t="str">
        <f>+IF(C102="Mujer","Femenino",2)</f>
        <v>Femenino</v>
      </c>
      <c r="F102">
        <f t="shared" ca="1" si="61"/>
        <v>19</v>
      </c>
      <c r="G102" t="s">
        <v>54</v>
      </c>
      <c r="H102" s="3">
        <f t="shared" ca="1" si="62"/>
        <v>1</v>
      </c>
      <c r="I102" s="3">
        <f t="shared" ca="1" si="62"/>
        <v>1</v>
      </c>
      <c r="J102">
        <f t="shared" ca="1" si="63"/>
        <v>1</v>
      </c>
      <c r="K102" s="2">
        <f t="shared" ca="1" si="64"/>
        <v>0.54868193452622072</v>
      </c>
      <c r="L102" s="2">
        <f t="shared" ca="1" si="77"/>
        <v>0.58868193452622075</v>
      </c>
    </row>
    <row r="103" spans="1:12">
      <c r="A103" s="1">
        <f ca="1">+RANDBETWEEN(Apoyo!$P$2,Apoyo!$P$3)</f>
        <v>45946</v>
      </c>
      <c r="B103" s="1" t="str" cm="1">
        <f t="array" aca="1" ref="B103" ca="1">+INDEX(Apoyo!$B$2:$B$10,RANDBETWEEN(1,9))</f>
        <v>Resto del Perú</v>
      </c>
      <c r="C103" t="s">
        <v>2</v>
      </c>
      <c r="D103" t="str" cm="1">
        <f t="array" aca="1" ref="D103" ca="1">+IF(OR($B103=Apoyo!$B$2,$B103=Apoyo!$B$6),"Lima",IF($B103=Apoyo!$B$10,INDEX(Apoyo!$D$2:$D$19,RANDBETWEEN(1,18)),IF(OR($B103&lt;&gt;Apoyo!$B$10,$B103&lt;&gt;Apoyo!$B$2,$B103&lt;&gt;Apoyo!$B$6),B103,0)))</f>
        <v>Puno</v>
      </c>
      <c r="E103" t="s">
        <v>43</v>
      </c>
      <c r="F103">
        <f t="shared" ca="1" si="61"/>
        <v>17</v>
      </c>
      <c r="G103" t="s">
        <v>54</v>
      </c>
      <c r="H103" s="3">
        <f t="shared" ca="1" si="62"/>
        <v>0</v>
      </c>
      <c r="I103" s="3">
        <f t="shared" ca="1" si="62"/>
        <v>0</v>
      </c>
      <c r="J103">
        <f t="shared" ca="1" si="63"/>
        <v>0</v>
      </c>
      <c r="K103" s="2">
        <f t="shared" ca="1" si="64"/>
        <v>0.83016942871620902</v>
      </c>
      <c r="L103" s="2">
        <f t="shared" ref="L103" ca="1" si="104">+IFERROR(K103+0.06,"n.a.")</f>
        <v>0.89016942871620897</v>
      </c>
    </row>
    <row r="104" spans="1:12">
      <c r="A104" s="1">
        <f ca="1">+RANDBETWEEN(Apoyo!$P$2,Apoyo!$P$3)</f>
        <v>45953</v>
      </c>
      <c r="B104" s="1" t="str" cm="1">
        <f t="array" aca="1" ref="B104" ca="1">+INDEX(Apoyo!$B$2:$B$10,RANDBETWEEN(1,9))</f>
        <v>Loreto</v>
      </c>
      <c r="C104" t="s">
        <v>2</v>
      </c>
      <c r="D104" t="str" cm="1">
        <f t="array" aca="1" ref="D104" ca="1">+IF(OR($B104=Apoyo!$B$2,$B104=Apoyo!$B$6),"Lima",IF($B104=Apoyo!$B$10,INDEX(Apoyo!$D$2:$D$19,RANDBETWEEN(1,18)),IF(OR($B104&lt;&gt;Apoyo!$B$10,$B104&lt;&gt;Apoyo!$B$2,$B104&lt;&gt;Apoyo!$B$6),B104,0)))</f>
        <v>Loreto</v>
      </c>
      <c r="E104" t="s">
        <v>44</v>
      </c>
      <c r="F104">
        <f t="shared" ca="1" si="61"/>
        <v>13</v>
      </c>
      <c r="G104" t="str">
        <f ca="1">+CHOOSE(RANDBETWEEN(1,5),Apoyo!$E$3,Apoyo!$E$4,Apoyo!$E$5,Apoyo!$E$6,Apoyo!$E$7)</f>
        <v>Incompleta</v>
      </c>
      <c r="H104" s="3">
        <f t="shared" ca="1" si="62"/>
        <v>0</v>
      </c>
      <c r="I104" s="3">
        <f t="shared" ca="1" si="62"/>
        <v>0</v>
      </c>
      <c r="J104">
        <f t="shared" ca="1" si="63"/>
        <v>0</v>
      </c>
      <c r="K104" s="2" t="str">
        <f t="shared" ca="1" si="64"/>
        <v>n.a.</v>
      </c>
      <c r="L104" s="2" t="str">
        <f t="shared" ref="L104" ca="1" si="105">+IFERROR(K104+0.03,"n.a.")</f>
        <v>n.a.</v>
      </c>
    </row>
    <row r="105" spans="1:12">
      <c r="A105" s="1">
        <f ca="1">+RANDBETWEEN(Apoyo!$P$2,Apoyo!$P$3)</f>
        <v>45946</v>
      </c>
      <c r="B105" s="1" t="str" cm="1">
        <f t="array" aca="1" ref="B105" ca="1">+INDEX(Apoyo!$B$2:$B$10,RANDBETWEEN(1,9))</f>
        <v>Ucayali</v>
      </c>
      <c r="C105" t="s">
        <v>1</v>
      </c>
      <c r="D105" t="str" cm="1">
        <f t="array" aca="1" ref="D105" ca="1">+IF(OR($B105=Apoyo!$B$2,$B105=Apoyo!$B$6),"Lima",IF($B105=Apoyo!$B$10,INDEX(Apoyo!$D$2:$D$19,RANDBETWEEN(1,18)),IF(OR($B105&lt;&gt;Apoyo!$B$10,$B105&lt;&gt;Apoyo!$B$2,$B105&lt;&gt;Apoyo!$B$6),B105,0)))</f>
        <v>Ucayali</v>
      </c>
      <c r="E105" t="str">
        <f t="shared" ref="E105:E106" si="106">+IF(C105="Mujer","Femenino",2)</f>
        <v>Femenino</v>
      </c>
      <c r="F105">
        <f t="shared" ca="1" si="61"/>
        <v>18</v>
      </c>
      <c r="G105" t="s">
        <v>54</v>
      </c>
      <c r="H105" s="3">
        <f t="shared" ca="1" si="62"/>
        <v>1</v>
      </c>
      <c r="I105" s="3">
        <f t="shared" ca="1" si="62"/>
        <v>0</v>
      </c>
      <c r="J105">
        <f t="shared" ca="1" si="63"/>
        <v>1</v>
      </c>
      <c r="K105" s="2">
        <f t="shared" ca="1" si="64"/>
        <v>0.49115348000216452</v>
      </c>
      <c r="L105" s="2">
        <f t="shared" ref="L105" ca="1" si="107">+IFERROR(K105+0.05,"n.a.")</f>
        <v>0.54115348000216457</v>
      </c>
    </row>
    <row r="106" spans="1:12">
      <c r="A106" s="1">
        <f ca="1">+RANDBETWEEN(Apoyo!$P$2,Apoyo!$P$3)</f>
        <v>45959</v>
      </c>
      <c r="B106" s="1" t="str" cm="1">
        <f t="array" aca="1" ref="B106" ca="1">+INDEX(Apoyo!$B$2:$B$10,RANDBETWEEN(1,9))</f>
        <v>Resto del Perú</v>
      </c>
      <c r="C106" t="s">
        <v>1</v>
      </c>
      <c r="D106" t="str" cm="1">
        <f t="array" aca="1" ref="D106" ca="1">+IF(OR($B106=Apoyo!$B$2,$B106=Apoyo!$B$6),"Lima",IF($B106=Apoyo!$B$10,INDEX(Apoyo!$D$2:$D$19,RANDBETWEEN(1,18)),IF(OR($B106&lt;&gt;Apoyo!$B$10,$B106&lt;&gt;Apoyo!$B$2,$B106&lt;&gt;Apoyo!$B$6),B106,0)))</f>
        <v>Piura</v>
      </c>
      <c r="E106" t="str">
        <f t="shared" si="106"/>
        <v>Femenino</v>
      </c>
      <c r="F106">
        <f t="shared" ca="1" si="61"/>
        <v>45</v>
      </c>
      <c r="G106" t="s">
        <v>54</v>
      </c>
      <c r="H106" s="3">
        <f t="shared" ca="1" si="62"/>
        <v>0</v>
      </c>
      <c r="I106" s="3">
        <f t="shared" ca="1" si="62"/>
        <v>0</v>
      </c>
      <c r="J106">
        <f t="shared" ca="1" si="63"/>
        <v>0</v>
      </c>
      <c r="K106" s="2">
        <f t="shared" ca="1" si="64"/>
        <v>0.40888006954675382</v>
      </c>
      <c r="L106" s="2">
        <f t="shared" ref="L106" ca="1" si="108">+IFERROR(K106+0.04,"n.a.")</f>
        <v>0.4488800695467538</v>
      </c>
    </row>
    <row r="107" spans="1:12">
      <c r="A107" s="1">
        <f ca="1">+RANDBETWEEN(Apoyo!$P$2,Apoyo!$P$3)</f>
        <v>45960</v>
      </c>
      <c r="B107" s="1" t="str" cm="1">
        <f t="array" aca="1" ref="B107" ca="1">+INDEX(Apoyo!$B$2:$B$10,RANDBETWEEN(1,9))</f>
        <v>Loreto</v>
      </c>
      <c r="C107" t="s">
        <v>2</v>
      </c>
      <c r="D107" t="str" cm="1">
        <f t="array" aca="1" ref="D107" ca="1">+IF(OR($B107=Apoyo!$B$2,$B107=Apoyo!$B$6),"Lima",IF($B107=Apoyo!$B$10,INDEX(Apoyo!$D$2:$D$19,RANDBETWEEN(1,18)),IF(OR($B107&lt;&gt;Apoyo!$B$10,$B107&lt;&gt;Apoyo!$B$2,$B107&lt;&gt;Apoyo!$B$6),B107,0)))</f>
        <v>Loreto</v>
      </c>
      <c r="E107" t="s">
        <v>44</v>
      </c>
      <c r="F107">
        <f t="shared" ca="1" si="61"/>
        <v>13</v>
      </c>
      <c r="G107" t="s">
        <v>54</v>
      </c>
      <c r="H107" s="3">
        <f t="shared" ca="1" si="62"/>
        <v>1</v>
      </c>
      <c r="I107" s="3">
        <f t="shared" ca="1" si="62"/>
        <v>0</v>
      </c>
      <c r="J107">
        <f t="shared" ca="1" si="63"/>
        <v>1</v>
      </c>
      <c r="K107" s="2">
        <f t="shared" ca="1" si="64"/>
        <v>0.65313985340031588</v>
      </c>
      <c r="L107" s="2">
        <f t="shared" ref="L107" ca="1" si="109">+IFERROR(K107+0.05,"n.a.")</f>
        <v>0.70313985340031593</v>
      </c>
    </row>
    <row r="108" spans="1:12">
      <c r="A108" s="1">
        <f ca="1">+RANDBETWEEN(Apoyo!$P$2,Apoyo!$P$3)</f>
        <v>45954</v>
      </c>
      <c r="B108" s="1" t="str" cm="1">
        <f t="array" aca="1" ref="B108" ca="1">+INDEX(Apoyo!$B$2:$B$10,RANDBETWEEN(1,9))</f>
        <v>Lima Norte</v>
      </c>
      <c r="C108" t="s">
        <v>2</v>
      </c>
      <c r="D108" t="str" cm="1">
        <f t="array" aca="1" ref="D108" ca="1">+IF(OR($B108=Apoyo!$B$2,$B108=Apoyo!$B$6),"Lima",IF($B108=Apoyo!$B$10,INDEX(Apoyo!$D$2:$D$19,RANDBETWEEN(1,18)),IF(OR($B108&lt;&gt;Apoyo!$B$10,$B108&lt;&gt;Apoyo!$B$2,$B108&lt;&gt;Apoyo!$B$6),B108,0)))</f>
        <v>Lima</v>
      </c>
      <c r="E108" t="s">
        <v>43</v>
      </c>
      <c r="F108">
        <f t="shared" ca="1" si="61"/>
        <v>16</v>
      </c>
      <c r="G108" t="str">
        <f ca="1">+CHOOSE(RANDBETWEEN(1,5),Apoyo!$E$3,Apoyo!$E$4,Apoyo!$E$5,Apoyo!$E$6,Apoyo!$E$7)</f>
        <v>Ausente</v>
      </c>
      <c r="H108" s="3">
        <f t="shared" ca="1" si="62"/>
        <v>0</v>
      </c>
      <c r="I108" s="3">
        <f t="shared" ca="1" si="62"/>
        <v>0</v>
      </c>
      <c r="J108">
        <f t="shared" ca="1" si="63"/>
        <v>0</v>
      </c>
      <c r="K108" s="2" t="str">
        <f t="shared" ca="1" si="64"/>
        <v>n.a.</v>
      </c>
      <c r="L108" s="2" t="str">
        <f t="shared" ref="L108:L109" ca="1" si="110">+IFERROR(K108+0.03,"n.a.")</f>
        <v>n.a.</v>
      </c>
    </row>
    <row r="109" spans="1:12">
      <c r="A109" s="1">
        <f ca="1">+RANDBETWEEN(Apoyo!$P$2,Apoyo!$P$3)</f>
        <v>45955</v>
      </c>
      <c r="B109" s="1" t="str" cm="1">
        <f t="array" aca="1" ref="B109" ca="1">+INDEX(Apoyo!$B$2:$B$10,RANDBETWEEN(1,9))</f>
        <v>Ucayali</v>
      </c>
      <c r="C109" t="s">
        <v>1</v>
      </c>
      <c r="D109" t="str" cm="1">
        <f t="array" aca="1" ref="D109" ca="1">+IF(OR($B109=Apoyo!$B$2,$B109=Apoyo!$B$6),"Lima",IF($B109=Apoyo!$B$10,INDEX(Apoyo!$D$2:$D$19,RANDBETWEEN(1,18)),IF(OR($B109&lt;&gt;Apoyo!$B$10,$B109&lt;&gt;Apoyo!$B$2,$B109&lt;&gt;Apoyo!$B$6),B109,0)))</f>
        <v>Ucayali</v>
      </c>
      <c r="E109" t="str">
        <f t="shared" ref="E109" si="111">+IF(C109="Mujer","Femenino",2)</f>
        <v>Femenino</v>
      </c>
      <c r="F109">
        <f t="shared" ca="1" si="61"/>
        <v>20</v>
      </c>
      <c r="G109" t="s">
        <v>54</v>
      </c>
      <c r="H109" s="3">
        <f t="shared" ca="1" si="62"/>
        <v>1</v>
      </c>
      <c r="I109" s="3">
        <f t="shared" ca="1" si="62"/>
        <v>1</v>
      </c>
      <c r="J109">
        <f t="shared" ca="1" si="63"/>
        <v>1</v>
      </c>
      <c r="K109" s="2">
        <f t="shared" ca="1" si="64"/>
        <v>0.38367633683768176</v>
      </c>
      <c r="L109" s="2">
        <f t="shared" ca="1" si="110"/>
        <v>0.41367633683768179</v>
      </c>
    </row>
    <row r="110" spans="1:12">
      <c r="A110" s="1">
        <f ca="1">+RANDBETWEEN(Apoyo!$P$2,Apoyo!$P$3)</f>
        <v>45949</v>
      </c>
      <c r="B110" s="1" t="str" cm="1">
        <f t="array" aca="1" ref="B110" ca="1">+INDEX(Apoyo!$B$2:$B$10,RANDBETWEEN(1,9))</f>
        <v>Lima Norte</v>
      </c>
      <c r="C110" t="s">
        <v>2</v>
      </c>
      <c r="D110" t="str" cm="1">
        <f t="array" aca="1" ref="D110" ca="1">+IF(OR($B110=Apoyo!$B$2,$B110=Apoyo!$B$6),"Lima",IF($B110=Apoyo!$B$10,INDEX(Apoyo!$D$2:$D$19,RANDBETWEEN(1,18)),IF(OR($B110&lt;&gt;Apoyo!$B$10,$B110&lt;&gt;Apoyo!$B$2,$B110&lt;&gt;Apoyo!$B$6),B110,0)))</f>
        <v>Lima</v>
      </c>
      <c r="E110" t="s">
        <v>44</v>
      </c>
      <c r="F110">
        <f t="shared" ca="1" si="61"/>
        <v>14</v>
      </c>
      <c r="G110" t="s">
        <v>54</v>
      </c>
      <c r="H110" s="3">
        <f t="shared" ca="1" si="62"/>
        <v>1</v>
      </c>
      <c r="I110" s="3">
        <f t="shared" ca="1" si="62"/>
        <v>0</v>
      </c>
      <c r="J110">
        <f t="shared" ca="1" si="63"/>
        <v>0</v>
      </c>
      <c r="K110" s="2">
        <f t="shared" ca="1" si="64"/>
        <v>0.68567991097178949</v>
      </c>
      <c r="L110" s="2">
        <f t="shared" ref="L110" ca="1" si="112">+IFERROR(K110+0.04,"n.a.")</f>
        <v>0.72567991097178952</v>
      </c>
    </row>
    <row r="111" spans="1:12">
      <c r="A111" s="1">
        <f ca="1">+RANDBETWEEN(Apoyo!$P$2,Apoyo!$P$3)</f>
        <v>45958</v>
      </c>
      <c r="B111" s="1" t="str" cm="1">
        <f t="array" aca="1" ref="B111" ca="1">+INDEX(Apoyo!$B$2:$B$10,RANDBETWEEN(1,9))</f>
        <v>Cajamarca</v>
      </c>
      <c r="C111" t="s">
        <v>1</v>
      </c>
      <c r="D111" t="str" cm="1">
        <f t="array" aca="1" ref="D111" ca="1">+IF(OR($B111=Apoyo!$B$2,$B111=Apoyo!$B$6),"Lima",IF($B111=Apoyo!$B$10,INDEX(Apoyo!$D$2:$D$19,RANDBETWEEN(1,18)),IF(OR($B111&lt;&gt;Apoyo!$B$10,$B111&lt;&gt;Apoyo!$B$2,$B111&lt;&gt;Apoyo!$B$6),B111,0)))</f>
        <v>Cajamarca</v>
      </c>
      <c r="E111" t="str">
        <f t="shared" ref="E111" si="113">+IF(C111="Mujer","Femenino",2)</f>
        <v>Femenino</v>
      </c>
      <c r="F111">
        <f t="shared" ca="1" si="61"/>
        <v>22</v>
      </c>
      <c r="G111" t="s">
        <v>54</v>
      </c>
      <c r="H111" s="3">
        <f t="shared" ca="1" si="62"/>
        <v>0</v>
      </c>
      <c r="I111" s="3">
        <f t="shared" ca="1" si="62"/>
        <v>0</v>
      </c>
      <c r="J111">
        <f t="shared" ca="1" si="63"/>
        <v>0</v>
      </c>
      <c r="K111" s="2">
        <f t="shared" ca="1" si="64"/>
        <v>0.50672373315317898</v>
      </c>
      <c r="L111" s="2">
        <f t="shared" ref="L111" ca="1" si="114">+IFERROR(K111+0.05,"n.a.")</f>
        <v>0.55672373315317902</v>
      </c>
    </row>
    <row r="112" spans="1:12">
      <c r="A112" s="1">
        <f ca="1">+RANDBETWEEN(Apoyo!$P$2,Apoyo!$P$3)</f>
        <v>45949</v>
      </c>
      <c r="B112" s="1" t="str" cm="1">
        <f t="array" aca="1" ref="B112" ca="1">+INDEX(Apoyo!$B$2:$B$10,RANDBETWEEN(1,9))</f>
        <v>Loreto</v>
      </c>
      <c r="C112" t="s">
        <v>1</v>
      </c>
      <c r="D112" t="str" cm="1">
        <f t="array" aca="1" ref="D112" ca="1">+IF(OR($B112=Apoyo!$B$2,$B112=Apoyo!$B$6),"Lima",IF($B112=Apoyo!$B$10,INDEX(Apoyo!$D$2:$D$19,RANDBETWEEN(1,18)),IF(OR($B112&lt;&gt;Apoyo!$B$10,$B112&lt;&gt;Apoyo!$B$2,$B112&lt;&gt;Apoyo!$B$6),B112,0)))</f>
        <v>Loreto</v>
      </c>
      <c r="E112" t="str">
        <f>+IF(C112="Mujer","Femenino",2)</f>
        <v>Femenino</v>
      </c>
      <c r="F112">
        <f t="shared" ca="1" si="61"/>
        <v>22</v>
      </c>
      <c r="G112" t="s">
        <v>54</v>
      </c>
      <c r="H112" s="3">
        <f t="shared" ca="1" si="62"/>
        <v>0</v>
      </c>
      <c r="I112" s="3">
        <f t="shared" ca="1" si="62"/>
        <v>0</v>
      </c>
      <c r="J112">
        <f t="shared" ca="1" si="63"/>
        <v>0</v>
      </c>
      <c r="K112" s="2">
        <f t="shared" ca="1" si="64"/>
        <v>8.8169775276993545E-2</v>
      </c>
      <c r="L112" s="2">
        <f t="shared" ref="L112:L113" ca="1" si="115">+IFERROR(K112+0.03,"n.a.")</f>
        <v>0.11816977527699354</v>
      </c>
    </row>
    <row r="113" spans="1:12">
      <c r="A113" s="1">
        <f ca="1">+RANDBETWEEN(Apoyo!$P$2,Apoyo!$P$3)</f>
        <v>45947</v>
      </c>
      <c r="B113" s="1" t="str" cm="1">
        <f t="array" aca="1" ref="B113" ca="1">+INDEX(Apoyo!$B$2:$B$10,RANDBETWEEN(1,9))</f>
        <v>Puente Piedra-Ventanilla</v>
      </c>
      <c r="C113" t="s">
        <v>2</v>
      </c>
      <c r="D113" t="str" cm="1">
        <f t="array" aca="1" ref="D113" ca="1">+IF(OR($B113=Apoyo!$B$2,$B113=Apoyo!$B$6),"Lima",IF($B113=Apoyo!$B$10,INDEX(Apoyo!$D$2:$D$19,RANDBETWEEN(1,18)),IF(OR($B113&lt;&gt;Apoyo!$B$10,$B113&lt;&gt;Apoyo!$B$2,$B113&lt;&gt;Apoyo!$B$6),B113,0)))</f>
        <v>Lima</v>
      </c>
      <c r="E113" t="s">
        <v>43</v>
      </c>
      <c r="F113">
        <f t="shared" ca="1" si="61"/>
        <v>16</v>
      </c>
      <c r="G113" t="str">
        <f ca="1">+CHOOSE(RANDBETWEEN(1,5),Apoyo!$E$3,Apoyo!$E$4,Apoyo!$E$5,Apoyo!$E$6,Apoyo!$E$7)</f>
        <v>Rechazada</v>
      </c>
      <c r="H113" s="3">
        <f t="shared" ca="1" si="62"/>
        <v>0</v>
      </c>
      <c r="I113" s="3">
        <f t="shared" ca="1" si="62"/>
        <v>0</v>
      </c>
      <c r="J113">
        <f t="shared" ca="1" si="63"/>
        <v>0</v>
      </c>
      <c r="K113" s="2" t="str">
        <f t="shared" ca="1" si="64"/>
        <v>n.a.</v>
      </c>
      <c r="L113" s="2" t="str">
        <f t="shared" ca="1" si="115"/>
        <v>n.a.</v>
      </c>
    </row>
    <row r="114" spans="1:12">
      <c r="A114" s="1">
        <f ca="1">+RANDBETWEEN(Apoyo!$P$2,Apoyo!$P$3)</f>
        <v>45956</v>
      </c>
      <c r="B114" s="1" t="str" cm="1">
        <f t="array" aca="1" ref="B114" ca="1">+INDEX(Apoyo!$B$2:$B$10,RANDBETWEEN(1,9))</f>
        <v>Loreto</v>
      </c>
      <c r="C114" t="s">
        <v>2</v>
      </c>
      <c r="D114" t="str" cm="1">
        <f t="array" aca="1" ref="D114" ca="1">+IF(OR($B114=Apoyo!$B$2,$B114=Apoyo!$B$6),"Lima",IF($B114=Apoyo!$B$10,INDEX(Apoyo!$D$2:$D$19,RANDBETWEEN(1,18)),IF(OR($B114&lt;&gt;Apoyo!$B$10,$B114&lt;&gt;Apoyo!$B$2,$B114&lt;&gt;Apoyo!$B$6),B114,0)))</f>
        <v>Loreto</v>
      </c>
      <c r="E114" t="s">
        <v>44</v>
      </c>
      <c r="F114">
        <f t="shared" ca="1" si="61"/>
        <v>15</v>
      </c>
      <c r="G114" t="str">
        <f ca="1">+CHOOSE(RANDBETWEEN(1,5),Apoyo!$E$3,Apoyo!$E$4,Apoyo!$E$5,Apoyo!$E$6,Apoyo!$E$7)</f>
        <v>Rechazada</v>
      </c>
      <c r="H114" s="3">
        <f t="shared" ca="1" si="62"/>
        <v>0</v>
      </c>
      <c r="I114" s="3">
        <f t="shared" ca="1" si="62"/>
        <v>0</v>
      </c>
      <c r="J114">
        <f t="shared" ca="1" si="63"/>
        <v>0</v>
      </c>
      <c r="K114" s="2" t="str">
        <f t="shared" ca="1" si="64"/>
        <v>n.a.</v>
      </c>
      <c r="L114" s="2" t="str">
        <f t="shared" ca="1" si="77"/>
        <v>n.a.</v>
      </c>
    </row>
    <row r="115" spans="1:12">
      <c r="A115" s="1">
        <f ca="1">+RANDBETWEEN(Apoyo!$P$2,Apoyo!$P$3)</f>
        <v>45951</v>
      </c>
      <c r="B115" s="1" t="str" cm="1">
        <f t="array" aca="1" ref="B115" ca="1">+INDEX(Apoyo!$B$2:$B$10,RANDBETWEEN(1,9))</f>
        <v>Puente Piedra-Ventanilla</v>
      </c>
      <c r="C115" t="s">
        <v>1</v>
      </c>
      <c r="D115" t="str" cm="1">
        <f t="array" aca="1" ref="D115" ca="1">+IF(OR($B115=Apoyo!$B$2,$B115=Apoyo!$B$6),"Lima",IF($B115=Apoyo!$B$10,INDEX(Apoyo!$D$2:$D$19,RANDBETWEEN(1,18)),IF(OR($B115&lt;&gt;Apoyo!$B$10,$B115&lt;&gt;Apoyo!$B$2,$B115&lt;&gt;Apoyo!$B$6),B115,0)))</f>
        <v>Lima</v>
      </c>
      <c r="E115" t="str">
        <f t="shared" ref="E115:E116" si="116">+IF(C115="Mujer","Femenino",2)</f>
        <v>Femenino</v>
      </c>
      <c r="F115">
        <f t="shared" ca="1" si="61"/>
        <v>60</v>
      </c>
      <c r="G115" t="s">
        <v>54</v>
      </c>
      <c r="H115" s="3">
        <f t="shared" ca="1" si="62"/>
        <v>0</v>
      </c>
      <c r="I115" s="3">
        <f t="shared" ca="1" si="62"/>
        <v>1</v>
      </c>
      <c r="J115">
        <f t="shared" ca="1" si="63"/>
        <v>1</v>
      </c>
      <c r="K115" s="2">
        <f t="shared" ca="1" si="64"/>
        <v>0.54936724578146212</v>
      </c>
      <c r="L115" s="2">
        <f t="shared" ref="L115" ca="1" si="117">+IFERROR(K115+0.06,"n.a.")</f>
        <v>0.60936724578146206</v>
      </c>
    </row>
    <row r="116" spans="1:12">
      <c r="A116" s="1">
        <f ca="1">+RANDBETWEEN(Apoyo!$P$2,Apoyo!$P$3)</f>
        <v>45949</v>
      </c>
      <c r="B116" s="1" t="str" cm="1">
        <f t="array" aca="1" ref="B116" ca="1">+INDEX(Apoyo!$B$2:$B$10,RANDBETWEEN(1,9))</f>
        <v>Puente Piedra-Ventanilla</v>
      </c>
      <c r="C116" t="s">
        <v>1</v>
      </c>
      <c r="D116" t="str" cm="1">
        <f t="array" aca="1" ref="D116" ca="1">+IF(OR($B116=Apoyo!$B$2,$B116=Apoyo!$B$6),"Lima",IF($B116=Apoyo!$B$10,INDEX(Apoyo!$D$2:$D$19,RANDBETWEEN(1,18)),IF(OR($B116&lt;&gt;Apoyo!$B$10,$B116&lt;&gt;Apoyo!$B$2,$B116&lt;&gt;Apoyo!$B$6),B116,0)))</f>
        <v>Lima</v>
      </c>
      <c r="E116" t="str">
        <f t="shared" si="116"/>
        <v>Femenino</v>
      </c>
      <c r="F116">
        <f t="shared" ca="1" si="61"/>
        <v>60</v>
      </c>
      <c r="G116" t="s">
        <v>54</v>
      </c>
      <c r="H116" s="3">
        <f t="shared" ca="1" si="62"/>
        <v>1</v>
      </c>
      <c r="I116" s="3">
        <f t="shared" ca="1" si="62"/>
        <v>1</v>
      </c>
      <c r="J116">
        <f t="shared" ca="1" si="63"/>
        <v>1</v>
      </c>
      <c r="K116" s="2">
        <f t="shared" ca="1" si="64"/>
        <v>0.5712731356482168</v>
      </c>
      <c r="L116" s="2">
        <f t="shared" ref="L116" ca="1" si="118">+IFERROR(K116+0.03,"n.a.")</f>
        <v>0.60127313564821683</v>
      </c>
    </row>
    <row r="117" spans="1:12">
      <c r="A117" s="1">
        <f ca="1">+RANDBETWEEN(Apoyo!$P$2,Apoyo!$P$3)</f>
        <v>45953</v>
      </c>
      <c r="B117" s="1" t="str" cm="1">
        <f t="array" aca="1" ref="B117" ca="1">+INDEX(Apoyo!$B$2:$B$10,RANDBETWEEN(1,9))</f>
        <v>Apurímac</v>
      </c>
      <c r="C117" t="s">
        <v>2</v>
      </c>
      <c r="D117" t="str" cm="1">
        <f t="array" aca="1" ref="D117" ca="1">+IF(OR($B117=Apoyo!$B$2,$B117=Apoyo!$B$6),"Lima",IF($B117=Apoyo!$B$10,INDEX(Apoyo!$D$2:$D$19,RANDBETWEEN(1,18)),IF(OR($B117&lt;&gt;Apoyo!$B$10,$B117&lt;&gt;Apoyo!$B$2,$B117&lt;&gt;Apoyo!$B$6),B117,0)))</f>
        <v>Apurímac</v>
      </c>
      <c r="E117" t="s">
        <v>44</v>
      </c>
      <c r="F117">
        <f t="shared" ca="1" si="61"/>
        <v>12</v>
      </c>
      <c r="G117" t="s">
        <v>54</v>
      </c>
      <c r="H117" s="3">
        <f t="shared" ca="1" si="62"/>
        <v>1</v>
      </c>
      <c r="I117" s="3">
        <f t="shared" ca="1" si="62"/>
        <v>1</v>
      </c>
      <c r="J117">
        <f t="shared" ca="1" si="63"/>
        <v>0</v>
      </c>
      <c r="K117" s="2">
        <f t="shared" ca="1" si="64"/>
        <v>0.46899087150049446</v>
      </c>
      <c r="L117" s="2">
        <f t="shared" ref="L117" ca="1" si="119">+IFERROR(K117+0.05,"n.a.")</f>
        <v>0.5189908715004945</v>
      </c>
    </row>
    <row r="118" spans="1:12">
      <c r="A118" s="1">
        <f ca="1">+RANDBETWEEN(Apoyo!$P$2,Apoyo!$P$3)</f>
        <v>45946</v>
      </c>
      <c r="B118" s="1" t="str" cm="1">
        <f t="array" aca="1" ref="B118" ca="1">+INDEX(Apoyo!$B$2:$B$10,RANDBETWEEN(1,9))</f>
        <v>Ayacucho</v>
      </c>
      <c r="C118" t="s">
        <v>2</v>
      </c>
      <c r="D118" t="str" cm="1">
        <f t="array" aca="1" ref="D118" ca="1">+IF(OR($B118=Apoyo!$B$2,$B118=Apoyo!$B$6),"Lima",IF($B118=Apoyo!$B$10,INDEX(Apoyo!$D$2:$D$19,RANDBETWEEN(1,18)),IF(OR($B118&lt;&gt;Apoyo!$B$10,$B118&lt;&gt;Apoyo!$B$2,$B118&lt;&gt;Apoyo!$B$6),B118,0)))</f>
        <v>Ayacucho</v>
      </c>
      <c r="E118" t="s">
        <v>43</v>
      </c>
      <c r="F118">
        <f t="shared" ca="1" si="61"/>
        <v>14</v>
      </c>
      <c r="G118" t="s">
        <v>54</v>
      </c>
      <c r="H118" s="3">
        <f t="shared" ca="1" si="62"/>
        <v>1</v>
      </c>
      <c r="I118" s="3">
        <f t="shared" ca="1" si="62"/>
        <v>0</v>
      </c>
      <c r="J118">
        <f t="shared" ca="1" si="63"/>
        <v>0</v>
      </c>
      <c r="K118" s="2">
        <f t="shared" ca="1" si="64"/>
        <v>0.67308020525935097</v>
      </c>
      <c r="L118" s="2">
        <f t="shared" ref="L118" ca="1" si="120">+IFERROR(K118+0.04,"n.a.")</f>
        <v>0.71308020525935101</v>
      </c>
    </row>
    <row r="119" spans="1:12">
      <c r="A119" s="1">
        <f ca="1">+RANDBETWEEN(Apoyo!$P$2,Apoyo!$P$3)</f>
        <v>45959</v>
      </c>
      <c r="B119" s="1" t="str" cm="1">
        <f t="array" aca="1" ref="B119" ca="1">+INDEX(Apoyo!$B$2:$B$10,RANDBETWEEN(1,9))</f>
        <v>Apurímac</v>
      </c>
      <c r="C119" t="s">
        <v>1</v>
      </c>
      <c r="D119" t="str" cm="1">
        <f t="array" aca="1" ref="D119" ca="1">+IF(OR($B119=Apoyo!$B$2,$B119=Apoyo!$B$6),"Lima",IF($B119=Apoyo!$B$10,INDEX(Apoyo!$D$2:$D$19,RANDBETWEEN(1,18)),IF(OR($B119&lt;&gt;Apoyo!$B$10,$B119&lt;&gt;Apoyo!$B$2,$B119&lt;&gt;Apoyo!$B$6),B119,0)))</f>
        <v>Apurímac</v>
      </c>
      <c r="E119" t="str">
        <f t="shared" ref="E119" si="121">+IF(C119="Mujer","Femenino",2)</f>
        <v>Femenino</v>
      </c>
      <c r="F119">
        <f t="shared" ca="1" si="61"/>
        <v>32</v>
      </c>
      <c r="G119" t="s">
        <v>54</v>
      </c>
      <c r="H119" s="3">
        <f t="shared" ca="1" si="62"/>
        <v>0</v>
      </c>
      <c r="I119" s="3">
        <f t="shared" ca="1" si="62"/>
        <v>1</v>
      </c>
      <c r="J119">
        <f t="shared" ca="1" si="63"/>
        <v>1</v>
      </c>
      <c r="K119" s="2">
        <f t="shared" ca="1" si="64"/>
        <v>0.61090406653106943</v>
      </c>
      <c r="L119" s="2">
        <f t="shared" ref="L119" ca="1" si="122">+IFERROR(K119+0.05,"n.a.")</f>
        <v>0.66090406653106948</v>
      </c>
    </row>
    <row r="120" spans="1:12">
      <c r="A120" s="1">
        <f ca="1">+RANDBETWEEN(Apoyo!$P$2,Apoyo!$P$3)</f>
        <v>45947</v>
      </c>
      <c r="B120" s="1" t="str" cm="1">
        <f t="array" aca="1" ref="B120" ca="1">+INDEX(Apoyo!$B$2:$B$10,RANDBETWEEN(1,9))</f>
        <v>Ayacucho</v>
      </c>
      <c r="C120" t="s">
        <v>2</v>
      </c>
      <c r="D120" t="str" cm="1">
        <f t="array" aca="1" ref="D120" ca="1">+IF(OR($B120=Apoyo!$B$2,$B120=Apoyo!$B$6),"Lima",IF($B120=Apoyo!$B$10,INDEX(Apoyo!$D$2:$D$19,RANDBETWEEN(1,18)),IF(OR($B120&lt;&gt;Apoyo!$B$10,$B120&lt;&gt;Apoyo!$B$2,$B120&lt;&gt;Apoyo!$B$6),B120,0)))</f>
        <v>Ayacucho</v>
      </c>
      <c r="E120" t="s">
        <v>44</v>
      </c>
      <c r="F120">
        <f t="shared" ca="1" si="61"/>
        <v>14</v>
      </c>
      <c r="G120" t="s">
        <v>54</v>
      </c>
      <c r="H120" s="3">
        <f t="shared" ca="1" si="62"/>
        <v>1</v>
      </c>
      <c r="I120" s="3">
        <f t="shared" ca="1" si="62"/>
        <v>0</v>
      </c>
      <c r="J120">
        <f t="shared" ca="1" si="63"/>
        <v>0</v>
      </c>
      <c r="K120" s="2">
        <f t="shared" ca="1" si="64"/>
        <v>0.38232303058028572</v>
      </c>
      <c r="L120" s="2">
        <f t="shared" ref="L120:L121" ca="1" si="123">+IFERROR(K120+0.03,"n.a.")</f>
        <v>0.41232303058028574</v>
      </c>
    </row>
    <row r="121" spans="1:12">
      <c r="A121" s="1">
        <f ca="1">+RANDBETWEEN(Apoyo!$P$2,Apoyo!$P$3)</f>
        <v>45951</v>
      </c>
      <c r="B121" s="1" t="str" cm="1">
        <f t="array" aca="1" ref="B121" ca="1">+INDEX(Apoyo!$B$2:$B$10,RANDBETWEEN(1,9))</f>
        <v>Puente Piedra-Ventanilla</v>
      </c>
      <c r="C121" t="s">
        <v>1</v>
      </c>
      <c r="D121" t="str" cm="1">
        <f t="array" aca="1" ref="D121" ca="1">+IF(OR($B121=Apoyo!$B$2,$B121=Apoyo!$B$6),"Lima",IF($B121=Apoyo!$B$10,INDEX(Apoyo!$D$2:$D$19,RANDBETWEEN(1,18)),IF(OR($B121&lt;&gt;Apoyo!$B$10,$B121&lt;&gt;Apoyo!$B$2,$B121&lt;&gt;Apoyo!$B$6),B121,0)))</f>
        <v>Lima</v>
      </c>
      <c r="E121" t="str">
        <f t="shared" ref="E121" si="124">+IF(C121="Mujer","Femenino",2)</f>
        <v>Femenino</v>
      </c>
      <c r="F121">
        <f t="shared" ca="1" si="61"/>
        <v>60</v>
      </c>
      <c r="G121" t="s">
        <v>54</v>
      </c>
      <c r="H121" s="3">
        <f t="shared" ca="1" si="62"/>
        <v>0</v>
      </c>
      <c r="I121" s="3">
        <f t="shared" ca="1" si="62"/>
        <v>1</v>
      </c>
      <c r="J121">
        <f t="shared" ca="1" si="63"/>
        <v>0</v>
      </c>
      <c r="K121" s="2">
        <f t="shared" ca="1" si="64"/>
        <v>0.6564868406136124</v>
      </c>
      <c r="L121" s="2">
        <f t="shared" ca="1" si="123"/>
        <v>0.68648684061361243</v>
      </c>
    </row>
    <row r="122" spans="1:12">
      <c r="A122" s="1">
        <f ca="1">+RANDBETWEEN(Apoyo!$P$2,Apoyo!$P$3)</f>
        <v>45958</v>
      </c>
      <c r="B122" s="1" t="str" cm="1">
        <f t="array" aca="1" ref="B122" ca="1">+INDEX(Apoyo!$B$2:$B$10,RANDBETWEEN(1,9))</f>
        <v>Puente Piedra-Ventanilla</v>
      </c>
      <c r="C122" t="s">
        <v>1</v>
      </c>
      <c r="D122" t="str" cm="1">
        <f t="array" aca="1" ref="D122" ca="1">+IF(OR($B122=Apoyo!$B$2,$B122=Apoyo!$B$6),"Lima",IF($B122=Apoyo!$B$10,INDEX(Apoyo!$D$2:$D$19,RANDBETWEEN(1,18)),IF(OR($B122&lt;&gt;Apoyo!$B$10,$B122&lt;&gt;Apoyo!$B$2,$B122&lt;&gt;Apoyo!$B$6),B122,0)))</f>
        <v>Lima</v>
      </c>
      <c r="E122" t="str">
        <f>+IF(C122="Mujer","Femenino",2)</f>
        <v>Femenino</v>
      </c>
      <c r="F122">
        <f t="shared" ca="1" si="61"/>
        <v>56</v>
      </c>
      <c r="G122" t="s">
        <v>54</v>
      </c>
      <c r="H122" s="3">
        <f t="shared" ca="1" si="62"/>
        <v>1</v>
      </c>
      <c r="I122" s="3">
        <f t="shared" ca="1" si="62"/>
        <v>0</v>
      </c>
      <c r="J122">
        <f t="shared" ca="1" si="63"/>
        <v>0</v>
      </c>
      <c r="K122" s="2">
        <f t="shared" ca="1" si="64"/>
        <v>0.23169067663560805</v>
      </c>
      <c r="L122" s="2">
        <f t="shared" ref="L122" ca="1" si="125">+IFERROR(K122+0.04,"n.a.")</f>
        <v>0.27169067663560803</v>
      </c>
    </row>
    <row r="123" spans="1:12">
      <c r="A123" s="1">
        <f ca="1">+RANDBETWEEN(Apoyo!$P$2,Apoyo!$P$3)</f>
        <v>45951</v>
      </c>
      <c r="B123" s="1" t="str" cm="1">
        <f t="array" aca="1" ref="B123" ca="1">+INDEX(Apoyo!$B$2:$B$10,RANDBETWEEN(1,9))</f>
        <v>Cajamarca</v>
      </c>
      <c r="C123" t="s">
        <v>2</v>
      </c>
      <c r="D123" t="str" cm="1">
        <f t="array" aca="1" ref="D123" ca="1">+IF(OR($B123=Apoyo!$B$2,$B123=Apoyo!$B$6),"Lima",IF($B123=Apoyo!$B$10,INDEX(Apoyo!$D$2:$D$19,RANDBETWEEN(1,18)),IF(OR($B123&lt;&gt;Apoyo!$B$10,$B123&lt;&gt;Apoyo!$B$2,$B123&lt;&gt;Apoyo!$B$6),B123,0)))</f>
        <v>Cajamarca</v>
      </c>
      <c r="E123" t="s">
        <v>43</v>
      </c>
      <c r="F123">
        <f t="shared" ca="1" si="61"/>
        <v>17</v>
      </c>
      <c r="G123" t="s">
        <v>54</v>
      </c>
      <c r="H123" s="3">
        <f t="shared" ca="1" si="62"/>
        <v>0</v>
      </c>
      <c r="I123" s="3">
        <f t="shared" ca="1" si="62"/>
        <v>1</v>
      </c>
      <c r="J123">
        <f t="shared" ca="1" si="63"/>
        <v>0</v>
      </c>
      <c r="K123" s="2">
        <f t="shared" ca="1" si="64"/>
        <v>0.41662080720015671</v>
      </c>
      <c r="L123" s="2">
        <f t="shared" ref="L123" ca="1" si="126">+IFERROR(K123+0.05,"n.a.")</f>
        <v>0.4666208072001567</v>
      </c>
    </row>
    <row r="124" spans="1:12">
      <c r="A124" s="1">
        <f ca="1">+RANDBETWEEN(Apoyo!$P$2,Apoyo!$P$3)</f>
        <v>45949</v>
      </c>
      <c r="B124" s="1" t="str" cm="1">
        <f t="array" aca="1" ref="B124" ca="1">+INDEX(Apoyo!$B$2:$B$10,RANDBETWEEN(1,9))</f>
        <v>Huánuco</v>
      </c>
      <c r="C124" t="s">
        <v>2</v>
      </c>
      <c r="D124" t="str" cm="1">
        <f t="array" aca="1" ref="D124" ca="1">+IF(OR($B124=Apoyo!$B$2,$B124=Apoyo!$B$6),"Lima",IF($B124=Apoyo!$B$10,INDEX(Apoyo!$D$2:$D$19,RANDBETWEEN(1,18)),IF(OR($B124&lt;&gt;Apoyo!$B$10,$B124&lt;&gt;Apoyo!$B$2,$B124&lt;&gt;Apoyo!$B$6),B124,0)))</f>
        <v>Huánuco</v>
      </c>
      <c r="E124" t="s">
        <v>44</v>
      </c>
      <c r="F124">
        <f t="shared" ca="1" si="61"/>
        <v>13</v>
      </c>
      <c r="G124" t="s">
        <v>54</v>
      </c>
      <c r="H124" s="3">
        <f t="shared" ca="1" si="62"/>
        <v>0</v>
      </c>
      <c r="I124" s="3">
        <f t="shared" ca="1" si="62"/>
        <v>0</v>
      </c>
      <c r="J124">
        <f t="shared" ca="1" si="63"/>
        <v>0</v>
      </c>
      <c r="K124" s="2">
        <f t="shared" ca="1" si="64"/>
        <v>0.28727457102775833</v>
      </c>
      <c r="L124" s="2">
        <f t="shared" ref="L124:L125" ca="1" si="127">+IFERROR(K124+0.03,"n.a.")</f>
        <v>0.31727457102775836</v>
      </c>
    </row>
    <row r="125" spans="1:12">
      <c r="A125" s="1">
        <f ca="1">+RANDBETWEEN(Apoyo!$P$2,Apoyo!$P$3)</f>
        <v>45957</v>
      </c>
      <c r="B125" s="1" t="str" cm="1">
        <f t="array" aca="1" ref="B125" ca="1">+INDEX(Apoyo!$B$2:$B$10,RANDBETWEEN(1,9))</f>
        <v>Puente Piedra-Ventanilla</v>
      </c>
      <c r="C125" t="s">
        <v>1</v>
      </c>
      <c r="D125" t="str" cm="1">
        <f t="array" aca="1" ref="D125" ca="1">+IF(OR($B125=Apoyo!$B$2,$B125=Apoyo!$B$6),"Lima",IF($B125=Apoyo!$B$10,INDEX(Apoyo!$D$2:$D$19,RANDBETWEEN(1,18)),IF(OR($B125&lt;&gt;Apoyo!$B$10,$B125&lt;&gt;Apoyo!$B$2,$B125&lt;&gt;Apoyo!$B$6),B125,0)))</f>
        <v>Lima</v>
      </c>
      <c r="E125" t="str">
        <f t="shared" ref="E125:E126" si="128">+IF(C125="Mujer","Femenino",2)</f>
        <v>Femenino</v>
      </c>
      <c r="F125">
        <f t="shared" ca="1" si="61"/>
        <v>21</v>
      </c>
      <c r="G125" t="s">
        <v>54</v>
      </c>
      <c r="H125" s="3">
        <f t="shared" ca="1" si="62"/>
        <v>0</v>
      </c>
      <c r="I125" s="3">
        <f t="shared" ca="1" si="62"/>
        <v>0</v>
      </c>
      <c r="J125">
        <f t="shared" ca="1" si="63"/>
        <v>0</v>
      </c>
      <c r="K125" s="2">
        <f t="shared" ca="1" si="64"/>
        <v>0.88377882953896258</v>
      </c>
      <c r="L125" s="2">
        <f t="shared" ca="1" si="127"/>
        <v>0.91377882953896261</v>
      </c>
    </row>
    <row r="126" spans="1:12">
      <c r="A126" s="1">
        <f ca="1">+RANDBETWEEN(Apoyo!$P$2,Apoyo!$P$3)</f>
        <v>45945</v>
      </c>
      <c r="B126" s="1" t="str" cm="1">
        <f t="array" aca="1" ref="B126" ca="1">+INDEX(Apoyo!$B$2:$B$10,RANDBETWEEN(1,9))</f>
        <v>Ucayali</v>
      </c>
      <c r="C126" t="s">
        <v>1</v>
      </c>
      <c r="D126" t="str" cm="1">
        <f t="array" aca="1" ref="D126" ca="1">+IF(OR($B126=Apoyo!$B$2,$B126=Apoyo!$B$6),"Lima",IF($B126=Apoyo!$B$10,INDEX(Apoyo!$D$2:$D$19,RANDBETWEEN(1,18)),IF(OR($B126&lt;&gt;Apoyo!$B$10,$B126&lt;&gt;Apoyo!$B$2,$B126&lt;&gt;Apoyo!$B$6),B126,0)))</f>
        <v>Ucayali</v>
      </c>
      <c r="E126" t="str">
        <f t="shared" si="128"/>
        <v>Femenino</v>
      </c>
      <c r="F126">
        <f t="shared" ca="1" si="61"/>
        <v>61</v>
      </c>
      <c r="G126" t="s">
        <v>54</v>
      </c>
      <c r="H126" s="3">
        <f t="shared" ca="1" si="62"/>
        <v>0</v>
      </c>
      <c r="I126" s="3">
        <f t="shared" ca="1" si="62"/>
        <v>0</v>
      </c>
      <c r="J126">
        <f t="shared" ca="1" si="63"/>
        <v>0</v>
      </c>
      <c r="K126" s="2">
        <f t="shared" ca="1" si="64"/>
        <v>0.35040969961809199</v>
      </c>
      <c r="L126" s="2">
        <f t="shared" ca="1" si="77"/>
        <v>0.39040969961809197</v>
      </c>
    </row>
    <row r="127" spans="1:12">
      <c r="A127" s="1">
        <f ca="1">+RANDBETWEEN(Apoyo!$P$2,Apoyo!$P$3)</f>
        <v>45948</v>
      </c>
      <c r="B127" s="1" t="str" cm="1">
        <f t="array" aca="1" ref="B127" ca="1">+INDEX(Apoyo!$B$2:$B$10,RANDBETWEEN(1,9))</f>
        <v>Puente Piedra-Ventanilla</v>
      </c>
      <c r="C127" t="s">
        <v>2</v>
      </c>
      <c r="D127" t="str" cm="1">
        <f t="array" aca="1" ref="D127" ca="1">+IF(OR($B127=Apoyo!$B$2,$B127=Apoyo!$B$6),"Lima",IF($B127=Apoyo!$B$10,INDEX(Apoyo!$D$2:$D$19,RANDBETWEEN(1,18)),IF(OR($B127&lt;&gt;Apoyo!$B$10,$B127&lt;&gt;Apoyo!$B$2,$B127&lt;&gt;Apoyo!$B$6),B127,0)))</f>
        <v>Lima</v>
      </c>
      <c r="E127" t="s">
        <v>44</v>
      </c>
      <c r="F127">
        <f t="shared" ca="1" si="61"/>
        <v>16</v>
      </c>
      <c r="G127" t="s">
        <v>54</v>
      </c>
      <c r="H127" s="3">
        <f t="shared" ca="1" si="62"/>
        <v>0</v>
      </c>
      <c r="I127" s="3">
        <f t="shared" ca="1" si="62"/>
        <v>1</v>
      </c>
      <c r="J127">
        <f t="shared" ca="1" si="63"/>
        <v>0</v>
      </c>
      <c r="K127" s="2">
        <f t="shared" ca="1" si="64"/>
        <v>0.66773719077955163</v>
      </c>
      <c r="L127" s="2">
        <f t="shared" ref="L127" ca="1" si="129">+IFERROR(K127+0.06,"n.a.")</f>
        <v>0.72773719077955157</v>
      </c>
    </row>
    <row r="128" spans="1:12">
      <c r="A128" s="1">
        <f ca="1">+RANDBETWEEN(Apoyo!$P$2,Apoyo!$P$3)</f>
        <v>45950</v>
      </c>
      <c r="B128" s="1" t="str" cm="1">
        <f t="array" aca="1" ref="B128" ca="1">+INDEX(Apoyo!$B$2:$B$10,RANDBETWEEN(1,9))</f>
        <v>Ayacucho</v>
      </c>
      <c r="C128" t="s">
        <v>2</v>
      </c>
      <c r="D128" t="str" cm="1">
        <f t="array" aca="1" ref="D128" ca="1">+IF(OR($B128=Apoyo!$B$2,$B128=Apoyo!$B$6),"Lima",IF($B128=Apoyo!$B$10,INDEX(Apoyo!$D$2:$D$19,RANDBETWEEN(1,18)),IF(OR($B128&lt;&gt;Apoyo!$B$10,$B128&lt;&gt;Apoyo!$B$2,$B128&lt;&gt;Apoyo!$B$6),B128,0)))</f>
        <v>Ayacucho</v>
      </c>
      <c r="E128" t="s">
        <v>43</v>
      </c>
      <c r="F128">
        <f t="shared" ca="1" si="61"/>
        <v>16</v>
      </c>
      <c r="G128" t="str">
        <f ca="1">+CHOOSE(RANDBETWEEN(1,5),Apoyo!$E$3,Apoyo!$E$4,Apoyo!$E$5,Apoyo!$E$6,Apoyo!$E$7)</f>
        <v>Incompleta</v>
      </c>
      <c r="H128" s="3">
        <f t="shared" ca="1" si="62"/>
        <v>0</v>
      </c>
      <c r="I128" s="3">
        <f t="shared" ca="1" si="62"/>
        <v>0</v>
      </c>
      <c r="J128">
        <f t="shared" ca="1" si="63"/>
        <v>0</v>
      </c>
      <c r="K128" s="2" t="str">
        <f t="shared" ca="1" si="64"/>
        <v>n.a.</v>
      </c>
      <c r="L128" s="2" t="str">
        <f t="shared" ref="L128" ca="1" si="130">+IFERROR(K128+0.03,"n.a.")</f>
        <v>n.a.</v>
      </c>
    </row>
    <row r="129" spans="1:12">
      <c r="A129" s="1">
        <f ca="1">+RANDBETWEEN(Apoyo!$P$2,Apoyo!$P$3)</f>
        <v>45950</v>
      </c>
      <c r="B129" s="1" t="str" cm="1">
        <f t="array" aca="1" ref="B129" ca="1">+INDEX(Apoyo!$B$2:$B$10,RANDBETWEEN(1,9))</f>
        <v>Resto del Perú</v>
      </c>
      <c r="C129" t="s">
        <v>1</v>
      </c>
      <c r="D129" t="str" cm="1">
        <f t="array" aca="1" ref="D129" ca="1">+IF(OR($B129=Apoyo!$B$2,$B129=Apoyo!$B$6),"Lima",IF($B129=Apoyo!$B$10,INDEX(Apoyo!$D$2:$D$19,RANDBETWEEN(1,18)),IF(OR($B129&lt;&gt;Apoyo!$B$10,$B129&lt;&gt;Apoyo!$B$2,$B129&lt;&gt;Apoyo!$B$6),B129,0)))</f>
        <v>Ica</v>
      </c>
      <c r="E129" t="str">
        <f t="shared" ref="E129" si="131">+IF(C129="Mujer","Femenino",2)</f>
        <v>Femenino</v>
      </c>
      <c r="F129">
        <f t="shared" ca="1" si="61"/>
        <v>36</v>
      </c>
      <c r="G129" t="str">
        <f ca="1">+CHOOSE(RANDBETWEEN(1,5),Apoyo!$E$3,Apoyo!$E$4,Apoyo!$E$5,Apoyo!$E$6,Apoyo!$E$7)</f>
        <v>Ausente</v>
      </c>
      <c r="H129" s="3">
        <f t="shared" ca="1" si="62"/>
        <v>0</v>
      </c>
      <c r="I129" s="3">
        <f t="shared" ca="1" si="62"/>
        <v>0</v>
      </c>
      <c r="J129">
        <f t="shared" ca="1" si="63"/>
        <v>0</v>
      </c>
      <c r="K129" s="2" t="str">
        <f t="shared" ca="1" si="64"/>
        <v>n.a.</v>
      </c>
      <c r="L129" s="2" t="str">
        <f t="shared" ref="L129" ca="1" si="132">+IFERROR(K129+0.05,"n.a.")</f>
        <v>n.a.</v>
      </c>
    </row>
    <row r="130" spans="1:12">
      <c r="A130" s="1">
        <f ca="1">+RANDBETWEEN(Apoyo!$P$2,Apoyo!$P$3)</f>
        <v>45946</v>
      </c>
      <c r="B130" s="1" t="str" cm="1">
        <f t="array" aca="1" ref="B130" ca="1">+INDEX(Apoyo!$B$2:$B$10,RANDBETWEEN(1,9))</f>
        <v>Ayacucho</v>
      </c>
      <c r="C130" t="s">
        <v>2</v>
      </c>
      <c r="D130" t="str" cm="1">
        <f t="array" aca="1" ref="D130" ca="1">+IF(OR($B130=Apoyo!$B$2,$B130=Apoyo!$B$6),"Lima",IF($B130=Apoyo!$B$10,INDEX(Apoyo!$D$2:$D$19,RANDBETWEEN(1,18)),IF(OR($B130&lt;&gt;Apoyo!$B$10,$B130&lt;&gt;Apoyo!$B$2,$B130&lt;&gt;Apoyo!$B$6),B130,0)))</f>
        <v>Ayacucho</v>
      </c>
      <c r="E130" t="s">
        <v>44</v>
      </c>
      <c r="F130">
        <f t="shared" ref="F130:F193" ca="1" si="133">+IF(C130="Mujer",RANDBETWEEN(18,65),RANDBETWEEN(12,17))</f>
        <v>17</v>
      </c>
      <c r="G130" t="s">
        <v>54</v>
      </c>
      <c r="H130" s="3">
        <f t="shared" ca="1" si="62"/>
        <v>0</v>
      </c>
      <c r="I130" s="3">
        <f t="shared" ca="1" si="62"/>
        <v>0</v>
      </c>
      <c r="J130">
        <f t="shared" ca="1" si="63"/>
        <v>0</v>
      </c>
      <c r="K130" s="2">
        <f t="shared" ca="1" si="64"/>
        <v>0.68500941494215584</v>
      </c>
      <c r="L130" s="2">
        <f t="shared" ref="L130" ca="1" si="134">+IFERROR(K130+0.04,"n.a.")</f>
        <v>0.72500941494215587</v>
      </c>
    </row>
    <row r="131" spans="1:12">
      <c r="A131" s="1">
        <f ca="1">+RANDBETWEEN(Apoyo!$P$2,Apoyo!$P$3)</f>
        <v>45946</v>
      </c>
      <c r="B131" s="1" t="str" cm="1">
        <f t="array" aca="1" ref="B131" ca="1">+INDEX(Apoyo!$B$2:$B$10,RANDBETWEEN(1,9))</f>
        <v>Cajamarca</v>
      </c>
      <c r="C131" t="s">
        <v>1</v>
      </c>
      <c r="D131" t="str" cm="1">
        <f t="array" aca="1" ref="D131" ca="1">+IF(OR($B131=Apoyo!$B$2,$B131=Apoyo!$B$6),"Lima",IF($B131=Apoyo!$B$10,INDEX(Apoyo!$D$2:$D$19,RANDBETWEEN(1,18)),IF(OR($B131&lt;&gt;Apoyo!$B$10,$B131&lt;&gt;Apoyo!$B$2,$B131&lt;&gt;Apoyo!$B$6),B131,0)))</f>
        <v>Cajamarca</v>
      </c>
      <c r="E131" t="str">
        <f t="shared" ref="E131" si="135">+IF(C131="Mujer","Femenino",2)</f>
        <v>Femenino</v>
      </c>
      <c r="F131">
        <f t="shared" ca="1" si="133"/>
        <v>57</v>
      </c>
      <c r="G131" t="str">
        <f ca="1">+CHOOSE(RANDBETWEEN(1,5),Apoyo!$E$3,Apoyo!$E$4,Apoyo!$E$5,Apoyo!$E$6,Apoyo!$E$7)</f>
        <v>Rechazada</v>
      </c>
      <c r="H131" s="3">
        <f t="shared" ref="H131:I162" ca="1" si="136">+IF($G131&lt;&gt;"Completa",IF($G131&lt;&gt;"Discapacidad",0,RANDBETWEEN(0,1)),RANDBETWEEN(0,1))</f>
        <v>0</v>
      </c>
      <c r="I131" s="3">
        <f t="shared" ca="1" si="136"/>
        <v>0</v>
      </c>
      <c r="J131">
        <f t="shared" ref="J131:J194" ca="1" si="137">+IF(OR(H131=1,I131=1),RANDBETWEEN(0,1),0)</f>
        <v>0</v>
      </c>
      <c r="K131" s="2" t="str">
        <f t="shared" ref="K131:K194" ca="1" si="138">IF(G131&lt;&gt;"Completa","n.a.",RAND())</f>
        <v>n.a.</v>
      </c>
      <c r="L131" s="2" t="str">
        <f t="shared" ref="L131" ca="1" si="139">+IFERROR(K131+0.05,"n.a.")</f>
        <v>n.a.</v>
      </c>
    </row>
    <row r="132" spans="1:12">
      <c r="A132" s="1">
        <f ca="1">+RANDBETWEEN(Apoyo!$P$2,Apoyo!$P$3)</f>
        <v>45949</v>
      </c>
      <c r="B132" s="1" t="str" cm="1">
        <f t="array" aca="1" ref="B132" ca="1">+INDEX(Apoyo!$B$2:$B$10,RANDBETWEEN(1,9))</f>
        <v>Resto del Perú</v>
      </c>
      <c r="C132" t="s">
        <v>1</v>
      </c>
      <c r="D132" t="str" cm="1">
        <f t="array" aca="1" ref="D132" ca="1">+IF(OR($B132=Apoyo!$B$2,$B132=Apoyo!$B$6),"Lima",IF($B132=Apoyo!$B$10,INDEX(Apoyo!$D$2:$D$19,RANDBETWEEN(1,18)),IF(OR($B132&lt;&gt;Apoyo!$B$10,$B132&lt;&gt;Apoyo!$B$2,$B132&lt;&gt;Apoyo!$B$6),B132,0)))</f>
        <v>Amazonas</v>
      </c>
      <c r="E132" t="str">
        <f>+IF(C132="Mujer","Femenino",2)</f>
        <v>Femenino</v>
      </c>
      <c r="F132">
        <f t="shared" ca="1" si="133"/>
        <v>62</v>
      </c>
      <c r="G132" t="s">
        <v>54</v>
      </c>
      <c r="H132" s="3">
        <f t="shared" ca="1" si="136"/>
        <v>0</v>
      </c>
      <c r="I132" s="3">
        <f t="shared" ca="1" si="136"/>
        <v>1</v>
      </c>
      <c r="J132">
        <f t="shared" ca="1" si="137"/>
        <v>1</v>
      </c>
      <c r="K132" s="2">
        <f t="shared" ca="1" si="138"/>
        <v>0.45966725530226482</v>
      </c>
      <c r="L132" s="2">
        <f t="shared" ref="L132:L133" ca="1" si="140">+IFERROR(K132+0.03,"n.a.")</f>
        <v>0.48966725530226485</v>
      </c>
    </row>
    <row r="133" spans="1:12">
      <c r="A133" s="1">
        <f ca="1">+RANDBETWEEN(Apoyo!$P$2,Apoyo!$P$3)</f>
        <v>45946</v>
      </c>
      <c r="B133" s="1" t="str" cm="1">
        <f t="array" aca="1" ref="B133" ca="1">+INDEX(Apoyo!$B$2:$B$10,RANDBETWEEN(1,9))</f>
        <v>Ayacucho</v>
      </c>
      <c r="C133" t="s">
        <v>2</v>
      </c>
      <c r="D133" t="str" cm="1">
        <f t="array" aca="1" ref="D133" ca="1">+IF(OR($B133=Apoyo!$B$2,$B133=Apoyo!$B$6),"Lima",IF($B133=Apoyo!$B$10,INDEX(Apoyo!$D$2:$D$19,RANDBETWEEN(1,18)),IF(OR($B133&lt;&gt;Apoyo!$B$10,$B133&lt;&gt;Apoyo!$B$2,$B133&lt;&gt;Apoyo!$B$6),B133,0)))</f>
        <v>Ayacucho</v>
      </c>
      <c r="E133" t="s">
        <v>43</v>
      </c>
      <c r="F133">
        <f t="shared" ca="1" si="133"/>
        <v>16</v>
      </c>
      <c r="G133" t="str">
        <f ca="1">+CHOOSE(RANDBETWEEN(1,5),Apoyo!$E$3,Apoyo!$E$4,Apoyo!$E$5,Apoyo!$E$6,Apoyo!$E$7)</f>
        <v>Otro</v>
      </c>
      <c r="H133" s="3">
        <f t="shared" ca="1" si="136"/>
        <v>0</v>
      </c>
      <c r="I133" s="3">
        <f t="shared" ca="1" si="136"/>
        <v>0</v>
      </c>
      <c r="J133">
        <f t="shared" ca="1" si="137"/>
        <v>0</v>
      </c>
      <c r="K133" s="2" t="str">
        <f t="shared" ca="1" si="138"/>
        <v>n.a.</v>
      </c>
      <c r="L133" s="2" t="str">
        <f t="shared" ca="1" si="140"/>
        <v>n.a.</v>
      </c>
    </row>
    <row r="134" spans="1:12">
      <c r="A134" s="1">
        <f ca="1">+RANDBETWEEN(Apoyo!$P$2,Apoyo!$P$3)</f>
        <v>45958</v>
      </c>
      <c r="B134" s="1" t="str" cm="1">
        <f t="array" aca="1" ref="B134" ca="1">+INDEX(Apoyo!$B$2:$B$10,RANDBETWEEN(1,9))</f>
        <v>Cajamarca</v>
      </c>
      <c r="C134" t="s">
        <v>2</v>
      </c>
      <c r="D134" t="str" cm="1">
        <f t="array" aca="1" ref="D134" ca="1">+IF(OR($B134=Apoyo!$B$2,$B134=Apoyo!$B$6),"Lima",IF($B134=Apoyo!$B$10,INDEX(Apoyo!$D$2:$D$19,RANDBETWEEN(1,18)),IF(OR($B134&lt;&gt;Apoyo!$B$10,$B134&lt;&gt;Apoyo!$B$2,$B134&lt;&gt;Apoyo!$B$6),B134,0)))</f>
        <v>Cajamarca</v>
      </c>
      <c r="E134" t="s">
        <v>44</v>
      </c>
      <c r="F134">
        <f t="shared" ca="1" si="133"/>
        <v>14</v>
      </c>
      <c r="G134" t="str">
        <f ca="1">+CHOOSE(RANDBETWEEN(1,5),Apoyo!$E$3,Apoyo!$E$4,Apoyo!$E$5,Apoyo!$E$6,Apoyo!$E$7)</f>
        <v>Otro</v>
      </c>
      <c r="H134" s="3">
        <f t="shared" ca="1" si="136"/>
        <v>0</v>
      </c>
      <c r="I134" s="3">
        <f t="shared" ca="1" si="136"/>
        <v>0</v>
      </c>
      <c r="J134">
        <f t="shared" ca="1" si="137"/>
        <v>0</v>
      </c>
      <c r="K134" s="2" t="str">
        <f t="shared" ca="1" si="138"/>
        <v>n.a.</v>
      </c>
      <c r="L134" s="2" t="str">
        <f t="shared" ref="L134" ca="1" si="141">+IFERROR(K134+0.04,"n.a.")</f>
        <v>n.a.</v>
      </c>
    </row>
    <row r="135" spans="1:12">
      <c r="A135" s="1">
        <f ca="1">+RANDBETWEEN(Apoyo!$P$2,Apoyo!$P$3)</f>
        <v>45951</v>
      </c>
      <c r="B135" s="1" t="str" cm="1">
        <f t="array" aca="1" ref="B135" ca="1">+INDEX(Apoyo!$B$2:$B$10,RANDBETWEEN(1,9))</f>
        <v>Resto del Perú</v>
      </c>
      <c r="C135" t="s">
        <v>1</v>
      </c>
      <c r="D135" t="str" cm="1">
        <f t="array" aca="1" ref="D135" ca="1">+IF(OR($B135=Apoyo!$B$2,$B135=Apoyo!$B$6),"Lima",IF($B135=Apoyo!$B$10,INDEX(Apoyo!$D$2:$D$19,RANDBETWEEN(1,18)),IF(OR($B135&lt;&gt;Apoyo!$B$10,$B135&lt;&gt;Apoyo!$B$2,$B135&lt;&gt;Apoyo!$B$6),B135,0)))</f>
        <v>Madre de Dios</v>
      </c>
      <c r="E135" t="str">
        <f t="shared" ref="E135:E136" si="142">+IF(C135="Mujer","Femenino",2)</f>
        <v>Femenino</v>
      </c>
      <c r="F135">
        <f t="shared" ca="1" si="133"/>
        <v>48</v>
      </c>
      <c r="G135" t="str">
        <f ca="1">+CHOOSE(RANDBETWEEN(1,5),Apoyo!$E$3,Apoyo!$E$4,Apoyo!$E$5,Apoyo!$E$6,Apoyo!$E$7)</f>
        <v>Aplazada</v>
      </c>
      <c r="H135" s="3">
        <f t="shared" ca="1" si="136"/>
        <v>0</v>
      </c>
      <c r="I135" s="3">
        <f t="shared" ca="1" si="136"/>
        <v>0</v>
      </c>
      <c r="J135">
        <f t="shared" ca="1" si="137"/>
        <v>0</v>
      </c>
      <c r="K135" s="2" t="str">
        <f t="shared" ca="1" si="138"/>
        <v>n.a.</v>
      </c>
      <c r="L135" s="2" t="str">
        <f t="shared" ref="L135" ca="1" si="143">+IFERROR(K135+0.05,"n.a.")</f>
        <v>n.a.</v>
      </c>
    </row>
    <row r="136" spans="1:12">
      <c r="A136" s="1">
        <f ca="1">+RANDBETWEEN(Apoyo!$P$2,Apoyo!$P$3)</f>
        <v>45948</v>
      </c>
      <c r="B136" s="1" t="str" cm="1">
        <f t="array" aca="1" ref="B136" ca="1">+INDEX(Apoyo!$B$2:$B$10,RANDBETWEEN(1,9))</f>
        <v>Resto del Perú</v>
      </c>
      <c r="C136" t="s">
        <v>1</v>
      </c>
      <c r="D136" t="str" cm="1">
        <f t="array" aca="1" ref="D136" ca="1">+IF(OR($B136=Apoyo!$B$2,$B136=Apoyo!$B$6),"Lima",IF($B136=Apoyo!$B$10,INDEX(Apoyo!$D$2:$D$19,RANDBETWEEN(1,18)),IF(OR($B136&lt;&gt;Apoyo!$B$10,$B136&lt;&gt;Apoyo!$B$2,$B136&lt;&gt;Apoyo!$B$6),B136,0)))</f>
        <v>Piura</v>
      </c>
      <c r="E136" t="str">
        <f t="shared" si="142"/>
        <v>Femenino</v>
      </c>
      <c r="F136">
        <f t="shared" ca="1" si="133"/>
        <v>48</v>
      </c>
      <c r="G136" t="str">
        <f ca="1">+CHOOSE(RANDBETWEEN(1,5),Apoyo!$E$3,Apoyo!$E$4,Apoyo!$E$5,Apoyo!$E$6,Apoyo!$E$7)</f>
        <v>Rechazada</v>
      </c>
      <c r="H136" s="3">
        <f t="shared" ca="1" si="136"/>
        <v>0</v>
      </c>
      <c r="I136" s="3">
        <f t="shared" ca="1" si="136"/>
        <v>0</v>
      </c>
      <c r="J136">
        <f t="shared" ca="1" si="137"/>
        <v>0</v>
      </c>
      <c r="K136" s="2" t="str">
        <f t="shared" ca="1" si="138"/>
        <v>n.a.</v>
      </c>
      <c r="L136" s="2" t="str">
        <f t="shared" ref="L136:L137" ca="1" si="144">+IFERROR(K136+0.03,"n.a.")</f>
        <v>n.a.</v>
      </c>
    </row>
    <row r="137" spans="1:12">
      <c r="A137" s="1">
        <f ca="1">+RANDBETWEEN(Apoyo!$P$2,Apoyo!$P$3)</f>
        <v>45952</v>
      </c>
      <c r="B137" s="1" t="str" cm="1">
        <f t="array" aca="1" ref="B137" ca="1">+INDEX(Apoyo!$B$2:$B$10,RANDBETWEEN(1,9))</f>
        <v>Cajamarca</v>
      </c>
      <c r="C137" t="s">
        <v>2</v>
      </c>
      <c r="D137" t="str" cm="1">
        <f t="array" aca="1" ref="D137" ca="1">+IF(OR($B137=Apoyo!$B$2,$B137=Apoyo!$B$6),"Lima",IF($B137=Apoyo!$B$10,INDEX(Apoyo!$D$2:$D$19,RANDBETWEEN(1,18)),IF(OR($B137&lt;&gt;Apoyo!$B$10,$B137&lt;&gt;Apoyo!$B$2,$B137&lt;&gt;Apoyo!$B$6),B137,0)))</f>
        <v>Cajamarca</v>
      </c>
      <c r="E137" t="s">
        <v>44</v>
      </c>
      <c r="F137">
        <f t="shared" ca="1" si="133"/>
        <v>17</v>
      </c>
      <c r="G137" t="s">
        <v>54</v>
      </c>
      <c r="H137" s="3">
        <f t="shared" ca="1" si="136"/>
        <v>1</v>
      </c>
      <c r="I137" s="3">
        <f t="shared" ca="1" si="136"/>
        <v>0</v>
      </c>
      <c r="J137">
        <f t="shared" ca="1" si="137"/>
        <v>0</v>
      </c>
      <c r="K137" s="2">
        <f t="shared" ca="1" si="138"/>
        <v>0.6922290229526874</v>
      </c>
      <c r="L137" s="2">
        <f t="shared" ca="1" si="144"/>
        <v>0.72222902295268743</v>
      </c>
    </row>
    <row r="138" spans="1:12">
      <c r="A138" s="1">
        <f ca="1">+RANDBETWEEN(Apoyo!$P$2,Apoyo!$P$3)</f>
        <v>45956</v>
      </c>
      <c r="B138" s="1" t="str" cm="1">
        <f t="array" aca="1" ref="B138" ca="1">+INDEX(Apoyo!$B$2:$B$10,RANDBETWEEN(1,9))</f>
        <v>Loreto</v>
      </c>
      <c r="C138" t="s">
        <v>2</v>
      </c>
      <c r="D138" t="str" cm="1">
        <f t="array" aca="1" ref="D138" ca="1">+IF(OR($B138=Apoyo!$B$2,$B138=Apoyo!$B$6),"Lima",IF($B138=Apoyo!$B$10,INDEX(Apoyo!$D$2:$D$19,RANDBETWEEN(1,18)),IF(OR($B138&lt;&gt;Apoyo!$B$10,$B138&lt;&gt;Apoyo!$B$2,$B138&lt;&gt;Apoyo!$B$6),B138,0)))</f>
        <v>Loreto</v>
      </c>
      <c r="E138" t="s">
        <v>43</v>
      </c>
      <c r="F138">
        <f t="shared" ca="1" si="133"/>
        <v>12</v>
      </c>
      <c r="G138" t="str">
        <f ca="1">+CHOOSE(RANDBETWEEN(1,5),Apoyo!$E$3,Apoyo!$E$4,Apoyo!$E$5,Apoyo!$E$6,Apoyo!$E$7)</f>
        <v>Rechazada</v>
      </c>
      <c r="H138" s="3">
        <f t="shared" ca="1" si="136"/>
        <v>0</v>
      </c>
      <c r="I138" s="3">
        <f t="shared" ca="1" si="136"/>
        <v>0</v>
      </c>
      <c r="J138">
        <f t="shared" ca="1" si="137"/>
        <v>0</v>
      </c>
      <c r="K138" s="2" t="str">
        <f t="shared" ca="1" si="138"/>
        <v>n.a.</v>
      </c>
      <c r="L138" s="2" t="str">
        <f t="shared" ca="1" si="77"/>
        <v>n.a.</v>
      </c>
    </row>
    <row r="139" spans="1:12">
      <c r="A139" s="1">
        <f ca="1">+RANDBETWEEN(Apoyo!$P$2,Apoyo!$P$3)</f>
        <v>45950</v>
      </c>
      <c r="B139" s="1" t="str" cm="1">
        <f t="array" aca="1" ref="B139" ca="1">+INDEX(Apoyo!$B$2:$B$10,RANDBETWEEN(1,9))</f>
        <v>Ucayali</v>
      </c>
      <c r="C139" t="s">
        <v>1</v>
      </c>
      <c r="D139" t="str" cm="1">
        <f t="array" aca="1" ref="D139" ca="1">+IF(OR($B139=Apoyo!$B$2,$B139=Apoyo!$B$6),"Lima",IF($B139=Apoyo!$B$10,INDEX(Apoyo!$D$2:$D$19,RANDBETWEEN(1,18)),IF(OR($B139&lt;&gt;Apoyo!$B$10,$B139&lt;&gt;Apoyo!$B$2,$B139&lt;&gt;Apoyo!$B$6),B139,0)))</f>
        <v>Ucayali</v>
      </c>
      <c r="E139" t="str">
        <f t="shared" ref="E139" si="145">+IF(C139="Mujer","Femenino",2)</f>
        <v>Femenino</v>
      </c>
      <c r="F139">
        <f t="shared" ca="1" si="133"/>
        <v>45</v>
      </c>
      <c r="G139" t="str">
        <f ca="1">+CHOOSE(RANDBETWEEN(1,5),Apoyo!$E$3,Apoyo!$E$4,Apoyo!$E$5,Apoyo!$E$6,Apoyo!$E$7)</f>
        <v>Ausente</v>
      </c>
      <c r="H139" s="3">
        <f t="shared" ca="1" si="136"/>
        <v>0</v>
      </c>
      <c r="I139" s="3">
        <f t="shared" ca="1" si="136"/>
        <v>0</v>
      </c>
      <c r="J139">
        <f t="shared" ca="1" si="137"/>
        <v>0</v>
      </c>
      <c r="K139" s="2" t="str">
        <f t="shared" ca="1" si="138"/>
        <v>n.a.</v>
      </c>
      <c r="L139" s="2" t="str">
        <f t="shared" ref="L139" ca="1" si="146">+IFERROR(K139+0.06,"n.a.")</f>
        <v>n.a.</v>
      </c>
    </row>
    <row r="140" spans="1:12">
      <c r="A140" s="1">
        <f ca="1">+RANDBETWEEN(Apoyo!$P$2,Apoyo!$P$3)</f>
        <v>45955</v>
      </c>
      <c r="B140" s="1" t="str" cm="1">
        <f t="array" aca="1" ref="B140" ca="1">+INDEX(Apoyo!$B$2:$B$10,RANDBETWEEN(1,9))</f>
        <v>Puente Piedra-Ventanilla</v>
      </c>
      <c r="C140" t="s">
        <v>2</v>
      </c>
      <c r="D140" t="str" cm="1">
        <f t="array" aca="1" ref="D140" ca="1">+IF(OR($B140=Apoyo!$B$2,$B140=Apoyo!$B$6),"Lima",IF($B140=Apoyo!$B$10,INDEX(Apoyo!$D$2:$D$19,RANDBETWEEN(1,18)),IF(OR($B140&lt;&gt;Apoyo!$B$10,$B140&lt;&gt;Apoyo!$B$2,$B140&lt;&gt;Apoyo!$B$6),B140,0)))</f>
        <v>Lima</v>
      </c>
      <c r="E140" t="s">
        <v>44</v>
      </c>
      <c r="F140">
        <f t="shared" ca="1" si="133"/>
        <v>17</v>
      </c>
      <c r="G140" t="s">
        <v>54</v>
      </c>
      <c r="H140" s="3">
        <f t="shared" ca="1" si="136"/>
        <v>1</v>
      </c>
      <c r="I140" s="3">
        <f t="shared" ca="1" si="136"/>
        <v>1</v>
      </c>
      <c r="J140">
        <f t="shared" ca="1" si="137"/>
        <v>0</v>
      </c>
      <c r="K140" s="2">
        <f t="shared" ca="1" si="138"/>
        <v>0.49400200113795523</v>
      </c>
      <c r="L140" s="2">
        <f t="shared" ref="L140" ca="1" si="147">+IFERROR(K140+0.03,"n.a.")</f>
        <v>0.52400200113795525</v>
      </c>
    </row>
    <row r="141" spans="1:12">
      <c r="A141" s="1">
        <f ca="1">+RANDBETWEEN(Apoyo!$P$2,Apoyo!$P$3)</f>
        <v>45950</v>
      </c>
      <c r="B141" s="1" t="str" cm="1">
        <f t="array" aca="1" ref="B141" ca="1">+INDEX(Apoyo!$B$2:$B$10,RANDBETWEEN(1,9))</f>
        <v>Puente Piedra-Ventanilla</v>
      </c>
      <c r="C141" t="s">
        <v>1</v>
      </c>
      <c r="D141" t="str" cm="1">
        <f t="array" aca="1" ref="D141" ca="1">+IF(OR($B141=Apoyo!$B$2,$B141=Apoyo!$B$6),"Lima",IF($B141=Apoyo!$B$10,INDEX(Apoyo!$D$2:$D$19,RANDBETWEEN(1,18)),IF(OR($B141&lt;&gt;Apoyo!$B$10,$B141&lt;&gt;Apoyo!$B$2,$B141&lt;&gt;Apoyo!$B$6),B141,0)))</f>
        <v>Lima</v>
      </c>
      <c r="E141" t="str">
        <f t="shared" ref="E141" si="148">+IF(C141="Mujer","Femenino",2)</f>
        <v>Femenino</v>
      </c>
      <c r="F141">
        <f t="shared" ca="1" si="133"/>
        <v>44</v>
      </c>
      <c r="G141" t="s">
        <v>54</v>
      </c>
      <c r="H141" s="3">
        <f t="shared" ca="1" si="136"/>
        <v>1</v>
      </c>
      <c r="I141" s="3">
        <f t="shared" ca="1" si="136"/>
        <v>1</v>
      </c>
      <c r="J141">
        <f t="shared" ca="1" si="137"/>
        <v>1</v>
      </c>
      <c r="K141" s="2">
        <f t="shared" ca="1" si="138"/>
        <v>0.69107164194236947</v>
      </c>
      <c r="L141" s="2">
        <f t="shared" ref="L141" ca="1" si="149">+IFERROR(K141+0.05,"n.a.")</f>
        <v>0.74107164194236952</v>
      </c>
    </row>
    <row r="142" spans="1:12">
      <c r="A142" s="1">
        <f ca="1">+RANDBETWEEN(Apoyo!$P$2,Apoyo!$P$3)</f>
        <v>45946</v>
      </c>
      <c r="B142" s="1" t="str" cm="1">
        <f t="array" aca="1" ref="B142" ca="1">+INDEX(Apoyo!$B$2:$B$10,RANDBETWEEN(1,9))</f>
        <v>Ayacucho</v>
      </c>
      <c r="C142" t="s">
        <v>1</v>
      </c>
      <c r="D142" t="str" cm="1">
        <f t="array" aca="1" ref="D142" ca="1">+IF(OR($B142=Apoyo!$B$2,$B142=Apoyo!$B$6),"Lima",IF($B142=Apoyo!$B$10,INDEX(Apoyo!$D$2:$D$19,RANDBETWEEN(1,18)),IF(OR($B142&lt;&gt;Apoyo!$B$10,$B142&lt;&gt;Apoyo!$B$2,$B142&lt;&gt;Apoyo!$B$6),B142,0)))</f>
        <v>Ayacucho</v>
      </c>
      <c r="E142" t="str">
        <f>+IF(C142="Mujer","Femenino",2)</f>
        <v>Femenino</v>
      </c>
      <c r="F142">
        <f t="shared" ca="1" si="133"/>
        <v>61</v>
      </c>
      <c r="G142" t="s">
        <v>54</v>
      </c>
      <c r="H142" s="3">
        <f t="shared" ca="1" si="136"/>
        <v>1</v>
      </c>
      <c r="I142" s="3">
        <f t="shared" ca="1" si="136"/>
        <v>1</v>
      </c>
      <c r="J142">
        <f t="shared" ca="1" si="137"/>
        <v>1</v>
      </c>
      <c r="K142" s="2">
        <f t="shared" ca="1" si="138"/>
        <v>0.80301679994154762</v>
      </c>
      <c r="L142" s="2">
        <f t="shared" ref="L142" ca="1" si="150">+IFERROR(K142+0.04,"n.a.")</f>
        <v>0.84301679994154766</v>
      </c>
    </row>
    <row r="143" spans="1:12">
      <c r="A143" s="1">
        <f ca="1">+RANDBETWEEN(Apoyo!$P$2,Apoyo!$P$3)</f>
        <v>45946</v>
      </c>
      <c r="B143" s="1" t="str" cm="1">
        <f t="array" aca="1" ref="B143" ca="1">+INDEX(Apoyo!$B$2:$B$10,RANDBETWEEN(1,9))</f>
        <v>Cajamarca</v>
      </c>
      <c r="C143" t="s">
        <v>2</v>
      </c>
      <c r="D143" t="str" cm="1">
        <f t="array" aca="1" ref="D143" ca="1">+IF(OR($B143=Apoyo!$B$2,$B143=Apoyo!$B$6),"Lima",IF($B143=Apoyo!$B$10,INDEX(Apoyo!$D$2:$D$19,RANDBETWEEN(1,18)),IF(OR($B143&lt;&gt;Apoyo!$B$10,$B143&lt;&gt;Apoyo!$B$2,$B143&lt;&gt;Apoyo!$B$6),B143,0)))</f>
        <v>Cajamarca</v>
      </c>
      <c r="E143" t="s">
        <v>43</v>
      </c>
      <c r="F143">
        <f t="shared" ca="1" si="133"/>
        <v>12</v>
      </c>
      <c r="G143" t="s">
        <v>54</v>
      </c>
      <c r="H143" s="3">
        <f t="shared" ca="1" si="136"/>
        <v>1</v>
      </c>
      <c r="I143" s="3">
        <f t="shared" ca="1" si="136"/>
        <v>1</v>
      </c>
      <c r="J143">
        <f t="shared" ca="1" si="137"/>
        <v>1</v>
      </c>
      <c r="K143" s="2">
        <f t="shared" ca="1" si="138"/>
        <v>0.9961888683015605</v>
      </c>
      <c r="L143" s="2">
        <f t="shared" ref="L143" ca="1" si="151">+IFERROR(K143+0.05,"n.a.")</f>
        <v>1.0461888683015605</v>
      </c>
    </row>
    <row r="144" spans="1:12">
      <c r="A144" s="1">
        <f ca="1">+RANDBETWEEN(Apoyo!$P$2,Apoyo!$P$3)</f>
        <v>45951</v>
      </c>
      <c r="B144" s="1" t="str" cm="1">
        <f t="array" aca="1" ref="B144" ca="1">+INDEX(Apoyo!$B$2:$B$10,RANDBETWEEN(1,9))</f>
        <v>Ayacucho</v>
      </c>
      <c r="C144" t="s">
        <v>2</v>
      </c>
      <c r="D144" t="str" cm="1">
        <f t="array" aca="1" ref="D144" ca="1">+IF(OR($B144=Apoyo!$B$2,$B144=Apoyo!$B$6),"Lima",IF($B144=Apoyo!$B$10,INDEX(Apoyo!$D$2:$D$19,RANDBETWEEN(1,18)),IF(OR($B144&lt;&gt;Apoyo!$B$10,$B144&lt;&gt;Apoyo!$B$2,$B144&lt;&gt;Apoyo!$B$6),B144,0)))</f>
        <v>Ayacucho</v>
      </c>
      <c r="E144" t="s">
        <v>44</v>
      </c>
      <c r="F144">
        <f t="shared" ca="1" si="133"/>
        <v>16</v>
      </c>
      <c r="G144" t="s">
        <v>54</v>
      </c>
      <c r="H144" s="3">
        <f t="shared" ca="1" si="136"/>
        <v>0</v>
      </c>
      <c r="I144" s="3">
        <f t="shared" ca="1" si="136"/>
        <v>1</v>
      </c>
      <c r="J144">
        <f t="shared" ca="1" si="137"/>
        <v>1</v>
      </c>
      <c r="K144" s="2">
        <f t="shared" ca="1" si="138"/>
        <v>0.60537998313289554</v>
      </c>
      <c r="L144" s="2">
        <f t="shared" ref="L144:L145" ca="1" si="152">+IFERROR(K144+0.03,"n.a.")</f>
        <v>0.63537998313289556</v>
      </c>
    </row>
    <row r="145" spans="1:12">
      <c r="A145" s="1">
        <f ca="1">+RANDBETWEEN(Apoyo!$P$2,Apoyo!$P$3)</f>
        <v>45956</v>
      </c>
      <c r="B145" s="1" t="str" cm="1">
        <f t="array" aca="1" ref="B145" ca="1">+INDEX(Apoyo!$B$2:$B$10,RANDBETWEEN(1,9))</f>
        <v>Lima Norte</v>
      </c>
      <c r="C145" t="s">
        <v>1</v>
      </c>
      <c r="D145" t="str" cm="1">
        <f t="array" aca="1" ref="D145" ca="1">+IF(OR($B145=Apoyo!$B$2,$B145=Apoyo!$B$6),"Lima",IF($B145=Apoyo!$B$10,INDEX(Apoyo!$D$2:$D$19,RANDBETWEEN(1,18)),IF(OR($B145&lt;&gt;Apoyo!$B$10,$B145&lt;&gt;Apoyo!$B$2,$B145&lt;&gt;Apoyo!$B$6),B145,0)))</f>
        <v>Lima</v>
      </c>
      <c r="E145" t="str">
        <f t="shared" ref="E145:E146" si="153">+IF(C145="Mujer","Femenino",2)</f>
        <v>Femenino</v>
      </c>
      <c r="F145">
        <f t="shared" ca="1" si="133"/>
        <v>20</v>
      </c>
      <c r="G145" t="s">
        <v>54</v>
      </c>
      <c r="H145" s="3">
        <f t="shared" ca="1" si="136"/>
        <v>0</v>
      </c>
      <c r="I145" s="3">
        <f t="shared" ca="1" si="136"/>
        <v>0</v>
      </c>
      <c r="J145">
        <f t="shared" ca="1" si="137"/>
        <v>0</v>
      </c>
      <c r="K145" s="2">
        <f t="shared" ca="1" si="138"/>
        <v>0.8118310472766771</v>
      </c>
      <c r="L145" s="2">
        <f t="shared" ca="1" si="152"/>
        <v>0.84183104727667712</v>
      </c>
    </row>
    <row r="146" spans="1:12">
      <c r="A146" s="1">
        <f ca="1">+RANDBETWEEN(Apoyo!$P$2,Apoyo!$P$3)</f>
        <v>45957</v>
      </c>
      <c r="B146" s="1" t="str" cm="1">
        <f t="array" aca="1" ref="B146" ca="1">+INDEX(Apoyo!$B$2:$B$10,RANDBETWEEN(1,9))</f>
        <v>Ayacucho</v>
      </c>
      <c r="C146" t="s">
        <v>1</v>
      </c>
      <c r="D146" t="str" cm="1">
        <f t="array" aca="1" ref="D146" ca="1">+IF(OR($B146=Apoyo!$B$2,$B146=Apoyo!$B$6),"Lima",IF($B146=Apoyo!$B$10,INDEX(Apoyo!$D$2:$D$19,RANDBETWEEN(1,18)),IF(OR($B146&lt;&gt;Apoyo!$B$10,$B146&lt;&gt;Apoyo!$B$2,$B146&lt;&gt;Apoyo!$B$6),B146,0)))</f>
        <v>Ayacucho</v>
      </c>
      <c r="E146" t="str">
        <f t="shared" si="153"/>
        <v>Femenino</v>
      </c>
      <c r="F146">
        <f t="shared" ca="1" si="133"/>
        <v>61</v>
      </c>
      <c r="G146" t="s">
        <v>54</v>
      </c>
      <c r="H146" s="3">
        <f t="shared" ca="1" si="136"/>
        <v>0</v>
      </c>
      <c r="I146" s="3">
        <f t="shared" ca="1" si="136"/>
        <v>0</v>
      </c>
      <c r="J146">
        <f t="shared" ca="1" si="137"/>
        <v>0</v>
      </c>
      <c r="K146" s="2">
        <f t="shared" ca="1" si="138"/>
        <v>0.76329001127125784</v>
      </c>
      <c r="L146" s="2">
        <f t="shared" ref="L146" ca="1" si="154">+IFERROR(K146+0.04,"n.a.")</f>
        <v>0.80329001127125788</v>
      </c>
    </row>
    <row r="147" spans="1:12">
      <c r="A147" s="1">
        <f ca="1">+RANDBETWEEN(Apoyo!$P$2,Apoyo!$P$3)</f>
        <v>45957</v>
      </c>
      <c r="B147" s="1" t="str" cm="1">
        <f t="array" aca="1" ref="B147" ca="1">+INDEX(Apoyo!$B$2:$B$10,RANDBETWEEN(1,9))</f>
        <v>Ayacucho</v>
      </c>
      <c r="C147" t="s">
        <v>2</v>
      </c>
      <c r="D147" t="str" cm="1">
        <f t="array" aca="1" ref="D147" ca="1">+IF(OR($B147=Apoyo!$B$2,$B147=Apoyo!$B$6),"Lima",IF($B147=Apoyo!$B$10,INDEX(Apoyo!$D$2:$D$19,RANDBETWEEN(1,18)),IF(OR($B147&lt;&gt;Apoyo!$B$10,$B147&lt;&gt;Apoyo!$B$2,$B147&lt;&gt;Apoyo!$B$6),B147,0)))</f>
        <v>Ayacucho</v>
      </c>
      <c r="E147" t="s">
        <v>44</v>
      </c>
      <c r="F147">
        <f t="shared" ca="1" si="133"/>
        <v>14</v>
      </c>
      <c r="G147" t="s">
        <v>54</v>
      </c>
      <c r="H147" s="3">
        <f t="shared" ca="1" si="136"/>
        <v>1</v>
      </c>
      <c r="I147" s="3">
        <f t="shared" ca="1" si="136"/>
        <v>0</v>
      </c>
      <c r="J147">
        <f t="shared" ca="1" si="137"/>
        <v>1</v>
      </c>
      <c r="K147" s="2">
        <f t="shared" ca="1" si="138"/>
        <v>0.9657452581070618</v>
      </c>
      <c r="L147" s="2">
        <f t="shared" ref="L147" ca="1" si="155">+IFERROR(K147+0.05,"n.a.")</f>
        <v>1.0157452581070618</v>
      </c>
    </row>
    <row r="148" spans="1:12">
      <c r="A148" s="1">
        <f ca="1">+RANDBETWEEN(Apoyo!$P$2,Apoyo!$P$3)</f>
        <v>45960</v>
      </c>
      <c r="B148" s="1" t="str" cm="1">
        <f t="array" aca="1" ref="B148" ca="1">+INDEX(Apoyo!$B$2:$B$10,RANDBETWEEN(1,9))</f>
        <v>Loreto</v>
      </c>
      <c r="C148" t="s">
        <v>2</v>
      </c>
      <c r="D148" t="str" cm="1">
        <f t="array" aca="1" ref="D148" ca="1">+IF(OR($B148=Apoyo!$B$2,$B148=Apoyo!$B$6),"Lima",IF($B148=Apoyo!$B$10,INDEX(Apoyo!$D$2:$D$19,RANDBETWEEN(1,18)),IF(OR($B148&lt;&gt;Apoyo!$B$10,$B148&lt;&gt;Apoyo!$B$2,$B148&lt;&gt;Apoyo!$B$6),B148,0)))</f>
        <v>Loreto</v>
      </c>
      <c r="E148" t="s">
        <v>43</v>
      </c>
      <c r="F148">
        <f t="shared" ca="1" si="133"/>
        <v>13</v>
      </c>
      <c r="G148" t="s">
        <v>54</v>
      </c>
      <c r="H148" s="3">
        <f t="shared" ca="1" si="136"/>
        <v>0</v>
      </c>
      <c r="I148" s="3">
        <f t="shared" ca="1" si="136"/>
        <v>0</v>
      </c>
      <c r="J148">
        <f t="shared" ca="1" si="137"/>
        <v>0</v>
      </c>
      <c r="K148" s="2">
        <f t="shared" ca="1" si="138"/>
        <v>0.81136113082468064</v>
      </c>
      <c r="L148" s="2">
        <f t="shared" ref="L148:L149" ca="1" si="156">+IFERROR(K148+0.03,"n.a.")</f>
        <v>0.84136113082468067</v>
      </c>
    </row>
    <row r="149" spans="1:12">
      <c r="A149" s="1">
        <f ca="1">+RANDBETWEEN(Apoyo!$P$2,Apoyo!$P$3)</f>
        <v>45948</v>
      </c>
      <c r="B149" s="1" t="str" cm="1">
        <f t="array" aca="1" ref="B149" ca="1">+INDEX(Apoyo!$B$2:$B$10,RANDBETWEEN(1,9))</f>
        <v>Ucayali</v>
      </c>
      <c r="C149" t="s">
        <v>1</v>
      </c>
      <c r="D149" t="str" cm="1">
        <f t="array" aca="1" ref="D149" ca="1">+IF(OR($B149=Apoyo!$B$2,$B149=Apoyo!$B$6),"Lima",IF($B149=Apoyo!$B$10,INDEX(Apoyo!$D$2:$D$19,RANDBETWEEN(1,18)),IF(OR($B149&lt;&gt;Apoyo!$B$10,$B149&lt;&gt;Apoyo!$B$2,$B149&lt;&gt;Apoyo!$B$6),B149,0)))</f>
        <v>Ucayali</v>
      </c>
      <c r="E149" t="str">
        <f t="shared" ref="E149" si="157">+IF(C149="Mujer","Femenino",2)</f>
        <v>Femenino</v>
      </c>
      <c r="F149">
        <f t="shared" ca="1" si="133"/>
        <v>28</v>
      </c>
      <c r="G149" t="s">
        <v>54</v>
      </c>
      <c r="H149" s="3">
        <f t="shared" ca="1" si="136"/>
        <v>1</v>
      </c>
      <c r="I149" s="3">
        <f t="shared" ca="1" si="136"/>
        <v>0</v>
      </c>
      <c r="J149">
        <f t="shared" ca="1" si="137"/>
        <v>0</v>
      </c>
      <c r="K149" s="2">
        <f t="shared" ca="1" si="138"/>
        <v>0.88045817824838291</v>
      </c>
      <c r="L149" s="2">
        <f t="shared" ca="1" si="156"/>
        <v>0.91045817824838293</v>
      </c>
    </row>
    <row r="150" spans="1:12">
      <c r="A150" s="1">
        <f ca="1">+RANDBETWEEN(Apoyo!$P$2,Apoyo!$P$3)</f>
        <v>45958</v>
      </c>
      <c r="B150" s="1" t="str" cm="1">
        <f t="array" aca="1" ref="B150" ca="1">+INDEX(Apoyo!$B$2:$B$10,RANDBETWEEN(1,9))</f>
        <v>Loreto</v>
      </c>
      <c r="C150" t="s">
        <v>2</v>
      </c>
      <c r="D150" t="str" cm="1">
        <f t="array" aca="1" ref="D150" ca="1">+IF(OR($B150=Apoyo!$B$2,$B150=Apoyo!$B$6),"Lima",IF($B150=Apoyo!$B$10,INDEX(Apoyo!$D$2:$D$19,RANDBETWEEN(1,18)),IF(OR($B150&lt;&gt;Apoyo!$B$10,$B150&lt;&gt;Apoyo!$B$2,$B150&lt;&gt;Apoyo!$B$6),B150,0)))</f>
        <v>Loreto</v>
      </c>
      <c r="E150" t="s">
        <v>44</v>
      </c>
      <c r="F150">
        <f t="shared" ca="1" si="133"/>
        <v>16</v>
      </c>
      <c r="G150" t="s">
        <v>54</v>
      </c>
      <c r="H150" s="3">
        <f t="shared" ca="1" si="136"/>
        <v>0</v>
      </c>
      <c r="I150" s="3">
        <f t="shared" ca="1" si="136"/>
        <v>1</v>
      </c>
      <c r="J150">
        <f t="shared" ca="1" si="137"/>
        <v>0</v>
      </c>
      <c r="K150" s="2">
        <f t="shared" ca="1" si="138"/>
        <v>0.58554504343562452</v>
      </c>
      <c r="L150" s="2">
        <f t="shared" ref="L150:L210" ca="1" si="158">+IFERROR(K150+0.04,"n.a.")</f>
        <v>0.62554504343562456</v>
      </c>
    </row>
    <row r="151" spans="1:12">
      <c r="A151" s="1">
        <f ca="1">+RANDBETWEEN(Apoyo!$P$2,Apoyo!$P$3)</f>
        <v>45955</v>
      </c>
      <c r="B151" s="1" t="str" cm="1">
        <f t="array" aca="1" ref="B151" ca="1">+INDEX(Apoyo!$B$2:$B$10,RANDBETWEEN(1,9))</f>
        <v>Lima Norte</v>
      </c>
      <c r="C151" t="s">
        <v>1</v>
      </c>
      <c r="D151" t="str" cm="1">
        <f t="array" aca="1" ref="D151" ca="1">+IF(OR($B151=Apoyo!$B$2,$B151=Apoyo!$B$6),"Lima",IF($B151=Apoyo!$B$10,INDEX(Apoyo!$D$2:$D$19,RANDBETWEEN(1,18)),IF(OR($B151&lt;&gt;Apoyo!$B$10,$B151&lt;&gt;Apoyo!$B$2,$B151&lt;&gt;Apoyo!$B$6),B151,0)))</f>
        <v>Lima</v>
      </c>
      <c r="E151" t="str">
        <f t="shared" ref="E151" si="159">+IF(C151="Mujer","Femenino",2)</f>
        <v>Femenino</v>
      </c>
      <c r="F151">
        <f t="shared" ca="1" si="133"/>
        <v>32</v>
      </c>
      <c r="G151" t="str">
        <f ca="1">+CHOOSE(RANDBETWEEN(1,5),Apoyo!$E$3,Apoyo!$E$4,Apoyo!$E$5,Apoyo!$E$6,Apoyo!$E$7)</f>
        <v>Rechazada</v>
      </c>
      <c r="H151" s="3">
        <f t="shared" ca="1" si="136"/>
        <v>0</v>
      </c>
      <c r="I151" s="3">
        <f t="shared" ca="1" si="136"/>
        <v>0</v>
      </c>
      <c r="J151">
        <f t="shared" ca="1" si="137"/>
        <v>0</v>
      </c>
      <c r="K151" s="2" t="str">
        <f t="shared" ca="1" si="138"/>
        <v>n.a.</v>
      </c>
      <c r="L151" s="2" t="str">
        <f t="shared" ref="L151" ca="1" si="160">+IFERROR(K151+0.06,"n.a.")</f>
        <v>n.a.</v>
      </c>
    </row>
    <row r="152" spans="1:12">
      <c r="A152" s="1">
        <f ca="1">+RANDBETWEEN(Apoyo!$P$2,Apoyo!$P$3)</f>
        <v>45948</v>
      </c>
      <c r="B152" s="1" t="str" cm="1">
        <f t="array" aca="1" ref="B152" ca="1">+INDEX(Apoyo!$B$2:$B$10,RANDBETWEEN(1,9))</f>
        <v>Ayacucho</v>
      </c>
      <c r="C152" t="s">
        <v>1</v>
      </c>
      <c r="D152" t="str" cm="1">
        <f t="array" aca="1" ref="D152" ca="1">+IF(OR($B152=Apoyo!$B$2,$B152=Apoyo!$B$6),"Lima",IF($B152=Apoyo!$B$10,INDEX(Apoyo!$D$2:$D$19,RANDBETWEEN(1,18)),IF(OR($B152&lt;&gt;Apoyo!$B$10,$B152&lt;&gt;Apoyo!$B$2,$B152&lt;&gt;Apoyo!$B$6),B152,0)))</f>
        <v>Ayacucho</v>
      </c>
      <c r="E152" t="str">
        <f>+IF(C152="Mujer","Femenino",2)</f>
        <v>Femenino</v>
      </c>
      <c r="F152">
        <f t="shared" ca="1" si="133"/>
        <v>46</v>
      </c>
      <c r="G152" t="s">
        <v>54</v>
      </c>
      <c r="H152" s="3">
        <f t="shared" ca="1" si="136"/>
        <v>0</v>
      </c>
      <c r="I152" s="3">
        <f t="shared" ca="1" si="136"/>
        <v>0</v>
      </c>
      <c r="J152">
        <f t="shared" ca="1" si="137"/>
        <v>0</v>
      </c>
      <c r="K152" s="2">
        <f t="shared" ca="1" si="138"/>
        <v>0.96489960753888748</v>
      </c>
      <c r="L152" s="2">
        <f t="shared" ref="L152" ca="1" si="161">+IFERROR(K152+0.03,"n.a.")</f>
        <v>0.99489960753888751</v>
      </c>
    </row>
    <row r="153" spans="1:12">
      <c r="A153" s="1">
        <f ca="1">+RANDBETWEEN(Apoyo!$P$2,Apoyo!$P$3)</f>
        <v>45960</v>
      </c>
      <c r="B153" s="1" t="str" cm="1">
        <f t="array" aca="1" ref="B153" ca="1">+INDEX(Apoyo!$B$2:$B$10,RANDBETWEEN(1,9))</f>
        <v>Loreto</v>
      </c>
      <c r="C153" t="s">
        <v>2</v>
      </c>
      <c r="D153" t="str" cm="1">
        <f t="array" aca="1" ref="D153" ca="1">+IF(OR($B153=Apoyo!$B$2,$B153=Apoyo!$B$6),"Lima",IF($B153=Apoyo!$B$10,INDEX(Apoyo!$D$2:$D$19,RANDBETWEEN(1,18)),IF(OR($B153&lt;&gt;Apoyo!$B$10,$B153&lt;&gt;Apoyo!$B$2,$B153&lt;&gt;Apoyo!$B$6),B153,0)))</f>
        <v>Loreto</v>
      </c>
      <c r="E153" t="s">
        <v>43</v>
      </c>
      <c r="F153">
        <f t="shared" ca="1" si="133"/>
        <v>14</v>
      </c>
      <c r="G153" t="s">
        <v>54</v>
      </c>
      <c r="H153" s="3">
        <f t="shared" ca="1" si="136"/>
        <v>1</v>
      </c>
      <c r="I153" s="3">
        <f t="shared" ca="1" si="136"/>
        <v>1</v>
      </c>
      <c r="J153">
        <f t="shared" ca="1" si="137"/>
        <v>0</v>
      </c>
      <c r="K153" s="2">
        <f t="shared" ca="1" si="138"/>
        <v>0.1635239176209452</v>
      </c>
      <c r="L153" s="2">
        <f t="shared" ref="L153" ca="1" si="162">+IFERROR(K153+0.05,"n.a.")</f>
        <v>0.21352391762094519</v>
      </c>
    </row>
    <row r="154" spans="1:12">
      <c r="A154" s="1">
        <f ca="1">+RANDBETWEEN(Apoyo!$P$2,Apoyo!$P$3)</f>
        <v>45952</v>
      </c>
      <c r="B154" s="1" t="str" cm="1">
        <f t="array" aca="1" ref="B154" ca="1">+INDEX(Apoyo!$B$2:$B$10,RANDBETWEEN(1,9))</f>
        <v>Puente Piedra-Ventanilla</v>
      </c>
      <c r="C154" t="s">
        <v>2</v>
      </c>
      <c r="D154" t="str" cm="1">
        <f t="array" aca="1" ref="D154" ca="1">+IF(OR($B154=Apoyo!$B$2,$B154=Apoyo!$B$6),"Lima",IF($B154=Apoyo!$B$10,INDEX(Apoyo!$D$2:$D$19,RANDBETWEEN(1,18)),IF(OR($B154&lt;&gt;Apoyo!$B$10,$B154&lt;&gt;Apoyo!$B$2,$B154&lt;&gt;Apoyo!$B$6),B154,0)))</f>
        <v>Lima</v>
      </c>
      <c r="E154" t="s">
        <v>44</v>
      </c>
      <c r="F154">
        <f t="shared" ca="1" si="133"/>
        <v>14</v>
      </c>
      <c r="G154" t="s">
        <v>54</v>
      </c>
      <c r="H154" s="3">
        <f t="shared" ca="1" si="136"/>
        <v>1</v>
      </c>
      <c r="I154" s="3">
        <f t="shared" ca="1" si="136"/>
        <v>0</v>
      </c>
      <c r="J154">
        <f t="shared" ca="1" si="137"/>
        <v>1</v>
      </c>
      <c r="K154" s="2">
        <f t="shared" ca="1" si="138"/>
        <v>0.78983328252490648</v>
      </c>
      <c r="L154" s="2">
        <f t="shared" ref="L154" ca="1" si="163">+IFERROR(K154+0.04,"n.a.")</f>
        <v>0.82983328252490651</v>
      </c>
    </row>
    <row r="155" spans="1:12">
      <c r="A155" s="1">
        <f ca="1">+RANDBETWEEN(Apoyo!$P$2,Apoyo!$P$3)</f>
        <v>45956</v>
      </c>
      <c r="B155" s="1" t="str" cm="1">
        <f t="array" aca="1" ref="B155" ca="1">+INDEX(Apoyo!$B$2:$B$10,RANDBETWEEN(1,9))</f>
        <v>Huánuco</v>
      </c>
      <c r="C155" t="s">
        <v>1</v>
      </c>
      <c r="D155" t="str" cm="1">
        <f t="array" aca="1" ref="D155" ca="1">+IF(OR($B155=Apoyo!$B$2,$B155=Apoyo!$B$6),"Lima",IF($B155=Apoyo!$B$10,INDEX(Apoyo!$D$2:$D$19,RANDBETWEEN(1,18)),IF(OR($B155&lt;&gt;Apoyo!$B$10,$B155&lt;&gt;Apoyo!$B$2,$B155&lt;&gt;Apoyo!$B$6),B155,0)))</f>
        <v>Huánuco</v>
      </c>
      <c r="E155" t="str">
        <f t="shared" ref="E155:E156" si="164">+IF(C155="Mujer","Femenino",2)</f>
        <v>Femenino</v>
      </c>
      <c r="F155">
        <f t="shared" ca="1" si="133"/>
        <v>32</v>
      </c>
      <c r="G155" t="str">
        <f ca="1">+CHOOSE(RANDBETWEEN(1,5),Apoyo!$E$3,Apoyo!$E$4,Apoyo!$E$5,Apoyo!$E$6,Apoyo!$E$7)</f>
        <v>Incompleta</v>
      </c>
      <c r="H155" s="3">
        <f t="shared" ca="1" si="136"/>
        <v>0</v>
      </c>
      <c r="I155" s="3">
        <f t="shared" ca="1" si="136"/>
        <v>0</v>
      </c>
      <c r="J155">
        <f t="shared" ca="1" si="137"/>
        <v>0</v>
      </c>
      <c r="K155" s="2" t="str">
        <f t="shared" ca="1" si="138"/>
        <v>n.a.</v>
      </c>
      <c r="L155" s="2" t="str">
        <f t="shared" ref="L155" ca="1" si="165">+IFERROR(K155+0.05,"n.a.")</f>
        <v>n.a.</v>
      </c>
    </row>
    <row r="156" spans="1:12">
      <c r="A156" s="1">
        <f ca="1">+RANDBETWEEN(Apoyo!$P$2,Apoyo!$P$3)</f>
        <v>45947</v>
      </c>
      <c r="B156" s="1" t="str" cm="1">
        <f t="array" aca="1" ref="B156" ca="1">+INDEX(Apoyo!$B$2:$B$10,RANDBETWEEN(1,9))</f>
        <v>Apurímac</v>
      </c>
      <c r="C156" t="s">
        <v>1</v>
      </c>
      <c r="D156" t="str" cm="1">
        <f t="array" aca="1" ref="D156" ca="1">+IF(OR($B156=Apoyo!$B$2,$B156=Apoyo!$B$6),"Lima",IF($B156=Apoyo!$B$10,INDEX(Apoyo!$D$2:$D$19,RANDBETWEEN(1,18)),IF(OR($B156&lt;&gt;Apoyo!$B$10,$B156&lt;&gt;Apoyo!$B$2,$B156&lt;&gt;Apoyo!$B$6),B156,0)))</f>
        <v>Apurímac</v>
      </c>
      <c r="E156" t="str">
        <f t="shared" si="164"/>
        <v>Femenino</v>
      </c>
      <c r="F156">
        <f t="shared" ca="1" si="133"/>
        <v>33</v>
      </c>
      <c r="G156" t="s">
        <v>54</v>
      </c>
      <c r="H156" s="3">
        <f t="shared" ca="1" si="136"/>
        <v>1</v>
      </c>
      <c r="I156" s="3">
        <f t="shared" ca="1" si="136"/>
        <v>1</v>
      </c>
      <c r="J156">
        <f t="shared" ca="1" si="137"/>
        <v>0</v>
      </c>
      <c r="K156" s="2">
        <f t="shared" ca="1" si="138"/>
        <v>0.11137630635493811</v>
      </c>
      <c r="L156" s="2">
        <f t="shared" ref="L156:L157" ca="1" si="166">+IFERROR(K156+0.03,"n.a.")</f>
        <v>0.14137630635493811</v>
      </c>
    </row>
    <row r="157" spans="1:12">
      <c r="A157" s="1">
        <f ca="1">+RANDBETWEEN(Apoyo!$P$2,Apoyo!$P$3)</f>
        <v>45948</v>
      </c>
      <c r="B157" s="1" t="str" cm="1">
        <f t="array" aca="1" ref="B157" ca="1">+INDEX(Apoyo!$B$2:$B$10,RANDBETWEEN(1,9))</f>
        <v>Ucayali</v>
      </c>
      <c r="C157" t="s">
        <v>2</v>
      </c>
      <c r="D157" t="str" cm="1">
        <f t="array" aca="1" ref="D157" ca="1">+IF(OR($B157=Apoyo!$B$2,$B157=Apoyo!$B$6),"Lima",IF($B157=Apoyo!$B$10,INDEX(Apoyo!$D$2:$D$19,RANDBETWEEN(1,18)),IF(OR($B157&lt;&gt;Apoyo!$B$10,$B157&lt;&gt;Apoyo!$B$2,$B157&lt;&gt;Apoyo!$B$6),B157,0)))</f>
        <v>Ucayali</v>
      </c>
      <c r="E157" t="s">
        <v>44</v>
      </c>
      <c r="F157">
        <f t="shared" ca="1" si="133"/>
        <v>16</v>
      </c>
      <c r="G157" t="s">
        <v>54</v>
      </c>
      <c r="H157" s="3">
        <f t="shared" ca="1" si="136"/>
        <v>0</v>
      </c>
      <c r="I157" s="3">
        <f t="shared" ca="1" si="136"/>
        <v>0</v>
      </c>
      <c r="J157">
        <f t="shared" ca="1" si="137"/>
        <v>0</v>
      </c>
      <c r="K157" s="2">
        <f t="shared" ca="1" si="138"/>
        <v>7.9100550053949559E-2</v>
      </c>
      <c r="L157" s="2">
        <f t="shared" ca="1" si="166"/>
        <v>0.10910055005394956</v>
      </c>
    </row>
    <row r="158" spans="1:12">
      <c r="A158" s="1">
        <f ca="1">+RANDBETWEEN(Apoyo!$P$2,Apoyo!$P$3)</f>
        <v>45956</v>
      </c>
      <c r="B158" s="1" t="str" cm="1">
        <f t="array" aca="1" ref="B158" ca="1">+INDEX(Apoyo!$B$2:$B$10,RANDBETWEEN(1,9))</f>
        <v>Ayacucho</v>
      </c>
      <c r="C158" t="s">
        <v>2</v>
      </c>
      <c r="D158" t="str" cm="1">
        <f t="array" aca="1" ref="D158" ca="1">+IF(OR($B158=Apoyo!$B$2,$B158=Apoyo!$B$6),"Lima",IF($B158=Apoyo!$B$10,INDEX(Apoyo!$D$2:$D$19,RANDBETWEEN(1,18)),IF(OR($B158&lt;&gt;Apoyo!$B$10,$B158&lt;&gt;Apoyo!$B$2,$B158&lt;&gt;Apoyo!$B$6),B158,0)))</f>
        <v>Ayacucho</v>
      </c>
      <c r="E158" t="s">
        <v>43</v>
      </c>
      <c r="F158">
        <f t="shared" ca="1" si="133"/>
        <v>17</v>
      </c>
      <c r="G158" t="s">
        <v>54</v>
      </c>
      <c r="H158" s="3">
        <f t="shared" ca="1" si="136"/>
        <v>0</v>
      </c>
      <c r="I158" s="3">
        <f t="shared" ca="1" si="136"/>
        <v>1</v>
      </c>
      <c r="J158">
        <f t="shared" ca="1" si="137"/>
        <v>1</v>
      </c>
      <c r="K158" s="2">
        <f t="shared" ca="1" si="138"/>
        <v>3.4525867551512657E-2</v>
      </c>
      <c r="L158" s="2">
        <f t="shared" ref="L158" ca="1" si="167">+IFERROR(K158+0.04,"n.a.")</f>
        <v>7.4525867551512665E-2</v>
      </c>
    </row>
    <row r="159" spans="1:12">
      <c r="A159" s="1">
        <f ca="1">+RANDBETWEEN(Apoyo!$P$2,Apoyo!$P$3)</f>
        <v>45955</v>
      </c>
      <c r="B159" s="1" t="str" cm="1">
        <f t="array" aca="1" ref="B159" ca="1">+INDEX(Apoyo!$B$2:$B$10,RANDBETWEEN(1,9))</f>
        <v>Lima Norte</v>
      </c>
      <c r="C159" t="s">
        <v>1</v>
      </c>
      <c r="D159" t="str" cm="1">
        <f t="array" aca="1" ref="D159" ca="1">+IF(OR($B159=Apoyo!$B$2,$B159=Apoyo!$B$6),"Lima",IF($B159=Apoyo!$B$10,INDEX(Apoyo!$D$2:$D$19,RANDBETWEEN(1,18)),IF(OR($B159&lt;&gt;Apoyo!$B$10,$B159&lt;&gt;Apoyo!$B$2,$B159&lt;&gt;Apoyo!$B$6),B159,0)))</f>
        <v>Lima</v>
      </c>
      <c r="E159" t="str">
        <f t="shared" ref="E159" si="168">+IF(C159="Mujer","Femenino",2)</f>
        <v>Femenino</v>
      </c>
      <c r="F159">
        <f t="shared" ca="1" si="133"/>
        <v>54</v>
      </c>
      <c r="G159" t="s">
        <v>54</v>
      </c>
      <c r="H159" s="3">
        <f t="shared" ca="1" si="136"/>
        <v>1</v>
      </c>
      <c r="I159" s="3">
        <f t="shared" ca="1" si="136"/>
        <v>1</v>
      </c>
      <c r="J159">
        <f t="shared" ca="1" si="137"/>
        <v>0</v>
      </c>
      <c r="K159" s="2">
        <f t="shared" ca="1" si="138"/>
        <v>0.71724442053682991</v>
      </c>
      <c r="L159" s="2">
        <f t="shared" ref="L159" ca="1" si="169">+IFERROR(K159+0.05,"n.a.")</f>
        <v>0.76724442053682995</v>
      </c>
    </row>
    <row r="160" spans="1:12">
      <c r="A160" s="1">
        <f ca="1">+RANDBETWEEN(Apoyo!$P$2,Apoyo!$P$3)</f>
        <v>45958</v>
      </c>
      <c r="B160" s="1" t="str" cm="1">
        <f t="array" aca="1" ref="B160" ca="1">+INDEX(Apoyo!$B$2:$B$10,RANDBETWEEN(1,9))</f>
        <v>Ayacucho</v>
      </c>
      <c r="C160" t="s">
        <v>2</v>
      </c>
      <c r="D160" t="str" cm="1">
        <f t="array" aca="1" ref="D160" ca="1">+IF(OR($B160=Apoyo!$B$2,$B160=Apoyo!$B$6),"Lima",IF($B160=Apoyo!$B$10,INDEX(Apoyo!$D$2:$D$19,RANDBETWEEN(1,18)),IF(OR($B160&lt;&gt;Apoyo!$B$10,$B160&lt;&gt;Apoyo!$B$2,$B160&lt;&gt;Apoyo!$B$6),B160,0)))</f>
        <v>Ayacucho</v>
      </c>
      <c r="E160" t="s">
        <v>44</v>
      </c>
      <c r="F160">
        <f t="shared" ca="1" si="133"/>
        <v>13</v>
      </c>
      <c r="G160" t="str">
        <f ca="1">+CHOOSE(RANDBETWEEN(1,5),Apoyo!$E$3,Apoyo!$E$4,Apoyo!$E$5,Apoyo!$E$6,Apoyo!$E$7)</f>
        <v>Incompleta</v>
      </c>
      <c r="H160" s="3">
        <f t="shared" ca="1" si="136"/>
        <v>0</v>
      </c>
      <c r="I160" s="3">
        <f t="shared" ca="1" si="136"/>
        <v>0</v>
      </c>
      <c r="J160">
        <f t="shared" ca="1" si="137"/>
        <v>0</v>
      </c>
      <c r="K160" s="2" t="str">
        <f t="shared" ca="1" si="138"/>
        <v>n.a.</v>
      </c>
      <c r="L160" s="2" t="str">
        <f t="shared" ref="L160:L161" ca="1" si="170">+IFERROR(K160+0.03,"n.a.")</f>
        <v>n.a.</v>
      </c>
    </row>
    <row r="161" spans="1:12">
      <c r="A161" s="1">
        <f ca="1">+RANDBETWEEN(Apoyo!$P$2,Apoyo!$P$3)</f>
        <v>45949</v>
      </c>
      <c r="B161" s="1" t="str" cm="1">
        <f t="array" aca="1" ref="B161" ca="1">+INDEX(Apoyo!$B$2:$B$10,RANDBETWEEN(1,9))</f>
        <v>Lima Norte</v>
      </c>
      <c r="C161" t="s">
        <v>1</v>
      </c>
      <c r="D161" t="str" cm="1">
        <f t="array" aca="1" ref="D161" ca="1">+IF(OR($B161=Apoyo!$B$2,$B161=Apoyo!$B$6),"Lima",IF($B161=Apoyo!$B$10,INDEX(Apoyo!$D$2:$D$19,RANDBETWEEN(1,18)),IF(OR($B161&lt;&gt;Apoyo!$B$10,$B161&lt;&gt;Apoyo!$B$2,$B161&lt;&gt;Apoyo!$B$6),B161,0)))</f>
        <v>Lima</v>
      </c>
      <c r="E161" t="str">
        <f t="shared" ref="E161" si="171">+IF(C161="Mujer","Femenino",2)</f>
        <v>Femenino</v>
      </c>
      <c r="F161">
        <f t="shared" ca="1" si="133"/>
        <v>43</v>
      </c>
      <c r="G161" t="str">
        <f ca="1">+CHOOSE(RANDBETWEEN(1,5),Apoyo!$E$3,Apoyo!$E$4,Apoyo!$E$5,Apoyo!$E$6,Apoyo!$E$7)</f>
        <v>Otro</v>
      </c>
      <c r="H161" s="3">
        <f t="shared" ca="1" si="136"/>
        <v>0</v>
      </c>
      <c r="I161" s="3">
        <f t="shared" ca="1" si="136"/>
        <v>0</v>
      </c>
      <c r="J161">
        <f t="shared" ca="1" si="137"/>
        <v>0</v>
      </c>
      <c r="K161" s="2" t="str">
        <f t="shared" ca="1" si="138"/>
        <v>n.a.</v>
      </c>
      <c r="L161" s="2" t="str">
        <f t="shared" ca="1" si="170"/>
        <v>n.a.</v>
      </c>
    </row>
    <row r="162" spans="1:12">
      <c r="A162" s="1">
        <f ca="1">+RANDBETWEEN(Apoyo!$P$2,Apoyo!$P$3)</f>
        <v>45954</v>
      </c>
      <c r="B162" s="1" t="str" cm="1">
        <f t="array" aca="1" ref="B162" ca="1">+INDEX(Apoyo!$B$2:$B$10,RANDBETWEEN(1,9))</f>
        <v>Huánuco</v>
      </c>
      <c r="C162" t="s">
        <v>1</v>
      </c>
      <c r="D162" t="str" cm="1">
        <f t="array" aca="1" ref="D162" ca="1">+IF(OR($B162=Apoyo!$B$2,$B162=Apoyo!$B$6),"Lima",IF($B162=Apoyo!$B$10,INDEX(Apoyo!$D$2:$D$19,RANDBETWEEN(1,18)),IF(OR($B162&lt;&gt;Apoyo!$B$10,$B162&lt;&gt;Apoyo!$B$2,$B162&lt;&gt;Apoyo!$B$6),B162,0)))</f>
        <v>Huánuco</v>
      </c>
      <c r="E162" t="str">
        <f>+IF(C162="Mujer","Femenino",2)</f>
        <v>Femenino</v>
      </c>
      <c r="F162">
        <f t="shared" ca="1" si="133"/>
        <v>54</v>
      </c>
      <c r="G162" t="s">
        <v>54</v>
      </c>
      <c r="H162" s="3">
        <f t="shared" ca="1" si="136"/>
        <v>1</v>
      </c>
      <c r="I162" s="3">
        <f t="shared" ca="1" si="136"/>
        <v>0</v>
      </c>
      <c r="J162">
        <f t="shared" ca="1" si="137"/>
        <v>1</v>
      </c>
      <c r="K162" s="2">
        <f t="shared" ca="1" si="138"/>
        <v>0.24219857882572193</v>
      </c>
      <c r="L162" s="2">
        <f t="shared" ca="1" si="158"/>
        <v>0.28219857882572191</v>
      </c>
    </row>
    <row r="163" spans="1:12">
      <c r="A163" s="1">
        <f ca="1">+RANDBETWEEN(Apoyo!$P$2,Apoyo!$P$3)</f>
        <v>45958</v>
      </c>
      <c r="B163" s="1" t="str" cm="1">
        <f t="array" aca="1" ref="B163" ca="1">+INDEX(Apoyo!$B$2:$B$10,RANDBETWEEN(1,9))</f>
        <v>Lima Norte</v>
      </c>
      <c r="C163" t="s">
        <v>2</v>
      </c>
      <c r="D163" t="str" cm="1">
        <f t="array" aca="1" ref="D163" ca="1">+IF(OR($B163=Apoyo!$B$2,$B163=Apoyo!$B$6),"Lima",IF($B163=Apoyo!$B$10,INDEX(Apoyo!$D$2:$D$19,RANDBETWEEN(1,18)),IF(OR($B163&lt;&gt;Apoyo!$B$10,$B163&lt;&gt;Apoyo!$B$2,$B163&lt;&gt;Apoyo!$B$6),B163,0)))</f>
        <v>Lima</v>
      </c>
      <c r="E163" t="s">
        <v>43</v>
      </c>
      <c r="F163">
        <f t="shared" ca="1" si="133"/>
        <v>15</v>
      </c>
      <c r="G163" t="s">
        <v>54</v>
      </c>
      <c r="H163" s="3">
        <f t="shared" ref="H163:I194" ca="1" si="172">+IF($G163&lt;&gt;"Completa",IF($G163&lt;&gt;"Discapacidad",0,RANDBETWEEN(0,1)),RANDBETWEEN(0,1))</f>
        <v>0</v>
      </c>
      <c r="I163" s="3">
        <f t="shared" ca="1" si="172"/>
        <v>0</v>
      </c>
      <c r="J163">
        <f t="shared" ca="1" si="137"/>
        <v>0</v>
      </c>
      <c r="K163" s="2">
        <f t="shared" ca="1" si="138"/>
        <v>0.54205902520368476</v>
      </c>
      <c r="L163" s="2">
        <f t="shared" ref="L163" ca="1" si="173">+IFERROR(K163+0.06,"n.a.")</f>
        <v>0.60205902520368482</v>
      </c>
    </row>
    <row r="164" spans="1:12">
      <c r="A164" s="1">
        <f ca="1">+RANDBETWEEN(Apoyo!$P$2,Apoyo!$P$3)</f>
        <v>45949</v>
      </c>
      <c r="B164" s="1" t="str" cm="1">
        <f t="array" aca="1" ref="B164" ca="1">+INDEX(Apoyo!$B$2:$B$10,RANDBETWEEN(1,9))</f>
        <v>Ayacucho</v>
      </c>
      <c r="C164" t="s">
        <v>2</v>
      </c>
      <c r="D164" t="str" cm="1">
        <f t="array" aca="1" ref="D164" ca="1">+IF(OR($B164=Apoyo!$B$2,$B164=Apoyo!$B$6),"Lima",IF($B164=Apoyo!$B$10,INDEX(Apoyo!$D$2:$D$19,RANDBETWEEN(1,18)),IF(OR($B164&lt;&gt;Apoyo!$B$10,$B164&lt;&gt;Apoyo!$B$2,$B164&lt;&gt;Apoyo!$B$6),B164,0)))</f>
        <v>Ayacucho</v>
      </c>
      <c r="E164" t="s">
        <v>44</v>
      </c>
      <c r="F164">
        <f t="shared" ca="1" si="133"/>
        <v>14</v>
      </c>
      <c r="G164" t="s">
        <v>54</v>
      </c>
      <c r="H164" s="3">
        <f t="shared" ca="1" si="172"/>
        <v>0</v>
      </c>
      <c r="I164" s="3">
        <f t="shared" ca="1" si="172"/>
        <v>0</v>
      </c>
      <c r="J164">
        <f t="shared" ca="1" si="137"/>
        <v>0</v>
      </c>
      <c r="K164" s="2">
        <f t="shared" ca="1" si="138"/>
        <v>8.9717124913995305E-2</v>
      </c>
      <c r="L164" s="2">
        <f t="shared" ref="L164" ca="1" si="174">+IFERROR(K164+0.03,"n.a.")</f>
        <v>0.1197171249139953</v>
      </c>
    </row>
    <row r="165" spans="1:12">
      <c r="A165" s="1">
        <f ca="1">+RANDBETWEEN(Apoyo!$P$2,Apoyo!$P$3)</f>
        <v>45951</v>
      </c>
      <c r="B165" s="1" t="str" cm="1">
        <f t="array" aca="1" ref="B165" ca="1">+INDEX(Apoyo!$B$2:$B$10,RANDBETWEEN(1,9))</f>
        <v>Resto del Perú</v>
      </c>
      <c r="C165" t="s">
        <v>1</v>
      </c>
      <c r="D165" t="str" cm="1">
        <f t="array" aca="1" ref="D165" ca="1">+IF(OR($B165=Apoyo!$B$2,$B165=Apoyo!$B$6),"Lima",IF($B165=Apoyo!$B$10,INDEX(Apoyo!$D$2:$D$19,RANDBETWEEN(1,18)),IF(OR($B165&lt;&gt;Apoyo!$B$10,$B165&lt;&gt;Apoyo!$B$2,$B165&lt;&gt;Apoyo!$B$6),B165,0)))</f>
        <v>Junín</v>
      </c>
      <c r="E165" t="str">
        <f t="shared" ref="E165:E166" si="175">+IF(C165="Mujer","Femenino",2)</f>
        <v>Femenino</v>
      </c>
      <c r="F165">
        <f t="shared" ca="1" si="133"/>
        <v>22</v>
      </c>
      <c r="G165" t="s">
        <v>54</v>
      </c>
      <c r="H165" s="3">
        <f t="shared" ca="1" si="172"/>
        <v>1</v>
      </c>
      <c r="I165" s="3">
        <f t="shared" ca="1" si="172"/>
        <v>0</v>
      </c>
      <c r="J165">
        <f t="shared" ca="1" si="137"/>
        <v>0</v>
      </c>
      <c r="K165" s="2">
        <f t="shared" ca="1" si="138"/>
        <v>0.82270457514029305</v>
      </c>
      <c r="L165" s="2">
        <f t="shared" ref="L165" ca="1" si="176">+IFERROR(K165+0.05,"n.a.")</f>
        <v>0.87270457514029309</v>
      </c>
    </row>
    <row r="166" spans="1:12">
      <c r="A166" s="1">
        <f ca="1">+RANDBETWEEN(Apoyo!$P$2,Apoyo!$P$3)</f>
        <v>45947</v>
      </c>
      <c r="B166" s="1" t="str" cm="1">
        <f t="array" aca="1" ref="B166" ca="1">+INDEX(Apoyo!$B$2:$B$10,RANDBETWEEN(1,9))</f>
        <v>Apurímac</v>
      </c>
      <c r="C166" t="s">
        <v>1</v>
      </c>
      <c r="D166" t="str" cm="1">
        <f t="array" aca="1" ref="D166" ca="1">+IF(OR($B166=Apoyo!$B$2,$B166=Apoyo!$B$6),"Lima",IF($B166=Apoyo!$B$10,INDEX(Apoyo!$D$2:$D$19,RANDBETWEEN(1,18)),IF(OR($B166&lt;&gt;Apoyo!$B$10,$B166&lt;&gt;Apoyo!$B$2,$B166&lt;&gt;Apoyo!$B$6),B166,0)))</f>
        <v>Apurímac</v>
      </c>
      <c r="E166" t="str">
        <f t="shared" si="175"/>
        <v>Femenino</v>
      </c>
      <c r="F166">
        <f t="shared" ca="1" si="133"/>
        <v>56</v>
      </c>
      <c r="G166" t="s">
        <v>54</v>
      </c>
      <c r="H166" s="3">
        <f t="shared" ca="1" si="172"/>
        <v>0</v>
      </c>
      <c r="I166" s="3">
        <f t="shared" ca="1" si="172"/>
        <v>1</v>
      </c>
      <c r="J166">
        <f t="shared" ca="1" si="137"/>
        <v>1</v>
      </c>
      <c r="K166" s="2">
        <f t="shared" ca="1" si="138"/>
        <v>0.93854014624372006</v>
      </c>
      <c r="L166" s="2">
        <f t="shared" ref="L166" ca="1" si="177">+IFERROR(K166+0.04,"n.a.")</f>
        <v>0.9785401462437201</v>
      </c>
    </row>
    <row r="167" spans="1:12">
      <c r="A167" s="1">
        <f ca="1">+RANDBETWEEN(Apoyo!$P$2,Apoyo!$P$3)</f>
        <v>45948</v>
      </c>
      <c r="B167" s="1" t="str" cm="1">
        <f t="array" aca="1" ref="B167" ca="1">+INDEX(Apoyo!$B$2:$B$10,RANDBETWEEN(1,9))</f>
        <v>Cajamarca</v>
      </c>
      <c r="C167" t="s">
        <v>2</v>
      </c>
      <c r="D167" t="str" cm="1">
        <f t="array" aca="1" ref="D167" ca="1">+IF(OR($B167=Apoyo!$B$2,$B167=Apoyo!$B$6),"Lima",IF($B167=Apoyo!$B$10,INDEX(Apoyo!$D$2:$D$19,RANDBETWEEN(1,18)),IF(OR($B167&lt;&gt;Apoyo!$B$10,$B167&lt;&gt;Apoyo!$B$2,$B167&lt;&gt;Apoyo!$B$6),B167,0)))</f>
        <v>Cajamarca</v>
      </c>
      <c r="E167" t="s">
        <v>44</v>
      </c>
      <c r="F167">
        <f t="shared" ca="1" si="133"/>
        <v>16</v>
      </c>
      <c r="G167" t="s">
        <v>54</v>
      </c>
      <c r="H167" s="3">
        <f t="shared" ca="1" si="172"/>
        <v>1</v>
      </c>
      <c r="I167" s="3">
        <f t="shared" ca="1" si="172"/>
        <v>1</v>
      </c>
      <c r="J167">
        <f t="shared" ca="1" si="137"/>
        <v>1</v>
      </c>
      <c r="K167" s="2">
        <f t="shared" ca="1" si="138"/>
        <v>0.51061781400610429</v>
      </c>
      <c r="L167" s="2">
        <f t="shared" ref="L167" ca="1" si="178">+IFERROR(K167+0.05,"n.a.")</f>
        <v>0.56061781400610433</v>
      </c>
    </row>
    <row r="168" spans="1:12">
      <c r="A168" s="1">
        <f ca="1">+RANDBETWEEN(Apoyo!$P$2,Apoyo!$P$3)</f>
        <v>45958</v>
      </c>
      <c r="B168" s="1" t="str" cm="1">
        <f t="array" aca="1" ref="B168" ca="1">+INDEX(Apoyo!$B$2:$B$10,RANDBETWEEN(1,9))</f>
        <v>Loreto</v>
      </c>
      <c r="C168" t="s">
        <v>2</v>
      </c>
      <c r="D168" t="str" cm="1">
        <f t="array" aca="1" ref="D168" ca="1">+IF(OR($B168=Apoyo!$B$2,$B168=Apoyo!$B$6),"Lima",IF($B168=Apoyo!$B$10,INDEX(Apoyo!$D$2:$D$19,RANDBETWEEN(1,18)),IF(OR($B168&lt;&gt;Apoyo!$B$10,$B168&lt;&gt;Apoyo!$B$2,$B168&lt;&gt;Apoyo!$B$6),B168,0)))</f>
        <v>Loreto</v>
      </c>
      <c r="E168" t="s">
        <v>43</v>
      </c>
      <c r="F168">
        <f t="shared" ca="1" si="133"/>
        <v>13</v>
      </c>
      <c r="G168" t="s">
        <v>54</v>
      </c>
      <c r="H168" s="3">
        <f t="shared" ca="1" si="172"/>
        <v>1</v>
      </c>
      <c r="I168" s="3">
        <f t="shared" ca="1" si="172"/>
        <v>0</v>
      </c>
      <c r="J168">
        <f t="shared" ca="1" si="137"/>
        <v>1</v>
      </c>
      <c r="K168" s="2">
        <f t="shared" ca="1" si="138"/>
        <v>0.73082875749913168</v>
      </c>
      <c r="L168" s="2">
        <f t="shared" ref="L168:L169" ca="1" si="179">+IFERROR(K168+0.03,"n.a.")</f>
        <v>0.7608287574991317</v>
      </c>
    </row>
    <row r="169" spans="1:12">
      <c r="A169" s="1">
        <f ca="1">+RANDBETWEEN(Apoyo!$P$2,Apoyo!$P$3)</f>
        <v>45946</v>
      </c>
      <c r="B169" s="1" t="str" cm="1">
        <f t="array" aca="1" ref="B169" ca="1">+INDEX(Apoyo!$B$2:$B$10,RANDBETWEEN(1,9))</f>
        <v>Lima Norte</v>
      </c>
      <c r="C169" t="s">
        <v>1</v>
      </c>
      <c r="D169" t="str" cm="1">
        <f t="array" aca="1" ref="D169" ca="1">+IF(OR($B169=Apoyo!$B$2,$B169=Apoyo!$B$6),"Lima",IF($B169=Apoyo!$B$10,INDEX(Apoyo!$D$2:$D$19,RANDBETWEEN(1,18)),IF(OR($B169&lt;&gt;Apoyo!$B$10,$B169&lt;&gt;Apoyo!$B$2,$B169&lt;&gt;Apoyo!$B$6),B169,0)))</f>
        <v>Lima</v>
      </c>
      <c r="E169" t="str">
        <f t="shared" ref="E169" si="180">+IF(C169="Mujer","Femenino",2)</f>
        <v>Femenino</v>
      </c>
      <c r="F169">
        <f t="shared" ca="1" si="133"/>
        <v>38</v>
      </c>
      <c r="G169" t="s">
        <v>54</v>
      </c>
      <c r="H169" s="3">
        <f t="shared" ca="1" si="172"/>
        <v>1</v>
      </c>
      <c r="I169" s="3">
        <f t="shared" ca="1" si="172"/>
        <v>1</v>
      </c>
      <c r="J169">
        <f t="shared" ca="1" si="137"/>
        <v>0</v>
      </c>
      <c r="K169" s="2">
        <f t="shared" ca="1" si="138"/>
        <v>0.37504953312701028</v>
      </c>
      <c r="L169" s="2">
        <f t="shared" ca="1" si="179"/>
        <v>0.40504953312701031</v>
      </c>
    </row>
    <row r="170" spans="1:12">
      <c r="A170" s="1">
        <f ca="1">+RANDBETWEEN(Apoyo!$P$2,Apoyo!$P$3)</f>
        <v>45958</v>
      </c>
      <c r="B170" s="1" t="str" cm="1">
        <f t="array" aca="1" ref="B170" ca="1">+INDEX(Apoyo!$B$2:$B$10,RANDBETWEEN(1,9))</f>
        <v>Cajamarca</v>
      </c>
      <c r="C170" t="s">
        <v>2</v>
      </c>
      <c r="D170" t="str" cm="1">
        <f t="array" aca="1" ref="D170" ca="1">+IF(OR($B170=Apoyo!$B$2,$B170=Apoyo!$B$6),"Lima",IF($B170=Apoyo!$B$10,INDEX(Apoyo!$D$2:$D$19,RANDBETWEEN(1,18)),IF(OR($B170&lt;&gt;Apoyo!$B$10,$B170&lt;&gt;Apoyo!$B$2,$B170&lt;&gt;Apoyo!$B$6),B170,0)))</f>
        <v>Cajamarca</v>
      </c>
      <c r="E170" t="s">
        <v>44</v>
      </c>
      <c r="F170">
        <f t="shared" ca="1" si="133"/>
        <v>12</v>
      </c>
      <c r="G170" t="s">
        <v>54</v>
      </c>
      <c r="H170" s="3">
        <f t="shared" ca="1" si="172"/>
        <v>1</v>
      </c>
      <c r="I170" s="3">
        <f t="shared" ca="1" si="172"/>
        <v>0</v>
      </c>
      <c r="J170">
        <f t="shared" ca="1" si="137"/>
        <v>1</v>
      </c>
      <c r="K170" s="2">
        <f t="shared" ca="1" si="138"/>
        <v>0.67216015317550637</v>
      </c>
      <c r="L170" s="2">
        <f t="shared" ref="L170" ca="1" si="181">+IFERROR(K170+0.04,"n.a.")</f>
        <v>0.71216015317550641</v>
      </c>
    </row>
    <row r="171" spans="1:12">
      <c r="A171" s="1">
        <f ca="1">+RANDBETWEEN(Apoyo!$P$2,Apoyo!$P$3)</f>
        <v>45951</v>
      </c>
      <c r="B171" s="1" t="str" cm="1">
        <f t="array" aca="1" ref="B171" ca="1">+INDEX(Apoyo!$B$2:$B$10,RANDBETWEEN(1,9))</f>
        <v>Ucayali</v>
      </c>
      <c r="C171" t="s">
        <v>1</v>
      </c>
      <c r="D171" t="str" cm="1">
        <f t="array" aca="1" ref="D171" ca="1">+IF(OR($B171=Apoyo!$B$2,$B171=Apoyo!$B$6),"Lima",IF($B171=Apoyo!$B$10,INDEX(Apoyo!$D$2:$D$19,RANDBETWEEN(1,18)),IF(OR($B171&lt;&gt;Apoyo!$B$10,$B171&lt;&gt;Apoyo!$B$2,$B171&lt;&gt;Apoyo!$B$6),B171,0)))</f>
        <v>Ucayali</v>
      </c>
      <c r="E171" t="str">
        <f t="shared" ref="E171" si="182">+IF(C171="Mujer","Femenino",2)</f>
        <v>Femenino</v>
      </c>
      <c r="F171">
        <f t="shared" ca="1" si="133"/>
        <v>43</v>
      </c>
      <c r="G171" t="s">
        <v>54</v>
      </c>
      <c r="H171" s="3">
        <f t="shared" ca="1" si="172"/>
        <v>1</v>
      </c>
      <c r="I171" s="3">
        <f t="shared" ca="1" si="172"/>
        <v>0</v>
      </c>
      <c r="J171">
        <f t="shared" ca="1" si="137"/>
        <v>1</v>
      </c>
      <c r="K171" s="2">
        <f t="shared" ca="1" si="138"/>
        <v>0.70009733542454955</v>
      </c>
      <c r="L171" s="2">
        <f t="shared" ref="L171" ca="1" si="183">+IFERROR(K171+0.05,"n.a.")</f>
        <v>0.75009733542454959</v>
      </c>
    </row>
    <row r="172" spans="1:12">
      <c r="A172" s="1">
        <f ca="1">+RANDBETWEEN(Apoyo!$P$2,Apoyo!$P$3)</f>
        <v>45952</v>
      </c>
      <c r="B172" s="1" t="str" cm="1">
        <f t="array" aca="1" ref="B172" ca="1">+INDEX(Apoyo!$B$2:$B$10,RANDBETWEEN(1,9))</f>
        <v>Puente Piedra-Ventanilla</v>
      </c>
      <c r="C172" t="s">
        <v>1</v>
      </c>
      <c r="D172" t="str" cm="1">
        <f t="array" aca="1" ref="D172" ca="1">+IF(OR($B172=Apoyo!$B$2,$B172=Apoyo!$B$6),"Lima",IF($B172=Apoyo!$B$10,INDEX(Apoyo!$D$2:$D$19,RANDBETWEEN(1,18)),IF(OR($B172&lt;&gt;Apoyo!$B$10,$B172&lt;&gt;Apoyo!$B$2,$B172&lt;&gt;Apoyo!$B$6),B172,0)))</f>
        <v>Lima</v>
      </c>
      <c r="E172" t="str">
        <f>+IF(C172="Mujer","Femenino",2)</f>
        <v>Femenino</v>
      </c>
      <c r="F172">
        <f t="shared" ca="1" si="133"/>
        <v>44</v>
      </c>
      <c r="G172" t="s">
        <v>54</v>
      </c>
      <c r="H172" s="3">
        <f t="shared" ca="1" si="172"/>
        <v>1</v>
      </c>
      <c r="I172" s="3">
        <f t="shared" ca="1" si="172"/>
        <v>0</v>
      </c>
      <c r="J172">
        <f t="shared" ca="1" si="137"/>
        <v>0</v>
      </c>
      <c r="K172" s="2">
        <f t="shared" ca="1" si="138"/>
        <v>0.74981304443443264</v>
      </c>
      <c r="L172" s="2">
        <f t="shared" ref="L172:L173" ca="1" si="184">+IFERROR(K172+0.03,"n.a.")</f>
        <v>0.77981304443443267</v>
      </c>
    </row>
    <row r="173" spans="1:12">
      <c r="A173" s="1">
        <f ca="1">+RANDBETWEEN(Apoyo!$P$2,Apoyo!$P$3)</f>
        <v>45952</v>
      </c>
      <c r="B173" s="1" t="str" cm="1">
        <f t="array" aca="1" ref="B173" ca="1">+INDEX(Apoyo!$B$2:$B$10,RANDBETWEEN(1,9))</f>
        <v>Apurímac</v>
      </c>
      <c r="C173" t="s">
        <v>2</v>
      </c>
      <c r="D173" t="str" cm="1">
        <f t="array" aca="1" ref="D173" ca="1">+IF(OR($B173=Apoyo!$B$2,$B173=Apoyo!$B$6),"Lima",IF($B173=Apoyo!$B$10,INDEX(Apoyo!$D$2:$D$19,RANDBETWEEN(1,18)),IF(OR($B173&lt;&gt;Apoyo!$B$10,$B173&lt;&gt;Apoyo!$B$2,$B173&lt;&gt;Apoyo!$B$6),B173,0)))</f>
        <v>Apurímac</v>
      </c>
      <c r="E173" t="s">
        <v>43</v>
      </c>
      <c r="F173">
        <f t="shared" ca="1" si="133"/>
        <v>12</v>
      </c>
      <c r="G173" t="s">
        <v>54</v>
      </c>
      <c r="H173" s="3">
        <f t="shared" ca="1" si="172"/>
        <v>1</v>
      </c>
      <c r="I173" s="3">
        <f t="shared" ca="1" si="172"/>
        <v>0</v>
      </c>
      <c r="J173">
        <f t="shared" ca="1" si="137"/>
        <v>1</v>
      </c>
      <c r="K173" s="2">
        <f t="shared" ca="1" si="138"/>
        <v>0.51319058563528563</v>
      </c>
      <c r="L173" s="2">
        <f t="shared" ca="1" si="184"/>
        <v>0.54319058563528566</v>
      </c>
    </row>
    <row r="174" spans="1:12">
      <c r="A174" s="1">
        <f ca="1">+RANDBETWEEN(Apoyo!$P$2,Apoyo!$P$3)</f>
        <v>45952</v>
      </c>
      <c r="B174" s="1" t="str" cm="1">
        <f t="array" aca="1" ref="B174" ca="1">+INDEX(Apoyo!$B$2:$B$10,RANDBETWEEN(1,9))</f>
        <v>Apurímac</v>
      </c>
      <c r="C174" t="s">
        <v>2</v>
      </c>
      <c r="D174" t="str" cm="1">
        <f t="array" aca="1" ref="D174" ca="1">+IF(OR($B174=Apoyo!$B$2,$B174=Apoyo!$B$6),"Lima",IF($B174=Apoyo!$B$10,INDEX(Apoyo!$D$2:$D$19,RANDBETWEEN(1,18)),IF(OR($B174&lt;&gt;Apoyo!$B$10,$B174&lt;&gt;Apoyo!$B$2,$B174&lt;&gt;Apoyo!$B$6),B174,0)))</f>
        <v>Apurímac</v>
      </c>
      <c r="E174" t="s">
        <v>44</v>
      </c>
      <c r="F174">
        <f t="shared" ca="1" si="133"/>
        <v>15</v>
      </c>
      <c r="G174" t="s">
        <v>54</v>
      </c>
      <c r="H174" s="3">
        <f t="shared" ca="1" si="172"/>
        <v>1</v>
      </c>
      <c r="I174" s="3">
        <f t="shared" ca="1" si="172"/>
        <v>0</v>
      </c>
      <c r="J174">
        <f t="shared" ca="1" si="137"/>
        <v>1</v>
      </c>
      <c r="K174" s="2">
        <f t="shared" ca="1" si="138"/>
        <v>0.65050850766960122</v>
      </c>
      <c r="L174" s="2">
        <f t="shared" ca="1" si="158"/>
        <v>0.69050850766960126</v>
      </c>
    </row>
    <row r="175" spans="1:12">
      <c r="A175" s="1">
        <f ca="1">+RANDBETWEEN(Apoyo!$P$2,Apoyo!$P$3)</f>
        <v>45953</v>
      </c>
      <c r="B175" s="1" t="str" cm="1">
        <f t="array" aca="1" ref="B175" ca="1">+INDEX(Apoyo!$B$2:$B$10,RANDBETWEEN(1,9))</f>
        <v>Ucayali</v>
      </c>
      <c r="C175" t="s">
        <v>1</v>
      </c>
      <c r="D175" t="str" cm="1">
        <f t="array" aca="1" ref="D175" ca="1">+IF(OR($B175=Apoyo!$B$2,$B175=Apoyo!$B$6),"Lima",IF($B175=Apoyo!$B$10,INDEX(Apoyo!$D$2:$D$19,RANDBETWEEN(1,18)),IF(OR($B175&lt;&gt;Apoyo!$B$10,$B175&lt;&gt;Apoyo!$B$2,$B175&lt;&gt;Apoyo!$B$6),B175,0)))</f>
        <v>Ucayali</v>
      </c>
      <c r="E175" t="str">
        <f t="shared" ref="E175:E176" si="185">+IF(C175="Mujer","Femenino",2)</f>
        <v>Femenino</v>
      </c>
      <c r="F175">
        <f t="shared" ca="1" si="133"/>
        <v>38</v>
      </c>
      <c r="G175" t="str">
        <f ca="1">+CHOOSE(RANDBETWEEN(1,5),Apoyo!$E$3,Apoyo!$E$4,Apoyo!$E$5,Apoyo!$E$6,Apoyo!$E$7)</f>
        <v>Rechazada</v>
      </c>
      <c r="H175" s="3">
        <f t="shared" ca="1" si="172"/>
        <v>0</v>
      </c>
      <c r="I175" s="3">
        <f t="shared" ca="1" si="172"/>
        <v>0</v>
      </c>
      <c r="J175">
        <f t="shared" ca="1" si="137"/>
        <v>0</v>
      </c>
      <c r="K175" s="2" t="str">
        <f t="shared" ca="1" si="138"/>
        <v>n.a.</v>
      </c>
      <c r="L175" s="2" t="str">
        <f t="shared" ref="L175" ca="1" si="186">+IFERROR(K175+0.06,"n.a.")</f>
        <v>n.a.</v>
      </c>
    </row>
    <row r="176" spans="1:12">
      <c r="A176" s="1">
        <f ca="1">+RANDBETWEEN(Apoyo!$P$2,Apoyo!$P$3)</f>
        <v>45956</v>
      </c>
      <c r="B176" s="1" t="str" cm="1">
        <f t="array" aca="1" ref="B176" ca="1">+INDEX(Apoyo!$B$2:$B$10,RANDBETWEEN(1,9))</f>
        <v>Lima Norte</v>
      </c>
      <c r="C176" t="s">
        <v>1</v>
      </c>
      <c r="D176" t="str" cm="1">
        <f t="array" aca="1" ref="D176" ca="1">+IF(OR($B176=Apoyo!$B$2,$B176=Apoyo!$B$6),"Lima",IF($B176=Apoyo!$B$10,INDEX(Apoyo!$D$2:$D$19,RANDBETWEEN(1,18)),IF(OR($B176&lt;&gt;Apoyo!$B$10,$B176&lt;&gt;Apoyo!$B$2,$B176&lt;&gt;Apoyo!$B$6),B176,0)))</f>
        <v>Lima</v>
      </c>
      <c r="E176" t="str">
        <f t="shared" si="185"/>
        <v>Femenino</v>
      </c>
      <c r="F176">
        <f t="shared" ca="1" si="133"/>
        <v>56</v>
      </c>
      <c r="G176" t="str">
        <f ca="1">+CHOOSE(RANDBETWEEN(1,5),Apoyo!$E$3,Apoyo!$E$4,Apoyo!$E$5,Apoyo!$E$6,Apoyo!$E$7)</f>
        <v>Rechazada</v>
      </c>
      <c r="H176" s="3">
        <f t="shared" ca="1" si="172"/>
        <v>0</v>
      </c>
      <c r="I176" s="3">
        <f t="shared" ca="1" si="172"/>
        <v>0</v>
      </c>
      <c r="J176">
        <f t="shared" ca="1" si="137"/>
        <v>0</v>
      </c>
      <c r="K176" s="2" t="str">
        <f t="shared" ca="1" si="138"/>
        <v>n.a.</v>
      </c>
      <c r="L176" s="2" t="str">
        <f t="shared" ref="L176" ca="1" si="187">+IFERROR(K176+0.03,"n.a.")</f>
        <v>n.a.</v>
      </c>
    </row>
    <row r="177" spans="1:12">
      <c r="A177" s="1">
        <f ca="1">+RANDBETWEEN(Apoyo!$P$2,Apoyo!$P$3)</f>
        <v>45947</v>
      </c>
      <c r="B177" s="1" t="str" cm="1">
        <f t="array" aca="1" ref="B177" ca="1">+INDEX(Apoyo!$B$2:$B$10,RANDBETWEEN(1,9))</f>
        <v>Ayacucho</v>
      </c>
      <c r="C177" t="s">
        <v>2</v>
      </c>
      <c r="D177" t="str" cm="1">
        <f t="array" aca="1" ref="D177" ca="1">+IF(OR($B177=Apoyo!$B$2,$B177=Apoyo!$B$6),"Lima",IF($B177=Apoyo!$B$10,INDEX(Apoyo!$D$2:$D$19,RANDBETWEEN(1,18)),IF(OR($B177&lt;&gt;Apoyo!$B$10,$B177&lt;&gt;Apoyo!$B$2,$B177&lt;&gt;Apoyo!$B$6),B177,0)))</f>
        <v>Ayacucho</v>
      </c>
      <c r="E177" t="s">
        <v>44</v>
      </c>
      <c r="F177">
        <f t="shared" ca="1" si="133"/>
        <v>15</v>
      </c>
      <c r="G177" t="s">
        <v>54</v>
      </c>
      <c r="H177" s="3">
        <f t="shared" ca="1" si="172"/>
        <v>0</v>
      </c>
      <c r="I177" s="3">
        <f t="shared" ca="1" si="172"/>
        <v>1</v>
      </c>
      <c r="J177">
        <f t="shared" ca="1" si="137"/>
        <v>1</v>
      </c>
      <c r="K177" s="2">
        <f t="shared" ca="1" si="138"/>
        <v>0.11027125246376746</v>
      </c>
      <c r="L177" s="2">
        <f t="shared" ref="L177" ca="1" si="188">+IFERROR(K177+0.05,"n.a.")</f>
        <v>0.16027125246376744</v>
      </c>
    </row>
    <row r="178" spans="1:12">
      <c r="A178" s="1">
        <f ca="1">+RANDBETWEEN(Apoyo!$P$2,Apoyo!$P$3)</f>
        <v>45949</v>
      </c>
      <c r="B178" s="1" t="str" cm="1">
        <f t="array" aca="1" ref="B178" ca="1">+INDEX(Apoyo!$B$2:$B$10,RANDBETWEEN(1,9))</f>
        <v>Resto del Perú</v>
      </c>
      <c r="C178" t="s">
        <v>2</v>
      </c>
      <c r="D178" t="str" cm="1">
        <f t="array" aca="1" ref="D178" ca="1">+IF(OR($B178=Apoyo!$B$2,$B178=Apoyo!$B$6),"Lima",IF($B178=Apoyo!$B$10,INDEX(Apoyo!$D$2:$D$19,RANDBETWEEN(1,18)),IF(OR($B178&lt;&gt;Apoyo!$B$10,$B178&lt;&gt;Apoyo!$B$2,$B178&lt;&gt;Apoyo!$B$6),B178,0)))</f>
        <v>Moquegua</v>
      </c>
      <c r="E178" t="s">
        <v>43</v>
      </c>
      <c r="F178">
        <f t="shared" ca="1" si="133"/>
        <v>16</v>
      </c>
      <c r="G178" t="str">
        <f ca="1">+CHOOSE(RANDBETWEEN(1,5),Apoyo!$E$3,Apoyo!$E$4,Apoyo!$E$5,Apoyo!$E$6,Apoyo!$E$7)</f>
        <v>Ausente</v>
      </c>
      <c r="H178" s="3">
        <f t="shared" ca="1" si="172"/>
        <v>0</v>
      </c>
      <c r="I178" s="3">
        <f t="shared" ca="1" si="172"/>
        <v>0</v>
      </c>
      <c r="J178">
        <f t="shared" ca="1" si="137"/>
        <v>0</v>
      </c>
      <c r="K178" s="2" t="str">
        <f t="shared" ca="1" si="138"/>
        <v>n.a.</v>
      </c>
      <c r="L178" s="2" t="str">
        <f t="shared" ref="L178" ca="1" si="189">+IFERROR(K178+0.04,"n.a.")</f>
        <v>n.a.</v>
      </c>
    </row>
    <row r="179" spans="1:12">
      <c r="A179" s="1">
        <f ca="1">+RANDBETWEEN(Apoyo!$P$2,Apoyo!$P$3)</f>
        <v>45953</v>
      </c>
      <c r="B179" s="1" t="str" cm="1">
        <f t="array" aca="1" ref="B179" ca="1">+INDEX(Apoyo!$B$2:$B$10,RANDBETWEEN(1,9))</f>
        <v>Cajamarca</v>
      </c>
      <c r="C179" t="s">
        <v>1</v>
      </c>
      <c r="D179" t="str" cm="1">
        <f t="array" aca="1" ref="D179" ca="1">+IF(OR($B179=Apoyo!$B$2,$B179=Apoyo!$B$6),"Lima",IF($B179=Apoyo!$B$10,INDEX(Apoyo!$D$2:$D$19,RANDBETWEEN(1,18)),IF(OR($B179&lt;&gt;Apoyo!$B$10,$B179&lt;&gt;Apoyo!$B$2,$B179&lt;&gt;Apoyo!$B$6),B179,0)))</f>
        <v>Cajamarca</v>
      </c>
      <c r="E179" t="str">
        <f t="shared" ref="E179" si="190">+IF(C179="Mujer","Femenino",2)</f>
        <v>Femenino</v>
      </c>
      <c r="F179">
        <f t="shared" ca="1" si="133"/>
        <v>51</v>
      </c>
      <c r="G179" t="s">
        <v>54</v>
      </c>
      <c r="H179" s="3">
        <f t="shared" ca="1" si="172"/>
        <v>1</v>
      </c>
      <c r="I179" s="3">
        <f t="shared" ca="1" si="172"/>
        <v>0</v>
      </c>
      <c r="J179">
        <f t="shared" ca="1" si="137"/>
        <v>0</v>
      </c>
      <c r="K179" s="2">
        <f t="shared" ca="1" si="138"/>
        <v>0.21814674429787284</v>
      </c>
      <c r="L179" s="2">
        <f t="shared" ref="L179" ca="1" si="191">+IFERROR(K179+0.05,"n.a.")</f>
        <v>0.26814674429787283</v>
      </c>
    </row>
    <row r="180" spans="1:12">
      <c r="A180" s="1">
        <f ca="1">+RANDBETWEEN(Apoyo!$P$2,Apoyo!$P$3)</f>
        <v>45957</v>
      </c>
      <c r="B180" s="1" t="str" cm="1">
        <f t="array" aca="1" ref="B180" ca="1">+INDEX(Apoyo!$B$2:$B$10,RANDBETWEEN(1,9))</f>
        <v>Cajamarca</v>
      </c>
      <c r="C180" t="s">
        <v>2</v>
      </c>
      <c r="D180" t="str" cm="1">
        <f t="array" aca="1" ref="D180" ca="1">+IF(OR($B180=Apoyo!$B$2,$B180=Apoyo!$B$6),"Lima",IF($B180=Apoyo!$B$10,INDEX(Apoyo!$D$2:$D$19,RANDBETWEEN(1,18)),IF(OR($B180&lt;&gt;Apoyo!$B$10,$B180&lt;&gt;Apoyo!$B$2,$B180&lt;&gt;Apoyo!$B$6),B180,0)))</f>
        <v>Cajamarca</v>
      </c>
      <c r="E180" t="s">
        <v>44</v>
      </c>
      <c r="F180">
        <f t="shared" ca="1" si="133"/>
        <v>12</v>
      </c>
      <c r="G180" t="str">
        <f ca="1">+CHOOSE(RANDBETWEEN(1,5),Apoyo!$E$3,Apoyo!$E$4,Apoyo!$E$5,Apoyo!$E$6,Apoyo!$E$7)</f>
        <v>Rechazada</v>
      </c>
      <c r="H180" s="3">
        <f t="shared" ca="1" si="172"/>
        <v>0</v>
      </c>
      <c r="I180" s="3">
        <f t="shared" ca="1" si="172"/>
        <v>0</v>
      </c>
      <c r="J180">
        <f t="shared" ca="1" si="137"/>
        <v>0</v>
      </c>
      <c r="K180" s="2" t="str">
        <f t="shared" ca="1" si="138"/>
        <v>n.a.</v>
      </c>
      <c r="L180" s="2" t="str">
        <f t="shared" ref="L180:L181" ca="1" si="192">+IFERROR(K180+0.03,"n.a.")</f>
        <v>n.a.</v>
      </c>
    </row>
    <row r="181" spans="1:12">
      <c r="A181" s="1">
        <f ca="1">+RANDBETWEEN(Apoyo!$P$2,Apoyo!$P$3)</f>
        <v>45954</v>
      </c>
      <c r="B181" s="1" t="str" cm="1">
        <f t="array" aca="1" ref="B181" ca="1">+INDEX(Apoyo!$B$2:$B$10,RANDBETWEEN(1,9))</f>
        <v>Ayacucho</v>
      </c>
      <c r="C181" t="s">
        <v>1</v>
      </c>
      <c r="D181" t="str" cm="1">
        <f t="array" aca="1" ref="D181" ca="1">+IF(OR($B181=Apoyo!$B$2,$B181=Apoyo!$B$6),"Lima",IF($B181=Apoyo!$B$10,INDEX(Apoyo!$D$2:$D$19,RANDBETWEEN(1,18)),IF(OR($B181&lt;&gt;Apoyo!$B$10,$B181&lt;&gt;Apoyo!$B$2,$B181&lt;&gt;Apoyo!$B$6),B181,0)))</f>
        <v>Ayacucho</v>
      </c>
      <c r="E181" t="str">
        <f t="shared" ref="E181" si="193">+IF(C181="Mujer","Femenino",2)</f>
        <v>Femenino</v>
      </c>
      <c r="F181">
        <f t="shared" ca="1" si="133"/>
        <v>41</v>
      </c>
      <c r="G181" t="str">
        <f ca="1">+CHOOSE(RANDBETWEEN(1,5),Apoyo!$E$3,Apoyo!$E$4,Apoyo!$E$5,Apoyo!$E$6,Apoyo!$E$7)</f>
        <v>Otro</v>
      </c>
      <c r="H181" s="3">
        <f t="shared" ca="1" si="172"/>
        <v>0</v>
      </c>
      <c r="I181" s="3">
        <f t="shared" ca="1" si="172"/>
        <v>0</v>
      </c>
      <c r="J181">
        <f t="shared" ca="1" si="137"/>
        <v>0</v>
      </c>
      <c r="K181" s="2" t="str">
        <f t="shared" ca="1" si="138"/>
        <v>n.a.</v>
      </c>
      <c r="L181" s="2" t="str">
        <f t="shared" ca="1" si="192"/>
        <v>n.a.</v>
      </c>
    </row>
    <row r="182" spans="1:12">
      <c r="A182" s="1">
        <f ca="1">+RANDBETWEEN(Apoyo!$P$2,Apoyo!$P$3)</f>
        <v>45945</v>
      </c>
      <c r="B182" s="1" t="str" cm="1">
        <f t="array" aca="1" ref="B182" ca="1">+INDEX(Apoyo!$B$2:$B$10,RANDBETWEEN(1,9))</f>
        <v>Puente Piedra-Ventanilla</v>
      </c>
      <c r="C182" t="s">
        <v>1</v>
      </c>
      <c r="D182" t="str" cm="1">
        <f t="array" aca="1" ref="D182" ca="1">+IF(OR($B182=Apoyo!$B$2,$B182=Apoyo!$B$6),"Lima",IF($B182=Apoyo!$B$10,INDEX(Apoyo!$D$2:$D$19,RANDBETWEEN(1,18)),IF(OR($B182&lt;&gt;Apoyo!$B$10,$B182&lt;&gt;Apoyo!$B$2,$B182&lt;&gt;Apoyo!$B$6),B182,0)))</f>
        <v>Lima</v>
      </c>
      <c r="E182" t="str">
        <f>+IF(C182="Mujer","Femenino",2)</f>
        <v>Femenino</v>
      </c>
      <c r="F182">
        <f t="shared" ca="1" si="133"/>
        <v>57</v>
      </c>
      <c r="G182" t="str">
        <f ca="1">+CHOOSE(RANDBETWEEN(1,5),Apoyo!$E$3,Apoyo!$E$4,Apoyo!$E$5,Apoyo!$E$6,Apoyo!$E$7)</f>
        <v>Ausente</v>
      </c>
      <c r="H182" s="3">
        <f t="shared" ca="1" si="172"/>
        <v>0</v>
      </c>
      <c r="I182" s="3">
        <f t="shared" ca="1" si="172"/>
        <v>0</v>
      </c>
      <c r="J182">
        <f t="shared" ca="1" si="137"/>
        <v>0</v>
      </c>
      <c r="K182" s="2" t="str">
        <f t="shared" ca="1" si="138"/>
        <v>n.a.</v>
      </c>
      <c r="L182" s="2" t="str">
        <f t="shared" ref="L182" ca="1" si="194">+IFERROR(K182+0.04,"n.a.")</f>
        <v>n.a.</v>
      </c>
    </row>
    <row r="183" spans="1:12">
      <c r="A183" s="1">
        <f ca="1">+RANDBETWEEN(Apoyo!$P$2,Apoyo!$P$3)</f>
        <v>45948</v>
      </c>
      <c r="B183" s="1" t="str" cm="1">
        <f t="array" aca="1" ref="B183" ca="1">+INDEX(Apoyo!$B$2:$B$10,RANDBETWEEN(1,9))</f>
        <v>Puente Piedra-Ventanilla</v>
      </c>
      <c r="C183" t="s">
        <v>2</v>
      </c>
      <c r="D183" t="str" cm="1">
        <f t="array" aca="1" ref="D183" ca="1">+IF(OR($B183=Apoyo!$B$2,$B183=Apoyo!$B$6),"Lima",IF($B183=Apoyo!$B$10,INDEX(Apoyo!$D$2:$D$19,RANDBETWEEN(1,18)),IF(OR($B183&lt;&gt;Apoyo!$B$10,$B183&lt;&gt;Apoyo!$B$2,$B183&lt;&gt;Apoyo!$B$6),B183,0)))</f>
        <v>Lima</v>
      </c>
      <c r="E183" t="s">
        <v>43</v>
      </c>
      <c r="F183">
        <f t="shared" ca="1" si="133"/>
        <v>16</v>
      </c>
      <c r="G183" t="str">
        <f ca="1">+CHOOSE(RANDBETWEEN(1,5),Apoyo!$E$3,Apoyo!$E$4,Apoyo!$E$5,Apoyo!$E$6,Apoyo!$E$7)</f>
        <v>Otro</v>
      </c>
      <c r="H183" s="3">
        <f t="shared" ca="1" si="172"/>
        <v>0</v>
      </c>
      <c r="I183" s="3">
        <f t="shared" ca="1" si="172"/>
        <v>0</v>
      </c>
      <c r="J183">
        <f t="shared" ca="1" si="137"/>
        <v>0</v>
      </c>
      <c r="K183" s="2" t="str">
        <f t="shared" ca="1" si="138"/>
        <v>n.a.</v>
      </c>
      <c r="L183" s="2" t="str">
        <f t="shared" ref="L183" ca="1" si="195">+IFERROR(K183+0.05,"n.a.")</f>
        <v>n.a.</v>
      </c>
    </row>
    <row r="184" spans="1:12">
      <c r="A184" s="1">
        <f ca="1">+RANDBETWEEN(Apoyo!$P$2,Apoyo!$P$3)</f>
        <v>45946</v>
      </c>
      <c r="B184" s="1" t="str" cm="1">
        <f t="array" aca="1" ref="B184" ca="1">+INDEX(Apoyo!$B$2:$B$10,RANDBETWEEN(1,9))</f>
        <v>Cajamarca</v>
      </c>
      <c r="C184" t="s">
        <v>2</v>
      </c>
      <c r="D184" t="str" cm="1">
        <f t="array" aca="1" ref="D184" ca="1">+IF(OR($B184=Apoyo!$B$2,$B184=Apoyo!$B$6),"Lima",IF($B184=Apoyo!$B$10,INDEX(Apoyo!$D$2:$D$19,RANDBETWEEN(1,18)),IF(OR($B184&lt;&gt;Apoyo!$B$10,$B184&lt;&gt;Apoyo!$B$2,$B184&lt;&gt;Apoyo!$B$6),B184,0)))</f>
        <v>Cajamarca</v>
      </c>
      <c r="E184" t="s">
        <v>44</v>
      </c>
      <c r="F184">
        <f t="shared" ca="1" si="133"/>
        <v>15</v>
      </c>
      <c r="G184" t="s">
        <v>54</v>
      </c>
      <c r="H184" s="3">
        <f t="shared" ca="1" si="172"/>
        <v>0</v>
      </c>
      <c r="I184" s="3">
        <f t="shared" ca="1" si="172"/>
        <v>0</v>
      </c>
      <c r="J184">
        <f t="shared" ca="1" si="137"/>
        <v>0</v>
      </c>
      <c r="K184" s="2">
        <f t="shared" ca="1" si="138"/>
        <v>0.76034250260594771</v>
      </c>
      <c r="L184" s="2">
        <f t="shared" ref="L184:L185" ca="1" si="196">+IFERROR(K184+0.03,"n.a.")</f>
        <v>0.79034250260594774</v>
      </c>
    </row>
    <row r="185" spans="1:12">
      <c r="A185" s="1">
        <f ca="1">+RANDBETWEEN(Apoyo!$P$2,Apoyo!$P$3)</f>
        <v>45956</v>
      </c>
      <c r="B185" s="1" t="str" cm="1">
        <f t="array" aca="1" ref="B185" ca="1">+INDEX(Apoyo!$B$2:$B$10,RANDBETWEEN(1,9))</f>
        <v>Lima Norte</v>
      </c>
      <c r="C185" t="s">
        <v>1</v>
      </c>
      <c r="D185" t="str" cm="1">
        <f t="array" aca="1" ref="D185" ca="1">+IF(OR($B185=Apoyo!$B$2,$B185=Apoyo!$B$6),"Lima",IF($B185=Apoyo!$B$10,INDEX(Apoyo!$D$2:$D$19,RANDBETWEEN(1,18)),IF(OR($B185&lt;&gt;Apoyo!$B$10,$B185&lt;&gt;Apoyo!$B$2,$B185&lt;&gt;Apoyo!$B$6),B185,0)))</f>
        <v>Lima</v>
      </c>
      <c r="E185" t="str">
        <f t="shared" ref="E185:E186" si="197">+IF(C185="Mujer","Femenino",2)</f>
        <v>Femenino</v>
      </c>
      <c r="F185">
        <f t="shared" ca="1" si="133"/>
        <v>36</v>
      </c>
      <c r="G185" t="str">
        <f ca="1">+CHOOSE(RANDBETWEEN(1,5),Apoyo!$E$3,Apoyo!$E$4,Apoyo!$E$5,Apoyo!$E$6,Apoyo!$E$7)</f>
        <v>Incompleta</v>
      </c>
      <c r="H185" s="3">
        <f t="shared" ca="1" si="172"/>
        <v>0</v>
      </c>
      <c r="I185" s="3">
        <f t="shared" ca="1" si="172"/>
        <v>0</v>
      </c>
      <c r="J185">
        <f t="shared" ca="1" si="137"/>
        <v>0</v>
      </c>
      <c r="K185" s="2" t="str">
        <f t="shared" ca="1" si="138"/>
        <v>n.a.</v>
      </c>
      <c r="L185" s="2" t="str">
        <f t="shared" ca="1" si="196"/>
        <v>n.a.</v>
      </c>
    </row>
    <row r="186" spans="1:12">
      <c r="A186" s="1">
        <f ca="1">+RANDBETWEEN(Apoyo!$P$2,Apoyo!$P$3)</f>
        <v>45957</v>
      </c>
      <c r="B186" s="1" t="str" cm="1">
        <f t="array" aca="1" ref="B186" ca="1">+INDEX(Apoyo!$B$2:$B$10,RANDBETWEEN(1,9))</f>
        <v>Puente Piedra-Ventanilla</v>
      </c>
      <c r="C186" t="s">
        <v>1</v>
      </c>
      <c r="D186" t="str" cm="1">
        <f t="array" aca="1" ref="D186" ca="1">+IF(OR($B186=Apoyo!$B$2,$B186=Apoyo!$B$6),"Lima",IF($B186=Apoyo!$B$10,INDEX(Apoyo!$D$2:$D$19,RANDBETWEEN(1,18)),IF(OR($B186&lt;&gt;Apoyo!$B$10,$B186&lt;&gt;Apoyo!$B$2,$B186&lt;&gt;Apoyo!$B$6),B186,0)))</f>
        <v>Lima</v>
      </c>
      <c r="E186" t="str">
        <f t="shared" si="197"/>
        <v>Femenino</v>
      </c>
      <c r="F186">
        <f t="shared" ca="1" si="133"/>
        <v>52</v>
      </c>
      <c r="G186" t="str">
        <f ca="1">+CHOOSE(RANDBETWEEN(1,5),Apoyo!$E$3,Apoyo!$E$4,Apoyo!$E$5,Apoyo!$E$6,Apoyo!$E$7)</f>
        <v>Otro</v>
      </c>
      <c r="H186" s="3">
        <f t="shared" ca="1" si="172"/>
        <v>0</v>
      </c>
      <c r="I186" s="3">
        <f t="shared" ca="1" si="172"/>
        <v>0</v>
      </c>
      <c r="J186">
        <f t="shared" ca="1" si="137"/>
        <v>0</v>
      </c>
      <c r="K186" s="2" t="str">
        <f t="shared" ca="1" si="138"/>
        <v>n.a.</v>
      </c>
      <c r="L186" s="2" t="str">
        <f t="shared" ca="1" si="158"/>
        <v>n.a.</v>
      </c>
    </row>
    <row r="187" spans="1:12">
      <c r="A187" s="1">
        <f ca="1">+RANDBETWEEN(Apoyo!$P$2,Apoyo!$P$3)</f>
        <v>45949</v>
      </c>
      <c r="B187" s="1" t="str" cm="1">
        <f t="array" aca="1" ref="B187" ca="1">+INDEX(Apoyo!$B$2:$B$10,RANDBETWEEN(1,9))</f>
        <v>Cajamarca</v>
      </c>
      <c r="C187" t="s">
        <v>2</v>
      </c>
      <c r="D187" t="str" cm="1">
        <f t="array" aca="1" ref="D187" ca="1">+IF(OR($B187=Apoyo!$B$2,$B187=Apoyo!$B$6),"Lima",IF($B187=Apoyo!$B$10,INDEX(Apoyo!$D$2:$D$19,RANDBETWEEN(1,18)),IF(OR($B187&lt;&gt;Apoyo!$B$10,$B187&lt;&gt;Apoyo!$B$2,$B187&lt;&gt;Apoyo!$B$6),B187,0)))</f>
        <v>Cajamarca</v>
      </c>
      <c r="E187" t="s">
        <v>44</v>
      </c>
      <c r="F187">
        <f t="shared" ca="1" si="133"/>
        <v>12</v>
      </c>
      <c r="G187" t="s">
        <v>54</v>
      </c>
      <c r="H187" s="3">
        <f t="shared" ca="1" si="172"/>
        <v>1</v>
      </c>
      <c r="I187" s="3">
        <f t="shared" ca="1" si="172"/>
        <v>1</v>
      </c>
      <c r="J187">
        <f t="shared" ca="1" si="137"/>
        <v>0</v>
      </c>
      <c r="K187" s="2">
        <f t="shared" ca="1" si="138"/>
        <v>0.43475461057576548</v>
      </c>
      <c r="L187" s="2">
        <f t="shared" ref="L187" ca="1" si="198">+IFERROR(K187+0.06,"n.a.")</f>
        <v>0.49475461057576547</v>
      </c>
    </row>
    <row r="188" spans="1:12">
      <c r="A188" s="1">
        <f ca="1">+RANDBETWEEN(Apoyo!$P$2,Apoyo!$P$3)</f>
        <v>45948</v>
      </c>
      <c r="B188" s="1" t="str" cm="1">
        <f t="array" aca="1" ref="B188" ca="1">+INDEX(Apoyo!$B$2:$B$10,RANDBETWEEN(1,9))</f>
        <v>Resto del Perú</v>
      </c>
      <c r="C188" t="s">
        <v>2</v>
      </c>
      <c r="D188" t="str" cm="1">
        <f t="array" aca="1" ref="D188" ca="1">+IF(OR($B188=Apoyo!$B$2,$B188=Apoyo!$B$6),"Lima",IF($B188=Apoyo!$B$10,INDEX(Apoyo!$D$2:$D$19,RANDBETWEEN(1,18)),IF(OR($B188&lt;&gt;Apoyo!$B$10,$B188&lt;&gt;Apoyo!$B$2,$B188&lt;&gt;Apoyo!$B$6),B188,0)))</f>
        <v>Moquegua</v>
      </c>
      <c r="E188" t="s">
        <v>43</v>
      </c>
      <c r="F188">
        <f t="shared" ca="1" si="133"/>
        <v>17</v>
      </c>
      <c r="G188" t="s">
        <v>54</v>
      </c>
      <c r="H188" s="3">
        <f t="shared" ca="1" si="172"/>
        <v>1</v>
      </c>
      <c r="I188" s="3">
        <f t="shared" ca="1" si="172"/>
        <v>1</v>
      </c>
      <c r="J188">
        <f t="shared" ca="1" si="137"/>
        <v>1</v>
      </c>
      <c r="K188" s="2">
        <f t="shared" ca="1" si="138"/>
        <v>0.14355334482237425</v>
      </c>
      <c r="L188" s="2">
        <f t="shared" ref="L188" ca="1" si="199">+IFERROR(K188+0.03,"n.a.")</f>
        <v>0.17355334482237425</v>
      </c>
    </row>
    <row r="189" spans="1:12">
      <c r="A189" s="1">
        <f ca="1">+RANDBETWEEN(Apoyo!$P$2,Apoyo!$P$3)</f>
        <v>45957</v>
      </c>
      <c r="B189" s="1" t="str" cm="1">
        <f t="array" aca="1" ref="B189" ca="1">+INDEX(Apoyo!$B$2:$B$10,RANDBETWEEN(1,9))</f>
        <v>Puente Piedra-Ventanilla</v>
      </c>
      <c r="C189" t="s">
        <v>1</v>
      </c>
      <c r="D189" t="str" cm="1">
        <f t="array" aca="1" ref="D189" ca="1">+IF(OR($B189=Apoyo!$B$2,$B189=Apoyo!$B$6),"Lima",IF($B189=Apoyo!$B$10,INDEX(Apoyo!$D$2:$D$19,RANDBETWEEN(1,18)),IF(OR($B189&lt;&gt;Apoyo!$B$10,$B189&lt;&gt;Apoyo!$B$2,$B189&lt;&gt;Apoyo!$B$6),B189,0)))</f>
        <v>Lima</v>
      </c>
      <c r="E189" t="str">
        <f t="shared" ref="E189" si="200">+IF(C189="Mujer","Femenino",2)</f>
        <v>Femenino</v>
      </c>
      <c r="F189">
        <f t="shared" ca="1" si="133"/>
        <v>61</v>
      </c>
      <c r="G189" t="s">
        <v>54</v>
      </c>
      <c r="H189" s="3">
        <f t="shared" ca="1" si="172"/>
        <v>0</v>
      </c>
      <c r="I189" s="3">
        <f t="shared" ca="1" si="172"/>
        <v>0</v>
      </c>
      <c r="J189">
        <f t="shared" ca="1" si="137"/>
        <v>0</v>
      </c>
      <c r="K189" s="2">
        <f t="shared" ca="1" si="138"/>
        <v>0.72077098180175359</v>
      </c>
      <c r="L189" s="2">
        <f t="shared" ref="L189" ca="1" si="201">+IFERROR(K189+0.05,"n.a.")</f>
        <v>0.77077098180175363</v>
      </c>
    </row>
    <row r="190" spans="1:12">
      <c r="A190" s="1">
        <f ca="1">+RANDBETWEEN(Apoyo!$P$2,Apoyo!$P$3)</f>
        <v>45948</v>
      </c>
      <c r="B190" s="1" t="str" cm="1">
        <f t="array" aca="1" ref="B190" ca="1">+INDEX(Apoyo!$B$2:$B$10,RANDBETWEEN(1,9))</f>
        <v>Lima Norte</v>
      </c>
      <c r="C190" t="s">
        <v>2</v>
      </c>
      <c r="D190" t="str" cm="1">
        <f t="array" aca="1" ref="D190" ca="1">+IF(OR($B190=Apoyo!$B$2,$B190=Apoyo!$B$6),"Lima",IF($B190=Apoyo!$B$10,INDEX(Apoyo!$D$2:$D$19,RANDBETWEEN(1,18)),IF(OR($B190&lt;&gt;Apoyo!$B$10,$B190&lt;&gt;Apoyo!$B$2,$B190&lt;&gt;Apoyo!$B$6),B190,0)))</f>
        <v>Lima</v>
      </c>
      <c r="E190" t="s">
        <v>44</v>
      </c>
      <c r="F190">
        <f t="shared" ca="1" si="133"/>
        <v>13</v>
      </c>
      <c r="G190" t="s">
        <v>54</v>
      </c>
      <c r="H190" s="3">
        <f t="shared" ca="1" si="172"/>
        <v>1</v>
      </c>
      <c r="I190" s="3">
        <f t="shared" ca="1" si="172"/>
        <v>0</v>
      </c>
      <c r="J190">
        <f t="shared" ca="1" si="137"/>
        <v>0</v>
      </c>
      <c r="K190" s="2">
        <f t="shared" ca="1" si="138"/>
        <v>0.24658044278120883</v>
      </c>
      <c r="L190" s="2">
        <f t="shared" ref="L190" ca="1" si="202">+IFERROR(K190+0.04,"n.a.")</f>
        <v>0.28658044278120881</v>
      </c>
    </row>
    <row r="191" spans="1:12">
      <c r="A191" s="1">
        <f ca="1">+RANDBETWEEN(Apoyo!$P$2,Apoyo!$P$3)</f>
        <v>45949</v>
      </c>
      <c r="B191" s="1" t="str" cm="1">
        <f t="array" aca="1" ref="B191" ca="1">+INDEX(Apoyo!$B$2:$B$10,RANDBETWEEN(1,9))</f>
        <v>Ucayali</v>
      </c>
      <c r="C191" t="s">
        <v>1</v>
      </c>
      <c r="D191" t="str" cm="1">
        <f t="array" aca="1" ref="D191" ca="1">+IF(OR($B191=Apoyo!$B$2,$B191=Apoyo!$B$6),"Lima",IF($B191=Apoyo!$B$10,INDEX(Apoyo!$D$2:$D$19,RANDBETWEEN(1,18)),IF(OR($B191&lt;&gt;Apoyo!$B$10,$B191&lt;&gt;Apoyo!$B$2,$B191&lt;&gt;Apoyo!$B$6),B191,0)))</f>
        <v>Ucayali</v>
      </c>
      <c r="E191" t="str">
        <f t="shared" ref="E191" si="203">+IF(C191="Mujer","Femenino",2)</f>
        <v>Femenino</v>
      </c>
      <c r="F191">
        <f t="shared" ca="1" si="133"/>
        <v>40</v>
      </c>
      <c r="G191" t="s">
        <v>54</v>
      </c>
      <c r="H191" s="3">
        <f t="shared" ca="1" si="172"/>
        <v>0</v>
      </c>
      <c r="I191" s="3">
        <f t="shared" ca="1" si="172"/>
        <v>1</v>
      </c>
      <c r="J191">
        <f t="shared" ca="1" si="137"/>
        <v>1</v>
      </c>
      <c r="K191" s="2">
        <f t="shared" ca="1" si="138"/>
        <v>0.59348916308109467</v>
      </c>
      <c r="L191" s="2">
        <f t="shared" ref="L191" ca="1" si="204">+IFERROR(K191+0.05,"n.a.")</f>
        <v>0.64348916308109472</v>
      </c>
    </row>
    <row r="192" spans="1:12">
      <c r="A192" s="1">
        <f ca="1">+RANDBETWEEN(Apoyo!$P$2,Apoyo!$P$3)</f>
        <v>45951</v>
      </c>
      <c r="B192" s="1" t="str" cm="1">
        <f t="array" aca="1" ref="B192" ca="1">+INDEX(Apoyo!$B$2:$B$10,RANDBETWEEN(1,9))</f>
        <v>Puente Piedra-Ventanilla</v>
      </c>
      <c r="C192" t="s">
        <v>1</v>
      </c>
      <c r="D192" t="str" cm="1">
        <f t="array" aca="1" ref="D192" ca="1">+IF(OR($B192=Apoyo!$B$2,$B192=Apoyo!$B$6),"Lima",IF($B192=Apoyo!$B$10,INDEX(Apoyo!$D$2:$D$19,RANDBETWEEN(1,18)),IF(OR($B192&lt;&gt;Apoyo!$B$10,$B192&lt;&gt;Apoyo!$B$2,$B192&lt;&gt;Apoyo!$B$6),B192,0)))</f>
        <v>Lima</v>
      </c>
      <c r="E192" t="str">
        <f>+IF(C192="Mujer","Femenino",2)</f>
        <v>Femenino</v>
      </c>
      <c r="F192">
        <f t="shared" ca="1" si="133"/>
        <v>40</v>
      </c>
      <c r="G192" t="s">
        <v>54</v>
      </c>
      <c r="H192" s="3">
        <f t="shared" ca="1" si="172"/>
        <v>1</v>
      </c>
      <c r="I192" s="3">
        <f t="shared" ca="1" si="172"/>
        <v>0</v>
      </c>
      <c r="J192">
        <f t="shared" ca="1" si="137"/>
        <v>0</v>
      </c>
      <c r="K192" s="2">
        <f t="shared" ca="1" si="138"/>
        <v>0.70952590706780116</v>
      </c>
      <c r="L192" s="2">
        <f t="shared" ref="L192:L193" ca="1" si="205">+IFERROR(K192+0.03,"n.a.")</f>
        <v>0.73952590706780119</v>
      </c>
    </row>
    <row r="193" spans="1:12">
      <c r="A193" s="1">
        <f ca="1">+RANDBETWEEN(Apoyo!$P$2,Apoyo!$P$3)</f>
        <v>45959</v>
      </c>
      <c r="B193" s="1" t="str" cm="1">
        <f t="array" aca="1" ref="B193" ca="1">+INDEX(Apoyo!$B$2:$B$10,RANDBETWEEN(1,9))</f>
        <v>Apurímac</v>
      </c>
      <c r="C193" t="s">
        <v>2</v>
      </c>
      <c r="D193" t="str" cm="1">
        <f t="array" aca="1" ref="D193" ca="1">+IF(OR($B193=Apoyo!$B$2,$B193=Apoyo!$B$6),"Lima",IF($B193=Apoyo!$B$10,INDEX(Apoyo!$D$2:$D$19,RANDBETWEEN(1,18)),IF(OR($B193&lt;&gt;Apoyo!$B$10,$B193&lt;&gt;Apoyo!$B$2,$B193&lt;&gt;Apoyo!$B$6),B193,0)))</f>
        <v>Apurímac</v>
      </c>
      <c r="E193" t="s">
        <v>43</v>
      </c>
      <c r="F193">
        <f t="shared" ca="1" si="133"/>
        <v>16</v>
      </c>
      <c r="G193" t="s">
        <v>54</v>
      </c>
      <c r="H193" s="3">
        <f t="shared" ca="1" si="172"/>
        <v>0</v>
      </c>
      <c r="I193" s="3">
        <f t="shared" ca="1" si="172"/>
        <v>0</v>
      </c>
      <c r="J193">
        <f t="shared" ca="1" si="137"/>
        <v>0</v>
      </c>
      <c r="K193" s="2">
        <f t="shared" ca="1" si="138"/>
        <v>0.40665215801030019</v>
      </c>
      <c r="L193" s="2">
        <f t="shared" ca="1" si="205"/>
        <v>0.43665215801030022</v>
      </c>
    </row>
    <row r="194" spans="1:12">
      <c r="A194" s="1">
        <f ca="1">+RANDBETWEEN(Apoyo!$P$2,Apoyo!$P$3)</f>
        <v>45955</v>
      </c>
      <c r="B194" s="1" t="str" cm="1">
        <f t="array" aca="1" ref="B194" ca="1">+INDEX(Apoyo!$B$2:$B$10,RANDBETWEEN(1,9))</f>
        <v>Apurímac</v>
      </c>
      <c r="C194" t="s">
        <v>2</v>
      </c>
      <c r="D194" t="str" cm="1">
        <f t="array" aca="1" ref="D194" ca="1">+IF(OR($B194=Apoyo!$B$2,$B194=Apoyo!$B$6),"Lima",IF($B194=Apoyo!$B$10,INDEX(Apoyo!$D$2:$D$19,RANDBETWEEN(1,18)),IF(OR($B194&lt;&gt;Apoyo!$B$10,$B194&lt;&gt;Apoyo!$B$2,$B194&lt;&gt;Apoyo!$B$6),B194,0)))</f>
        <v>Apurímac</v>
      </c>
      <c r="E194" t="s">
        <v>44</v>
      </c>
      <c r="F194">
        <f t="shared" ref="F194:F257" ca="1" si="206">+IF(C194="Mujer",RANDBETWEEN(18,65),RANDBETWEEN(12,17))</f>
        <v>16</v>
      </c>
      <c r="G194" t="s">
        <v>54</v>
      </c>
      <c r="H194" s="3">
        <f t="shared" ca="1" si="172"/>
        <v>0</v>
      </c>
      <c r="I194" s="3">
        <f t="shared" ca="1" si="172"/>
        <v>1</v>
      </c>
      <c r="J194">
        <f t="shared" ca="1" si="137"/>
        <v>1</v>
      </c>
      <c r="K194" s="2">
        <f t="shared" ca="1" si="138"/>
        <v>0.40977628235929775</v>
      </c>
      <c r="L194" s="2">
        <f t="shared" ref="L194" ca="1" si="207">+IFERROR(K194+0.04,"n.a.")</f>
        <v>0.44977628235929773</v>
      </c>
    </row>
    <row r="195" spans="1:12">
      <c r="A195" s="1">
        <f ca="1">+RANDBETWEEN(Apoyo!$P$2,Apoyo!$P$3)</f>
        <v>45959</v>
      </c>
      <c r="B195" s="1" t="str" cm="1">
        <f t="array" aca="1" ref="B195" ca="1">+INDEX(Apoyo!$B$2:$B$10,RANDBETWEEN(1,9))</f>
        <v>Lima Norte</v>
      </c>
      <c r="C195" t="s">
        <v>1</v>
      </c>
      <c r="D195" t="str" cm="1">
        <f t="array" aca="1" ref="D195" ca="1">+IF(OR($B195=Apoyo!$B$2,$B195=Apoyo!$B$6),"Lima",IF($B195=Apoyo!$B$10,INDEX(Apoyo!$D$2:$D$19,RANDBETWEEN(1,18)),IF(OR($B195&lt;&gt;Apoyo!$B$10,$B195&lt;&gt;Apoyo!$B$2,$B195&lt;&gt;Apoyo!$B$6),B195,0)))</f>
        <v>Lima</v>
      </c>
      <c r="E195" t="str">
        <f t="shared" ref="E195:E196" si="208">+IF(C195="Mujer","Femenino",2)</f>
        <v>Femenino</v>
      </c>
      <c r="F195">
        <f t="shared" ca="1" si="206"/>
        <v>45</v>
      </c>
      <c r="G195" t="s">
        <v>54</v>
      </c>
      <c r="H195" s="3">
        <f t="shared" ref="H195:I226" ca="1" si="209">+IF($G195&lt;&gt;"Completa",IF($G195&lt;&gt;"Discapacidad",0,RANDBETWEEN(0,1)),RANDBETWEEN(0,1))</f>
        <v>0</v>
      </c>
      <c r="I195" s="3">
        <f t="shared" ca="1" si="209"/>
        <v>0</v>
      </c>
      <c r="J195">
        <f t="shared" ref="J195:J258" ca="1" si="210">+IF(OR(H195=1,I195=1),RANDBETWEEN(0,1),0)</f>
        <v>0</v>
      </c>
      <c r="K195" s="2">
        <f t="shared" ref="K195:K258" ca="1" si="211">IF(G195&lt;&gt;"Completa","n.a.",RAND())</f>
        <v>0.18951693188074858</v>
      </c>
      <c r="L195" s="2">
        <f t="shared" ref="L195" ca="1" si="212">+IFERROR(K195+0.05,"n.a.")</f>
        <v>0.23951693188074857</v>
      </c>
    </row>
    <row r="196" spans="1:12">
      <c r="A196" s="1">
        <f ca="1">+RANDBETWEEN(Apoyo!$P$2,Apoyo!$P$3)</f>
        <v>45955</v>
      </c>
      <c r="B196" s="1" t="str" cm="1">
        <f t="array" aca="1" ref="B196" ca="1">+INDEX(Apoyo!$B$2:$B$10,RANDBETWEEN(1,9))</f>
        <v>Cajamarca</v>
      </c>
      <c r="C196" t="s">
        <v>1</v>
      </c>
      <c r="D196" t="str" cm="1">
        <f t="array" aca="1" ref="D196" ca="1">+IF(OR($B196=Apoyo!$B$2,$B196=Apoyo!$B$6),"Lima",IF($B196=Apoyo!$B$10,INDEX(Apoyo!$D$2:$D$19,RANDBETWEEN(1,18)),IF(OR($B196&lt;&gt;Apoyo!$B$10,$B196&lt;&gt;Apoyo!$B$2,$B196&lt;&gt;Apoyo!$B$6),B196,0)))</f>
        <v>Cajamarca</v>
      </c>
      <c r="E196" t="str">
        <f t="shared" si="208"/>
        <v>Femenino</v>
      </c>
      <c r="F196">
        <f t="shared" ca="1" si="206"/>
        <v>34</v>
      </c>
      <c r="G196" t="s">
        <v>54</v>
      </c>
      <c r="H196" s="3">
        <f t="shared" ca="1" si="209"/>
        <v>1</v>
      </c>
      <c r="I196" s="3">
        <f t="shared" ca="1" si="209"/>
        <v>1</v>
      </c>
      <c r="J196">
        <f t="shared" ca="1" si="210"/>
        <v>0</v>
      </c>
      <c r="K196" s="2">
        <f t="shared" ca="1" si="211"/>
        <v>0.40065044201000866</v>
      </c>
      <c r="L196" s="2">
        <f t="shared" ref="L196:L197" ca="1" si="213">+IFERROR(K196+0.03,"n.a.")</f>
        <v>0.43065044201000868</v>
      </c>
    </row>
    <row r="197" spans="1:12">
      <c r="A197" s="1">
        <f ca="1">+RANDBETWEEN(Apoyo!$P$2,Apoyo!$P$3)</f>
        <v>45946</v>
      </c>
      <c r="B197" s="1" t="str" cm="1">
        <f t="array" aca="1" ref="B197" ca="1">+INDEX(Apoyo!$B$2:$B$10,RANDBETWEEN(1,9))</f>
        <v>Lima Norte</v>
      </c>
      <c r="C197" t="s">
        <v>2</v>
      </c>
      <c r="D197" t="str" cm="1">
        <f t="array" aca="1" ref="D197" ca="1">+IF(OR($B197=Apoyo!$B$2,$B197=Apoyo!$B$6),"Lima",IF($B197=Apoyo!$B$10,INDEX(Apoyo!$D$2:$D$19,RANDBETWEEN(1,18)),IF(OR($B197&lt;&gt;Apoyo!$B$10,$B197&lt;&gt;Apoyo!$B$2,$B197&lt;&gt;Apoyo!$B$6),B197,0)))</f>
        <v>Lima</v>
      </c>
      <c r="E197" t="s">
        <v>44</v>
      </c>
      <c r="F197">
        <f t="shared" ca="1" si="206"/>
        <v>13</v>
      </c>
      <c r="G197" t="s">
        <v>54</v>
      </c>
      <c r="H197" s="3">
        <f t="shared" ca="1" si="209"/>
        <v>0</v>
      </c>
      <c r="I197" s="3">
        <f t="shared" ca="1" si="209"/>
        <v>1</v>
      </c>
      <c r="J197">
        <f t="shared" ca="1" si="210"/>
        <v>0</v>
      </c>
      <c r="K197" s="2">
        <f t="shared" ca="1" si="211"/>
        <v>0.37994234954276451</v>
      </c>
      <c r="L197" s="2">
        <f t="shared" ca="1" si="213"/>
        <v>0.40994234954276454</v>
      </c>
    </row>
    <row r="198" spans="1:12">
      <c r="A198" s="1">
        <f ca="1">+RANDBETWEEN(Apoyo!$P$2,Apoyo!$P$3)</f>
        <v>45954</v>
      </c>
      <c r="B198" s="1" t="str" cm="1">
        <f t="array" aca="1" ref="B198" ca="1">+INDEX(Apoyo!$B$2:$B$10,RANDBETWEEN(1,9))</f>
        <v>Ucayali</v>
      </c>
      <c r="C198" t="s">
        <v>2</v>
      </c>
      <c r="D198" t="str" cm="1">
        <f t="array" aca="1" ref="D198" ca="1">+IF(OR($B198=Apoyo!$B$2,$B198=Apoyo!$B$6),"Lima",IF($B198=Apoyo!$B$10,INDEX(Apoyo!$D$2:$D$19,RANDBETWEEN(1,18)),IF(OR($B198&lt;&gt;Apoyo!$B$10,$B198&lt;&gt;Apoyo!$B$2,$B198&lt;&gt;Apoyo!$B$6),B198,0)))</f>
        <v>Ucayali</v>
      </c>
      <c r="E198" t="s">
        <v>43</v>
      </c>
      <c r="F198">
        <f t="shared" ca="1" si="206"/>
        <v>17</v>
      </c>
      <c r="G198" t="str">
        <f ca="1">+CHOOSE(RANDBETWEEN(1,5),Apoyo!$E$3,Apoyo!$E$4,Apoyo!$E$5,Apoyo!$E$6,Apoyo!$E$7)</f>
        <v>Otro</v>
      </c>
      <c r="H198" s="3">
        <f t="shared" ca="1" si="209"/>
        <v>0</v>
      </c>
      <c r="I198" s="3">
        <f t="shared" ca="1" si="209"/>
        <v>0</v>
      </c>
      <c r="J198">
        <f t="shared" ca="1" si="210"/>
        <v>0</v>
      </c>
      <c r="K198" s="2" t="str">
        <f t="shared" ca="1" si="211"/>
        <v>n.a.</v>
      </c>
      <c r="L198" s="2" t="str">
        <f t="shared" ca="1" si="158"/>
        <v>n.a.</v>
      </c>
    </row>
    <row r="199" spans="1:12">
      <c r="A199" s="1">
        <f ca="1">+RANDBETWEEN(Apoyo!$P$2,Apoyo!$P$3)</f>
        <v>45951</v>
      </c>
      <c r="B199" s="1" t="str" cm="1">
        <f t="array" aca="1" ref="B199" ca="1">+INDEX(Apoyo!$B$2:$B$10,RANDBETWEEN(1,9))</f>
        <v>Ucayali</v>
      </c>
      <c r="C199" t="s">
        <v>1</v>
      </c>
      <c r="D199" t="str" cm="1">
        <f t="array" aca="1" ref="D199" ca="1">+IF(OR($B199=Apoyo!$B$2,$B199=Apoyo!$B$6),"Lima",IF($B199=Apoyo!$B$10,INDEX(Apoyo!$D$2:$D$19,RANDBETWEEN(1,18)),IF(OR($B199&lt;&gt;Apoyo!$B$10,$B199&lt;&gt;Apoyo!$B$2,$B199&lt;&gt;Apoyo!$B$6),B199,0)))</f>
        <v>Ucayali</v>
      </c>
      <c r="E199" t="str">
        <f t="shared" ref="E199" si="214">+IF(C199="Mujer","Femenino",2)</f>
        <v>Femenino</v>
      </c>
      <c r="F199">
        <f t="shared" ca="1" si="206"/>
        <v>65</v>
      </c>
      <c r="G199" t="s">
        <v>54</v>
      </c>
      <c r="H199" s="3">
        <f t="shared" ca="1" si="209"/>
        <v>1</v>
      </c>
      <c r="I199" s="3">
        <f t="shared" ca="1" si="209"/>
        <v>0</v>
      </c>
      <c r="J199">
        <f t="shared" ca="1" si="210"/>
        <v>1</v>
      </c>
      <c r="K199" s="2">
        <f t="shared" ca="1" si="211"/>
        <v>0.35897092385170859</v>
      </c>
      <c r="L199" s="2">
        <f t="shared" ref="L199" ca="1" si="215">+IFERROR(K199+0.06,"n.a.")</f>
        <v>0.41897092385170859</v>
      </c>
    </row>
    <row r="200" spans="1:12">
      <c r="A200" s="1">
        <f ca="1">+RANDBETWEEN(Apoyo!$P$2,Apoyo!$P$3)</f>
        <v>45952</v>
      </c>
      <c r="B200" s="1" t="str" cm="1">
        <f t="array" aca="1" ref="B200" ca="1">+INDEX(Apoyo!$B$2:$B$10,RANDBETWEEN(1,9))</f>
        <v>Huánuco</v>
      </c>
      <c r="C200" t="s">
        <v>2</v>
      </c>
      <c r="D200" t="str" cm="1">
        <f t="array" aca="1" ref="D200" ca="1">+IF(OR($B200=Apoyo!$B$2,$B200=Apoyo!$B$6),"Lima",IF($B200=Apoyo!$B$10,INDEX(Apoyo!$D$2:$D$19,RANDBETWEEN(1,18)),IF(OR($B200&lt;&gt;Apoyo!$B$10,$B200&lt;&gt;Apoyo!$B$2,$B200&lt;&gt;Apoyo!$B$6),B200,0)))</f>
        <v>Huánuco</v>
      </c>
      <c r="E200" t="s">
        <v>44</v>
      </c>
      <c r="F200">
        <f t="shared" ca="1" si="206"/>
        <v>17</v>
      </c>
      <c r="G200" t="s">
        <v>54</v>
      </c>
      <c r="H200" s="3">
        <f t="shared" ca="1" si="209"/>
        <v>1</v>
      </c>
      <c r="I200" s="3">
        <f t="shared" ca="1" si="209"/>
        <v>1</v>
      </c>
      <c r="J200">
        <f t="shared" ca="1" si="210"/>
        <v>0</v>
      </c>
      <c r="K200" s="2">
        <f t="shared" ca="1" si="211"/>
        <v>2.4644812711943631E-2</v>
      </c>
      <c r="L200" s="2">
        <f t="shared" ref="L200" ca="1" si="216">+IFERROR(K200+0.03,"n.a.")</f>
        <v>5.464481271194363E-2</v>
      </c>
    </row>
    <row r="201" spans="1:12">
      <c r="A201" s="1">
        <f ca="1">+RANDBETWEEN(Apoyo!$P$2,Apoyo!$P$3)</f>
        <v>45954</v>
      </c>
      <c r="B201" s="1" t="str" cm="1">
        <f t="array" aca="1" ref="B201" ca="1">+INDEX(Apoyo!$B$2:$B$10,RANDBETWEEN(1,9))</f>
        <v>Ayacucho</v>
      </c>
      <c r="C201" t="s">
        <v>1</v>
      </c>
      <c r="D201" t="str" cm="1">
        <f t="array" aca="1" ref="D201" ca="1">+IF(OR($B201=Apoyo!$B$2,$B201=Apoyo!$B$6),"Lima",IF($B201=Apoyo!$B$10,INDEX(Apoyo!$D$2:$D$19,RANDBETWEEN(1,18)),IF(OR($B201&lt;&gt;Apoyo!$B$10,$B201&lt;&gt;Apoyo!$B$2,$B201&lt;&gt;Apoyo!$B$6),B201,0)))</f>
        <v>Ayacucho</v>
      </c>
      <c r="E201" t="str">
        <f t="shared" ref="E201" si="217">+IF(C201="Mujer","Femenino",2)</f>
        <v>Femenino</v>
      </c>
      <c r="F201">
        <f t="shared" ca="1" si="206"/>
        <v>41</v>
      </c>
      <c r="G201" t="s">
        <v>54</v>
      </c>
      <c r="H201" s="3">
        <f t="shared" ca="1" si="209"/>
        <v>1</v>
      </c>
      <c r="I201" s="3">
        <f t="shared" ca="1" si="209"/>
        <v>0</v>
      </c>
      <c r="J201">
        <f t="shared" ca="1" si="210"/>
        <v>0</v>
      </c>
      <c r="K201" s="2">
        <f t="shared" ca="1" si="211"/>
        <v>0.2941316897258005</v>
      </c>
      <c r="L201" s="2">
        <f t="shared" ref="L201" ca="1" si="218">+IFERROR(K201+0.05,"n.a.")</f>
        <v>0.34413168972580049</v>
      </c>
    </row>
    <row r="202" spans="1:12">
      <c r="A202" s="1">
        <f ca="1">+RANDBETWEEN(Apoyo!$P$2,Apoyo!$P$3)</f>
        <v>45953</v>
      </c>
      <c r="B202" s="1" t="str" cm="1">
        <f t="array" aca="1" ref="B202" ca="1">+INDEX(Apoyo!$B$2:$B$10,RANDBETWEEN(1,9))</f>
        <v>Cajamarca</v>
      </c>
      <c r="C202" t="s">
        <v>1</v>
      </c>
      <c r="D202" t="str" cm="1">
        <f t="array" aca="1" ref="D202" ca="1">+IF(OR($B202=Apoyo!$B$2,$B202=Apoyo!$B$6),"Lima",IF($B202=Apoyo!$B$10,INDEX(Apoyo!$D$2:$D$19,RANDBETWEEN(1,18)),IF(OR($B202&lt;&gt;Apoyo!$B$10,$B202&lt;&gt;Apoyo!$B$2,$B202&lt;&gt;Apoyo!$B$6),B202,0)))</f>
        <v>Cajamarca</v>
      </c>
      <c r="E202" t="str">
        <f>+IF(C202="Mujer","Femenino",2)</f>
        <v>Femenino</v>
      </c>
      <c r="F202">
        <f t="shared" ca="1" si="206"/>
        <v>47</v>
      </c>
      <c r="G202" t="str">
        <f ca="1">+CHOOSE(RANDBETWEEN(1,5),Apoyo!$E$3,Apoyo!$E$4,Apoyo!$E$5,Apoyo!$E$6,Apoyo!$E$7)</f>
        <v>Incompleta</v>
      </c>
      <c r="H202" s="3">
        <f t="shared" ca="1" si="209"/>
        <v>0</v>
      </c>
      <c r="I202" s="3">
        <f t="shared" ca="1" si="209"/>
        <v>0</v>
      </c>
      <c r="J202">
        <f t="shared" ca="1" si="210"/>
        <v>0</v>
      </c>
      <c r="K202" s="2" t="str">
        <f t="shared" ca="1" si="211"/>
        <v>n.a.</v>
      </c>
      <c r="L202" s="2" t="str">
        <f t="shared" ref="L202" ca="1" si="219">+IFERROR(K202+0.04,"n.a.")</f>
        <v>n.a.</v>
      </c>
    </row>
    <row r="203" spans="1:12">
      <c r="A203" s="1">
        <f ca="1">+RANDBETWEEN(Apoyo!$P$2,Apoyo!$P$3)</f>
        <v>45957</v>
      </c>
      <c r="B203" s="1" t="str" cm="1">
        <f t="array" aca="1" ref="B203" ca="1">+INDEX(Apoyo!$B$2:$B$10,RANDBETWEEN(1,9))</f>
        <v>Huánuco</v>
      </c>
      <c r="C203" t="s">
        <v>2</v>
      </c>
      <c r="D203" t="str" cm="1">
        <f t="array" aca="1" ref="D203" ca="1">+IF(OR($B203=Apoyo!$B$2,$B203=Apoyo!$B$6),"Lima",IF($B203=Apoyo!$B$10,INDEX(Apoyo!$D$2:$D$19,RANDBETWEEN(1,18)),IF(OR($B203&lt;&gt;Apoyo!$B$10,$B203&lt;&gt;Apoyo!$B$2,$B203&lt;&gt;Apoyo!$B$6),B203,0)))</f>
        <v>Huánuco</v>
      </c>
      <c r="E203" t="s">
        <v>43</v>
      </c>
      <c r="F203">
        <f t="shared" ca="1" si="206"/>
        <v>13</v>
      </c>
      <c r="G203" t="s">
        <v>54</v>
      </c>
      <c r="H203" s="3">
        <f t="shared" ca="1" si="209"/>
        <v>0</v>
      </c>
      <c r="I203" s="3">
        <f t="shared" ca="1" si="209"/>
        <v>1</v>
      </c>
      <c r="J203">
        <f t="shared" ca="1" si="210"/>
        <v>1</v>
      </c>
      <c r="K203" s="2">
        <f t="shared" ca="1" si="211"/>
        <v>0.90003251457921385</v>
      </c>
      <c r="L203" s="2">
        <f t="shared" ref="L203" ca="1" si="220">+IFERROR(K203+0.05,"n.a.")</f>
        <v>0.95003251457921389</v>
      </c>
    </row>
    <row r="204" spans="1:12">
      <c r="A204" s="1">
        <f ca="1">+RANDBETWEEN(Apoyo!$P$2,Apoyo!$P$3)</f>
        <v>45960</v>
      </c>
      <c r="B204" s="1" t="str" cm="1">
        <f t="array" aca="1" ref="B204" ca="1">+INDEX(Apoyo!$B$2:$B$10,RANDBETWEEN(1,9))</f>
        <v>Ucayali</v>
      </c>
      <c r="C204" t="s">
        <v>2</v>
      </c>
      <c r="D204" t="str" cm="1">
        <f t="array" aca="1" ref="D204" ca="1">+IF(OR($B204=Apoyo!$B$2,$B204=Apoyo!$B$6),"Lima",IF($B204=Apoyo!$B$10,INDEX(Apoyo!$D$2:$D$19,RANDBETWEEN(1,18)),IF(OR($B204&lt;&gt;Apoyo!$B$10,$B204&lt;&gt;Apoyo!$B$2,$B204&lt;&gt;Apoyo!$B$6),B204,0)))</f>
        <v>Ucayali</v>
      </c>
      <c r="E204" t="s">
        <v>44</v>
      </c>
      <c r="F204">
        <f t="shared" ca="1" si="206"/>
        <v>15</v>
      </c>
      <c r="G204" t="s">
        <v>54</v>
      </c>
      <c r="H204" s="3">
        <f t="shared" ca="1" si="209"/>
        <v>1</v>
      </c>
      <c r="I204" s="3">
        <f t="shared" ca="1" si="209"/>
        <v>0</v>
      </c>
      <c r="J204">
        <f t="shared" ca="1" si="210"/>
        <v>0</v>
      </c>
      <c r="K204" s="2">
        <f t="shared" ca="1" si="211"/>
        <v>0.4600821744543937</v>
      </c>
      <c r="L204" s="2">
        <f t="shared" ref="L204:L205" ca="1" si="221">+IFERROR(K204+0.03,"n.a.")</f>
        <v>0.49008217445439373</v>
      </c>
    </row>
    <row r="205" spans="1:12">
      <c r="A205" s="1">
        <f ca="1">+RANDBETWEEN(Apoyo!$P$2,Apoyo!$P$3)</f>
        <v>45958</v>
      </c>
      <c r="B205" s="1" t="str" cm="1">
        <f t="array" aca="1" ref="B205" ca="1">+INDEX(Apoyo!$B$2:$B$10,RANDBETWEEN(1,9))</f>
        <v>Lima Norte</v>
      </c>
      <c r="C205" t="s">
        <v>1</v>
      </c>
      <c r="D205" t="str" cm="1">
        <f t="array" aca="1" ref="D205" ca="1">+IF(OR($B205=Apoyo!$B$2,$B205=Apoyo!$B$6),"Lima",IF($B205=Apoyo!$B$10,INDEX(Apoyo!$D$2:$D$19,RANDBETWEEN(1,18)),IF(OR($B205&lt;&gt;Apoyo!$B$10,$B205&lt;&gt;Apoyo!$B$2,$B205&lt;&gt;Apoyo!$B$6),B205,0)))</f>
        <v>Lima</v>
      </c>
      <c r="E205" t="str">
        <f t="shared" ref="E205:E206" si="222">+IF(C205="Mujer","Femenino",2)</f>
        <v>Femenino</v>
      </c>
      <c r="F205">
        <f t="shared" ca="1" si="206"/>
        <v>30</v>
      </c>
      <c r="G205" t="s">
        <v>54</v>
      </c>
      <c r="H205" s="3">
        <f t="shared" ca="1" si="209"/>
        <v>1</v>
      </c>
      <c r="I205" s="3">
        <f t="shared" ca="1" si="209"/>
        <v>1</v>
      </c>
      <c r="J205">
        <f t="shared" ca="1" si="210"/>
        <v>1</v>
      </c>
      <c r="K205" s="2">
        <f t="shared" ca="1" si="211"/>
        <v>0.38297003705177979</v>
      </c>
      <c r="L205" s="2">
        <f t="shared" ca="1" si="221"/>
        <v>0.41297003705177981</v>
      </c>
    </row>
    <row r="206" spans="1:12">
      <c r="A206" s="1">
        <f ca="1">+RANDBETWEEN(Apoyo!$P$2,Apoyo!$P$3)</f>
        <v>45956</v>
      </c>
      <c r="B206" s="1" t="str" cm="1">
        <f t="array" aca="1" ref="B206" ca="1">+INDEX(Apoyo!$B$2:$B$10,RANDBETWEEN(1,9))</f>
        <v>Huánuco</v>
      </c>
      <c r="C206" t="s">
        <v>1</v>
      </c>
      <c r="D206" t="str" cm="1">
        <f t="array" aca="1" ref="D206" ca="1">+IF(OR($B206=Apoyo!$B$2,$B206=Apoyo!$B$6),"Lima",IF($B206=Apoyo!$B$10,INDEX(Apoyo!$D$2:$D$19,RANDBETWEEN(1,18)),IF(OR($B206&lt;&gt;Apoyo!$B$10,$B206&lt;&gt;Apoyo!$B$2,$B206&lt;&gt;Apoyo!$B$6),B206,0)))</f>
        <v>Huánuco</v>
      </c>
      <c r="E206" t="str">
        <f t="shared" si="222"/>
        <v>Femenino</v>
      </c>
      <c r="F206">
        <f t="shared" ca="1" si="206"/>
        <v>53</v>
      </c>
      <c r="G206" t="s">
        <v>54</v>
      </c>
      <c r="H206" s="3">
        <f t="shared" ca="1" si="209"/>
        <v>1</v>
      </c>
      <c r="I206" s="3">
        <f t="shared" ca="1" si="209"/>
        <v>1</v>
      </c>
      <c r="J206">
        <f t="shared" ca="1" si="210"/>
        <v>0</v>
      </c>
      <c r="K206" s="2">
        <f t="shared" ca="1" si="211"/>
        <v>0.10916553108811633</v>
      </c>
      <c r="L206" s="2">
        <f t="shared" ref="L206" ca="1" si="223">+IFERROR(K206+0.04,"n.a.")</f>
        <v>0.14916553108811634</v>
      </c>
    </row>
    <row r="207" spans="1:12">
      <c r="A207" s="1">
        <f ca="1">+RANDBETWEEN(Apoyo!$P$2,Apoyo!$P$3)</f>
        <v>45946</v>
      </c>
      <c r="B207" s="1" t="str" cm="1">
        <f t="array" aca="1" ref="B207" ca="1">+INDEX(Apoyo!$B$2:$B$10,RANDBETWEEN(1,9))</f>
        <v>Cajamarca</v>
      </c>
      <c r="C207" t="s">
        <v>2</v>
      </c>
      <c r="D207" t="str" cm="1">
        <f t="array" aca="1" ref="D207" ca="1">+IF(OR($B207=Apoyo!$B$2,$B207=Apoyo!$B$6),"Lima",IF($B207=Apoyo!$B$10,INDEX(Apoyo!$D$2:$D$19,RANDBETWEEN(1,18)),IF(OR($B207&lt;&gt;Apoyo!$B$10,$B207&lt;&gt;Apoyo!$B$2,$B207&lt;&gt;Apoyo!$B$6),B207,0)))</f>
        <v>Cajamarca</v>
      </c>
      <c r="E207" t="s">
        <v>44</v>
      </c>
      <c r="F207">
        <f t="shared" ca="1" si="206"/>
        <v>17</v>
      </c>
      <c r="G207" t="str">
        <f ca="1">+CHOOSE(RANDBETWEEN(1,5),Apoyo!$E$3,Apoyo!$E$4,Apoyo!$E$5,Apoyo!$E$6,Apoyo!$E$7)</f>
        <v>Incompleta</v>
      </c>
      <c r="H207" s="3">
        <f t="shared" ca="1" si="209"/>
        <v>0</v>
      </c>
      <c r="I207" s="3">
        <f t="shared" ca="1" si="209"/>
        <v>0</v>
      </c>
      <c r="J207">
        <f t="shared" ca="1" si="210"/>
        <v>0</v>
      </c>
      <c r="K207" s="2" t="str">
        <f t="shared" ca="1" si="211"/>
        <v>n.a.</v>
      </c>
      <c r="L207" s="2" t="str">
        <f t="shared" ref="L207" ca="1" si="224">+IFERROR(K207+0.05,"n.a.")</f>
        <v>n.a.</v>
      </c>
    </row>
    <row r="208" spans="1:12">
      <c r="A208" s="1">
        <f ca="1">+RANDBETWEEN(Apoyo!$P$2,Apoyo!$P$3)</f>
        <v>45950</v>
      </c>
      <c r="B208" s="1" t="str" cm="1">
        <f t="array" aca="1" ref="B208" ca="1">+INDEX(Apoyo!$B$2:$B$10,RANDBETWEEN(1,9))</f>
        <v>Lima Norte</v>
      </c>
      <c r="C208" t="s">
        <v>2</v>
      </c>
      <c r="D208" t="str" cm="1">
        <f t="array" aca="1" ref="D208" ca="1">+IF(OR($B208=Apoyo!$B$2,$B208=Apoyo!$B$6),"Lima",IF($B208=Apoyo!$B$10,INDEX(Apoyo!$D$2:$D$19,RANDBETWEEN(1,18)),IF(OR($B208&lt;&gt;Apoyo!$B$10,$B208&lt;&gt;Apoyo!$B$2,$B208&lt;&gt;Apoyo!$B$6),B208,0)))</f>
        <v>Lima</v>
      </c>
      <c r="E208" t="s">
        <v>43</v>
      </c>
      <c r="F208">
        <f t="shared" ca="1" si="206"/>
        <v>15</v>
      </c>
      <c r="G208" t="str">
        <f ca="1">+CHOOSE(RANDBETWEEN(1,5),Apoyo!$E$3,Apoyo!$E$4,Apoyo!$E$5,Apoyo!$E$6,Apoyo!$E$7)</f>
        <v>Rechazada</v>
      </c>
      <c r="H208" s="3">
        <f t="shared" ca="1" si="209"/>
        <v>0</v>
      </c>
      <c r="I208" s="3">
        <f t="shared" ca="1" si="209"/>
        <v>0</v>
      </c>
      <c r="J208">
        <f t="shared" ca="1" si="210"/>
        <v>0</v>
      </c>
      <c r="K208" s="2" t="str">
        <f t="shared" ca="1" si="211"/>
        <v>n.a.</v>
      </c>
      <c r="L208" s="2" t="str">
        <f t="shared" ref="L208:L209" ca="1" si="225">+IFERROR(K208+0.03,"n.a.")</f>
        <v>n.a.</v>
      </c>
    </row>
    <row r="209" spans="1:12">
      <c r="A209" s="1">
        <f ca="1">+RANDBETWEEN(Apoyo!$P$2,Apoyo!$P$3)</f>
        <v>45946</v>
      </c>
      <c r="B209" s="1" t="str" cm="1">
        <f t="array" aca="1" ref="B209" ca="1">+INDEX(Apoyo!$B$2:$B$10,RANDBETWEEN(1,9))</f>
        <v>Ucayali</v>
      </c>
      <c r="C209" t="s">
        <v>1</v>
      </c>
      <c r="D209" t="str" cm="1">
        <f t="array" aca="1" ref="D209" ca="1">+IF(OR($B209=Apoyo!$B$2,$B209=Apoyo!$B$6),"Lima",IF($B209=Apoyo!$B$10,INDEX(Apoyo!$D$2:$D$19,RANDBETWEEN(1,18)),IF(OR($B209&lt;&gt;Apoyo!$B$10,$B209&lt;&gt;Apoyo!$B$2,$B209&lt;&gt;Apoyo!$B$6),B209,0)))</f>
        <v>Ucayali</v>
      </c>
      <c r="E209" t="str">
        <f t="shared" ref="E209" si="226">+IF(C209="Mujer","Femenino",2)</f>
        <v>Femenino</v>
      </c>
      <c r="F209">
        <f t="shared" ca="1" si="206"/>
        <v>61</v>
      </c>
      <c r="G209" t="s">
        <v>54</v>
      </c>
      <c r="H209" s="3">
        <f t="shared" ca="1" si="209"/>
        <v>1</v>
      </c>
      <c r="I209" s="3">
        <f t="shared" ca="1" si="209"/>
        <v>1</v>
      </c>
      <c r="J209">
        <f t="shared" ca="1" si="210"/>
        <v>0</v>
      </c>
      <c r="K209" s="2">
        <f t="shared" ca="1" si="211"/>
        <v>0.64171253704258979</v>
      </c>
      <c r="L209" s="2">
        <f t="shared" ca="1" si="225"/>
        <v>0.67171253704258982</v>
      </c>
    </row>
    <row r="210" spans="1:12">
      <c r="A210" s="1">
        <f ca="1">+RANDBETWEEN(Apoyo!$P$2,Apoyo!$P$3)</f>
        <v>45957</v>
      </c>
      <c r="B210" s="1" t="str" cm="1">
        <f t="array" aca="1" ref="B210" ca="1">+INDEX(Apoyo!$B$2:$B$10,RANDBETWEEN(1,9))</f>
        <v>Loreto</v>
      </c>
      <c r="C210" t="s">
        <v>2</v>
      </c>
      <c r="D210" t="str" cm="1">
        <f t="array" aca="1" ref="D210" ca="1">+IF(OR($B210=Apoyo!$B$2,$B210=Apoyo!$B$6),"Lima",IF($B210=Apoyo!$B$10,INDEX(Apoyo!$D$2:$D$19,RANDBETWEEN(1,18)),IF(OR($B210&lt;&gt;Apoyo!$B$10,$B210&lt;&gt;Apoyo!$B$2,$B210&lt;&gt;Apoyo!$B$6),B210,0)))</f>
        <v>Loreto</v>
      </c>
      <c r="E210" t="s">
        <v>44</v>
      </c>
      <c r="F210">
        <f t="shared" ca="1" si="206"/>
        <v>16</v>
      </c>
      <c r="G210" t="s">
        <v>54</v>
      </c>
      <c r="H210" s="3">
        <f t="shared" ca="1" si="209"/>
        <v>0</v>
      </c>
      <c r="I210" s="3">
        <f t="shared" ca="1" si="209"/>
        <v>0</v>
      </c>
      <c r="J210">
        <f t="shared" ca="1" si="210"/>
        <v>0</v>
      </c>
      <c r="K210" s="2">
        <f t="shared" ca="1" si="211"/>
        <v>0.49185628401050663</v>
      </c>
      <c r="L210" s="2">
        <f t="shared" ca="1" si="158"/>
        <v>0.53185628401050666</v>
      </c>
    </row>
    <row r="211" spans="1:12">
      <c r="A211" s="1">
        <f ca="1">+RANDBETWEEN(Apoyo!$P$2,Apoyo!$P$3)</f>
        <v>45953</v>
      </c>
      <c r="B211" s="1" t="str" cm="1">
        <f t="array" aca="1" ref="B211" ca="1">+INDEX(Apoyo!$B$2:$B$10,RANDBETWEEN(1,9))</f>
        <v>Ucayali</v>
      </c>
      <c r="C211" t="s">
        <v>1</v>
      </c>
      <c r="D211" t="str" cm="1">
        <f t="array" aca="1" ref="D211" ca="1">+IF(OR($B211=Apoyo!$B$2,$B211=Apoyo!$B$6),"Lima",IF($B211=Apoyo!$B$10,INDEX(Apoyo!$D$2:$D$19,RANDBETWEEN(1,18)),IF(OR($B211&lt;&gt;Apoyo!$B$10,$B211&lt;&gt;Apoyo!$B$2,$B211&lt;&gt;Apoyo!$B$6),B211,0)))</f>
        <v>Ucayali</v>
      </c>
      <c r="E211" t="str">
        <f t="shared" ref="E211" si="227">+IF(C211="Mujer","Femenino",2)</f>
        <v>Femenino</v>
      </c>
      <c r="F211">
        <f t="shared" ca="1" si="206"/>
        <v>30</v>
      </c>
      <c r="G211" t="s">
        <v>54</v>
      </c>
      <c r="H211" s="3">
        <f t="shared" ca="1" si="209"/>
        <v>1</v>
      </c>
      <c r="I211" s="3">
        <f t="shared" ca="1" si="209"/>
        <v>0</v>
      </c>
      <c r="J211">
        <f t="shared" ca="1" si="210"/>
        <v>1</v>
      </c>
      <c r="K211" s="2">
        <f t="shared" ca="1" si="211"/>
        <v>3.2279001927449924E-2</v>
      </c>
      <c r="L211" s="2">
        <f t="shared" ref="L211" ca="1" si="228">+IFERROR(K211+0.06,"n.a.")</f>
        <v>9.2279001927449922E-2</v>
      </c>
    </row>
    <row r="212" spans="1:12">
      <c r="A212" s="1">
        <f ca="1">+RANDBETWEEN(Apoyo!$P$2,Apoyo!$P$3)</f>
        <v>45947</v>
      </c>
      <c r="B212" s="1" t="str" cm="1">
        <f t="array" aca="1" ref="B212" ca="1">+INDEX(Apoyo!$B$2:$B$10,RANDBETWEEN(1,9))</f>
        <v>Ayacucho</v>
      </c>
      <c r="C212" t="s">
        <v>1</v>
      </c>
      <c r="D212" t="str" cm="1">
        <f t="array" aca="1" ref="D212" ca="1">+IF(OR($B212=Apoyo!$B$2,$B212=Apoyo!$B$6),"Lima",IF($B212=Apoyo!$B$10,INDEX(Apoyo!$D$2:$D$19,RANDBETWEEN(1,18)),IF(OR($B212&lt;&gt;Apoyo!$B$10,$B212&lt;&gt;Apoyo!$B$2,$B212&lt;&gt;Apoyo!$B$6),B212,0)))</f>
        <v>Ayacucho</v>
      </c>
      <c r="E212" t="str">
        <f>+IF(C212="Mujer","Femenino",2)</f>
        <v>Femenino</v>
      </c>
      <c r="F212">
        <f t="shared" ca="1" si="206"/>
        <v>34</v>
      </c>
      <c r="G212" t="s">
        <v>54</v>
      </c>
      <c r="H212" s="3">
        <f t="shared" ca="1" si="209"/>
        <v>1</v>
      </c>
      <c r="I212" s="3">
        <f t="shared" ca="1" si="209"/>
        <v>0</v>
      </c>
      <c r="J212">
        <f t="shared" ca="1" si="210"/>
        <v>1</v>
      </c>
      <c r="K212" s="2">
        <f t="shared" ca="1" si="211"/>
        <v>0.11274524303353162</v>
      </c>
      <c r="L212" s="2">
        <f t="shared" ref="L212" ca="1" si="229">+IFERROR(K212+0.03,"n.a.")</f>
        <v>0.14274524303353162</v>
      </c>
    </row>
    <row r="213" spans="1:12">
      <c r="A213" s="1">
        <f ca="1">+RANDBETWEEN(Apoyo!$P$2,Apoyo!$P$3)</f>
        <v>45949</v>
      </c>
      <c r="B213" s="1" t="str" cm="1">
        <f t="array" aca="1" ref="B213" ca="1">+INDEX(Apoyo!$B$2:$B$10,RANDBETWEEN(1,9))</f>
        <v>Ucayali</v>
      </c>
      <c r="C213" t="s">
        <v>2</v>
      </c>
      <c r="D213" t="str" cm="1">
        <f t="array" aca="1" ref="D213" ca="1">+IF(OR($B213=Apoyo!$B$2,$B213=Apoyo!$B$6),"Lima",IF($B213=Apoyo!$B$10,INDEX(Apoyo!$D$2:$D$19,RANDBETWEEN(1,18)),IF(OR($B213&lt;&gt;Apoyo!$B$10,$B213&lt;&gt;Apoyo!$B$2,$B213&lt;&gt;Apoyo!$B$6),B213,0)))</f>
        <v>Ucayali</v>
      </c>
      <c r="E213" t="s">
        <v>43</v>
      </c>
      <c r="F213">
        <f t="shared" ca="1" si="206"/>
        <v>15</v>
      </c>
      <c r="G213" t="s">
        <v>54</v>
      </c>
      <c r="H213" s="3">
        <f t="shared" ca="1" si="209"/>
        <v>1</v>
      </c>
      <c r="I213" s="3">
        <f t="shared" ca="1" si="209"/>
        <v>1</v>
      </c>
      <c r="J213">
        <f t="shared" ca="1" si="210"/>
        <v>1</v>
      </c>
      <c r="K213" s="2">
        <f t="shared" ca="1" si="211"/>
        <v>0.10228567192557347</v>
      </c>
      <c r="L213" s="2">
        <f t="shared" ref="L213" ca="1" si="230">+IFERROR(K213+0.05,"n.a.")</f>
        <v>0.15228567192557346</v>
      </c>
    </row>
    <row r="214" spans="1:12">
      <c r="A214" s="1">
        <f ca="1">+RANDBETWEEN(Apoyo!$P$2,Apoyo!$P$3)</f>
        <v>45949</v>
      </c>
      <c r="B214" s="1" t="str" cm="1">
        <f t="array" aca="1" ref="B214" ca="1">+INDEX(Apoyo!$B$2:$B$10,RANDBETWEEN(1,9))</f>
        <v>Resto del Perú</v>
      </c>
      <c r="C214" t="s">
        <v>2</v>
      </c>
      <c r="D214" t="str" cm="1">
        <f t="array" aca="1" ref="D214" ca="1">+IF(OR($B214=Apoyo!$B$2,$B214=Apoyo!$B$6),"Lima",IF($B214=Apoyo!$B$10,INDEX(Apoyo!$D$2:$D$19,RANDBETWEEN(1,18)),IF(OR($B214&lt;&gt;Apoyo!$B$10,$B214&lt;&gt;Apoyo!$B$2,$B214&lt;&gt;Apoyo!$B$6),B214,0)))</f>
        <v>Cusco</v>
      </c>
      <c r="E214" t="s">
        <v>44</v>
      </c>
      <c r="F214">
        <f t="shared" ca="1" si="206"/>
        <v>17</v>
      </c>
      <c r="G214" t="s">
        <v>54</v>
      </c>
      <c r="H214" s="3">
        <f t="shared" ca="1" si="209"/>
        <v>0</v>
      </c>
      <c r="I214" s="3">
        <f t="shared" ca="1" si="209"/>
        <v>0</v>
      </c>
      <c r="J214">
        <f t="shared" ca="1" si="210"/>
        <v>0</v>
      </c>
      <c r="K214" s="2">
        <f t="shared" ca="1" si="211"/>
        <v>0.74906928236120696</v>
      </c>
      <c r="L214" s="2">
        <f t="shared" ref="L214" ca="1" si="231">+IFERROR(K214+0.04,"n.a.")</f>
        <v>0.78906928236120699</v>
      </c>
    </row>
    <row r="215" spans="1:12">
      <c r="A215" s="1">
        <f ca="1">+RANDBETWEEN(Apoyo!$P$2,Apoyo!$P$3)</f>
        <v>45951</v>
      </c>
      <c r="B215" s="1" t="str" cm="1">
        <f t="array" aca="1" ref="B215" ca="1">+INDEX(Apoyo!$B$2:$B$10,RANDBETWEEN(1,9))</f>
        <v>Huánuco</v>
      </c>
      <c r="C215" t="s">
        <v>1</v>
      </c>
      <c r="D215" t="str" cm="1">
        <f t="array" aca="1" ref="D215" ca="1">+IF(OR($B215=Apoyo!$B$2,$B215=Apoyo!$B$6),"Lima",IF($B215=Apoyo!$B$10,INDEX(Apoyo!$D$2:$D$19,RANDBETWEEN(1,18)),IF(OR($B215&lt;&gt;Apoyo!$B$10,$B215&lt;&gt;Apoyo!$B$2,$B215&lt;&gt;Apoyo!$B$6),B215,0)))</f>
        <v>Huánuco</v>
      </c>
      <c r="E215" t="str">
        <f t="shared" ref="E215:E216" si="232">+IF(C215="Mujer","Femenino",2)</f>
        <v>Femenino</v>
      </c>
      <c r="F215">
        <f t="shared" ca="1" si="206"/>
        <v>29</v>
      </c>
      <c r="G215" t="s">
        <v>54</v>
      </c>
      <c r="H215" s="3">
        <f t="shared" ca="1" si="209"/>
        <v>0</v>
      </c>
      <c r="I215" s="3">
        <f t="shared" ca="1" si="209"/>
        <v>0</v>
      </c>
      <c r="J215">
        <f t="shared" ca="1" si="210"/>
        <v>0</v>
      </c>
      <c r="K215" s="2">
        <f t="shared" ca="1" si="211"/>
        <v>2.6149151253464731E-2</v>
      </c>
      <c r="L215" s="2">
        <f t="shared" ref="L215" ca="1" si="233">+IFERROR(K215+0.05,"n.a.")</f>
        <v>7.6149151253464734E-2</v>
      </c>
    </row>
    <row r="216" spans="1:12">
      <c r="A216" s="1">
        <f ca="1">+RANDBETWEEN(Apoyo!$P$2,Apoyo!$P$3)</f>
        <v>45953</v>
      </c>
      <c r="B216" s="1" t="str" cm="1">
        <f t="array" aca="1" ref="B216" ca="1">+INDEX(Apoyo!$B$2:$B$10,RANDBETWEEN(1,9))</f>
        <v>Huánuco</v>
      </c>
      <c r="C216" t="s">
        <v>1</v>
      </c>
      <c r="D216" t="str" cm="1">
        <f t="array" aca="1" ref="D216" ca="1">+IF(OR($B216=Apoyo!$B$2,$B216=Apoyo!$B$6),"Lima",IF($B216=Apoyo!$B$10,INDEX(Apoyo!$D$2:$D$19,RANDBETWEEN(1,18)),IF(OR($B216&lt;&gt;Apoyo!$B$10,$B216&lt;&gt;Apoyo!$B$2,$B216&lt;&gt;Apoyo!$B$6),B216,0)))</f>
        <v>Huánuco</v>
      </c>
      <c r="E216" t="str">
        <f t="shared" si="232"/>
        <v>Femenino</v>
      </c>
      <c r="F216">
        <f t="shared" ca="1" si="206"/>
        <v>52</v>
      </c>
      <c r="G216" t="s">
        <v>54</v>
      </c>
      <c r="H216" s="3">
        <f t="shared" ca="1" si="209"/>
        <v>1</v>
      </c>
      <c r="I216" s="3">
        <f t="shared" ca="1" si="209"/>
        <v>0</v>
      </c>
      <c r="J216">
        <f t="shared" ca="1" si="210"/>
        <v>0</v>
      </c>
      <c r="K216" s="2">
        <f t="shared" ca="1" si="211"/>
        <v>0.49172319315981128</v>
      </c>
      <c r="L216" s="2">
        <f t="shared" ref="L216:L217" ca="1" si="234">+IFERROR(K216+0.03,"n.a.")</f>
        <v>0.5217231931598113</v>
      </c>
    </row>
    <row r="217" spans="1:12">
      <c r="A217" s="1">
        <f ca="1">+RANDBETWEEN(Apoyo!$P$2,Apoyo!$P$3)</f>
        <v>45960</v>
      </c>
      <c r="B217" s="1" t="str" cm="1">
        <f t="array" aca="1" ref="B217" ca="1">+INDEX(Apoyo!$B$2:$B$10,RANDBETWEEN(1,9))</f>
        <v>Huánuco</v>
      </c>
      <c r="C217" t="s">
        <v>2</v>
      </c>
      <c r="D217" t="str" cm="1">
        <f t="array" aca="1" ref="D217" ca="1">+IF(OR($B217=Apoyo!$B$2,$B217=Apoyo!$B$6),"Lima",IF($B217=Apoyo!$B$10,INDEX(Apoyo!$D$2:$D$19,RANDBETWEEN(1,18)),IF(OR($B217&lt;&gt;Apoyo!$B$10,$B217&lt;&gt;Apoyo!$B$2,$B217&lt;&gt;Apoyo!$B$6),B217,0)))</f>
        <v>Huánuco</v>
      </c>
      <c r="E217" t="s">
        <v>44</v>
      </c>
      <c r="F217">
        <f t="shared" ca="1" si="206"/>
        <v>17</v>
      </c>
      <c r="G217" t="s">
        <v>54</v>
      </c>
      <c r="H217" s="3">
        <f t="shared" ca="1" si="209"/>
        <v>1</v>
      </c>
      <c r="I217" s="3">
        <f t="shared" ca="1" si="209"/>
        <v>1</v>
      </c>
      <c r="J217">
        <f t="shared" ca="1" si="210"/>
        <v>1</v>
      </c>
      <c r="K217" s="2">
        <f t="shared" ca="1" si="211"/>
        <v>0.87405533020817172</v>
      </c>
      <c r="L217" s="2">
        <f t="shared" ca="1" si="234"/>
        <v>0.90405533020817175</v>
      </c>
    </row>
    <row r="218" spans="1:12">
      <c r="A218" s="1">
        <f ca="1">+RANDBETWEEN(Apoyo!$P$2,Apoyo!$P$3)</f>
        <v>45950</v>
      </c>
      <c r="B218" s="1" t="str" cm="1">
        <f t="array" aca="1" ref="B218" ca="1">+INDEX(Apoyo!$B$2:$B$10,RANDBETWEEN(1,9))</f>
        <v>Resto del Perú</v>
      </c>
      <c r="C218" t="s">
        <v>2</v>
      </c>
      <c r="D218" t="str" cm="1">
        <f t="array" aca="1" ref="D218" ca="1">+IF(OR($B218=Apoyo!$B$2,$B218=Apoyo!$B$6),"Lima",IF($B218=Apoyo!$B$10,INDEX(Apoyo!$D$2:$D$19,RANDBETWEEN(1,18)),IF(OR($B218&lt;&gt;Apoyo!$B$10,$B218&lt;&gt;Apoyo!$B$2,$B218&lt;&gt;Apoyo!$B$6),B218,0)))</f>
        <v>Madre de Dios</v>
      </c>
      <c r="E218" t="s">
        <v>43</v>
      </c>
      <c r="F218">
        <f t="shared" ca="1" si="206"/>
        <v>16</v>
      </c>
      <c r="G218" t="s">
        <v>54</v>
      </c>
      <c r="H218" s="3">
        <f t="shared" ca="1" si="209"/>
        <v>0</v>
      </c>
      <c r="I218" s="3">
        <f t="shared" ca="1" si="209"/>
        <v>0</v>
      </c>
      <c r="J218">
        <f t="shared" ca="1" si="210"/>
        <v>0</v>
      </c>
      <c r="K218" s="2">
        <f t="shared" ca="1" si="211"/>
        <v>0.56542273325574599</v>
      </c>
      <c r="L218" s="2">
        <f t="shared" ref="L218" ca="1" si="235">+IFERROR(K218+0.04,"n.a.")</f>
        <v>0.60542273325574603</v>
      </c>
    </row>
    <row r="219" spans="1:12">
      <c r="A219" s="1">
        <f ca="1">+RANDBETWEEN(Apoyo!$P$2,Apoyo!$P$3)</f>
        <v>45954</v>
      </c>
      <c r="B219" s="1" t="str" cm="1">
        <f t="array" aca="1" ref="B219" ca="1">+INDEX(Apoyo!$B$2:$B$10,RANDBETWEEN(1,9))</f>
        <v>Puente Piedra-Ventanilla</v>
      </c>
      <c r="C219" t="s">
        <v>1</v>
      </c>
      <c r="D219" t="str" cm="1">
        <f t="array" aca="1" ref="D219" ca="1">+IF(OR($B219=Apoyo!$B$2,$B219=Apoyo!$B$6),"Lima",IF($B219=Apoyo!$B$10,INDEX(Apoyo!$D$2:$D$19,RANDBETWEEN(1,18)),IF(OR($B219&lt;&gt;Apoyo!$B$10,$B219&lt;&gt;Apoyo!$B$2,$B219&lt;&gt;Apoyo!$B$6),B219,0)))</f>
        <v>Lima</v>
      </c>
      <c r="E219" t="str">
        <f t="shared" ref="E219" si="236">+IF(C219="Mujer","Femenino",2)</f>
        <v>Femenino</v>
      </c>
      <c r="F219">
        <f t="shared" ca="1" si="206"/>
        <v>59</v>
      </c>
      <c r="G219" t="s">
        <v>54</v>
      </c>
      <c r="H219" s="3">
        <f t="shared" ca="1" si="209"/>
        <v>1</v>
      </c>
      <c r="I219" s="3">
        <f t="shared" ca="1" si="209"/>
        <v>0</v>
      </c>
      <c r="J219">
        <f t="shared" ca="1" si="210"/>
        <v>1</v>
      </c>
      <c r="K219" s="2">
        <f t="shared" ca="1" si="211"/>
        <v>0.54301918833538176</v>
      </c>
      <c r="L219" s="2">
        <f t="shared" ref="L219" ca="1" si="237">+IFERROR(K219+0.05,"n.a.")</f>
        <v>0.59301918833538181</v>
      </c>
    </row>
    <row r="220" spans="1:12">
      <c r="A220" s="1">
        <f ca="1">+RANDBETWEEN(Apoyo!$P$2,Apoyo!$P$3)</f>
        <v>45949</v>
      </c>
      <c r="B220" s="1" t="str" cm="1">
        <f t="array" aca="1" ref="B220" ca="1">+INDEX(Apoyo!$B$2:$B$10,RANDBETWEEN(1,9))</f>
        <v>Ucayali</v>
      </c>
      <c r="C220" t="s">
        <v>2</v>
      </c>
      <c r="D220" t="str" cm="1">
        <f t="array" aca="1" ref="D220" ca="1">+IF(OR($B220=Apoyo!$B$2,$B220=Apoyo!$B$6),"Lima",IF($B220=Apoyo!$B$10,INDEX(Apoyo!$D$2:$D$19,RANDBETWEEN(1,18)),IF(OR($B220&lt;&gt;Apoyo!$B$10,$B220&lt;&gt;Apoyo!$B$2,$B220&lt;&gt;Apoyo!$B$6),B220,0)))</f>
        <v>Ucayali</v>
      </c>
      <c r="E220" t="s">
        <v>44</v>
      </c>
      <c r="F220">
        <f t="shared" ca="1" si="206"/>
        <v>16</v>
      </c>
      <c r="G220" t="s">
        <v>54</v>
      </c>
      <c r="H220" s="3">
        <f t="shared" ca="1" si="209"/>
        <v>1</v>
      </c>
      <c r="I220" s="3">
        <f t="shared" ca="1" si="209"/>
        <v>1</v>
      </c>
      <c r="J220">
        <f t="shared" ca="1" si="210"/>
        <v>0</v>
      </c>
      <c r="K220" s="2">
        <f t="shared" ca="1" si="211"/>
        <v>0.74982183967164195</v>
      </c>
      <c r="L220" s="2">
        <f t="shared" ref="L220:L221" ca="1" si="238">+IFERROR(K220+0.03,"n.a.")</f>
        <v>0.77982183967164198</v>
      </c>
    </row>
    <row r="221" spans="1:12">
      <c r="A221" s="1">
        <f ca="1">+RANDBETWEEN(Apoyo!$P$2,Apoyo!$P$3)</f>
        <v>45950</v>
      </c>
      <c r="B221" s="1" t="str" cm="1">
        <f t="array" aca="1" ref="B221" ca="1">+INDEX(Apoyo!$B$2:$B$10,RANDBETWEEN(1,9))</f>
        <v>Lima Norte</v>
      </c>
      <c r="C221" t="s">
        <v>1</v>
      </c>
      <c r="D221" t="str" cm="1">
        <f t="array" aca="1" ref="D221" ca="1">+IF(OR($B221=Apoyo!$B$2,$B221=Apoyo!$B$6),"Lima",IF($B221=Apoyo!$B$10,INDEX(Apoyo!$D$2:$D$19,RANDBETWEEN(1,18)),IF(OR($B221&lt;&gt;Apoyo!$B$10,$B221&lt;&gt;Apoyo!$B$2,$B221&lt;&gt;Apoyo!$B$6),B221,0)))</f>
        <v>Lima</v>
      </c>
      <c r="E221" t="str">
        <f t="shared" ref="E221" si="239">+IF(C221="Mujer","Femenino",2)</f>
        <v>Femenino</v>
      </c>
      <c r="F221">
        <f t="shared" ca="1" si="206"/>
        <v>41</v>
      </c>
      <c r="G221" t="s">
        <v>54</v>
      </c>
      <c r="H221" s="3">
        <f t="shared" ca="1" si="209"/>
        <v>1</v>
      </c>
      <c r="I221" s="3">
        <f t="shared" ca="1" si="209"/>
        <v>0</v>
      </c>
      <c r="J221">
        <f t="shared" ca="1" si="210"/>
        <v>1</v>
      </c>
      <c r="K221" s="2">
        <f t="shared" ca="1" si="211"/>
        <v>0.11231878267834761</v>
      </c>
      <c r="L221" s="2">
        <f t="shared" ca="1" si="238"/>
        <v>0.14231878267834761</v>
      </c>
    </row>
    <row r="222" spans="1:12">
      <c r="A222" s="1">
        <f ca="1">+RANDBETWEEN(Apoyo!$P$2,Apoyo!$P$3)</f>
        <v>45955</v>
      </c>
      <c r="B222" s="1" t="str" cm="1">
        <f t="array" aca="1" ref="B222" ca="1">+INDEX(Apoyo!$B$2:$B$10,RANDBETWEEN(1,9))</f>
        <v>Lima Norte</v>
      </c>
      <c r="C222" t="s">
        <v>1</v>
      </c>
      <c r="D222" t="str" cm="1">
        <f t="array" aca="1" ref="D222" ca="1">+IF(OR($B222=Apoyo!$B$2,$B222=Apoyo!$B$6),"Lima",IF($B222=Apoyo!$B$10,INDEX(Apoyo!$D$2:$D$19,RANDBETWEEN(1,18)),IF(OR($B222&lt;&gt;Apoyo!$B$10,$B222&lt;&gt;Apoyo!$B$2,$B222&lt;&gt;Apoyo!$B$6),B222,0)))</f>
        <v>Lima</v>
      </c>
      <c r="E222" t="str">
        <f>+IF(C222="Mujer","Femenino",2)</f>
        <v>Femenino</v>
      </c>
      <c r="F222">
        <f t="shared" ca="1" si="206"/>
        <v>29</v>
      </c>
      <c r="G222" t="str">
        <f ca="1">+CHOOSE(RANDBETWEEN(1,5),Apoyo!$E$3,Apoyo!$E$4,Apoyo!$E$5,Apoyo!$E$6,Apoyo!$E$7)</f>
        <v>Rechazada</v>
      </c>
      <c r="H222" s="3">
        <f t="shared" ca="1" si="209"/>
        <v>0</v>
      </c>
      <c r="I222" s="3">
        <f t="shared" ca="1" si="209"/>
        <v>0</v>
      </c>
      <c r="J222">
        <f t="shared" ca="1" si="210"/>
        <v>0</v>
      </c>
      <c r="K222" s="2" t="str">
        <f t="shared" ca="1" si="211"/>
        <v>n.a.</v>
      </c>
      <c r="L222" s="2" t="str">
        <f t="shared" ref="L222:L282" ca="1" si="240">+IFERROR(K222+0.04,"n.a.")</f>
        <v>n.a.</v>
      </c>
    </row>
    <row r="223" spans="1:12">
      <c r="A223" s="1">
        <f ca="1">+RANDBETWEEN(Apoyo!$P$2,Apoyo!$P$3)</f>
        <v>45946</v>
      </c>
      <c r="B223" s="1" t="str" cm="1">
        <f t="array" aca="1" ref="B223" ca="1">+INDEX(Apoyo!$B$2:$B$10,RANDBETWEEN(1,9))</f>
        <v>Loreto</v>
      </c>
      <c r="C223" t="s">
        <v>2</v>
      </c>
      <c r="D223" t="str" cm="1">
        <f t="array" aca="1" ref="D223" ca="1">+IF(OR($B223=Apoyo!$B$2,$B223=Apoyo!$B$6),"Lima",IF($B223=Apoyo!$B$10,INDEX(Apoyo!$D$2:$D$19,RANDBETWEEN(1,18)),IF(OR($B223&lt;&gt;Apoyo!$B$10,$B223&lt;&gt;Apoyo!$B$2,$B223&lt;&gt;Apoyo!$B$6),B223,0)))</f>
        <v>Loreto</v>
      </c>
      <c r="E223" t="s">
        <v>43</v>
      </c>
      <c r="F223">
        <f t="shared" ca="1" si="206"/>
        <v>13</v>
      </c>
      <c r="G223" t="str">
        <f ca="1">+CHOOSE(RANDBETWEEN(1,5),Apoyo!$E$3,Apoyo!$E$4,Apoyo!$E$5,Apoyo!$E$6,Apoyo!$E$7)</f>
        <v>Rechazada</v>
      </c>
      <c r="H223" s="3">
        <f t="shared" ca="1" si="209"/>
        <v>0</v>
      </c>
      <c r="I223" s="3">
        <f t="shared" ca="1" si="209"/>
        <v>0</v>
      </c>
      <c r="J223">
        <f t="shared" ca="1" si="210"/>
        <v>0</v>
      </c>
      <c r="K223" s="2" t="str">
        <f t="shared" ca="1" si="211"/>
        <v>n.a.</v>
      </c>
      <c r="L223" s="2" t="str">
        <f t="shared" ref="L223" ca="1" si="241">+IFERROR(K223+0.06,"n.a.")</f>
        <v>n.a.</v>
      </c>
    </row>
    <row r="224" spans="1:12">
      <c r="A224" s="1">
        <f ca="1">+RANDBETWEEN(Apoyo!$P$2,Apoyo!$P$3)</f>
        <v>45954</v>
      </c>
      <c r="B224" s="1" t="str" cm="1">
        <f t="array" aca="1" ref="B224" ca="1">+INDEX(Apoyo!$B$2:$B$10,RANDBETWEEN(1,9))</f>
        <v>Loreto</v>
      </c>
      <c r="C224" t="s">
        <v>2</v>
      </c>
      <c r="D224" t="str" cm="1">
        <f t="array" aca="1" ref="D224" ca="1">+IF(OR($B224=Apoyo!$B$2,$B224=Apoyo!$B$6),"Lima",IF($B224=Apoyo!$B$10,INDEX(Apoyo!$D$2:$D$19,RANDBETWEEN(1,18)),IF(OR($B224&lt;&gt;Apoyo!$B$10,$B224&lt;&gt;Apoyo!$B$2,$B224&lt;&gt;Apoyo!$B$6),B224,0)))</f>
        <v>Loreto</v>
      </c>
      <c r="E224" t="s">
        <v>44</v>
      </c>
      <c r="F224">
        <f t="shared" ca="1" si="206"/>
        <v>13</v>
      </c>
      <c r="G224" t="s">
        <v>54</v>
      </c>
      <c r="H224" s="3">
        <f t="shared" ca="1" si="209"/>
        <v>0</v>
      </c>
      <c r="I224" s="3">
        <f t="shared" ca="1" si="209"/>
        <v>0</v>
      </c>
      <c r="J224">
        <f t="shared" ca="1" si="210"/>
        <v>0</v>
      </c>
      <c r="K224" s="2">
        <f t="shared" ca="1" si="211"/>
        <v>0.73857897685133489</v>
      </c>
      <c r="L224" s="2">
        <f t="shared" ref="L224" ca="1" si="242">+IFERROR(K224+0.03,"n.a.")</f>
        <v>0.76857897685133492</v>
      </c>
    </row>
    <row r="225" spans="1:12">
      <c r="A225" s="1">
        <f ca="1">+RANDBETWEEN(Apoyo!$P$2,Apoyo!$P$3)</f>
        <v>45949</v>
      </c>
      <c r="B225" s="1" t="str" cm="1">
        <f t="array" aca="1" ref="B225" ca="1">+INDEX(Apoyo!$B$2:$B$10,RANDBETWEEN(1,9))</f>
        <v>Ucayali</v>
      </c>
      <c r="C225" t="s">
        <v>1</v>
      </c>
      <c r="D225" t="str" cm="1">
        <f t="array" aca="1" ref="D225" ca="1">+IF(OR($B225=Apoyo!$B$2,$B225=Apoyo!$B$6),"Lima",IF($B225=Apoyo!$B$10,INDEX(Apoyo!$D$2:$D$19,RANDBETWEEN(1,18)),IF(OR($B225&lt;&gt;Apoyo!$B$10,$B225&lt;&gt;Apoyo!$B$2,$B225&lt;&gt;Apoyo!$B$6),B225,0)))</f>
        <v>Ucayali</v>
      </c>
      <c r="E225" t="str">
        <f t="shared" ref="E225:E226" si="243">+IF(C225="Mujer","Femenino",2)</f>
        <v>Femenino</v>
      </c>
      <c r="F225">
        <f t="shared" ca="1" si="206"/>
        <v>41</v>
      </c>
      <c r="G225" t="str">
        <f ca="1">+CHOOSE(RANDBETWEEN(1,5),Apoyo!$E$3,Apoyo!$E$4,Apoyo!$E$5,Apoyo!$E$6,Apoyo!$E$7)</f>
        <v>Rechazada</v>
      </c>
      <c r="H225" s="3">
        <f t="shared" ca="1" si="209"/>
        <v>0</v>
      </c>
      <c r="I225" s="3">
        <f t="shared" ca="1" si="209"/>
        <v>0</v>
      </c>
      <c r="J225">
        <f t="shared" ca="1" si="210"/>
        <v>0</v>
      </c>
      <c r="K225" s="2" t="str">
        <f t="shared" ca="1" si="211"/>
        <v>n.a.</v>
      </c>
      <c r="L225" s="2" t="str">
        <f t="shared" ref="L225" ca="1" si="244">+IFERROR(K225+0.05,"n.a.")</f>
        <v>n.a.</v>
      </c>
    </row>
    <row r="226" spans="1:12">
      <c r="A226" s="1">
        <f ca="1">+RANDBETWEEN(Apoyo!$P$2,Apoyo!$P$3)</f>
        <v>45950</v>
      </c>
      <c r="B226" s="1" t="str" cm="1">
        <f t="array" aca="1" ref="B226" ca="1">+INDEX(Apoyo!$B$2:$B$10,RANDBETWEEN(1,9))</f>
        <v>Ucayali</v>
      </c>
      <c r="C226" t="s">
        <v>1</v>
      </c>
      <c r="D226" t="str" cm="1">
        <f t="array" aca="1" ref="D226" ca="1">+IF(OR($B226=Apoyo!$B$2,$B226=Apoyo!$B$6),"Lima",IF($B226=Apoyo!$B$10,INDEX(Apoyo!$D$2:$D$19,RANDBETWEEN(1,18)),IF(OR($B226&lt;&gt;Apoyo!$B$10,$B226&lt;&gt;Apoyo!$B$2,$B226&lt;&gt;Apoyo!$B$6),B226,0)))</f>
        <v>Ucayali</v>
      </c>
      <c r="E226" t="str">
        <f t="shared" si="243"/>
        <v>Femenino</v>
      </c>
      <c r="F226">
        <f t="shared" ca="1" si="206"/>
        <v>59</v>
      </c>
      <c r="G226" t="s">
        <v>54</v>
      </c>
      <c r="H226" s="3">
        <f t="shared" ca="1" si="209"/>
        <v>0</v>
      </c>
      <c r="I226" s="3">
        <f t="shared" ca="1" si="209"/>
        <v>1</v>
      </c>
      <c r="J226">
        <f t="shared" ca="1" si="210"/>
        <v>1</v>
      </c>
      <c r="K226" s="2">
        <f t="shared" ca="1" si="211"/>
        <v>0.85424891305085549</v>
      </c>
      <c r="L226" s="2">
        <f t="shared" ref="L226" ca="1" si="245">+IFERROR(K226+0.04,"n.a.")</f>
        <v>0.89424891305085552</v>
      </c>
    </row>
    <row r="227" spans="1:12">
      <c r="A227" s="1">
        <f ca="1">+RANDBETWEEN(Apoyo!$P$2,Apoyo!$P$3)</f>
        <v>45950</v>
      </c>
      <c r="B227" s="1" t="str" cm="1">
        <f t="array" aca="1" ref="B227" ca="1">+INDEX(Apoyo!$B$2:$B$10,RANDBETWEEN(1,9))</f>
        <v>Huánuco</v>
      </c>
      <c r="C227" t="s">
        <v>2</v>
      </c>
      <c r="D227" t="str" cm="1">
        <f t="array" aca="1" ref="D227" ca="1">+IF(OR($B227=Apoyo!$B$2,$B227=Apoyo!$B$6),"Lima",IF($B227=Apoyo!$B$10,INDEX(Apoyo!$D$2:$D$19,RANDBETWEEN(1,18)),IF(OR($B227&lt;&gt;Apoyo!$B$10,$B227&lt;&gt;Apoyo!$B$2,$B227&lt;&gt;Apoyo!$B$6),B227,0)))</f>
        <v>Huánuco</v>
      </c>
      <c r="E227" t="s">
        <v>44</v>
      </c>
      <c r="F227">
        <f t="shared" ca="1" si="206"/>
        <v>17</v>
      </c>
      <c r="G227" t="str">
        <f ca="1">+CHOOSE(RANDBETWEEN(1,5),Apoyo!$E$3,Apoyo!$E$4,Apoyo!$E$5,Apoyo!$E$6,Apoyo!$E$7)</f>
        <v>Rechazada</v>
      </c>
      <c r="H227" s="3">
        <f t="shared" ref="H227:I258" ca="1" si="246">+IF($G227&lt;&gt;"Completa",IF($G227&lt;&gt;"Discapacidad",0,RANDBETWEEN(0,1)),RANDBETWEEN(0,1))</f>
        <v>0</v>
      </c>
      <c r="I227" s="3">
        <f t="shared" ca="1" si="246"/>
        <v>0</v>
      </c>
      <c r="J227">
        <f t="shared" ca="1" si="210"/>
        <v>0</v>
      </c>
      <c r="K227" s="2" t="str">
        <f t="shared" ca="1" si="211"/>
        <v>n.a.</v>
      </c>
      <c r="L227" s="2" t="str">
        <f t="shared" ref="L227" ca="1" si="247">+IFERROR(K227+0.05,"n.a.")</f>
        <v>n.a.</v>
      </c>
    </row>
    <row r="228" spans="1:12">
      <c r="A228" s="1">
        <f ca="1">+RANDBETWEEN(Apoyo!$P$2,Apoyo!$P$3)</f>
        <v>45952</v>
      </c>
      <c r="B228" s="1" t="str" cm="1">
        <f t="array" aca="1" ref="B228" ca="1">+INDEX(Apoyo!$B$2:$B$10,RANDBETWEEN(1,9))</f>
        <v>Puente Piedra-Ventanilla</v>
      </c>
      <c r="C228" t="s">
        <v>2</v>
      </c>
      <c r="D228" t="str" cm="1">
        <f t="array" aca="1" ref="D228" ca="1">+IF(OR($B228=Apoyo!$B$2,$B228=Apoyo!$B$6),"Lima",IF($B228=Apoyo!$B$10,INDEX(Apoyo!$D$2:$D$19,RANDBETWEEN(1,18)),IF(OR($B228&lt;&gt;Apoyo!$B$10,$B228&lt;&gt;Apoyo!$B$2,$B228&lt;&gt;Apoyo!$B$6),B228,0)))</f>
        <v>Lima</v>
      </c>
      <c r="E228" t="s">
        <v>43</v>
      </c>
      <c r="F228">
        <f t="shared" ca="1" si="206"/>
        <v>16</v>
      </c>
      <c r="G228" t="str">
        <f ca="1">+CHOOSE(RANDBETWEEN(1,5),Apoyo!$E$3,Apoyo!$E$4,Apoyo!$E$5,Apoyo!$E$6,Apoyo!$E$7)</f>
        <v>Rechazada</v>
      </c>
      <c r="H228" s="3">
        <f t="shared" ca="1" si="246"/>
        <v>0</v>
      </c>
      <c r="I228" s="3">
        <f t="shared" ca="1" si="246"/>
        <v>0</v>
      </c>
      <c r="J228">
        <f t="shared" ca="1" si="210"/>
        <v>0</v>
      </c>
      <c r="K228" s="2" t="str">
        <f t="shared" ca="1" si="211"/>
        <v>n.a.</v>
      </c>
      <c r="L228" s="2" t="str">
        <f t="shared" ref="L228:L229" ca="1" si="248">+IFERROR(K228+0.03,"n.a.")</f>
        <v>n.a.</v>
      </c>
    </row>
    <row r="229" spans="1:12">
      <c r="A229" s="1">
        <f ca="1">+RANDBETWEEN(Apoyo!$P$2,Apoyo!$P$3)</f>
        <v>45958</v>
      </c>
      <c r="B229" s="1" t="str" cm="1">
        <f t="array" aca="1" ref="B229" ca="1">+INDEX(Apoyo!$B$2:$B$10,RANDBETWEEN(1,9))</f>
        <v>Apurímac</v>
      </c>
      <c r="C229" t="s">
        <v>1</v>
      </c>
      <c r="D229" t="str" cm="1">
        <f t="array" aca="1" ref="D229" ca="1">+IF(OR($B229=Apoyo!$B$2,$B229=Apoyo!$B$6),"Lima",IF($B229=Apoyo!$B$10,INDEX(Apoyo!$D$2:$D$19,RANDBETWEEN(1,18)),IF(OR($B229&lt;&gt;Apoyo!$B$10,$B229&lt;&gt;Apoyo!$B$2,$B229&lt;&gt;Apoyo!$B$6),B229,0)))</f>
        <v>Apurímac</v>
      </c>
      <c r="E229" t="str">
        <f t="shared" ref="E229" si="249">+IF(C229="Mujer","Femenino",2)</f>
        <v>Femenino</v>
      </c>
      <c r="F229">
        <f t="shared" ca="1" si="206"/>
        <v>50</v>
      </c>
      <c r="G229" t="str">
        <f ca="1">+CHOOSE(RANDBETWEEN(1,5),Apoyo!$E$3,Apoyo!$E$4,Apoyo!$E$5,Apoyo!$E$6,Apoyo!$E$7)</f>
        <v>Incompleta</v>
      </c>
      <c r="H229" s="3">
        <f t="shared" ca="1" si="246"/>
        <v>0</v>
      </c>
      <c r="I229" s="3">
        <f t="shared" ca="1" si="246"/>
        <v>0</v>
      </c>
      <c r="J229">
        <f t="shared" ca="1" si="210"/>
        <v>0</v>
      </c>
      <c r="K229" s="2" t="str">
        <f t="shared" ca="1" si="211"/>
        <v>n.a.</v>
      </c>
      <c r="L229" s="2" t="str">
        <f t="shared" ca="1" si="248"/>
        <v>n.a.</v>
      </c>
    </row>
    <row r="230" spans="1:12">
      <c r="A230" s="1">
        <f ca="1">+RANDBETWEEN(Apoyo!$P$2,Apoyo!$P$3)</f>
        <v>45960</v>
      </c>
      <c r="B230" s="1" t="str" cm="1">
        <f t="array" aca="1" ref="B230" ca="1">+INDEX(Apoyo!$B$2:$B$10,RANDBETWEEN(1,9))</f>
        <v>Cajamarca</v>
      </c>
      <c r="C230" t="s">
        <v>2</v>
      </c>
      <c r="D230" t="str" cm="1">
        <f t="array" aca="1" ref="D230" ca="1">+IF(OR($B230=Apoyo!$B$2,$B230=Apoyo!$B$6),"Lima",IF($B230=Apoyo!$B$10,INDEX(Apoyo!$D$2:$D$19,RANDBETWEEN(1,18)),IF(OR($B230&lt;&gt;Apoyo!$B$10,$B230&lt;&gt;Apoyo!$B$2,$B230&lt;&gt;Apoyo!$B$6),B230,0)))</f>
        <v>Cajamarca</v>
      </c>
      <c r="E230" t="s">
        <v>44</v>
      </c>
      <c r="F230">
        <f t="shared" ca="1" si="206"/>
        <v>12</v>
      </c>
      <c r="G230" t="str">
        <f ca="1">+CHOOSE(RANDBETWEEN(1,5),Apoyo!$E$3,Apoyo!$E$4,Apoyo!$E$5,Apoyo!$E$6,Apoyo!$E$7)</f>
        <v>Aplazada</v>
      </c>
      <c r="H230" s="3">
        <f t="shared" ca="1" si="246"/>
        <v>0</v>
      </c>
      <c r="I230" s="3">
        <f t="shared" ca="1" si="246"/>
        <v>0</v>
      </c>
      <c r="J230">
        <f t="shared" ca="1" si="210"/>
        <v>0</v>
      </c>
      <c r="K230" s="2" t="str">
        <f t="shared" ca="1" si="211"/>
        <v>n.a.</v>
      </c>
      <c r="L230" s="2" t="str">
        <f t="shared" ref="L230" ca="1" si="250">+IFERROR(K230+0.04,"n.a.")</f>
        <v>n.a.</v>
      </c>
    </row>
    <row r="231" spans="1:12">
      <c r="A231" s="1">
        <f ca="1">+RANDBETWEEN(Apoyo!$P$2,Apoyo!$P$3)</f>
        <v>45947</v>
      </c>
      <c r="B231" s="1" t="str" cm="1">
        <f t="array" aca="1" ref="B231" ca="1">+INDEX(Apoyo!$B$2:$B$10,RANDBETWEEN(1,9))</f>
        <v>Loreto</v>
      </c>
      <c r="C231" t="s">
        <v>1</v>
      </c>
      <c r="D231" t="str" cm="1">
        <f t="array" aca="1" ref="D231" ca="1">+IF(OR($B231=Apoyo!$B$2,$B231=Apoyo!$B$6),"Lima",IF($B231=Apoyo!$B$10,INDEX(Apoyo!$D$2:$D$19,RANDBETWEEN(1,18)),IF(OR($B231&lt;&gt;Apoyo!$B$10,$B231&lt;&gt;Apoyo!$B$2,$B231&lt;&gt;Apoyo!$B$6),B231,0)))</f>
        <v>Loreto</v>
      </c>
      <c r="E231" t="str">
        <f t="shared" ref="E231" si="251">+IF(C231="Mujer","Femenino",2)</f>
        <v>Femenino</v>
      </c>
      <c r="F231">
        <f t="shared" ca="1" si="206"/>
        <v>24</v>
      </c>
      <c r="G231" t="s">
        <v>54</v>
      </c>
      <c r="H231" s="3">
        <f t="shared" ca="1" si="246"/>
        <v>1</v>
      </c>
      <c r="I231" s="3">
        <f t="shared" ca="1" si="246"/>
        <v>1</v>
      </c>
      <c r="J231">
        <f t="shared" ca="1" si="210"/>
        <v>0</v>
      </c>
      <c r="K231" s="2">
        <f t="shared" ca="1" si="211"/>
        <v>0.45110009359563419</v>
      </c>
      <c r="L231" s="2">
        <f t="shared" ref="L231" ca="1" si="252">+IFERROR(K231+0.05,"n.a.")</f>
        <v>0.50110009359563423</v>
      </c>
    </row>
    <row r="232" spans="1:12">
      <c r="A232" s="1">
        <f ca="1">+RANDBETWEEN(Apoyo!$P$2,Apoyo!$P$3)</f>
        <v>45960</v>
      </c>
      <c r="B232" s="1" t="str" cm="1">
        <f t="array" aca="1" ref="B232" ca="1">+INDEX(Apoyo!$B$2:$B$10,RANDBETWEEN(1,9))</f>
        <v>Ucayali</v>
      </c>
      <c r="C232" t="s">
        <v>1</v>
      </c>
      <c r="D232" t="str" cm="1">
        <f t="array" aca="1" ref="D232" ca="1">+IF(OR($B232=Apoyo!$B$2,$B232=Apoyo!$B$6),"Lima",IF($B232=Apoyo!$B$10,INDEX(Apoyo!$D$2:$D$19,RANDBETWEEN(1,18)),IF(OR($B232&lt;&gt;Apoyo!$B$10,$B232&lt;&gt;Apoyo!$B$2,$B232&lt;&gt;Apoyo!$B$6),B232,0)))</f>
        <v>Ucayali</v>
      </c>
      <c r="E232" t="str">
        <f>+IF(C232="Mujer","Femenino",2)</f>
        <v>Femenino</v>
      </c>
      <c r="F232">
        <f t="shared" ca="1" si="206"/>
        <v>61</v>
      </c>
      <c r="G232" t="str">
        <f ca="1">+CHOOSE(RANDBETWEEN(1,5),Apoyo!$E$3,Apoyo!$E$4,Apoyo!$E$5,Apoyo!$E$6,Apoyo!$E$7)</f>
        <v>Ausente</v>
      </c>
      <c r="H232" s="3">
        <f t="shared" ca="1" si="246"/>
        <v>0</v>
      </c>
      <c r="I232" s="3">
        <f t="shared" ca="1" si="246"/>
        <v>0</v>
      </c>
      <c r="J232">
        <f t="shared" ca="1" si="210"/>
        <v>0</v>
      </c>
      <c r="K232" s="2" t="str">
        <f t="shared" ca="1" si="211"/>
        <v>n.a.</v>
      </c>
      <c r="L232" s="2" t="str">
        <f t="shared" ref="L232:L233" ca="1" si="253">+IFERROR(K232+0.03,"n.a.")</f>
        <v>n.a.</v>
      </c>
    </row>
    <row r="233" spans="1:12">
      <c r="A233" s="1">
        <f ca="1">+RANDBETWEEN(Apoyo!$P$2,Apoyo!$P$3)</f>
        <v>45947</v>
      </c>
      <c r="B233" s="1" t="str" cm="1">
        <f t="array" aca="1" ref="B233" ca="1">+INDEX(Apoyo!$B$2:$B$10,RANDBETWEEN(1,9))</f>
        <v>Cajamarca</v>
      </c>
      <c r="C233" t="s">
        <v>2</v>
      </c>
      <c r="D233" t="str" cm="1">
        <f t="array" aca="1" ref="D233" ca="1">+IF(OR($B233=Apoyo!$B$2,$B233=Apoyo!$B$6),"Lima",IF($B233=Apoyo!$B$10,INDEX(Apoyo!$D$2:$D$19,RANDBETWEEN(1,18)),IF(OR($B233&lt;&gt;Apoyo!$B$10,$B233&lt;&gt;Apoyo!$B$2,$B233&lt;&gt;Apoyo!$B$6),B233,0)))</f>
        <v>Cajamarca</v>
      </c>
      <c r="E233" t="s">
        <v>43</v>
      </c>
      <c r="F233">
        <f t="shared" ca="1" si="206"/>
        <v>12</v>
      </c>
      <c r="G233" t="str">
        <f ca="1">+CHOOSE(RANDBETWEEN(1,5),Apoyo!$E$3,Apoyo!$E$4,Apoyo!$E$5,Apoyo!$E$6,Apoyo!$E$7)</f>
        <v>Rechazada</v>
      </c>
      <c r="H233" s="3">
        <f t="shared" ca="1" si="246"/>
        <v>0</v>
      </c>
      <c r="I233" s="3">
        <f t="shared" ca="1" si="246"/>
        <v>0</v>
      </c>
      <c r="J233">
        <f t="shared" ca="1" si="210"/>
        <v>0</v>
      </c>
      <c r="K233" s="2" t="str">
        <f t="shared" ca="1" si="211"/>
        <v>n.a.</v>
      </c>
      <c r="L233" s="2" t="str">
        <f t="shared" ca="1" si="253"/>
        <v>n.a.</v>
      </c>
    </row>
    <row r="234" spans="1:12">
      <c r="A234" s="1">
        <f ca="1">+RANDBETWEEN(Apoyo!$P$2,Apoyo!$P$3)</f>
        <v>45956</v>
      </c>
      <c r="B234" s="1" t="str" cm="1">
        <f t="array" aca="1" ref="B234" ca="1">+INDEX(Apoyo!$B$2:$B$10,RANDBETWEEN(1,9))</f>
        <v>Huánuco</v>
      </c>
      <c r="C234" t="s">
        <v>2</v>
      </c>
      <c r="D234" t="str" cm="1">
        <f t="array" aca="1" ref="D234" ca="1">+IF(OR($B234=Apoyo!$B$2,$B234=Apoyo!$B$6),"Lima",IF($B234=Apoyo!$B$10,INDEX(Apoyo!$D$2:$D$19,RANDBETWEEN(1,18)),IF(OR($B234&lt;&gt;Apoyo!$B$10,$B234&lt;&gt;Apoyo!$B$2,$B234&lt;&gt;Apoyo!$B$6),B234,0)))</f>
        <v>Huánuco</v>
      </c>
      <c r="E234" t="s">
        <v>44</v>
      </c>
      <c r="F234">
        <f t="shared" ca="1" si="206"/>
        <v>16</v>
      </c>
      <c r="G234" t="s">
        <v>54</v>
      </c>
      <c r="H234" s="3">
        <f t="shared" ca="1" si="246"/>
        <v>0</v>
      </c>
      <c r="I234" s="3">
        <f t="shared" ca="1" si="246"/>
        <v>1</v>
      </c>
      <c r="J234">
        <f t="shared" ca="1" si="210"/>
        <v>1</v>
      </c>
      <c r="K234" s="2">
        <f t="shared" ca="1" si="211"/>
        <v>3.3979238379151511E-2</v>
      </c>
      <c r="L234" s="2">
        <f t="shared" ca="1" si="240"/>
        <v>7.3979238379151518E-2</v>
      </c>
    </row>
    <row r="235" spans="1:12">
      <c r="A235" s="1">
        <f ca="1">+RANDBETWEEN(Apoyo!$P$2,Apoyo!$P$3)</f>
        <v>45959</v>
      </c>
      <c r="B235" s="1" t="str" cm="1">
        <f t="array" aca="1" ref="B235" ca="1">+INDEX(Apoyo!$B$2:$B$10,RANDBETWEEN(1,9))</f>
        <v>Apurímac</v>
      </c>
      <c r="C235" t="s">
        <v>1</v>
      </c>
      <c r="D235" t="str" cm="1">
        <f t="array" aca="1" ref="D235" ca="1">+IF(OR($B235=Apoyo!$B$2,$B235=Apoyo!$B$6),"Lima",IF($B235=Apoyo!$B$10,INDEX(Apoyo!$D$2:$D$19,RANDBETWEEN(1,18)),IF(OR($B235&lt;&gt;Apoyo!$B$10,$B235&lt;&gt;Apoyo!$B$2,$B235&lt;&gt;Apoyo!$B$6),B235,0)))</f>
        <v>Apurímac</v>
      </c>
      <c r="E235" t="str">
        <f t="shared" ref="E235:E236" si="254">+IF(C235="Mujer","Femenino",2)</f>
        <v>Femenino</v>
      </c>
      <c r="F235">
        <f t="shared" ca="1" si="206"/>
        <v>20</v>
      </c>
      <c r="G235" t="s">
        <v>54</v>
      </c>
      <c r="H235" s="3">
        <f t="shared" ca="1" si="246"/>
        <v>1</v>
      </c>
      <c r="I235" s="3">
        <f t="shared" ca="1" si="246"/>
        <v>1</v>
      </c>
      <c r="J235">
        <f t="shared" ca="1" si="210"/>
        <v>0</v>
      </c>
      <c r="K235" s="2">
        <f t="shared" ca="1" si="211"/>
        <v>0.33699543876442295</v>
      </c>
      <c r="L235" s="2">
        <f t="shared" ref="L235" ca="1" si="255">+IFERROR(K235+0.06,"n.a.")</f>
        <v>0.39699543876442295</v>
      </c>
    </row>
    <row r="236" spans="1:12">
      <c r="A236" s="1">
        <f ca="1">+RANDBETWEEN(Apoyo!$P$2,Apoyo!$P$3)</f>
        <v>45950</v>
      </c>
      <c r="B236" s="1" t="str" cm="1">
        <f t="array" aca="1" ref="B236" ca="1">+INDEX(Apoyo!$B$2:$B$10,RANDBETWEEN(1,9))</f>
        <v>Ayacucho</v>
      </c>
      <c r="C236" t="s">
        <v>1</v>
      </c>
      <c r="D236" t="str" cm="1">
        <f t="array" aca="1" ref="D236" ca="1">+IF(OR($B236=Apoyo!$B$2,$B236=Apoyo!$B$6),"Lima",IF($B236=Apoyo!$B$10,INDEX(Apoyo!$D$2:$D$19,RANDBETWEEN(1,18)),IF(OR($B236&lt;&gt;Apoyo!$B$10,$B236&lt;&gt;Apoyo!$B$2,$B236&lt;&gt;Apoyo!$B$6),B236,0)))</f>
        <v>Ayacucho</v>
      </c>
      <c r="E236" t="str">
        <f t="shared" si="254"/>
        <v>Femenino</v>
      </c>
      <c r="F236">
        <f t="shared" ca="1" si="206"/>
        <v>49</v>
      </c>
      <c r="G236" t="s">
        <v>54</v>
      </c>
      <c r="H236" s="3">
        <f t="shared" ca="1" si="246"/>
        <v>0</v>
      </c>
      <c r="I236" s="3">
        <f t="shared" ca="1" si="246"/>
        <v>1</v>
      </c>
      <c r="J236">
        <f t="shared" ca="1" si="210"/>
        <v>0</v>
      </c>
      <c r="K236" s="2">
        <f t="shared" ca="1" si="211"/>
        <v>0.3300719002797029</v>
      </c>
      <c r="L236" s="2">
        <f t="shared" ref="L236" ca="1" si="256">+IFERROR(K236+0.03,"n.a.")</f>
        <v>0.36007190027970293</v>
      </c>
    </row>
    <row r="237" spans="1:12">
      <c r="A237" s="1">
        <f ca="1">+RANDBETWEEN(Apoyo!$P$2,Apoyo!$P$3)</f>
        <v>45958</v>
      </c>
      <c r="B237" s="1" t="str" cm="1">
        <f t="array" aca="1" ref="B237" ca="1">+INDEX(Apoyo!$B$2:$B$10,RANDBETWEEN(1,9))</f>
        <v>Ucayali</v>
      </c>
      <c r="C237" t="s">
        <v>2</v>
      </c>
      <c r="D237" t="str" cm="1">
        <f t="array" aca="1" ref="D237" ca="1">+IF(OR($B237=Apoyo!$B$2,$B237=Apoyo!$B$6),"Lima",IF($B237=Apoyo!$B$10,INDEX(Apoyo!$D$2:$D$19,RANDBETWEEN(1,18)),IF(OR($B237&lt;&gt;Apoyo!$B$10,$B237&lt;&gt;Apoyo!$B$2,$B237&lt;&gt;Apoyo!$B$6),B237,0)))</f>
        <v>Ucayali</v>
      </c>
      <c r="E237" t="s">
        <v>44</v>
      </c>
      <c r="F237">
        <f t="shared" ca="1" si="206"/>
        <v>16</v>
      </c>
      <c r="G237" t="s">
        <v>54</v>
      </c>
      <c r="H237" s="3">
        <f t="shared" ca="1" si="246"/>
        <v>0</v>
      </c>
      <c r="I237" s="3">
        <f t="shared" ca="1" si="246"/>
        <v>1</v>
      </c>
      <c r="J237">
        <f t="shared" ca="1" si="210"/>
        <v>0</v>
      </c>
      <c r="K237" s="2">
        <f t="shared" ca="1" si="211"/>
        <v>0.34191508640755519</v>
      </c>
      <c r="L237" s="2">
        <f t="shared" ref="L237" ca="1" si="257">+IFERROR(K237+0.05,"n.a.")</f>
        <v>0.39191508640755518</v>
      </c>
    </row>
    <row r="238" spans="1:12">
      <c r="A238" s="1">
        <f ca="1">+RANDBETWEEN(Apoyo!$P$2,Apoyo!$P$3)</f>
        <v>45950</v>
      </c>
      <c r="B238" s="1" t="str" cm="1">
        <f t="array" aca="1" ref="B238" ca="1">+INDEX(Apoyo!$B$2:$B$10,RANDBETWEEN(1,9))</f>
        <v>Apurímac</v>
      </c>
      <c r="C238" t="s">
        <v>2</v>
      </c>
      <c r="D238" t="str" cm="1">
        <f t="array" aca="1" ref="D238" ca="1">+IF(OR($B238=Apoyo!$B$2,$B238=Apoyo!$B$6),"Lima",IF($B238=Apoyo!$B$10,INDEX(Apoyo!$D$2:$D$19,RANDBETWEEN(1,18)),IF(OR($B238&lt;&gt;Apoyo!$B$10,$B238&lt;&gt;Apoyo!$B$2,$B238&lt;&gt;Apoyo!$B$6),B238,0)))</f>
        <v>Apurímac</v>
      </c>
      <c r="E238" t="s">
        <v>43</v>
      </c>
      <c r="F238">
        <f t="shared" ca="1" si="206"/>
        <v>16</v>
      </c>
      <c r="G238" t="s">
        <v>54</v>
      </c>
      <c r="H238" s="3">
        <f t="shared" ca="1" si="246"/>
        <v>0</v>
      </c>
      <c r="I238" s="3">
        <f t="shared" ca="1" si="246"/>
        <v>1</v>
      </c>
      <c r="J238">
        <f t="shared" ca="1" si="210"/>
        <v>1</v>
      </c>
      <c r="K238" s="2">
        <f t="shared" ca="1" si="211"/>
        <v>2.6892853402484818E-3</v>
      </c>
      <c r="L238" s="2">
        <f t="shared" ref="L238" ca="1" si="258">+IFERROR(K238+0.04,"n.a.")</f>
        <v>4.2689285340248483E-2</v>
      </c>
    </row>
    <row r="239" spans="1:12">
      <c r="A239" s="1">
        <f ca="1">+RANDBETWEEN(Apoyo!$P$2,Apoyo!$P$3)</f>
        <v>45957</v>
      </c>
      <c r="B239" s="1" t="str" cm="1">
        <f t="array" aca="1" ref="B239" ca="1">+INDEX(Apoyo!$B$2:$B$10,RANDBETWEEN(1,9))</f>
        <v>Apurímac</v>
      </c>
      <c r="C239" t="s">
        <v>1</v>
      </c>
      <c r="D239" t="str" cm="1">
        <f t="array" aca="1" ref="D239" ca="1">+IF(OR($B239=Apoyo!$B$2,$B239=Apoyo!$B$6),"Lima",IF($B239=Apoyo!$B$10,INDEX(Apoyo!$D$2:$D$19,RANDBETWEEN(1,18)),IF(OR($B239&lt;&gt;Apoyo!$B$10,$B239&lt;&gt;Apoyo!$B$2,$B239&lt;&gt;Apoyo!$B$6),B239,0)))</f>
        <v>Apurímac</v>
      </c>
      <c r="E239" t="str">
        <f t="shared" ref="E239" si="259">+IF(C239="Mujer","Femenino",2)</f>
        <v>Femenino</v>
      </c>
      <c r="F239">
        <f t="shared" ca="1" si="206"/>
        <v>61</v>
      </c>
      <c r="G239" t="s">
        <v>54</v>
      </c>
      <c r="H239" s="3">
        <f t="shared" ca="1" si="246"/>
        <v>0</v>
      </c>
      <c r="I239" s="3">
        <f t="shared" ca="1" si="246"/>
        <v>1</v>
      </c>
      <c r="J239">
        <f t="shared" ca="1" si="210"/>
        <v>0</v>
      </c>
      <c r="K239" s="2">
        <f t="shared" ca="1" si="211"/>
        <v>0.52993500873038757</v>
      </c>
      <c r="L239" s="2">
        <f t="shared" ref="L239" ca="1" si="260">+IFERROR(K239+0.05,"n.a.")</f>
        <v>0.57993500873038761</v>
      </c>
    </row>
    <row r="240" spans="1:12">
      <c r="A240" s="1">
        <f ca="1">+RANDBETWEEN(Apoyo!$P$2,Apoyo!$P$3)</f>
        <v>45959</v>
      </c>
      <c r="B240" s="1" t="str" cm="1">
        <f t="array" aca="1" ref="B240" ca="1">+INDEX(Apoyo!$B$2:$B$10,RANDBETWEEN(1,9))</f>
        <v>Puente Piedra-Ventanilla</v>
      </c>
      <c r="C240" t="s">
        <v>2</v>
      </c>
      <c r="D240" t="str" cm="1">
        <f t="array" aca="1" ref="D240" ca="1">+IF(OR($B240=Apoyo!$B$2,$B240=Apoyo!$B$6),"Lima",IF($B240=Apoyo!$B$10,INDEX(Apoyo!$D$2:$D$19,RANDBETWEEN(1,18)),IF(OR($B240&lt;&gt;Apoyo!$B$10,$B240&lt;&gt;Apoyo!$B$2,$B240&lt;&gt;Apoyo!$B$6),B240,0)))</f>
        <v>Lima</v>
      </c>
      <c r="E240" t="s">
        <v>44</v>
      </c>
      <c r="F240">
        <f t="shared" ca="1" si="206"/>
        <v>12</v>
      </c>
      <c r="G240" t="s">
        <v>54</v>
      </c>
      <c r="H240" s="3">
        <f t="shared" ca="1" si="246"/>
        <v>0</v>
      </c>
      <c r="I240" s="3">
        <f t="shared" ca="1" si="246"/>
        <v>1</v>
      </c>
      <c r="J240">
        <f t="shared" ca="1" si="210"/>
        <v>0</v>
      </c>
      <c r="K240" s="2">
        <f t="shared" ca="1" si="211"/>
        <v>0.1055772908000151</v>
      </c>
      <c r="L240" s="2">
        <f t="shared" ref="L240:L241" ca="1" si="261">+IFERROR(K240+0.03,"n.a.")</f>
        <v>0.1355772908000151</v>
      </c>
    </row>
    <row r="241" spans="1:12">
      <c r="A241" s="1">
        <f ca="1">+RANDBETWEEN(Apoyo!$P$2,Apoyo!$P$3)</f>
        <v>45955</v>
      </c>
      <c r="B241" s="1" t="str" cm="1">
        <f t="array" aca="1" ref="B241" ca="1">+INDEX(Apoyo!$B$2:$B$10,RANDBETWEEN(1,9))</f>
        <v>Resto del Perú</v>
      </c>
      <c r="C241" t="s">
        <v>1</v>
      </c>
      <c r="D241" t="str" cm="1">
        <f t="array" aca="1" ref="D241" ca="1">+IF(OR($B241=Apoyo!$B$2,$B241=Apoyo!$B$6),"Lima",IF($B241=Apoyo!$B$10,INDEX(Apoyo!$D$2:$D$19,RANDBETWEEN(1,18)),IF(OR($B241&lt;&gt;Apoyo!$B$10,$B241&lt;&gt;Apoyo!$B$2,$B241&lt;&gt;Apoyo!$B$6),B241,0)))</f>
        <v>Cusco</v>
      </c>
      <c r="E241" t="str">
        <f t="shared" ref="E241" si="262">+IF(C241="Mujer","Femenino",2)</f>
        <v>Femenino</v>
      </c>
      <c r="F241">
        <f t="shared" ca="1" si="206"/>
        <v>51</v>
      </c>
      <c r="G241" t="s">
        <v>54</v>
      </c>
      <c r="H241" s="3">
        <f t="shared" ca="1" si="246"/>
        <v>0</v>
      </c>
      <c r="I241" s="3">
        <f t="shared" ca="1" si="246"/>
        <v>1</v>
      </c>
      <c r="J241">
        <f t="shared" ca="1" si="210"/>
        <v>0</v>
      </c>
      <c r="K241" s="2">
        <f t="shared" ca="1" si="211"/>
        <v>0.82307547743155118</v>
      </c>
      <c r="L241" s="2">
        <f t="shared" ca="1" si="261"/>
        <v>0.85307547743155121</v>
      </c>
    </row>
    <row r="242" spans="1:12">
      <c r="A242" s="1">
        <f ca="1">+RANDBETWEEN(Apoyo!$P$2,Apoyo!$P$3)</f>
        <v>45948</v>
      </c>
      <c r="B242" s="1" t="str" cm="1">
        <f t="array" aca="1" ref="B242" ca="1">+INDEX(Apoyo!$B$2:$B$10,RANDBETWEEN(1,9))</f>
        <v>Lima Norte</v>
      </c>
      <c r="C242" t="s">
        <v>1</v>
      </c>
      <c r="D242" t="str" cm="1">
        <f t="array" aca="1" ref="D242" ca="1">+IF(OR($B242=Apoyo!$B$2,$B242=Apoyo!$B$6),"Lima",IF($B242=Apoyo!$B$10,INDEX(Apoyo!$D$2:$D$19,RANDBETWEEN(1,18)),IF(OR($B242&lt;&gt;Apoyo!$B$10,$B242&lt;&gt;Apoyo!$B$2,$B242&lt;&gt;Apoyo!$B$6),B242,0)))</f>
        <v>Lima</v>
      </c>
      <c r="E242" t="str">
        <f>+IF(C242="Mujer","Femenino",2)</f>
        <v>Femenino</v>
      </c>
      <c r="F242">
        <f t="shared" ca="1" si="206"/>
        <v>61</v>
      </c>
      <c r="G242" t="s">
        <v>54</v>
      </c>
      <c r="H242" s="3">
        <f t="shared" ca="1" si="246"/>
        <v>0</v>
      </c>
      <c r="I242" s="3">
        <f t="shared" ca="1" si="246"/>
        <v>1</v>
      </c>
      <c r="J242">
        <f t="shared" ca="1" si="210"/>
        <v>1</v>
      </c>
      <c r="K242" s="2">
        <f t="shared" ca="1" si="211"/>
        <v>0.85795549755630707</v>
      </c>
      <c r="L242" s="2">
        <f t="shared" ref="L242" ca="1" si="263">+IFERROR(K242+0.04,"n.a.")</f>
        <v>0.8979554975563071</v>
      </c>
    </row>
    <row r="243" spans="1:12">
      <c r="A243" s="1">
        <f ca="1">+RANDBETWEEN(Apoyo!$P$2,Apoyo!$P$3)</f>
        <v>45955</v>
      </c>
      <c r="B243" s="1" t="str" cm="1">
        <f t="array" aca="1" ref="B243" ca="1">+INDEX(Apoyo!$B$2:$B$10,RANDBETWEEN(1,9))</f>
        <v>Ayacucho</v>
      </c>
      <c r="C243" t="s">
        <v>2</v>
      </c>
      <c r="D243" t="str" cm="1">
        <f t="array" aca="1" ref="D243" ca="1">+IF(OR($B243=Apoyo!$B$2,$B243=Apoyo!$B$6),"Lima",IF($B243=Apoyo!$B$10,INDEX(Apoyo!$D$2:$D$19,RANDBETWEEN(1,18)),IF(OR($B243&lt;&gt;Apoyo!$B$10,$B243&lt;&gt;Apoyo!$B$2,$B243&lt;&gt;Apoyo!$B$6),B243,0)))</f>
        <v>Ayacucho</v>
      </c>
      <c r="E243" t="s">
        <v>43</v>
      </c>
      <c r="F243">
        <f t="shared" ca="1" si="206"/>
        <v>13</v>
      </c>
      <c r="G243" t="s">
        <v>54</v>
      </c>
      <c r="H243" s="3">
        <f t="shared" ca="1" si="246"/>
        <v>0</v>
      </c>
      <c r="I243" s="3">
        <f t="shared" ca="1" si="246"/>
        <v>0</v>
      </c>
      <c r="J243">
        <f t="shared" ca="1" si="210"/>
        <v>0</v>
      </c>
      <c r="K243" s="2">
        <f t="shared" ca="1" si="211"/>
        <v>0.50484051858500578</v>
      </c>
      <c r="L243" s="2">
        <f t="shared" ref="L243" ca="1" si="264">+IFERROR(K243+0.05,"n.a.")</f>
        <v>0.55484051858500583</v>
      </c>
    </row>
    <row r="244" spans="1:12">
      <c r="A244" s="1">
        <f ca="1">+RANDBETWEEN(Apoyo!$P$2,Apoyo!$P$3)</f>
        <v>45960</v>
      </c>
      <c r="B244" s="1" t="str" cm="1">
        <f t="array" aca="1" ref="B244" ca="1">+INDEX(Apoyo!$B$2:$B$10,RANDBETWEEN(1,9))</f>
        <v>Apurímac</v>
      </c>
      <c r="C244" t="s">
        <v>2</v>
      </c>
      <c r="D244" t="str" cm="1">
        <f t="array" aca="1" ref="D244" ca="1">+IF(OR($B244=Apoyo!$B$2,$B244=Apoyo!$B$6),"Lima",IF($B244=Apoyo!$B$10,INDEX(Apoyo!$D$2:$D$19,RANDBETWEEN(1,18)),IF(OR($B244&lt;&gt;Apoyo!$B$10,$B244&lt;&gt;Apoyo!$B$2,$B244&lt;&gt;Apoyo!$B$6),B244,0)))</f>
        <v>Apurímac</v>
      </c>
      <c r="E244" t="s">
        <v>44</v>
      </c>
      <c r="F244">
        <f t="shared" ca="1" si="206"/>
        <v>15</v>
      </c>
      <c r="G244" t="s">
        <v>54</v>
      </c>
      <c r="H244" s="3">
        <f t="shared" ca="1" si="246"/>
        <v>1</v>
      </c>
      <c r="I244" s="3">
        <f t="shared" ca="1" si="246"/>
        <v>1</v>
      </c>
      <c r="J244">
        <f t="shared" ca="1" si="210"/>
        <v>1</v>
      </c>
      <c r="K244" s="2">
        <f t="shared" ca="1" si="211"/>
        <v>0.95476746378004285</v>
      </c>
      <c r="L244" s="2">
        <f t="shared" ref="L244:L245" ca="1" si="265">+IFERROR(K244+0.03,"n.a.")</f>
        <v>0.98476746378004287</v>
      </c>
    </row>
    <row r="245" spans="1:12">
      <c r="A245" s="1">
        <f ca="1">+RANDBETWEEN(Apoyo!$P$2,Apoyo!$P$3)</f>
        <v>45959</v>
      </c>
      <c r="B245" s="1" t="str" cm="1">
        <f t="array" aca="1" ref="B245" ca="1">+INDEX(Apoyo!$B$2:$B$10,RANDBETWEEN(1,9))</f>
        <v>Puente Piedra-Ventanilla</v>
      </c>
      <c r="C245" t="s">
        <v>1</v>
      </c>
      <c r="D245" t="str" cm="1">
        <f t="array" aca="1" ref="D245" ca="1">+IF(OR($B245=Apoyo!$B$2,$B245=Apoyo!$B$6),"Lima",IF($B245=Apoyo!$B$10,INDEX(Apoyo!$D$2:$D$19,RANDBETWEEN(1,18)),IF(OR($B245&lt;&gt;Apoyo!$B$10,$B245&lt;&gt;Apoyo!$B$2,$B245&lt;&gt;Apoyo!$B$6),B245,0)))</f>
        <v>Lima</v>
      </c>
      <c r="E245" t="str">
        <f t="shared" ref="E245:E246" si="266">+IF(C245="Mujer","Femenino",2)</f>
        <v>Femenino</v>
      </c>
      <c r="F245">
        <f t="shared" ca="1" si="206"/>
        <v>49</v>
      </c>
      <c r="G245" t="str">
        <f ca="1">+CHOOSE(RANDBETWEEN(1,5),Apoyo!$E$3,Apoyo!$E$4,Apoyo!$E$5,Apoyo!$E$6,Apoyo!$E$7)</f>
        <v>Ausente</v>
      </c>
      <c r="H245" s="3">
        <f t="shared" ca="1" si="246"/>
        <v>0</v>
      </c>
      <c r="I245" s="3">
        <f t="shared" ca="1" si="246"/>
        <v>0</v>
      </c>
      <c r="J245">
        <f t="shared" ca="1" si="210"/>
        <v>0</v>
      </c>
      <c r="K245" s="2" t="str">
        <f t="shared" ca="1" si="211"/>
        <v>n.a.</v>
      </c>
      <c r="L245" s="2" t="str">
        <f t="shared" ca="1" si="265"/>
        <v>n.a.</v>
      </c>
    </row>
    <row r="246" spans="1:12">
      <c r="A246" s="1">
        <f ca="1">+RANDBETWEEN(Apoyo!$P$2,Apoyo!$P$3)</f>
        <v>45952</v>
      </c>
      <c r="B246" s="1" t="str" cm="1">
        <f t="array" aca="1" ref="B246" ca="1">+INDEX(Apoyo!$B$2:$B$10,RANDBETWEEN(1,9))</f>
        <v>Resto del Perú</v>
      </c>
      <c r="C246" t="s">
        <v>1</v>
      </c>
      <c r="D246" t="str" cm="1">
        <f t="array" aca="1" ref="D246" ca="1">+IF(OR($B246=Apoyo!$B$2,$B246=Apoyo!$B$6),"Lima",IF($B246=Apoyo!$B$10,INDEX(Apoyo!$D$2:$D$19,RANDBETWEEN(1,18)),IF(OR($B246&lt;&gt;Apoyo!$B$10,$B246&lt;&gt;Apoyo!$B$2,$B246&lt;&gt;Apoyo!$B$6),B246,0)))</f>
        <v>Moquegua</v>
      </c>
      <c r="E246" t="str">
        <f t="shared" si="266"/>
        <v>Femenino</v>
      </c>
      <c r="F246">
        <f t="shared" ca="1" si="206"/>
        <v>32</v>
      </c>
      <c r="G246" t="s">
        <v>54</v>
      </c>
      <c r="H246" s="3">
        <f t="shared" ca="1" si="246"/>
        <v>0</v>
      </c>
      <c r="I246" s="3">
        <f t="shared" ca="1" si="246"/>
        <v>0</v>
      </c>
      <c r="J246">
        <f t="shared" ca="1" si="210"/>
        <v>0</v>
      </c>
      <c r="K246" s="2">
        <f t="shared" ca="1" si="211"/>
        <v>0.71857162568308985</v>
      </c>
      <c r="L246" s="2">
        <f t="shared" ca="1" si="240"/>
        <v>0.75857162568308989</v>
      </c>
    </row>
    <row r="247" spans="1:12">
      <c r="A247" s="1">
        <f ca="1">+RANDBETWEEN(Apoyo!$P$2,Apoyo!$P$3)</f>
        <v>45947</v>
      </c>
      <c r="B247" s="1" t="str" cm="1">
        <f t="array" aca="1" ref="B247" ca="1">+INDEX(Apoyo!$B$2:$B$10,RANDBETWEEN(1,9))</f>
        <v>Loreto</v>
      </c>
      <c r="C247" t="s">
        <v>2</v>
      </c>
      <c r="D247" t="str" cm="1">
        <f t="array" aca="1" ref="D247" ca="1">+IF(OR($B247=Apoyo!$B$2,$B247=Apoyo!$B$6),"Lima",IF($B247=Apoyo!$B$10,INDEX(Apoyo!$D$2:$D$19,RANDBETWEEN(1,18)),IF(OR($B247&lt;&gt;Apoyo!$B$10,$B247&lt;&gt;Apoyo!$B$2,$B247&lt;&gt;Apoyo!$B$6),B247,0)))</f>
        <v>Loreto</v>
      </c>
      <c r="E247" t="s">
        <v>44</v>
      </c>
      <c r="F247">
        <f t="shared" ca="1" si="206"/>
        <v>15</v>
      </c>
      <c r="G247" t="s">
        <v>54</v>
      </c>
      <c r="H247" s="3">
        <f t="shared" ca="1" si="246"/>
        <v>0</v>
      </c>
      <c r="I247" s="3">
        <f t="shared" ca="1" si="246"/>
        <v>1</v>
      </c>
      <c r="J247">
        <f t="shared" ca="1" si="210"/>
        <v>1</v>
      </c>
      <c r="K247" s="2">
        <f t="shared" ca="1" si="211"/>
        <v>0.29461227780661126</v>
      </c>
      <c r="L247" s="2">
        <f t="shared" ref="L247" ca="1" si="267">+IFERROR(K247+0.06,"n.a.")</f>
        <v>0.35461227780661125</v>
      </c>
    </row>
    <row r="248" spans="1:12">
      <c r="A248" s="1">
        <f ca="1">+RANDBETWEEN(Apoyo!$P$2,Apoyo!$P$3)</f>
        <v>45959</v>
      </c>
      <c r="B248" s="1" t="str" cm="1">
        <f t="array" aca="1" ref="B248" ca="1">+INDEX(Apoyo!$B$2:$B$10,RANDBETWEEN(1,9))</f>
        <v>Resto del Perú</v>
      </c>
      <c r="C248" t="s">
        <v>2</v>
      </c>
      <c r="D248" t="str" cm="1">
        <f t="array" aca="1" ref="D248" ca="1">+IF(OR($B248=Apoyo!$B$2,$B248=Apoyo!$B$6),"Lima",IF($B248=Apoyo!$B$10,INDEX(Apoyo!$D$2:$D$19,RANDBETWEEN(1,18)),IF(OR($B248&lt;&gt;Apoyo!$B$10,$B248&lt;&gt;Apoyo!$B$2,$B248&lt;&gt;Apoyo!$B$6),B248,0)))</f>
        <v>San Martín</v>
      </c>
      <c r="E248" t="s">
        <v>43</v>
      </c>
      <c r="F248">
        <f t="shared" ca="1" si="206"/>
        <v>14</v>
      </c>
      <c r="G248" t="s">
        <v>54</v>
      </c>
      <c r="H248" s="3">
        <f t="shared" ca="1" si="246"/>
        <v>0</v>
      </c>
      <c r="I248" s="3">
        <f t="shared" ca="1" si="246"/>
        <v>0</v>
      </c>
      <c r="J248">
        <f t="shared" ca="1" si="210"/>
        <v>0</v>
      </c>
      <c r="K248" s="2">
        <f t="shared" ca="1" si="211"/>
        <v>0.22599913505374258</v>
      </c>
      <c r="L248" s="2">
        <f t="shared" ref="L248" ca="1" si="268">+IFERROR(K248+0.03,"n.a.")</f>
        <v>0.25599913505374261</v>
      </c>
    </row>
    <row r="249" spans="1:12">
      <c r="A249" s="1">
        <f ca="1">+RANDBETWEEN(Apoyo!$P$2,Apoyo!$P$3)</f>
        <v>45959</v>
      </c>
      <c r="B249" s="1" t="str" cm="1">
        <f t="array" aca="1" ref="B249" ca="1">+INDEX(Apoyo!$B$2:$B$10,RANDBETWEEN(1,9))</f>
        <v>Cajamarca</v>
      </c>
      <c r="C249" t="s">
        <v>1</v>
      </c>
      <c r="D249" t="str" cm="1">
        <f t="array" aca="1" ref="D249" ca="1">+IF(OR($B249=Apoyo!$B$2,$B249=Apoyo!$B$6),"Lima",IF($B249=Apoyo!$B$10,INDEX(Apoyo!$D$2:$D$19,RANDBETWEEN(1,18)),IF(OR($B249&lt;&gt;Apoyo!$B$10,$B249&lt;&gt;Apoyo!$B$2,$B249&lt;&gt;Apoyo!$B$6),B249,0)))</f>
        <v>Cajamarca</v>
      </c>
      <c r="E249" t="str">
        <f t="shared" ref="E249" si="269">+IF(C249="Mujer","Femenino",2)</f>
        <v>Femenino</v>
      </c>
      <c r="F249">
        <f t="shared" ca="1" si="206"/>
        <v>33</v>
      </c>
      <c r="G249" t="str">
        <f ca="1">+CHOOSE(RANDBETWEEN(1,5),Apoyo!$E$3,Apoyo!$E$4,Apoyo!$E$5,Apoyo!$E$6,Apoyo!$E$7)</f>
        <v>Otro</v>
      </c>
      <c r="H249" s="3">
        <f t="shared" ca="1" si="246"/>
        <v>0</v>
      </c>
      <c r="I249" s="3">
        <f t="shared" ca="1" si="246"/>
        <v>0</v>
      </c>
      <c r="J249">
        <f t="shared" ca="1" si="210"/>
        <v>0</v>
      </c>
      <c r="K249" s="2" t="str">
        <f t="shared" ca="1" si="211"/>
        <v>n.a.</v>
      </c>
      <c r="L249" s="2" t="str">
        <f t="shared" ref="L249" ca="1" si="270">+IFERROR(K249+0.05,"n.a.")</f>
        <v>n.a.</v>
      </c>
    </row>
    <row r="250" spans="1:12">
      <c r="A250" s="1">
        <f ca="1">+RANDBETWEEN(Apoyo!$P$2,Apoyo!$P$3)</f>
        <v>45958</v>
      </c>
      <c r="B250" s="1" t="str" cm="1">
        <f t="array" aca="1" ref="B250" ca="1">+INDEX(Apoyo!$B$2:$B$10,RANDBETWEEN(1,9))</f>
        <v>Ucayali</v>
      </c>
      <c r="C250" t="s">
        <v>2</v>
      </c>
      <c r="D250" t="str" cm="1">
        <f t="array" aca="1" ref="D250" ca="1">+IF(OR($B250=Apoyo!$B$2,$B250=Apoyo!$B$6),"Lima",IF($B250=Apoyo!$B$10,INDEX(Apoyo!$D$2:$D$19,RANDBETWEEN(1,18)),IF(OR($B250&lt;&gt;Apoyo!$B$10,$B250&lt;&gt;Apoyo!$B$2,$B250&lt;&gt;Apoyo!$B$6),B250,0)))</f>
        <v>Ucayali</v>
      </c>
      <c r="E250" t="s">
        <v>44</v>
      </c>
      <c r="F250">
        <f t="shared" ca="1" si="206"/>
        <v>16</v>
      </c>
      <c r="G250" t="s">
        <v>54</v>
      </c>
      <c r="H250" s="3">
        <f t="shared" ca="1" si="246"/>
        <v>0</v>
      </c>
      <c r="I250" s="3">
        <f t="shared" ca="1" si="246"/>
        <v>0</v>
      </c>
      <c r="J250">
        <f t="shared" ca="1" si="210"/>
        <v>0</v>
      </c>
      <c r="K250" s="2">
        <f t="shared" ca="1" si="211"/>
        <v>0.41899967711200559</v>
      </c>
      <c r="L250" s="2">
        <f t="shared" ref="L250" ca="1" si="271">+IFERROR(K250+0.04,"n.a.")</f>
        <v>0.45899967711200557</v>
      </c>
    </row>
    <row r="251" spans="1:12">
      <c r="A251" s="1">
        <f ca="1">+RANDBETWEEN(Apoyo!$P$2,Apoyo!$P$3)</f>
        <v>45956</v>
      </c>
      <c r="B251" s="1" t="str" cm="1">
        <f t="array" aca="1" ref="B251" ca="1">+INDEX(Apoyo!$B$2:$B$10,RANDBETWEEN(1,9))</f>
        <v>Ayacucho</v>
      </c>
      <c r="C251" t="s">
        <v>1</v>
      </c>
      <c r="D251" t="str" cm="1">
        <f t="array" aca="1" ref="D251" ca="1">+IF(OR($B251=Apoyo!$B$2,$B251=Apoyo!$B$6),"Lima",IF($B251=Apoyo!$B$10,INDEX(Apoyo!$D$2:$D$19,RANDBETWEEN(1,18)),IF(OR($B251&lt;&gt;Apoyo!$B$10,$B251&lt;&gt;Apoyo!$B$2,$B251&lt;&gt;Apoyo!$B$6),B251,0)))</f>
        <v>Ayacucho</v>
      </c>
      <c r="E251" t="str">
        <f t="shared" ref="E251" si="272">+IF(C251="Mujer","Femenino",2)</f>
        <v>Femenino</v>
      </c>
      <c r="F251">
        <f t="shared" ca="1" si="206"/>
        <v>61</v>
      </c>
      <c r="G251" t="s">
        <v>54</v>
      </c>
      <c r="H251" s="3">
        <f t="shared" ca="1" si="246"/>
        <v>0</v>
      </c>
      <c r="I251" s="3">
        <f t="shared" ca="1" si="246"/>
        <v>0</v>
      </c>
      <c r="J251">
        <f t="shared" ca="1" si="210"/>
        <v>0</v>
      </c>
      <c r="K251" s="2">
        <f t="shared" ca="1" si="211"/>
        <v>0.95948832868933209</v>
      </c>
      <c r="L251" s="2">
        <f t="shared" ref="L251" ca="1" si="273">+IFERROR(K251+0.05,"n.a.")</f>
        <v>1.0094883286893321</v>
      </c>
    </row>
    <row r="252" spans="1:12">
      <c r="A252" s="1">
        <f ca="1">+RANDBETWEEN(Apoyo!$P$2,Apoyo!$P$3)</f>
        <v>45956</v>
      </c>
      <c r="B252" s="1" t="str" cm="1">
        <f t="array" aca="1" ref="B252" ca="1">+INDEX(Apoyo!$B$2:$B$10,RANDBETWEEN(1,9))</f>
        <v>Resto del Perú</v>
      </c>
      <c r="C252" t="s">
        <v>1</v>
      </c>
      <c r="D252" t="str" cm="1">
        <f t="array" aca="1" ref="D252" ca="1">+IF(OR($B252=Apoyo!$B$2,$B252=Apoyo!$B$6),"Lima",IF($B252=Apoyo!$B$10,INDEX(Apoyo!$D$2:$D$19,RANDBETWEEN(1,18)),IF(OR($B252&lt;&gt;Apoyo!$B$10,$B252&lt;&gt;Apoyo!$B$2,$B252&lt;&gt;Apoyo!$B$6),B252,0)))</f>
        <v>Madre de Dios</v>
      </c>
      <c r="E252" t="str">
        <f>+IF(C252="Mujer","Femenino",2)</f>
        <v>Femenino</v>
      </c>
      <c r="F252">
        <f t="shared" ca="1" si="206"/>
        <v>65</v>
      </c>
      <c r="G252" t="s">
        <v>54</v>
      </c>
      <c r="H252" s="3">
        <f t="shared" ca="1" si="246"/>
        <v>0</v>
      </c>
      <c r="I252" s="3">
        <f t="shared" ca="1" si="246"/>
        <v>1</v>
      </c>
      <c r="J252">
        <f t="shared" ca="1" si="210"/>
        <v>1</v>
      </c>
      <c r="K252" s="2">
        <f t="shared" ca="1" si="211"/>
        <v>0.13776387698421855</v>
      </c>
      <c r="L252" s="2">
        <f t="shared" ref="L252:L253" ca="1" si="274">+IFERROR(K252+0.03,"n.a.")</f>
        <v>0.16776387698421855</v>
      </c>
    </row>
    <row r="253" spans="1:12">
      <c r="A253" s="1">
        <f ca="1">+RANDBETWEEN(Apoyo!$P$2,Apoyo!$P$3)</f>
        <v>45956</v>
      </c>
      <c r="B253" s="1" t="str" cm="1">
        <f t="array" aca="1" ref="B253" ca="1">+INDEX(Apoyo!$B$2:$B$10,RANDBETWEEN(1,9))</f>
        <v>Ayacucho</v>
      </c>
      <c r="C253" t="s">
        <v>2</v>
      </c>
      <c r="D253" t="str" cm="1">
        <f t="array" aca="1" ref="D253" ca="1">+IF(OR($B253=Apoyo!$B$2,$B253=Apoyo!$B$6),"Lima",IF($B253=Apoyo!$B$10,INDEX(Apoyo!$D$2:$D$19,RANDBETWEEN(1,18)),IF(OR($B253&lt;&gt;Apoyo!$B$10,$B253&lt;&gt;Apoyo!$B$2,$B253&lt;&gt;Apoyo!$B$6),B253,0)))</f>
        <v>Ayacucho</v>
      </c>
      <c r="E253" t="s">
        <v>43</v>
      </c>
      <c r="F253">
        <f t="shared" ca="1" si="206"/>
        <v>14</v>
      </c>
      <c r="G253" t="s">
        <v>54</v>
      </c>
      <c r="H253" s="3">
        <f t="shared" ca="1" si="246"/>
        <v>1</v>
      </c>
      <c r="I253" s="3">
        <f t="shared" ca="1" si="246"/>
        <v>1</v>
      </c>
      <c r="J253">
        <f t="shared" ca="1" si="210"/>
        <v>0</v>
      </c>
      <c r="K253" s="2">
        <f t="shared" ca="1" si="211"/>
        <v>0.50003002674535424</v>
      </c>
      <c r="L253" s="2">
        <f t="shared" ca="1" si="274"/>
        <v>0.53003002674535427</v>
      </c>
    </row>
    <row r="254" spans="1:12">
      <c r="A254" s="1">
        <f ca="1">+RANDBETWEEN(Apoyo!$P$2,Apoyo!$P$3)</f>
        <v>45955</v>
      </c>
      <c r="B254" s="1" t="str" cm="1">
        <f t="array" aca="1" ref="B254" ca="1">+INDEX(Apoyo!$B$2:$B$10,RANDBETWEEN(1,9))</f>
        <v>Apurímac</v>
      </c>
      <c r="C254" t="s">
        <v>2</v>
      </c>
      <c r="D254" t="str" cm="1">
        <f t="array" aca="1" ref="D254" ca="1">+IF(OR($B254=Apoyo!$B$2,$B254=Apoyo!$B$6),"Lima",IF($B254=Apoyo!$B$10,INDEX(Apoyo!$D$2:$D$19,RANDBETWEEN(1,18)),IF(OR($B254&lt;&gt;Apoyo!$B$10,$B254&lt;&gt;Apoyo!$B$2,$B254&lt;&gt;Apoyo!$B$6),B254,0)))</f>
        <v>Apurímac</v>
      </c>
      <c r="E254" t="s">
        <v>44</v>
      </c>
      <c r="F254">
        <f t="shared" ca="1" si="206"/>
        <v>12</v>
      </c>
      <c r="G254" t="str">
        <f ca="1">+CHOOSE(RANDBETWEEN(1,5),Apoyo!$E$3,Apoyo!$E$4,Apoyo!$E$5,Apoyo!$E$6,Apoyo!$E$7)</f>
        <v>Ausente</v>
      </c>
      <c r="H254" s="3">
        <f t="shared" ca="1" si="246"/>
        <v>0</v>
      </c>
      <c r="I254" s="3">
        <f t="shared" ca="1" si="246"/>
        <v>0</v>
      </c>
      <c r="J254">
        <f t="shared" ca="1" si="210"/>
        <v>0</v>
      </c>
      <c r="K254" s="2" t="str">
        <f t="shared" ca="1" si="211"/>
        <v>n.a.</v>
      </c>
      <c r="L254" s="2" t="str">
        <f t="shared" ref="L254" ca="1" si="275">+IFERROR(K254+0.04,"n.a.")</f>
        <v>n.a.</v>
      </c>
    </row>
    <row r="255" spans="1:12">
      <c r="A255" s="1">
        <f ca="1">+RANDBETWEEN(Apoyo!$P$2,Apoyo!$P$3)</f>
        <v>45945</v>
      </c>
      <c r="B255" s="1" t="str" cm="1">
        <f t="array" aca="1" ref="B255" ca="1">+INDEX(Apoyo!$B$2:$B$10,RANDBETWEEN(1,9))</f>
        <v>Loreto</v>
      </c>
      <c r="C255" t="s">
        <v>1</v>
      </c>
      <c r="D255" t="str" cm="1">
        <f t="array" aca="1" ref="D255" ca="1">+IF(OR($B255=Apoyo!$B$2,$B255=Apoyo!$B$6),"Lima",IF($B255=Apoyo!$B$10,INDEX(Apoyo!$D$2:$D$19,RANDBETWEEN(1,18)),IF(OR($B255&lt;&gt;Apoyo!$B$10,$B255&lt;&gt;Apoyo!$B$2,$B255&lt;&gt;Apoyo!$B$6),B255,0)))</f>
        <v>Loreto</v>
      </c>
      <c r="E255" t="str">
        <f t="shared" ref="E255:E256" si="276">+IF(C255="Mujer","Femenino",2)</f>
        <v>Femenino</v>
      </c>
      <c r="F255">
        <f t="shared" ca="1" si="206"/>
        <v>49</v>
      </c>
      <c r="G255" t="str">
        <f ca="1">+CHOOSE(RANDBETWEEN(1,5),Apoyo!$E$3,Apoyo!$E$4,Apoyo!$E$5,Apoyo!$E$6,Apoyo!$E$7)</f>
        <v>Rechazada</v>
      </c>
      <c r="H255" s="3">
        <f t="shared" ca="1" si="246"/>
        <v>0</v>
      </c>
      <c r="I255" s="3">
        <f t="shared" ca="1" si="246"/>
        <v>0</v>
      </c>
      <c r="J255">
        <f t="shared" ca="1" si="210"/>
        <v>0</v>
      </c>
      <c r="K255" s="2" t="str">
        <f t="shared" ca="1" si="211"/>
        <v>n.a.</v>
      </c>
      <c r="L255" s="2" t="str">
        <f t="shared" ref="L255" ca="1" si="277">+IFERROR(K255+0.05,"n.a.")</f>
        <v>n.a.</v>
      </c>
    </row>
    <row r="256" spans="1:12">
      <c r="A256" s="1">
        <f ca="1">+RANDBETWEEN(Apoyo!$P$2,Apoyo!$P$3)</f>
        <v>45951</v>
      </c>
      <c r="B256" s="1" t="str" cm="1">
        <f t="array" aca="1" ref="B256" ca="1">+INDEX(Apoyo!$B$2:$B$10,RANDBETWEEN(1,9))</f>
        <v>Huánuco</v>
      </c>
      <c r="C256" t="s">
        <v>1</v>
      </c>
      <c r="D256" t="str" cm="1">
        <f t="array" aca="1" ref="D256" ca="1">+IF(OR($B256=Apoyo!$B$2,$B256=Apoyo!$B$6),"Lima",IF($B256=Apoyo!$B$10,INDEX(Apoyo!$D$2:$D$19,RANDBETWEEN(1,18)),IF(OR($B256&lt;&gt;Apoyo!$B$10,$B256&lt;&gt;Apoyo!$B$2,$B256&lt;&gt;Apoyo!$B$6),B256,0)))</f>
        <v>Huánuco</v>
      </c>
      <c r="E256" t="str">
        <f t="shared" si="276"/>
        <v>Femenino</v>
      </c>
      <c r="F256">
        <f t="shared" ca="1" si="206"/>
        <v>55</v>
      </c>
      <c r="G256" t="s">
        <v>54</v>
      </c>
      <c r="H256" s="3">
        <f t="shared" ca="1" si="246"/>
        <v>1</v>
      </c>
      <c r="I256" s="3">
        <f t="shared" ca="1" si="246"/>
        <v>1</v>
      </c>
      <c r="J256">
        <f t="shared" ca="1" si="210"/>
        <v>0</v>
      </c>
      <c r="K256" s="2">
        <f t="shared" ca="1" si="211"/>
        <v>0.83985429807394685</v>
      </c>
      <c r="L256" s="2">
        <f t="shared" ref="L256:L257" ca="1" si="278">+IFERROR(K256+0.03,"n.a.")</f>
        <v>0.86985429807394687</v>
      </c>
    </row>
    <row r="257" spans="1:12">
      <c r="A257" s="1">
        <f ca="1">+RANDBETWEEN(Apoyo!$P$2,Apoyo!$P$3)</f>
        <v>45951</v>
      </c>
      <c r="B257" s="1" t="str" cm="1">
        <f t="array" aca="1" ref="B257" ca="1">+INDEX(Apoyo!$B$2:$B$10,RANDBETWEEN(1,9))</f>
        <v>Ayacucho</v>
      </c>
      <c r="C257" t="s">
        <v>2</v>
      </c>
      <c r="D257" t="str" cm="1">
        <f t="array" aca="1" ref="D257" ca="1">+IF(OR($B257=Apoyo!$B$2,$B257=Apoyo!$B$6),"Lima",IF($B257=Apoyo!$B$10,INDEX(Apoyo!$D$2:$D$19,RANDBETWEEN(1,18)),IF(OR($B257&lt;&gt;Apoyo!$B$10,$B257&lt;&gt;Apoyo!$B$2,$B257&lt;&gt;Apoyo!$B$6),B257,0)))</f>
        <v>Ayacucho</v>
      </c>
      <c r="E257" t="s">
        <v>44</v>
      </c>
      <c r="F257">
        <f t="shared" ca="1" si="206"/>
        <v>14</v>
      </c>
      <c r="G257" t="s">
        <v>54</v>
      </c>
      <c r="H257" s="3">
        <f t="shared" ca="1" si="246"/>
        <v>0</v>
      </c>
      <c r="I257" s="3">
        <f t="shared" ca="1" si="246"/>
        <v>0</v>
      </c>
      <c r="J257">
        <f t="shared" ca="1" si="210"/>
        <v>0</v>
      </c>
      <c r="K257" s="2">
        <f t="shared" ca="1" si="211"/>
        <v>0.12250531164019351</v>
      </c>
      <c r="L257" s="2">
        <f t="shared" ca="1" si="278"/>
        <v>0.15250531164019351</v>
      </c>
    </row>
    <row r="258" spans="1:12">
      <c r="A258" s="1">
        <f ca="1">+RANDBETWEEN(Apoyo!$P$2,Apoyo!$P$3)</f>
        <v>45960</v>
      </c>
      <c r="B258" s="1" t="str" cm="1">
        <f t="array" aca="1" ref="B258" ca="1">+INDEX(Apoyo!$B$2:$B$10,RANDBETWEEN(1,9))</f>
        <v>Ucayali</v>
      </c>
      <c r="C258" t="s">
        <v>2</v>
      </c>
      <c r="D258" t="str" cm="1">
        <f t="array" aca="1" ref="D258" ca="1">+IF(OR($B258=Apoyo!$B$2,$B258=Apoyo!$B$6),"Lima",IF($B258=Apoyo!$B$10,INDEX(Apoyo!$D$2:$D$19,RANDBETWEEN(1,18)),IF(OR($B258&lt;&gt;Apoyo!$B$10,$B258&lt;&gt;Apoyo!$B$2,$B258&lt;&gt;Apoyo!$B$6),B258,0)))</f>
        <v>Ucayali</v>
      </c>
      <c r="E258" t="s">
        <v>43</v>
      </c>
      <c r="F258">
        <f t="shared" ref="F258:F321" ca="1" si="279">+IF(C258="Mujer",RANDBETWEEN(18,65),RANDBETWEEN(12,17))</f>
        <v>14</v>
      </c>
      <c r="G258" t="s">
        <v>54</v>
      </c>
      <c r="H258" s="3">
        <f t="shared" ca="1" si="246"/>
        <v>1</v>
      </c>
      <c r="I258" s="3">
        <f t="shared" ca="1" si="246"/>
        <v>0</v>
      </c>
      <c r="J258">
        <f t="shared" ca="1" si="210"/>
        <v>1</v>
      </c>
      <c r="K258" s="2">
        <f t="shared" ca="1" si="211"/>
        <v>0.23272756176691822</v>
      </c>
      <c r="L258" s="2">
        <f t="shared" ca="1" si="240"/>
        <v>0.2727275617669182</v>
      </c>
    </row>
    <row r="259" spans="1:12">
      <c r="A259" s="1">
        <f ca="1">+RANDBETWEEN(Apoyo!$P$2,Apoyo!$P$3)</f>
        <v>45951</v>
      </c>
      <c r="B259" s="1" t="str" cm="1">
        <f t="array" aca="1" ref="B259" ca="1">+INDEX(Apoyo!$B$2:$B$10,RANDBETWEEN(1,9))</f>
        <v>Apurímac</v>
      </c>
      <c r="C259" t="s">
        <v>1</v>
      </c>
      <c r="D259" t="str" cm="1">
        <f t="array" aca="1" ref="D259" ca="1">+IF(OR($B259=Apoyo!$B$2,$B259=Apoyo!$B$6),"Lima",IF($B259=Apoyo!$B$10,INDEX(Apoyo!$D$2:$D$19,RANDBETWEEN(1,18)),IF(OR($B259&lt;&gt;Apoyo!$B$10,$B259&lt;&gt;Apoyo!$B$2,$B259&lt;&gt;Apoyo!$B$6),B259,0)))</f>
        <v>Apurímac</v>
      </c>
      <c r="E259" t="str">
        <f t="shared" ref="E259" si="280">+IF(C259="Mujer","Femenino",2)</f>
        <v>Femenino</v>
      </c>
      <c r="F259">
        <f t="shared" ca="1" si="279"/>
        <v>28</v>
      </c>
      <c r="G259" t="s">
        <v>54</v>
      </c>
      <c r="H259" s="3">
        <f t="shared" ref="H259:I290" ca="1" si="281">+IF($G259&lt;&gt;"Completa",IF($G259&lt;&gt;"Discapacidad",0,RANDBETWEEN(0,1)),RANDBETWEEN(0,1))</f>
        <v>0</v>
      </c>
      <c r="I259" s="3">
        <f t="shared" ca="1" si="281"/>
        <v>1</v>
      </c>
      <c r="J259">
        <f t="shared" ref="J259:J321" ca="1" si="282">+IF(OR(H259=1,I259=1),RANDBETWEEN(0,1),0)</f>
        <v>0</v>
      </c>
      <c r="K259" s="2">
        <f t="shared" ref="K259:K321" ca="1" si="283">IF(G259&lt;&gt;"Completa","n.a.",RAND())</f>
        <v>0.5926130908970092</v>
      </c>
      <c r="L259" s="2">
        <f t="shared" ref="L259" ca="1" si="284">+IFERROR(K259+0.06,"n.a.")</f>
        <v>0.65261309089700914</v>
      </c>
    </row>
    <row r="260" spans="1:12">
      <c r="A260" s="1">
        <f ca="1">+RANDBETWEEN(Apoyo!$P$2,Apoyo!$P$3)</f>
        <v>45945</v>
      </c>
      <c r="B260" s="1" t="str" cm="1">
        <f t="array" aca="1" ref="B260" ca="1">+INDEX(Apoyo!$B$2:$B$10,RANDBETWEEN(1,9))</f>
        <v>Apurímac</v>
      </c>
      <c r="C260" t="s">
        <v>2</v>
      </c>
      <c r="D260" t="str" cm="1">
        <f t="array" aca="1" ref="D260" ca="1">+IF(OR($B260=Apoyo!$B$2,$B260=Apoyo!$B$6),"Lima",IF($B260=Apoyo!$B$10,INDEX(Apoyo!$D$2:$D$19,RANDBETWEEN(1,18)),IF(OR($B260&lt;&gt;Apoyo!$B$10,$B260&lt;&gt;Apoyo!$B$2,$B260&lt;&gt;Apoyo!$B$6),B260,0)))</f>
        <v>Apurímac</v>
      </c>
      <c r="E260" t="s">
        <v>44</v>
      </c>
      <c r="F260">
        <f t="shared" ca="1" si="279"/>
        <v>14</v>
      </c>
      <c r="G260" t="s">
        <v>54</v>
      </c>
      <c r="H260" s="3">
        <f t="shared" ca="1" si="281"/>
        <v>0</v>
      </c>
      <c r="I260" s="3">
        <f t="shared" ca="1" si="281"/>
        <v>1</v>
      </c>
      <c r="J260">
        <f t="shared" ca="1" si="282"/>
        <v>0</v>
      </c>
      <c r="K260" s="2">
        <f t="shared" ca="1" si="283"/>
        <v>0.61660118661839114</v>
      </c>
      <c r="L260" s="2">
        <f t="shared" ref="L260" ca="1" si="285">+IFERROR(K260+0.03,"n.a.")</f>
        <v>0.64660118661839117</v>
      </c>
    </row>
    <row r="261" spans="1:12">
      <c r="A261" s="1">
        <f ca="1">+RANDBETWEEN(Apoyo!$P$2,Apoyo!$P$3)</f>
        <v>45957</v>
      </c>
      <c r="B261" s="1" t="str" cm="1">
        <f t="array" aca="1" ref="B261" ca="1">+INDEX(Apoyo!$B$2:$B$10,RANDBETWEEN(1,9))</f>
        <v>Lima Norte</v>
      </c>
      <c r="C261" t="s">
        <v>1</v>
      </c>
      <c r="D261" t="str" cm="1">
        <f t="array" aca="1" ref="D261" ca="1">+IF(OR($B261=Apoyo!$B$2,$B261=Apoyo!$B$6),"Lima",IF($B261=Apoyo!$B$10,INDEX(Apoyo!$D$2:$D$19,RANDBETWEEN(1,18)),IF(OR($B261&lt;&gt;Apoyo!$B$10,$B261&lt;&gt;Apoyo!$B$2,$B261&lt;&gt;Apoyo!$B$6),B261,0)))</f>
        <v>Lima</v>
      </c>
      <c r="E261" t="str">
        <f t="shared" ref="E261" si="286">+IF(C261="Mujer","Femenino",2)</f>
        <v>Femenino</v>
      </c>
      <c r="F261">
        <f t="shared" ca="1" si="279"/>
        <v>36</v>
      </c>
      <c r="G261" t="s">
        <v>54</v>
      </c>
      <c r="H261" s="3">
        <f t="shared" ca="1" si="281"/>
        <v>1</v>
      </c>
      <c r="I261" s="3">
        <f t="shared" ca="1" si="281"/>
        <v>1</v>
      </c>
      <c r="J261">
        <f t="shared" ca="1" si="282"/>
        <v>1</v>
      </c>
      <c r="K261" s="2">
        <f t="shared" ca="1" si="283"/>
        <v>0.32659491190206713</v>
      </c>
      <c r="L261" s="2">
        <f t="shared" ref="L261" ca="1" si="287">+IFERROR(K261+0.05,"n.a.")</f>
        <v>0.37659491190206712</v>
      </c>
    </row>
    <row r="262" spans="1:12">
      <c r="A262" s="1">
        <f ca="1">+RANDBETWEEN(Apoyo!$P$2,Apoyo!$P$3)</f>
        <v>45952</v>
      </c>
      <c r="B262" s="1" t="str" cm="1">
        <f t="array" aca="1" ref="B262" ca="1">+INDEX(Apoyo!$B$2:$B$10,RANDBETWEEN(1,9))</f>
        <v>Ayacucho</v>
      </c>
      <c r="C262" t="s">
        <v>1</v>
      </c>
      <c r="D262" t="str" cm="1">
        <f t="array" aca="1" ref="D262" ca="1">+IF(OR($B262=Apoyo!$B$2,$B262=Apoyo!$B$6),"Lima",IF($B262=Apoyo!$B$10,INDEX(Apoyo!$D$2:$D$19,RANDBETWEEN(1,18)),IF(OR($B262&lt;&gt;Apoyo!$B$10,$B262&lt;&gt;Apoyo!$B$2,$B262&lt;&gt;Apoyo!$B$6),B262,0)))</f>
        <v>Ayacucho</v>
      </c>
      <c r="E262" t="str">
        <f>+IF(C262="Mujer","Femenino",2)</f>
        <v>Femenino</v>
      </c>
      <c r="F262">
        <f t="shared" ca="1" si="279"/>
        <v>37</v>
      </c>
      <c r="G262" t="s">
        <v>54</v>
      </c>
      <c r="H262" s="3">
        <f t="shared" ca="1" si="281"/>
        <v>1</v>
      </c>
      <c r="I262" s="3">
        <f t="shared" ca="1" si="281"/>
        <v>1</v>
      </c>
      <c r="J262">
        <f t="shared" ca="1" si="282"/>
        <v>0</v>
      </c>
      <c r="K262" s="2">
        <f t="shared" ca="1" si="283"/>
        <v>0.29128277242651579</v>
      </c>
      <c r="L262" s="2">
        <f t="shared" ref="L262" ca="1" si="288">+IFERROR(K262+0.04,"n.a.")</f>
        <v>0.33128277242651577</v>
      </c>
    </row>
    <row r="263" spans="1:12">
      <c r="A263" s="1">
        <f ca="1">+RANDBETWEEN(Apoyo!$P$2,Apoyo!$P$3)</f>
        <v>45958</v>
      </c>
      <c r="B263" s="1" t="str" cm="1">
        <f t="array" aca="1" ref="B263" ca="1">+INDEX(Apoyo!$B$2:$B$10,RANDBETWEEN(1,9))</f>
        <v>Ayacucho</v>
      </c>
      <c r="C263" t="s">
        <v>2</v>
      </c>
      <c r="D263" t="str" cm="1">
        <f t="array" aca="1" ref="D263" ca="1">+IF(OR($B263=Apoyo!$B$2,$B263=Apoyo!$B$6),"Lima",IF($B263=Apoyo!$B$10,INDEX(Apoyo!$D$2:$D$19,RANDBETWEEN(1,18)),IF(OR($B263&lt;&gt;Apoyo!$B$10,$B263&lt;&gt;Apoyo!$B$2,$B263&lt;&gt;Apoyo!$B$6),B263,0)))</f>
        <v>Ayacucho</v>
      </c>
      <c r="E263" t="s">
        <v>43</v>
      </c>
      <c r="F263">
        <f t="shared" ca="1" si="279"/>
        <v>16</v>
      </c>
      <c r="G263" t="s">
        <v>54</v>
      </c>
      <c r="H263" s="3">
        <f t="shared" ca="1" si="281"/>
        <v>1</v>
      </c>
      <c r="I263" s="3">
        <f t="shared" ca="1" si="281"/>
        <v>1</v>
      </c>
      <c r="J263">
        <f t="shared" ca="1" si="282"/>
        <v>0</v>
      </c>
      <c r="K263" s="2">
        <f t="shared" ca="1" si="283"/>
        <v>0.27595018420617345</v>
      </c>
      <c r="L263" s="2">
        <f t="shared" ref="L263" ca="1" si="289">+IFERROR(K263+0.05,"n.a.")</f>
        <v>0.32595018420617344</v>
      </c>
    </row>
    <row r="264" spans="1:12">
      <c r="A264" s="1">
        <f ca="1">+RANDBETWEEN(Apoyo!$P$2,Apoyo!$P$3)</f>
        <v>45947</v>
      </c>
      <c r="B264" s="1" t="str" cm="1">
        <f t="array" aca="1" ref="B264" ca="1">+INDEX(Apoyo!$B$2:$B$10,RANDBETWEEN(1,9))</f>
        <v>Lima Norte</v>
      </c>
      <c r="C264" t="s">
        <v>2</v>
      </c>
      <c r="D264" t="str" cm="1">
        <f t="array" aca="1" ref="D264" ca="1">+IF(OR($B264=Apoyo!$B$2,$B264=Apoyo!$B$6),"Lima",IF($B264=Apoyo!$B$10,INDEX(Apoyo!$D$2:$D$19,RANDBETWEEN(1,18)),IF(OR($B264&lt;&gt;Apoyo!$B$10,$B264&lt;&gt;Apoyo!$B$2,$B264&lt;&gt;Apoyo!$B$6),B264,0)))</f>
        <v>Lima</v>
      </c>
      <c r="E264" t="s">
        <v>44</v>
      </c>
      <c r="F264">
        <f t="shared" ca="1" si="279"/>
        <v>16</v>
      </c>
      <c r="G264" t="s">
        <v>54</v>
      </c>
      <c r="H264" s="3">
        <f t="shared" ca="1" si="281"/>
        <v>1</v>
      </c>
      <c r="I264" s="3">
        <f t="shared" ca="1" si="281"/>
        <v>0</v>
      </c>
      <c r="J264">
        <f t="shared" ca="1" si="282"/>
        <v>0</v>
      </c>
      <c r="K264" s="2">
        <f t="shared" ca="1" si="283"/>
        <v>0.36942565247567805</v>
      </c>
      <c r="L264" s="2">
        <f t="shared" ref="L264:L265" ca="1" si="290">+IFERROR(K264+0.03,"n.a.")</f>
        <v>0.39942565247567807</v>
      </c>
    </row>
    <row r="265" spans="1:12">
      <c r="A265" s="1">
        <f ca="1">+RANDBETWEEN(Apoyo!$P$2,Apoyo!$P$3)</f>
        <v>45959</v>
      </c>
      <c r="B265" s="1" t="str" cm="1">
        <f t="array" aca="1" ref="B265" ca="1">+INDEX(Apoyo!$B$2:$B$10,RANDBETWEEN(1,9))</f>
        <v>Ucayali</v>
      </c>
      <c r="C265" t="s">
        <v>1</v>
      </c>
      <c r="D265" t="str" cm="1">
        <f t="array" aca="1" ref="D265" ca="1">+IF(OR($B265=Apoyo!$B$2,$B265=Apoyo!$B$6),"Lima",IF($B265=Apoyo!$B$10,INDEX(Apoyo!$D$2:$D$19,RANDBETWEEN(1,18)),IF(OR($B265&lt;&gt;Apoyo!$B$10,$B265&lt;&gt;Apoyo!$B$2,$B265&lt;&gt;Apoyo!$B$6),B265,0)))</f>
        <v>Ucayali</v>
      </c>
      <c r="E265" t="str">
        <f t="shared" ref="E265:E266" si="291">+IF(C265="Mujer","Femenino",2)</f>
        <v>Femenino</v>
      </c>
      <c r="F265">
        <f t="shared" ca="1" si="279"/>
        <v>26</v>
      </c>
      <c r="G265" t="s">
        <v>54</v>
      </c>
      <c r="H265" s="3">
        <f t="shared" ca="1" si="281"/>
        <v>1</v>
      </c>
      <c r="I265" s="3">
        <f t="shared" ca="1" si="281"/>
        <v>0</v>
      </c>
      <c r="J265">
        <f t="shared" ca="1" si="282"/>
        <v>1</v>
      </c>
      <c r="K265" s="2">
        <f t="shared" ca="1" si="283"/>
        <v>0.70426938972801234</v>
      </c>
      <c r="L265" s="2">
        <f t="shared" ca="1" si="290"/>
        <v>0.73426938972801237</v>
      </c>
    </row>
    <row r="266" spans="1:12">
      <c r="A266" s="1">
        <f ca="1">+RANDBETWEEN(Apoyo!$P$2,Apoyo!$P$3)</f>
        <v>45949</v>
      </c>
      <c r="B266" s="1" t="str" cm="1">
        <f t="array" aca="1" ref="B266" ca="1">+INDEX(Apoyo!$B$2:$B$10,RANDBETWEEN(1,9))</f>
        <v>Loreto</v>
      </c>
      <c r="C266" t="s">
        <v>1</v>
      </c>
      <c r="D266" t="str" cm="1">
        <f t="array" aca="1" ref="D266" ca="1">+IF(OR($B266=Apoyo!$B$2,$B266=Apoyo!$B$6),"Lima",IF($B266=Apoyo!$B$10,INDEX(Apoyo!$D$2:$D$19,RANDBETWEEN(1,18)),IF(OR($B266&lt;&gt;Apoyo!$B$10,$B266&lt;&gt;Apoyo!$B$2,$B266&lt;&gt;Apoyo!$B$6),B266,0)))</f>
        <v>Loreto</v>
      </c>
      <c r="E266" t="str">
        <f t="shared" si="291"/>
        <v>Femenino</v>
      </c>
      <c r="F266">
        <f t="shared" ca="1" si="279"/>
        <v>29</v>
      </c>
      <c r="G266" t="s">
        <v>54</v>
      </c>
      <c r="H266" s="3">
        <f t="shared" ca="1" si="281"/>
        <v>0</v>
      </c>
      <c r="I266" s="3">
        <f t="shared" ca="1" si="281"/>
        <v>0</v>
      </c>
      <c r="J266">
        <f t="shared" ca="1" si="282"/>
        <v>0</v>
      </c>
      <c r="K266" s="2">
        <f t="shared" ca="1" si="283"/>
        <v>0.571723708987526</v>
      </c>
      <c r="L266" s="2">
        <f t="shared" ref="L266" ca="1" si="292">+IFERROR(K266+0.04,"n.a.")</f>
        <v>0.61172370898752604</v>
      </c>
    </row>
    <row r="267" spans="1:12">
      <c r="A267" s="1">
        <f ca="1">+RANDBETWEEN(Apoyo!$P$2,Apoyo!$P$3)</f>
        <v>45946</v>
      </c>
      <c r="B267" s="1" t="str" cm="1">
        <f t="array" aca="1" ref="B267" ca="1">+INDEX(Apoyo!$B$2:$B$10,RANDBETWEEN(1,9))</f>
        <v>Ayacucho</v>
      </c>
      <c r="C267" t="s">
        <v>2</v>
      </c>
      <c r="D267" t="str" cm="1">
        <f t="array" aca="1" ref="D267" ca="1">+IF(OR($B267=Apoyo!$B$2,$B267=Apoyo!$B$6),"Lima",IF($B267=Apoyo!$B$10,INDEX(Apoyo!$D$2:$D$19,RANDBETWEEN(1,18)),IF(OR($B267&lt;&gt;Apoyo!$B$10,$B267&lt;&gt;Apoyo!$B$2,$B267&lt;&gt;Apoyo!$B$6),B267,0)))</f>
        <v>Ayacucho</v>
      </c>
      <c r="E267" t="s">
        <v>44</v>
      </c>
      <c r="F267">
        <f t="shared" ca="1" si="279"/>
        <v>12</v>
      </c>
      <c r="G267" t="s">
        <v>54</v>
      </c>
      <c r="H267" s="3">
        <f t="shared" ca="1" si="281"/>
        <v>1</v>
      </c>
      <c r="I267" s="3">
        <f t="shared" ca="1" si="281"/>
        <v>1</v>
      </c>
      <c r="J267">
        <f t="shared" ca="1" si="282"/>
        <v>1</v>
      </c>
      <c r="K267" s="2">
        <f t="shared" ca="1" si="283"/>
        <v>2.2252245550815508E-2</v>
      </c>
      <c r="L267" s="2">
        <f t="shared" ref="L267" ca="1" si="293">+IFERROR(K267+0.05,"n.a.")</f>
        <v>7.2252245550815511E-2</v>
      </c>
    </row>
    <row r="268" spans="1:12">
      <c r="A268" s="1">
        <f ca="1">+RANDBETWEEN(Apoyo!$P$2,Apoyo!$P$3)</f>
        <v>45950</v>
      </c>
      <c r="B268" s="1" t="str" cm="1">
        <f t="array" aca="1" ref="B268" ca="1">+INDEX(Apoyo!$B$2:$B$10,RANDBETWEEN(1,9))</f>
        <v>Loreto</v>
      </c>
      <c r="C268" t="s">
        <v>2</v>
      </c>
      <c r="D268" t="str" cm="1">
        <f t="array" aca="1" ref="D268" ca="1">+IF(OR($B268=Apoyo!$B$2,$B268=Apoyo!$B$6),"Lima",IF($B268=Apoyo!$B$10,INDEX(Apoyo!$D$2:$D$19,RANDBETWEEN(1,18)),IF(OR($B268&lt;&gt;Apoyo!$B$10,$B268&lt;&gt;Apoyo!$B$2,$B268&lt;&gt;Apoyo!$B$6),B268,0)))</f>
        <v>Loreto</v>
      </c>
      <c r="E268" t="s">
        <v>43</v>
      </c>
      <c r="F268">
        <f t="shared" ca="1" si="279"/>
        <v>17</v>
      </c>
      <c r="G268" t="s">
        <v>54</v>
      </c>
      <c r="H268" s="3">
        <f t="shared" ca="1" si="281"/>
        <v>1</v>
      </c>
      <c r="I268" s="3">
        <f t="shared" ca="1" si="281"/>
        <v>0</v>
      </c>
      <c r="J268">
        <f t="shared" ca="1" si="282"/>
        <v>1</v>
      </c>
      <c r="K268" s="2">
        <f t="shared" ca="1" si="283"/>
        <v>0.28500995814795371</v>
      </c>
      <c r="L268" s="2">
        <f t="shared" ref="L268:L269" ca="1" si="294">+IFERROR(K268+0.03,"n.a.")</f>
        <v>0.31500995814795374</v>
      </c>
    </row>
    <row r="269" spans="1:12">
      <c r="A269" s="1">
        <f ca="1">+RANDBETWEEN(Apoyo!$P$2,Apoyo!$P$3)</f>
        <v>45953</v>
      </c>
      <c r="B269" s="1" t="str" cm="1">
        <f t="array" aca="1" ref="B269" ca="1">+INDEX(Apoyo!$B$2:$B$10,RANDBETWEEN(1,9))</f>
        <v>Ucayali</v>
      </c>
      <c r="C269" t="s">
        <v>1</v>
      </c>
      <c r="D269" t="str" cm="1">
        <f t="array" aca="1" ref="D269" ca="1">+IF(OR($B269=Apoyo!$B$2,$B269=Apoyo!$B$6),"Lima",IF($B269=Apoyo!$B$10,INDEX(Apoyo!$D$2:$D$19,RANDBETWEEN(1,18)),IF(OR($B269&lt;&gt;Apoyo!$B$10,$B269&lt;&gt;Apoyo!$B$2,$B269&lt;&gt;Apoyo!$B$6),B269,0)))</f>
        <v>Ucayali</v>
      </c>
      <c r="E269" t="str">
        <f t="shared" ref="E269" si="295">+IF(C269="Mujer","Femenino",2)</f>
        <v>Femenino</v>
      </c>
      <c r="F269">
        <f t="shared" ca="1" si="279"/>
        <v>26</v>
      </c>
      <c r="G269" t="str">
        <f ca="1">+CHOOSE(RANDBETWEEN(1,5),Apoyo!$E$3,Apoyo!$E$4,Apoyo!$E$5,Apoyo!$E$6,Apoyo!$E$7)</f>
        <v>Otro</v>
      </c>
      <c r="H269" s="3">
        <f t="shared" ca="1" si="281"/>
        <v>0</v>
      </c>
      <c r="I269" s="3">
        <f t="shared" ca="1" si="281"/>
        <v>0</v>
      </c>
      <c r="J269">
        <f t="shared" ca="1" si="282"/>
        <v>0</v>
      </c>
      <c r="K269" s="2" t="str">
        <f t="shared" ca="1" si="283"/>
        <v>n.a.</v>
      </c>
      <c r="L269" s="2" t="str">
        <f t="shared" ca="1" si="294"/>
        <v>n.a.</v>
      </c>
    </row>
    <row r="270" spans="1:12">
      <c r="A270" s="1">
        <f ca="1">+RANDBETWEEN(Apoyo!$P$2,Apoyo!$P$3)</f>
        <v>45951</v>
      </c>
      <c r="B270" s="1" t="str" cm="1">
        <f t="array" aca="1" ref="B270" ca="1">+INDEX(Apoyo!$B$2:$B$10,RANDBETWEEN(1,9))</f>
        <v>Apurímac</v>
      </c>
      <c r="C270" t="s">
        <v>2</v>
      </c>
      <c r="D270" t="str" cm="1">
        <f t="array" aca="1" ref="D270" ca="1">+IF(OR($B270=Apoyo!$B$2,$B270=Apoyo!$B$6),"Lima",IF($B270=Apoyo!$B$10,INDEX(Apoyo!$D$2:$D$19,RANDBETWEEN(1,18)),IF(OR($B270&lt;&gt;Apoyo!$B$10,$B270&lt;&gt;Apoyo!$B$2,$B270&lt;&gt;Apoyo!$B$6),B270,0)))</f>
        <v>Apurímac</v>
      </c>
      <c r="E270" t="s">
        <v>44</v>
      </c>
      <c r="F270">
        <f t="shared" ca="1" si="279"/>
        <v>17</v>
      </c>
      <c r="G270" t="str">
        <f ca="1">+CHOOSE(RANDBETWEEN(1,5),Apoyo!$E$3,Apoyo!$E$4,Apoyo!$E$5,Apoyo!$E$6,Apoyo!$E$7)</f>
        <v>Aplazada</v>
      </c>
      <c r="H270" s="3">
        <f t="shared" ca="1" si="281"/>
        <v>0</v>
      </c>
      <c r="I270" s="3">
        <f t="shared" ca="1" si="281"/>
        <v>0</v>
      </c>
      <c r="J270">
        <f t="shared" ca="1" si="282"/>
        <v>0</v>
      </c>
      <c r="K270" s="2" t="str">
        <f t="shared" ca="1" si="283"/>
        <v>n.a.</v>
      </c>
      <c r="L270" s="2" t="str">
        <f t="shared" ca="1" si="240"/>
        <v>n.a.</v>
      </c>
    </row>
    <row r="271" spans="1:12">
      <c r="A271" s="1">
        <f ca="1">+RANDBETWEEN(Apoyo!$P$2,Apoyo!$P$3)</f>
        <v>45947</v>
      </c>
      <c r="B271" s="1" t="str" cm="1">
        <f t="array" aca="1" ref="B271" ca="1">+INDEX(Apoyo!$B$2:$B$10,RANDBETWEEN(1,9))</f>
        <v>Puente Piedra-Ventanilla</v>
      </c>
      <c r="C271" t="s">
        <v>1</v>
      </c>
      <c r="D271" t="str" cm="1">
        <f t="array" aca="1" ref="D271" ca="1">+IF(OR($B271=Apoyo!$B$2,$B271=Apoyo!$B$6),"Lima",IF($B271=Apoyo!$B$10,INDEX(Apoyo!$D$2:$D$19,RANDBETWEEN(1,18)),IF(OR($B271&lt;&gt;Apoyo!$B$10,$B271&lt;&gt;Apoyo!$B$2,$B271&lt;&gt;Apoyo!$B$6),B271,0)))</f>
        <v>Lima</v>
      </c>
      <c r="E271" t="str">
        <f t="shared" ref="E271" si="296">+IF(C271="Mujer","Femenino",2)</f>
        <v>Femenino</v>
      </c>
      <c r="F271">
        <f t="shared" ca="1" si="279"/>
        <v>63</v>
      </c>
      <c r="G271" t="s">
        <v>54</v>
      </c>
      <c r="H271" s="3">
        <f t="shared" ca="1" si="281"/>
        <v>0</v>
      </c>
      <c r="I271" s="3">
        <f t="shared" ca="1" si="281"/>
        <v>0</v>
      </c>
      <c r="J271">
        <f t="shared" ca="1" si="282"/>
        <v>0</v>
      </c>
      <c r="K271" s="2">
        <f t="shared" ca="1" si="283"/>
        <v>0.38603614124462715</v>
      </c>
      <c r="L271" s="2">
        <f t="shared" ref="L271" ca="1" si="297">+IFERROR(K271+0.06,"n.a.")</f>
        <v>0.44603614124462715</v>
      </c>
    </row>
    <row r="272" spans="1:12">
      <c r="A272" s="1">
        <f ca="1">+RANDBETWEEN(Apoyo!$P$2,Apoyo!$P$3)</f>
        <v>45956</v>
      </c>
      <c r="B272" s="1" t="str" cm="1">
        <f t="array" aca="1" ref="B272" ca="1">+INDEX(Apoyo!$B$2:$B$10,RANDBETWEEN(1,9))</f>
        <v>Loreto</v>
      </c>
      <c r="C272" t="s">
        <v>1</v>
      </c>
      <c r="D272" t="str" cm="1">
        <f t="array" aca="1" ref="D272" ca="1">+IF(OR($B272=Apoyo!$B$2,$B272=Apoyo!$B$6),"Lima",IF($B272=Apoyo!$B$10,INDEX(Apoyo!$D$2:$D$19,RANDBETWEEN(1,18)),IF(OR($B272&lt;&gt;Apoyo!$B$10,$B272&lt;&gt;Apoyo!$B$2,$B272&lt;&gt;Apoyo!$B$6),B272,0)))</f>
        <v>Loreto</v>
      </c>
      <c r="E272" t="str">
        <f>+IF(C272="Mujer","Femenino",2)</f>
        <v>Femenino</v>
      </c>
      <c r="F272">
        <f t="shared" ca="1" si="279"/>
        <v>37</v>
      </c>
      <c r="G272" t="str">
        <f ca="1">+CHOOSE(RANDBETWEEN(1,5),Apoyo!$E$3,Apoyo!$E$4,Apoyo!$E$5,Apoyo!$E$6,Apoyo!$E$7)</f>
        <v>Incompleta</v>
      </c>
      <c r="H272" s="3">
        <f t="shared" ca="1" si="281"/>
        <v>0</v>
      </c>
      <c r="I272" s="3">
        <f t="shared" ca="1" si="281"/>
        <v>0</v>
      </c>
      <c r="J272">
        <f t="shared" ca="1" si="282"/>
        <v>0</v>
      </c>
      <c r="K272" s="2" t="str">
        <f t="shared" ca="1" si="283"/>
        <v>n.a.</v>
      </c>
      <c r="L272" s="2" t="str">
        <f t="shared" ref="L272" ca="1" si="298">+IFERROR(K272+0.03,"n.a.")</f>
        <v>n.a.</v>
      </c>
    </row>
    <row r="273" spans="1:12">
      <c r="A273" s="1">
        <f ca="1">+RANDBETWEEN(Apoyo!$P$2,Apoyo!$P$3)</f>
        <v>45956</v>
      </c>
      <c r="B273" s="1" t="str" cm="1">
        <f t="array" aca="1" ref="B273" ca="1">+INDEX(Apoyo!$B$2:$B$10,RANDBETWEEN(1,9))</f>
        <v>Resto del Perú</v>
      </c>
      <c r="C273" t="s">
        <v>2</v>
      </c>
      <c r="D273" t="str" cm="1">
        <f t="array" aca="1" ref="D273" ca="1">+IF(OR($B273=Apoyo!$B$2,$B273=Apoyo!$B$6),"Lima",IF($B273=Apoyo!$B$10,INDEX(Apoyo!$D$2:$D$19,RANDBETWEEN(1,18)),IF(OR($B273&lt;&gt;Apoyo!$B$10,$B273&lt;&gt;Apoyo!$B$2,$B273&lt;&gt;Apoyo!$B$6),B273,0)))</f>
        <v>Arequipa</v>
      </c>
      <c r="E273" t="s">
        <v>43</v>
      </c>
      <c r="F273">
        <f t="shared" ca="1" si="279"/>
        <v>15</v>
      </c>
      <c r="G273" t="s">
        <v>54</v>
      </c>
      <c r="H273" s="3">
        <f t="shared" ca="1" si="281"/>
        <v>0</v>
      </c>
      <c r="I273" s="3">
        <f t="shared" ca="1" si="281"/>
        <v>0</v>
      </c>
      <c r="J273">
        <f t="shared" ca="1" si="282"/>
        <v>0</v>
      </c>
      <c r="K273" s="2">
        <f t="shared" ca="1" si="283"/>
        <v>0.82355079527558817</v>
      </c>
      <c r="L273" s="2">
        <f t="shared" ref="L273" ca="1" si="299">+IFERROR(K273+0.05,"n.a.")</f>
        <v>0.87355079527558821</v>
      </c>
    </row>
    <row r="274" spans="1:12">
      <c r="A274" s="1">
        <f ca="1">+RANDBETWEEN(Apoyo!$P$2,Apoyo!$P$3)</f>
        <v>45956</v>
      </c>
      <c r="B274" s="1" t="str" cm="1">
        <f t="array" aca="1" ref="B274" ca="1">+INDEX(Apoyo!$B$2:$B$10,RANDBETWEEN(1,9))</f>
        <v>Cajamarca</v>
      </c>
      <c r="C274" t="s">
        <v>2</v>
      </c>
      <c r="D274" t="str" cm="1">
        <f t="array" aca="1" ref="D274" ca="1">+IF(OR($B274=Apoyo!$B$2,$B274=Apoyo!$B$6),"Lima",IF($B274=Apoyo!$B$10,INDEX(Apoyo!$D$2:$D$19,RANDBETWEEN(1,18)),IF(OR($B274&lt;&gt;Apoyo!$B$10,$B274&lt;&gt;Apoyo!$B$2,$B274&lt;&gt;Apoyo!$B$6),B274,0)))</f>
        <v>Cajamarca</v>
      </c>
      <c r="E274" t="s">
        <v>44</v>
      </c>
      <c r="F274">
        <f t="shared" ca="1" si="279"/>
        <v>14</v>
      </c>
      <c r="G274" t="str">
        <f ca="1">+CHOOSE(RANDBETWEEN(1,5),Apoyo!$E$3,Apoyo!$E$4,Apoyo!$E$5,Apoyo!$E$6,Apoyo!$E$7)</f>
        <v>Aplazada</v>
      </c>
      <c r="H274" s="3">
        <f t="shared" ca="1" si="281"/>
        <v>0</v>
      </c>
      <c r="I274" s="3">
        <f t="shared" ca="1" si="281"/>
        <v>0</v>
      </c>
      <c r="J274">
        <f t="shared" ca="1" si="282"/>
        <v>0</v>
      </c>
      <c r="K274" s="2" t="str">
        <f t="shared" ca="1" si="283"/>
        <v>n.a.</v>
      </c>
      <c r="L274" s="2" t="str">
        <f t="shared" ref="L274" ca="1" si="300">+IFERROR(K274+0.04,"n.a.")</f>
        <v>n.a.</v>
      </c>
    </row>
    <row r="275" spans="1:12">
      <c r="A275" s="1">
        <f ca="1">+RANDBETWEEN(Apoyo!$P$2,Apoyo!$P$3)</f>
        <v>45949</v>
      </c>
      <c r="B275" s="1" t="str" cm="1">
        <f t="array" aca="1" ref="B275" ca="1">+INDEX(Apoyo!$B$2:$B$10,RANDBETWEEN(1,9))</f>
        <v>Lima Norte</v>
      </c>
      <c r="C275" t="s">
        <v>1</v>
      </c>
      <c r="D275" t="str" cm="1">
        <f t="array" aca="1" ref="D275" ca="1">+IF(OR($B275=Apoyo!$B$2,$B275=Apoyo!$B$6),"Lima",IF($B275=Apoyo!$B$10,INDEX(Apoyo!$D$2:$D$19,RANDBETWEEN(1,18)),IF(OR($B275&lt;&gt;Apoyo!$B$10,$B275&lt;&gt;Apoyo!$B$2,$B275&lt;&gt;Apoyo!$B$6),B275,0)))</f>
        <v>Lima</v>
      </c>
      <c r="E275" t="str">
        <f t="shared" ref="E275:E276" si="301">+IF(C275="Mujer","Femenino",2)</f>
        <v>Femenino</v>
      </c>
      <c r="F275">
        <f t="shared" ca="1" si="279"/>
        <v>31</v>
      </c>
      <c r="G275" t="str">
        <f ca="1">+CHOOSE(RANDBETWEEN(1,5),Apoyo!$E$3,Apoyo!$E$4,Apoyo!$E$5,Apoyo!$E$6,Apoyo!$E$7)</f>
        <v>Otro</v>
      </c>
      <c r="H275" s="3">
        <f t="shared" ca="1" si="281"/>
        <v>0</v>
      </c>
      <c r="I275" s="3">
        <f t="shared" ca="1" si="281"/>
        <v>0</v>
      </c>
      <c r="J275">
        <f t="shared" ca="1" si="282"/>
        <v>0</v>
      </c>
      <c r="K275" s="2" t="str">
        <f t="shared" ca="1" si="283"/>
        <v>n.a.</v>
      </c>
      <c r="L275" s="2" t="str">
        <f t="shared" ref="L275" ca="1" si="302">+IFERROR(K275+0.05,"n.a.")</f>
        <v>n.a.</v>
      </c>
    </row>
    <row r="276" spans="1:12">
      <c r="A276" s="1">
        <f ca="1">+RANDBETWEEN(Apoyo!$P$2,Apoyo!$P$3)</f>
        <v>45958</v>
      </c>
      <c r="B276" s="1" t="str" cm="1">
        <f t="array" aca="1" ref="B276" ca="1">+INDEX(Apoyo!$B$2:$B$10,RANDBETWEEN(1,9))</f>
        <v>Puente Piedra-Ventanilla</v>
      </c>
      <c r="C276" t="s">
        <v>1</v>
      </c>
      <c r="D276" t="str" cm="1">
        <f t="array" aca="1" ref="D276" ca="1">+IF(OR($B276=Apoyo!$B$2,$B276=Apoyo!$B$6),"Lima",IF($B276=Apoyo!$B$10,INDEX(Apoyo!$D$2:$D$19,RANDBETWEEN(1,18)),IF(OR($B276&lt;&gt;Apoyo!$B$10,$B276&lt;&gt;Apoyo!$B$2,$B276&lt;&gt;Apoyo!$B$6),B276,0)))</f>
        <v>Lima</v>
      </c>
      <c r="E276" t="str">
        <f t="shared" si="301"/>
        <v>Femenino</v>
      </c>
      <c r="F276">
        <f t="shared" ca="1" si="279"/>
        <v>48</v>
      </c>
      <c r="G276" t="str">
        <f ca="1">+CHOOSE(RANDBETWEEN(1,5),Apoyo!$E$3,Apoyo!$E$4,Apoyo!$E$5,Apoyo!$E$6,Apoyo!$E$7)</f>
        <v>Incompleta</v>
      </c>
      <c r="H276" s="3">
        <f t="shared" ca="1" si="281"/>
        <v>0</v>
      </c>
      <c r="I276" s="3">
        <f t="shared" ca="1" si="281"/>
        <v>0</v>
      </c>
      <c r="J276">
        <f t="shared" ca="1" si="282"/>
        <v>0</v>
      </c>
      <c r="K276" s="2" t="str">
        <f t="shared" ca="1" si="283"/>
        <v>n.a.</v>
      </c>
      <c r="L276" s="2" t="str">
        <f t="shared" ref="L276:L277" ca="1" si="303">+IFERROR(K276+0.03,"n.a.")</f>
        <v>n.a.</v>
      </c>
    </row>
    <row r="277" spans="1:12">
      <c r="A277" s="1">
        <f ca="1">+RANDBETWEEN(Apoyo!$P$2,Apoyo!$P$3)</f>
        <v>45953</v>
      </c>
      <c r="B277" s="1" t="str" cm="1">
        <f t="array" aca="1" ref="B277" ca="1">+INDEX(Apoyo!$B$2:$B$10,RANDBETWEEN(1,9))</f>
        <v>Ayacucho</v>
      </c>
      <c r="C277" t="s">
        <v>2</v>
      </c>
      <c r="D277" t="str" cm="1">
        <f t="array" aca="1" ref="D277" ca="1">+IF(OR($B277=Apoyo!$B$2,$B277=Apoyo!$B$6),"Lima",IF($B277=Apoyo!$B$10,INDEX(Apoyo!$D$2:$D$19,RANDBETWEEN(1,18)),IF(OR($B277&lt;&gt;Apoyo!$B$10,$B277&lt;&gt;Apoyo!$B$2,$B277&lt;&gt;Apoyo!$B$6),B277,0)))</f>
        <v>Ayacucho</v>
      </c>
      <c r="E277" t="s">
        <v>44</v>
      </c>
      <c r="F277">
        <f t="shared" ca="1" si="279"/>
        <v>12</v>
      </c>
      <c r="G277" t="str">
        <f ca="1">+CHOOSE(RANDBETWEEN(1,5),Apoyo!$E$3,Apoyo!$E$4,Apoyo!$E$5,Apoyo!$E$6,Apoyo!$E$7)</f>
        <v>Incompleta</v>
      </c>
      <c r="H277" s="3">
        <f t="shared" ca="1" si="281"/>
        <v>0</v>
      </c>
      <c r="I277" s="3">
        <f t="shared" ca="1" si="281"/>
        <v>0</v>
      </c>
      <c r="J277">
        <f t="shared" ca="1" si="282"/>
        <v>0</v>
      </c>
      <c r="K277" s="2" t="str">
        <f t="shared" ca="1" si="283"/>
        <v>n.a.</v>
      </c>
      <c r="L277" s="2" t="str">
        <f t="shared" ca="1" si="303"/>
        <v>n.a.</v>
      </c>
    </row>
    <row r="278" spans="1:12">
      <c r="A278" s="1">
        <f ca="1">+RANDBETWEEN(Apoyo!$P$2,Apoyo!$P$3)</f>
        <v>45960</v>
      </c>
      <c r="B278" s="1" t="str" cm="1">
        <f t="array" aca="1" ref="B278" ca="1">+INDEX(Apoyo!$B$2:$B$10,RANDBETWEEN(1,9))</f>
        <v>Cajamarca</v>
      </c>
      <c r="C278" t="s">
        <v>2</v>
      </c>
      <c r="D278" t="str" cm="1">
        <f t="array" aca="1" ref="D278" ca="1">+IF(OR($B278=Apoyo!$B$2,$B278=Apoyo!$B$6),"Lima",IF($B278=Apoyo!$B$10,INDEX(Apoyo!$D$2:$D$19,RANDBETWEEN(1,18)),IF(OR($B278&lt;&gt;Apoyo!$B$10,$B278&lt;&gt;Apoyo!$B$2,$B278&lt;&gt;Apoyo!$B$6),B278,0)))</f>
        <v>Cajamarca</v>
      </c>
      <c r="E278" t="s">
        <v>43</v>
      </c>
      <c r="F278">
        <f t="shared" ca="1" si="279"/>
        <v>13</v>
      </c>
      <c r="G278" t="s">
        <v>54</v>
      </c>
      <c r="H278" s="3">
        <f t="shared" ca="1" si="281"/>
        <v>0</v>
      </c>
      <c r="I278" s="3">
        <f t="shared" ca="1" si="281"/>
        <v>1</v>
      </c>
      <c r="J278">
        <f t="shared" ca="1" si="282"/>
        <v>0</v>
      </c>
      <c r="K278" s="2">
        <f t="shared" ca="1" si="283"/>
        <v>0.92119985311591523</v>
      </c>
      <c r="L278" s="2">
        <f t="shared" ref="L278" ca="1" si="304">+IFERROR(K278+0.04,"n.a.")</f>
        <v>0.96119985311591527</v>
      </c>
    </row>
    <row r="279" spans="1:12">
      <c r="A279" s="1">
        <f ca="1">+RANDBETWEEN(Apoyo!$P$2,Apoyo!$P$3)</f>
        <v>45948</v>
      </c>
      <c r="B279" s="1" t="str" cm="1">
        <f t="array" aca="1" ref="B279" ca="1">+INDEX(Apoyo!$B$2:$B$10,RANDBETWEEN(1,9))</f>
        <v>Cajamarca</v>
      </c>
      <c r="C279" t="s">
        <v>1</v>
      </c>
      <c r="D279" t="str" cm="1">
        <f t="array" aca="1" ref="D279" ca="1">+IF(OR($B279=Apoyo!$B$2,$B279=Apoyo!$B$6),"Lima",IF($B279=Apoyo!$B$10,INDEX(Apoyo!$D$2:$D$19,RANDBETWEEN(1,18)),IF(OR($B279&lt;&gt;Apoyo!$B$10,$B279&lt;&gt;Apoyo!$B$2,$B279&lt;&gt;Apoyo!$B$6),B279,0)))</f>
        <v>Cajamarca</v>
      </c>
      <c r="E279" t="str">
        <f t="shared" ref="E279" si="305">+IF(C279="Mujer","Femenino",2)</f>
        <v>Femenino</v>
      </c>
      <c r="F279">
        <f t="shared" ca="1" si="279"/>
        <v>25</v>
      </c>
      <c r="G279" t="str">
        <f ca="1">+CHOOSE(RANDBETWEEN(1,5),Apoyo!$E$3,Apoyo!$E$4,Apoyo!$E$5,Apoyo!$E$6,Apoyo!$E$7)</f>
        <v>Aplazada</v>
      </c>
      <c r="H279" s="3">
        <f t="shared" ca="1" si="281"/>
        <v>0</v>
      </c>
      <c r="I279" s="3">
        <f t="shared" ca="1" si="281"/>
        <v>0</v>
      </c>
      <c r="J279">
        <f t="shared" ca="1" si="282"/>
        <v>0</v>
      </c>
      <c r="K279" s="2" t="str">
        <f t="shared" ca="1" si="283"/>
        <v>n.a.</v>
      </c>
      <c r="L279" s="2" t="str">
        <f t="shared" ref="L279" ca="1" si="306">+IFERROR(K279+0.05,"n.a.")</f>
        <v>n.a.</v>
      </c>
    </row>
    <row r="280" spans="1:12">
      <c r="A280" s="1">
        <f ca="1">+RANDBETWEEN(Apoyo!$P$2,Apoyo!$P$3)</f>
        <v>45948</v>
      </c>
      <c r="B280" s="1" t="str" cm="1">
        <f t="array" aca="1" ref="B280" ca="1">+INDEX(Apoyo!$B$2:$B$10,RANDBETWEEN(1,9))</f>
        <v>Resto del Perú</v>
      </c>
      <c r="C280" t="s">
        <v>2</v>
      </c>
      <c r="D280" t="str" cm="1">
        <f t="array" aca="1" ref="D280" ca="1">+IF(OR($B280=Apoyo!$B$2,$B280=Apoyo!$B$6),"Lima",IF($B280=Apoyo!$B$10,INDEX(Apoyo!$D$2:$D$19,RANDBETWEEN(1,18)),IF(OR($B280&lt;&gt;Apoyo!$B$10,$B280&lt;&gt;Apoyo!$B$2,$B280&lt;&gt;Apoyo!$B$6),B280,0)))</f>
        <v>Tumbes</v>
      </c>
      <c r="E280" t="s">
        <v>44</v>
      </c>
      <c r="F280">
        <f t="shared" ca="1" si="279"/>
        <v>13</v>
      </c>
      <c r="G280" t="str">
        <f ca="1">+CHOOSE(RANDBETWEEN(1,5),Apoyo!$E$3,Apoyo!$E$4,Apoyo!$E$5,Apoyo!$E$6,Apoyo!$E$7)</f>
        <v>Incompleta</v>
      </c>
      <c r="H280" s="3">
        <f t="shared" ca="1" si="281"/>
        <v>0</v>
      </c>
      <c r="I280" s="3">
        <f t="shared" ca="1" si="281"/>
        <v>0</v>
      </c>
      <c r="J280">
        <f t="shared" ca="1" si="282"/>
        <v>0</v>
      </c>
      <c r="K280" s="2" t="str">
        <f t="shared" ca="1" si="283"/>
        <v>n.a.</v>
      </c>
      <c r="L280" s="2" t="str">
        <f t="shared" ref="L280:L281" ca="1" si="307">+IFERROR(K280+0.03,"n.a.")</f>
        <v>n.a.</v>
      </c>
    </row>
    <row r="281" spans="1:12">
      <c r="A281" s="1">
        <f ca="1">+RANDBETWEEN(Apoyo!$P$2,Apoyo!$P$3)</f>
        <v>45953</v>
      </c>
      <c r="B281" s="1" t="str" cm="1">
        <f t="array" aca="1" ref="B281" ca="1">+INDEX(Apoyo!$B$2:$B$10,RANDBETWEEN(1,9))</f>
        <v>Puente Piedra-Ventanilla</v>
      </c>
      <c r="C281" t="s">
        <v>1</v>
      </c>
      <c r="D281" t="str" cm="1">
        <f t="array" aca="1" ref="D281" ca="1">+IF(OR($B281=Apoyo!$B$2,$B281=Apoyo!$B$6),"Lima",IF($B281=Apoyo!$B$10,INDEX(Apoyo!$D$2:$D$19,RANDBETWEEN(1,18)),IF(OR($B281&lt;&gt;Apoyo!$B$10,$B281&lt;&gt;Apoyo!$B$2,$B281&lt;&gt;Apoyo!$B$6),B281,0)))</f>
        <v>Lima</v>
      </c>
      <c r="E281" t="str">
        <f t="shared" ref="E281" si="308">+IF(C281="Mujer","Femenino",2)</f>
        <v>Femenino</v>
      </c>
      <c r="F281">
        <f t="shared" ca="1" si="279"/>
        <v>38</v>
      </c>
      <c r="G281" t="s">
        <v>54</v>
      </c>
      <c r="H281" s="3">
        <f t="shared" ca="1" si="281"/>
        <v>1</v>
      </c>
      <c r="I281" s="3">
        <f t="shared" ca="1" si="281"/>
        <v>1</v>
      </c>
      <c r="J281">
        <f t="shared" ca="1" si="282"/>
        <v>0</v>
      </c>
      <c r="K281" s="2">
        <f t="shared" ca="1" si="283"/>
        <v>0.56345484594556638</v>
      </c>
      <c r="L281" s="2">
        <f t="shared" ca="1" si="307"/>
        <v>0.59345484594556641</v>
      </c>
    </row>
    <row r="282" spans="1:12">
      <c r="A282" s="1">
        <f ca="1">+RANDBETWEEN(Apoyo!$P$2,Apoyo!$P$3)</f>
        <v>45948</v>
      </c>
      <c r="B282" s="1" t="str" cm="1">
        <f t="array" aca="1" ref="B282" ca="1">+INDEX(Apoyo!$B$2:$B$10,RANDBETWEEN(1,9))</f>
        <v>Ucayali</v>
      </c>
      <c r="C282" t="s">
        <v>1</v>
      </c>
      <c r="D282" t="str" cm="1">
        <f t="array" aca="1" ref="D282" ca="1">+IF(OR($B282=Apoyo!$B$2,$B282=Apoyo!$B$6),"Lima",IF($B282=Apoyo!$B$10,INDEX(Apoyo!$D$2:$D$19,RANDBETWEEN(1,18)),IF(OR($B282&lt;&gt;Apoyo!$B$10,$B282&lt;&gt;Apoyo!$B$2,$B282&lt;&gt;Apoyo!$B$6),B282,0)))</f>
        <v>Ucayali</v>
      </c>
      <c r="E282" t="str">
        <f>+IF(C282="Mujer","Femenino",2)</f>
        <v>Femenino</v>
      </c>
      <c r="F282">
        <f t="shared" ca="1" si="279"/>
        <v>38</v>
      </c>
      <c r="G282" t="s">
        <v>54</v>
      </c>
      <c r="H282" s="3">
        <f t="shared" ca="1" si="281"/>
        <v>1</v>
      </c>
      <c r="I282" s="3">
        <f t="shared" ca="1" si="281"/>
        <v>0</v>
      </c>
      <c r="J282">
        <f t="shared" ca="1" si="282"/>
        <v>1</v>
      </c>
      <c r="K282" s="2">
        <f t="shared" ca="1" si="283"/>
        <v>0.79274083461934697</v>
      </c>
      <c r="L282" s="2">
        <f t="shared" ca="1" si="240"/>
        <v>0.832740834619347</v>
      </c>
    </row>
    <row r="283" spans="1:12">
      <c r="A283" s="1">
        <f ca="1">+RANDBETWEEN(Apoyo!$P$2,Apoyo!$P$3)</f>
        <v>45959</v>
      </c>
      <c r="B283" s="1" t="str" cm="1">
        <f t="array" aca="1" ref="B283" ca="1">+INDEX(Apoyo!$B$2:$B$10,RANDBETWEEN(1,9))</f>
        <v>Apurímac</v>
      </c>
      <c r="C283" t="s">
        <v>2</v>
      </c>
      <c r="D283" t="str" cm="1">
        <f t="array" aca="1" ref="D283" ca="1">+IF(OR($B283=Apoyo!$B$2,$B283=Apoyo!$B$6),"Lima",IF($B283=Apoyo!$B$10,INDEX(Apoyo!$D$2:$D$19,RANDBETWEEN(1,18)),IF(OR($B283&lt;&gt;Apoyo!$B$10,$B283&lt;&gt;Apoyo!$B$2,$B283&lt;&gt;Apoyo!$B$6),B283,0)))</f>
        <v>Apurímac</v>
      </c>
      <c r="E283" t="s">
        <v>43</v>
      </c>
      <c r="F283">
        <f t="shared" ca="1" si="279"/>
        <v>14</v>
      </c>
      <c r="G283" t="s">
        <v>54</v>
      </c>
      <c r="H283" s="3">
        <f t="shared" ca="1" si="281"/>
        <v>1</v>
      </c>
      <c r="I283" s="3">
        <f t="shared" ca="1" si="281"/>
        <v>1</v>
      </c>
      <c r="J283">
        <f t="shared" ca="1" si="282"/>
        <v>0</v>
      </c>
      <c r="K283" s="2">
        <f t="shared" ca="1" si="283"/>
        <v>0.33202025477652619</v>
      </c>
      <c r="L283" s="2">
        <f t="shared" ref="L283" ca="1" si="309">+IFERROR(K283+0.06,"n.a.")</f>
        <v>0.39202025477652619</v>
      </c>
    </row>
    <row r="284" spans="1:12">
      <c r="A284" s="1">
        <f ca="1">+RANDBETWEEN(Apoyo!$P$2,Apoyo!$P$3)</f>
        <v>45945</v>
      </c>
      <c r="B284" s="1" t="str" cm="1">
        <f t="array" aca="1" ref="B284" ca="1">+INDEX(Apoyo!$B$2:$B$10,RANDBETWEEN(1,9))</f>
        <v>Ucayali</v>
      </c>
      <c r="C284" t="s">
        <v>2</v>
      </c>
      <c r="D284" t="str" cm="1">
        <f t="array" aca="1" ref="D284" ca="1">+IF(OR($B284=Apoyo!$B$2,$B284=Apoyo!$B$6),"Lima",IF($B284=Apoyo!$B$10,INDEX(Apoyo!$D$2:$D$19,RANDBETWEEN(1,18)),IF(OR($B284&lt;&gt;Apoyo!$B$10,$B284&lt;&gt;Apoyo!$B$2,$B284&lt;&gt;Apoyo!$B$6),B284,0)))</f>
        <v>Ucayali</v>
      </c>
      <c r="E284" t="s">
        <v>44</v>
      </c>
      <c r="F284">
        <f t="shared" ca="1" si="279"/>
        <v>16</v>
      </c>
      <c r="G284" t="s">
        <v>54</v>
      </c>
      <c r="H284" s="3">
        <f t="shared" ca="1" si="281"/>
        <v>0</v>
      </c>
      <c r="I284" s="3">
        <f t="shared" ca="1" si="281"/>
        <v>0</v>
      </c>
      <c r="J284">
        <f t="shared" ca="1" si="282"/>
        <v>0</v>
      </c>
      <c r="K284" s="2">
        <f t="shared" ca="1" si="283"/>
        <v>0.77295524805844684</v>
      </c>
      <c r="L284" s="2">
        <f t="shared" ref="L284" ca="1" si="310">+IFERROR(K284+0.03,"n.a.")</f>
        <v>0.80295524805844687</v>
      </c>
    </row>
    <row r="285" spans="1:12">
      <c r="A285" s="1">
        <f ca="1">+RANDBETWEEN(Apoyo!$P$2,Apoyo!$P$3)</f>
        <v>45954</v>
      </c>
      <c r="B285" s="1" t="str" cm="1">
        <f t="array" aca="1" ref="B285" ca="1">+INDEX(Apoyo!$B$2:$B$10,RANDBETWEEN(1,9))</f>
        <v>Puente Piedra-Ventanilla</v>
      </c>
      <c r="C285" t="s">
        <v>1</v>
      </c>
      <c r="D285" t="str" cm="1">
        <f t="array" aca="1" ref="D285" ca="1">+IF(OR($B285=Apoyo!$B$2,$B285=Apoyo!$B$6),"Lima",IF($B285=Apoyo!$B$10,INDEX(Apoyo!$D$2:$D$19,RANDBETWEEN(1,18)),IF(OR($B285&lt;&gt;Apoyo!$B$10,$B285&lt;&gt;Apoyo!$B$2,$B285&lt;&gt;Apoyo!$B$6),B285,0)))</f>
        <v>Lima</v>
      </c>
      <c r="E285" t="str">
        <f t="shared" ref="E285:E286" si="311">+IF(C285="Mujer","Femenino",2)</f>
        <v>Femenino</v>
      </c>
      <c r="F285">
        <f t="shared" ca="1" si="279"/>
        <v>28</v>
      </c>
      <c r="G285" t="s">
        <v>54</v>
      </c>
      <c r="H285" s="3">
        <f t="shared" ca="1" si="281"/>
        <v>0</v>
      </c>
      <c r="I285" s="3">
        <f t="shared" ca="1" si="281"/>
        <v>1</v>
      </c>
      <c r="J285">
        <f t="shared" ca="1" si="282"/>
        <v>0</v>
      </c>
      <c r="K285" s="2">
        <f t="shared" ca="1" si="283"/>
        <v>3.8476899963922229E-2</v>
      </c>
      <c r="L285" s="2">
        <f t="shared" ref="L285" ca="1" si="312">+IFERROR(K285+0.05,"n.a.")</f>
        <v>8.8476899963922231E-2</v>
      </c>
    </row>
    <row r="286" spans="1:12">
      <c r="A286" s="1">
        <f ca="1">+RANDBETWEEN(Apoyo!$P$2,Apoyo!$P$3)</f>
        <v>45949</v>
      </c>
      <c r="B286" s="1" t="str" cm="1">
        <f t="array" aca="1" ref="B286" ca="1">+INDEX(Apoyo!$B$2:$B$10,RANDBETWEEN(1,9))</f>
        <v>Cajamarca</v>
      </c>
      <c r="C286" t="s">
        <v>1</v>
      </c>
      <c r="D286" t="str" cm="1">
        <f t="array" aca="1" ref="D286" ca="1">+IF(OR($B286=Apoyo!$B$2,$B286=Apoyo!$B$6),"Lima",IF($B286=Apoyo!$B$10,INDEX(Apoyo!$D$2:$D$19,RANDBETWEEN(1,18)),IF(OR($B286&lt;&gt;Apoyo!$B$10,$B286&lt;&gt;Apoyo!$B$2,$B286&lt;&gt;Apoyo!$B$6),B286,0)))</f>
        <v>Cajamarca</v>
      </c>
      <c r="E286" t="str">
        <f t="shared" si="311"/>
        <v>Femenino</v>
      </c>
      <c r="F286">
        <f t="shared" ca="1" si="279"/>
        <v>29</v>
      </c>
      <c r="G286" t="s">
        <v>54</v>
      </c>
      <c r="H286" s="3">
        <f t="shared" ca="1" si="281"/>
        <v>0</v>
      </c>
      <c r="I286" s="3">
        <f t="shared" ca="1" si="281"/>
        <v>0</v>
      </c>
      <c r="J286">
        <f t="shared" ca="1" si="282"/>
        <v>0</v>
      </c>
      <c r="K286" s="2">
        <f t="shared" ca="1" si="283"/>
        <v>0.22453681599908237</v>
      </c>
      <c r="L286" s="2">
        <f t="shared" ref="L286" ca="1" si="313">+IFERROR(K286+0.04,"n.a.")</f>
        <v>0.26453681599908235</v>
      </c>
    </row>
    <row r="287" spans="1:12">
      <c r="A287" s="1">
        <f ca="1">+RANDBETWEEN(Apoyo!$P$2,Apoyo!$P$3)</f>
        <v>45947</v>
      </c>
      <c r="B287" s="1" t="str" cm="1">
        <f t="array" aca="1" ref="B287" ca="1">+INDEX(Apoyo!$B$2:$B$10,RANDBETWEEN(1,9))</f>
        <v>Lima Norte</v>
      </c>
      <c r="C287" t="s">
        <v>2</v>
      </c>
      <c r="D287" t="str" cm="1">
        <f t="array" aca="1" ref="D287" ca="1">+IF(OR($B287=Apoyo!$B$2,$B287=Apoyo!$B$6),"Lima",IF($B287=Apoyo!$B$10,INDEX(Apoyo!$D$2:$D$19,RANDBETWEEN(1,18)),IF(OR($B287&lt;&gt;Apoyo!$B$10,$B287&lt;&gt;Apoyo!$B$2,$B287&lt;&gt;Apoyo!$B$6),B287,0)))</f>
        <v>Lima</v>
      </c>
      <c r="E287" t="s">
        <v>44</v>
      </c>
      <c r="F287">
        <f t="shared" ca="1" si="279"/>
        <v>16</v>
      </c>
      <c r="G287" t="s">
        <v>54</v>
      </c>
      <c r="H287" s="3">
        <f t="shared" ca="1" si="281"/>
        <v>0</v>
      </c>
      <c r="I287" s="3">
        <f t="shared" ca="1" si="281"/>
        <v>1</v>
      </c>
      <c r="J287">
        <f t="shared" ca="1" si="282"/>
        <v>1</v>
      </c>
      <c r="K287" s="2">
        <f t="shared" ca="1" si="283"/>
        <v>0.77514134489171793</v>
      </c>
      <c r="L287" s="2">
        <f t="shared" ref="L287" ca="1" si="314">+IFERROR(K287+0.05,"n.a.")</f>
        <v>0.82514134489171798</v>
      </c>
    </row>
    <row r="288" spans="1:12">
      <c r="A288" s="1">
        <f ca="1">+RANDBETWEEN(Apoyo!$P$2,Apoyo!$P$3)</f>
        <v>45946</v>
      </c>
      <c r="B288" s="1" t="str" cm="1">
        <f t="array" aca="1" ref="B288" ca="1">+INDEX(Apoyo!$B$2:$B$10,RANDBETWEEN(1,9))</f>
        <v>Resto del Perú</v>
      </c>
      <c r="C288" t="s">
        <v>2</v>
      </c>
      <c r="D288" t="str" cm="1">
        <f t="array" aca="1" ref="D288" ca="1">+IF(OR($B288=Apoyo!$B$2,$B288=Apoyo!$B$6),"Lima",IF($B288=Apoyo!$B$10,INDEX(Apoyo!$D$2:$D$19,RANDBETWEEN(1,18)),IF(OR($B288&lt;&gt;Apoyo!$B$10,$B288&lt;&gt;Apoyo!$B$2,$B288&lt;&gt;Apoyo!$B$6),B288,0)))</f>
        <v>Cusco</v>
      </c>
      <c r="E288" t="s">
        <v>43</v>
      </c>
      <c r="F288">
        <f t="shared" ca="1" si="279"/>
        <v>12</v>
      </c>
      <c r="G288" t="s">
        <v>54</v>
      </c>
      <c r="H288" s="3">
        <f t="shared" ca="1" si="281"/>
        <v>1</v>
      </c>
      <c r="I288" s="3">
        <f t="shared" ca="1" si="281"/>
        <v>0</v>
      </c>
      <c r="J288">
        <f t="shared" ca="1" si="282"/>
        <v>1</v>
      </c>
      <c r="K288" s="2">
        <f t="shared" ca="1" si="283"/>
        <v>0.29839332285097386</v>
      </c>
      <c r="L288" s="2">
        <f t="shared" ref="L288:L289" ca="1" si="315">+IFERROR(K288+0.03,"n.a.")</f>
        <v>0.32839332285097389</v>
      </c>
    </row>
    <row r="289" spans="1:12">
      <c r="A289" s="1">
        <f ca="1">+RANDBETWEEN(Apoyo!$P$2,Apoyo!$P$3)</f>
        <v>45960</v>
      </c>
      <c r="B289" s="1" t="str" cm="1">
        <f t="array" aca="1" ref="B289" ca="1">+INDEX(Apoyo!$B$2:$B$10,RANDBETWEEN(1,9))</f>
        <v>Puente Piedra-Ventanilla</v>
      </c>
      <c r="C289" t="s">
        <v>1</v>
      </c>
      <c r="D289" t="str" cm="1">
        <f t="array" aca="1" ref="D289" ca="1">+IF(OR($B289=Apoyo!$B$2,$B289=Apoyo!$B$6),"Lima",IF($B289=Apoyo!$B$10,INDEX(Apoyo!$D$2:$D$19,RANDBETWEEN(1,18)),IF(OR($B289&lt;&gt;Apoyo!$B$10,$B289&lt;&gt;Apoyo!$B$2,$B289&lt;&gt;Apoyo!$B$6),B289,0)))</f>
        <v>Lima</v>
      </c>
      <c r="E289" t="str">
        <f t="shared" ref="E289" si="316">+IF(C289="Mujer","Femenino",2)</f>
        <v>Femenino</v>
      </c>
      <c r="F289">
        <f t="shared" ca="1" si="279"/>
        <v>26</v>
      </c>
      <c r="G289" t="s">
        <v>54</v>
      </c>
      <c r="H289" s="3">
        <f t="shared" ca="1" si="281"/>
        <v>1</v>
      </c>
      <c r="I289" s="3">
        <f t="shared" ca="1" si="281"/>
        <v>0</v>
      </c>
      <c r="J289">
        <f t="shared" ca="1" si="282"/>
        <v>0</v>
      </c>
      <c r="K289" s="2">
        <f t="shared" ca="1" si="283"/>
        <v>0.78198437444028601</v>
      </c>
      <c r="L289" s="2">
        <f t="shared" ca="1" si="315"/>
        <v>0.81198437444028604</v>
      </c>
    </row>
    <row r="290" spans="1:12">
      <c r="A290" s="1">
        <f ca="1">+RANDBETWEEN(Apoyo!$P$2,Apoyo!$P$3)</f>
        <v>45954</v>
      </c>
      <c r="B290" s="1" t="str" cm="1">
        <f t="array" aca="1" ref="B290" ca="1">+INDEX(Apoyo!$B$2:$B$10,RANDBETWEEN(1,9))</f>
        <v>Loreto</v>
      </c>
      <c r="C290" t="s">
        <v>2</v>
      </c>
      <c r="D290" t="str" cm="1">
        <f t="array" aca="1" ref="D290" ca="1">+IF(OR($B290=Apoyo!$B$2,$B290=Apoyo!$B$6),"Lima",IF($B290=Apoyo!$B$10,INDEX(Apoyo!$D$2:$D$19,RANDBETWEEN(1,18)),IF(OR($B290&lt;&gt;Apoyo!$B$10,$B290&lt;&gt;Apoyo!$B$2,$B290&lt;&gt;Apoyo!$B$6),B290,0)))</f>
        <v>Loreto</v>
      </c>
      <c r="E290" t="s">
        <v>44</v>
      </c>
      <c r="F290">
        <f t="shared" ca="1" si="279"/>
        <v>13</v>
      </c>
      <c r="G290" t="s">
        <v>54</v>
      </c>
      <c r="H290" s="3">
        <f t="shared" ca="1" si="281"/>
        <v>0</v>
      </c>
      <c r="I290" s="3">
        <f t="shared" ca="1" si="281"/>
        <v>0</v>
      </c>
      <c r="J290">
        <f t="shared" ca="1" si="282"/>
        <v>0</v>
      </c>
      <c r="K290" s="2">
        <f t="shared" ca="1" si="283"/>
        <v>0.35009467569923525</v>
      </c>
      <c r="L290" s="2">
        <f t="shared" ref="L290" ca="1" si="317">+IFERROR(K290+0.04,"n.a.")</f>
        <v>0.39009467569923523</v>
      </c>
    </row>
    <row r="291" spans="1:12">
      <c r="A291" s="1">
        <f ca="1">+RANDBETWEEN(Apoyo!$P$2,Apoyo!$P$3)</f>
        <v>45951</v>
      </c>
      <c r="B291" s="1" t="str" cm="1">
        <f t="array" aca="1" ref="B291" ca="1">+INDEX(Apoyo!$B$2:$B$10,RANDBETWEEN(1,9))</f>
        <v>Ayacucho</v>
      </c>
      <c r="C291" t="s">
        <v>1</v>
      </c>
      <c r="D291" t="str" cm="1">
        <f t="array" aca="1" ref="D291" ca="1">+IF(OR($B291=Apoyo!$B$2,$B291=Apoyo!$B$6),"Lima",IF($B291=Apoyo!$B$10,INDEX(Apoyo!$D$2:$D$19,RANDBETWEEN(1,18)),IF(OR($B291&lt;&gt;Apoyo!$B$10,$B291&lt;&gt;Apoyo!$B$2,$B291&lt;&gt;Apoyo!$B$6),B291,0)))</f>
        <v>Ayacucho</v>
      </c>
      <c r="E291" t="str">
        <f t="shared" ref="E291" si="318">+IF(C291="Mujer","Femenino",2)</f>
        <v>Femenino</v>
      </c>
      <c r="F291">
        <f t="shared" ca="1" si="279"/>
        <v>65</v>
      </c>
      <c r="G291" t="s">
        <v>54</v>
      </c>
      <c r="H291" s="3">
        <f t="shared" ref="H291:I321" ca="1" si="319">+IF($G291&lt;&gt;"Completa",IF($G291&lt;&gt;"Discapacidad",0,RANDBETWEEN(0,1)),RANDBETWEEN(0,1))</f>
        <v>0</v>
      </c>
      <c r="I291" s="3">
        <f t="shared" ca="1" si="319"/>
        <v>1</v>
      </c>
      <c r="J291">
        <f t="shared" ca="1" si="282"/>
        <v>0</v>
      </c>
      <c r="K291" s="2">
        <f t="shared" ca="1" si="283"/>
        <v>0.15433560309379213</v>
      </c>
      <c r="L291" s="2">
        <f t="shared" ref="L291" ca="1" si="320">+IFERROR(K291+0.05,"n.a.")</f>
        <v>0.20433560309379212</v>
      </c>
    </row>
    <row r="292" spans="1:12">
      <c r="A292" s="1">
        <f ca="1">+RANDBETWEEN(Apoyo!$P$2,Apoyo!$P$3)</f>
        <v>45956</v>
      </c>
      <c r="B292" s="1" t="str" cm="1">
        <f t="array" aca="1" ref="B292" ca="1">+INDEX(Apoyo!$B$2:$B$10,RANDBETWEEN(1,9))</f>
        <v>Apurímac</v>
      </c>
      <c r="C292" t="s">
        <v>1</v>
      </c>
      <c r="D292" t="str" cm="1">
        <f t="array" aca="1" ref="D292" ca="1">+IF(OR($B292=Apoyo!$B$2,$B292=Apoyo!$B$6),"Lima",IF($B292=Apoyo!$B$10,INDEX(Apoyo!$D$2:$D$19,RANDBETWEEN(1,18)),IF(OR($B292&lt;&gt;Apoyo!$B$10,$B292&lt;&gt;Apoyo!$B$2,$B292&lt;&gt;Apoyo!$B$6),B292,0)))</f>
        <v>Apurímac</v>
      </c>
      <c r="E292" t="str">
        <f>+IF(C292="Mujer","Femenino",2)</f>
        <v>Femenino</v>
      </c>
      <c r="F292">
        <f t="shared" ca="1" si="279"/>
        <v>56</v>
      </c>
      <c r="G292" t="str">
        <f ca="1">+CHOOSE(RANDBETWEEN(1,5),Apoyo!$E$3,Apoyo!$E$4,Apoyo!$E$5,Apoyo!$E$6,Apoyo!$E$7)</f>
        <v>Incompleta</v>
      </c>
      <c r="H292" s="3">
        <f t="shared" ca="1" si="319"/>
        <v>0</v>
      </c>
      <c r="I292" s="3">
        <f t="shared" ca="1" si="319"/>
        <v>0</v>
      </c>
      <c r="J292">
        <f t="shared" ca="1" si="282"/>
        <v>0</v>
      </c>
      <c r="K292" s="2" t="str">
        <f t="shared" ca="1" si="283"/>
        <v>n.a.</v>
      </c>
      <c r="L292" s="2" t="str">
        <f t="shared" ref="L292:L293" ca="1" si="321">+IFERROR(K292+0.03,"n.a.")</f>
        <v>n.a.</v>
      </c>
    </row>
    <row r="293" spans="1:12">
      <c r="A293" s="1">
        <f ca="1">+RANDBETWEEN(Apoyo!$P$2,Apoyo!$P$3)</f>
        <v>45958</v>
      </c>
      <c r="B293" s="1" t="str" cm="1">
        <f t="array" aca="1" ref="B293" ca="1">+INDEX(Apoyo!$B$2:$B$10,RANDBETWEEN(1,9))</f>
        <v>Lima Norte</v>
      </c>
      <c r="C293" t="s">
        <v>2</v>
      </c>
      <c r="D293" t="str" cm="1">
        <f t="array" aca="1" ref="D293" ca="1">+IF(OR($B293=Apoyo!$B$2,$B293=Apoyo!$B$6),"Lima",IF($B293=Apoyo!$B$10,INDEX(Apoyo!$D$2:$D$19,RANDBETWEEN(1,18)),IF(OR($B293&lt;&gt;Apoyo!$B$10,$B293&lt;&gt;Apoyo!$B$2,$B293&lt;&gt;Apoyo!$B$6),B293,0)))</f>
        <v>Lima</v>
      </c>
      <c r="E293" t="s">
        <v>43</v>
      </c>
      <c r="F293">
        <f t="shared" ca="1" si="279"/>
        <v>14</v>
      </c>
      <c r="G293" t="s">
        <v>54</v>
      </c>
      <c r="H293" s="3">
        <f t="shared" ca="1" si="319"/>
        <v>0</v>
      </c>
      <c r="I293" s="3">
        <f t="shared" ca="1" si="319"/>
        <v>1</v>
      </c>
      <c r="J293">
        <f t="shared" ca="1" si="282"/>
        <v>0</v>
      </c>
      <c r="K293" s="2">
        <f t="shared" ca="1" si="283"/>
        <v>0.18725853935490777</v>
      </c>
      <c r="L293" s="2">
        <f t="shared" ca="1" si="321"/>
        <v>0.21725853935490777</v>
      </c>
    </row>
    <row r="294" spans="1:12">
      <c r="A294" s="1">
        <f ca="1">+RANDBETWEEN(Apoyo!$P$2,Apoyo!$P$3)</f>
        <v>45956</v>
      </c>
      <c r="B294" s="1" t="str" cm="1">
        <f t="array" aca="1" ref="B294" ca="1">+INDEX(Apoyo!$B$2:$B$10,RANDBETWEEN(1,9))</f>
        <v>Ucayali</v>
      </c>
      <c r="C294" t="s">
        <v>2</v>
      </c>
      <c r="D294" t="str" cm="1">
        <f t="array" aca="1" ref="D294" ca="1">+IF(OR($B294=Apoyo!$B$2,$B294=Apoyo!$B$6),"Lima",IF($B294=Apoyo!$B$10,INDEX(Apoyo!$D$2:$D$19,RANDBETWEEN(1,18)),IF(OR($B294&lt;&gt;Apoyo!$B$10,$B294&lt;&gt;Apoyo!$B$2,$B294&lt;&gt;Apoyo!$B$6),B294,0)))</f>
        <v>Ucayali</v>
      </c>
      <c r="E294" t="s">
        <v>44</v>
      </c>
      <c r="F294">
        <f t="shared" ca="1" si="279"/>
        <v>13</v>
      </c>
      <c r="G294" t="s">
        <v>54</v>
      </c>
      <c r="H294" s="3">
        <f t="shared" ca="1" si="319"/>
        <v>1</v>
      </c>
      <c r="I294" s="3">
        <f t="shared" ca="1" si="319"/>
        <v>0</v>
      </c>
      <c r="J294">
        <f t="shared" ca="1" si="282"/>
        <v>1</v>
      </c>
      <c r="K294" s="2">
        <f t="shared" ca="1" si="283"/>
        <v>0.50243451472958589</v>
      </c>
      <c r="L294" s="2">
        <f t="shared" ref="L294:L318" ca="1" si="322">+IFERROR(K294+0.04,"n.a.")</f>
        <v>0.54243451472958593</v>
      </c>
    </row>
    <row r="295" spans="1:12">
      <c r="A295" s="1">
        <f ca="1">+RANDBETWEEN(Apoyo!$P$2,Apoyo!$P$3)</f>
        <v>45955</v>
      </c>
      <c r="B295" s="1" t="str" cm="1">
        <f t="array" aca="1" ref="B295" ca="1">+INDEX(Apoyo!$B$2:$B$10,RANDBETWEEN(1,9))</f>
        <v>Ucayali</v>
      </c>
      <c r="C295" t="s">
        <v>1</v>
      </c>
      <c r="D295" t="str" cm="1">
        <f t="array" aca="1" ref="D295" ca="1">+IF(OR($B295=Apoyo!$B$2,$B295=Apoyo!$B$6),"Lima",IF($B295=Apoyo!$B$10,INDEX(Apoyo!$D$2:$D$19,RANDBETWEEN(1,18)),IF(OR($B295&lt;&gt;Apoyo!$B$10,$B295&lt;&gt;Apoyo!$B$2,$B295&lt;&gt;Apoyo!$B$6),B295,0)))</f>
        <v>Ucayali</v>
      </c>
      <c r="E295" t="str">
        <f t="shared" ref="E295:E296" si="323">+IF(C295="Mujer","Femenino",2)</f>
        <v>Femenino</v>
      </c>
      <c r="F295">
        <f t="shared" ca="1" si="279"/>
        <v>56</v>
      </c>
      <c r="G295" t="s">
        <v>54</v>
      </c>
      <c r="H295" s="3">
        <f t="shared" ca="1" si="319"/>
        <v>1</v>
      </c>
      <c r="I295" s="3">
        <f t="shared" ca="1" si="319"/>
        <v>0</v>
      </c>
      <c r="J295">
        <f t="shared" ca="1" si="282"/>
        <v>0</v>
      </c>
      <c r="K295" s="2">
        <f t="shared" ca="1" si="283"/>
        <v>0.78205975560674423</v>
      </c>
      <c r="L295" s="2">
        <f t="shared" ref="L295" ca="1" si="324">+IFERROR(K295+0.06,"n.a.")</f>
        <v>0.84205975560674418</v>
      </c>
    </row>
    <row r="296" spans="1:12">
      <c r="A296" s="1">
        <f ca="1">+RANDBETWEEN(Apoyo!$P$2,Apoyo!$P$3)</f>
        <v>45953</v>
      </c>
      <c r="B296" s="1" t="str" cm="1">
        <f t="array" aca="1" ref="B296" ca="1">+INDEX(Apoyo!$B$2:$B$10,RANDBETWEEN(1,9))</f>
        <v>Huánuco</v>
      </c>
      <c r="C296" t="s">
        <v>1</v>
      </c>
      <c r="D296" t="str" cm="1">
        <f t="array" aca="1" ref="D296" ca="1">+IF(OR($B296=Apoyo!$B$2,$B296=Apoyo!$B$6),"Lima",IF($B296=Apoyo!$B$10,INDEX(Apoyo!$D$2:$D$19,RANDBETWEEN(1,18)),IF(OR($B296&lt;&gt;Apoyo!$B$10,$B296&lt;&gt;Apoyo!$B$2,$B296&lt;&gt;Apoyo!$B$6),B296,0)))</f>
        <v>Huánuco</v>
      </c>
      <c r="E296" t="str">
        <f t="shared" si="323"/>
        <v>Femenino</v>
      </c>
      <c r="F296">
        <f t="shared" ca="1" si="279"/>
        <v>59</v>
      </c>
      <c r="G296" t="str">
        <f ca="1">+CHOOSE(RANDBETWEEN(1,5),Apoyo!$E$3,Apoyo!$E$4,Apoyo!$E$5,Apoyo!$E$6,Apoyo!$E$7)</f>
        <v>Otro</v>
      </c>
      <c r="H296" s="3">
        <f t="shared" ca="1" si="319"/>
        <v>0</v>
      </c>
      <c r="I296" s="3">
        <f t="shared" ca="1" si="319"/>
        <v>0</v>
      </c>
      <c r="J296">
        <f t="shared" ca="1" si="282"/>
        <v>0</v>
      </c>
      <c r="K296" s="2" t="str">
        <f t="shared" ca="1" si="283"/>
        <v>n.a.</v>
      </c>
      <c r="L296" s="2" t="str">
        <f t="shared" ref="L296" ca="1" si="325">+IFERROR(K296+0.03,"n.a.")</f>
        <v>n.a.</v>
      </c>
    </row>
    <row r="297" spans="1:12">
      <c r="A297" s="1">
        <f ca="1">+RANDBETWEEN(Apoyo!$P$2,Apoyo!$P$3)</f>
        <v>45957</v>
      </c>
      <c r="B297" s="1" t="str" cm="1">
        <f t="array" aca="1" ref="B297" ca="1">+INDEX(Apoyo!$B$2:$B$10,RANDBETWEEN(1,9))</f>
        <v>Ayacucho</v>
      </c>
      <c r="C297" t="s">
        <v>2</v>
      </c>
      <c r="D297" t="str" cm="1">
        <f t="array" aca="1" ref="D297" ca="1">+IF(OR($B297=Apoyo!$B$2,$B297=Apoyo!$B$6),"Lima",IF($B297=Apoyo!$B$10,INDEX(Apoyo!$D$2:$D$19,RANDBETWEEN(1,18)),IF(OR($B297&lt;&gt;Apoyo!$B$10,$B297&lt;&gt;Apoyo!$B$2,$B297&lt;&gt;Apoyo!$B$6),B297,0)))</f>
        <v>Ayacucho</v>
      </c>
      <c r="E297" t="s">
        <v>44</v>
      </c>
      <c r="F297">
        <f t="shared" ca="1" si="279"/>
        <v>15</v>
      </c>
      <c r="G297" t="s">
        <v>54</v>
      </c>
      <c r="H297" s="3">
        <f t="shared" ca="1" si="319"/>
        <v>0</v>
      </c>
      <c r="I297" s="3">
        <f t="shared" ca="1" si="319"/>
        <v>0</v>
      </c>
      <c r="J297">
        <f t="shared" ca="1" si="282"/>
        <v>0</v>
      </c>
      <c r="K297" s="2">
        <f t="shared" ca="1" si="283"/>
        <v>0.70150536213764203</v>
      </c>
      <c r="L297" s="2">
        <f t="shared" ref="L297" ca="1" si="326">+IFERROR(K297+0.05,"n.a.")</f>
        <v>0.75150536213764207</v>
      </c>
    </row>
    <row r="298" spans="1:12">
      <c r="A298" s="1">
        <f ca="1">+RANDBETWEEN(Apoyo!$P$2,Apoyo!$P$3)</f>
        <v>45954</v>
      </c>
      <c r="B298" s="1" t="str" cm="1">
        <f t="array" aca="1" ref="B298" ca="1">+INDEX(Apoyo!$B$2:$B$10,RANDBETWEEN(1,9))</f>
        <v>Loreto</v>
      </c>
      <c r="C298" t="s">
        <v>2</v>
      </c>
      <c r="D298" t="str" cm="1">
        <f t="array" aca="1" ref="D298" ca="1">+IF(OR($B298=Apoyo!$B$2,$B298=Apoyo!$B$6),"Lima",IF($B298=Apoyo!$B$10,INDEX(Apoyo!$D$2:$D$19,RANDBETWEEN(1,18)),IF(OR($B298&lt;&gt;Apoyo!$B$10,$B298&lt;&gt;Apoyo!$B$2,$B298&lt;&gt;Apoyo!$B$6),B298,0)))</f>
        <v>Loreto</v>
      </c>
      <c r="E298" t="s">
        <v>43</v>
      </c>
      <c r="F298">
        <f t="shared" ca="1" si="279"/>
        <v>15</v>
      </c>
      <c r="G298" t="s">
        <v>54</v>
      </c>
      <c r="H298" s="3">
        <f t="shared" ca="1" si="319"/>
        <v>0</v>
      </c>
      <c r="I298" s="3">
        <f t="shared" ca="1" si="319"/>
        <v>0</v>
      </c>
      <c r="J298">
        <f t="shared" ca="1" si="282"/>
        <v>0</v>
      </c>
      <c r="K298" s="2">
        <f t="shared" ca="1" si="283"/>
        <v>0.97871642017814675</v>
      </c>
      <c r="L298" s="2">
        <f t="shared" ref="L298" ca="1" si="327">+IFERROR(K298+0.04,"n.a.")</f>
        <v>1.0187164201781467</v>
      </c>
    </row>
    <row r="299" spans="1:12">
      <c r="A299" s="1">
        <f ca="1">+RANDBETWEEN(Apoyo!$P$2,Apoyo!$P$3)</f>
        <v>45946</v>
      </c>
      <c r="B299" s="1" t="str" cm="1">
        <f t="array" aca="1" ref="B299" ca="1">+INDEX(Apoyo!$B$2:$B$10,RANDBETWEEN(1,9))</f>
        <v>Cajamarca</v>
      </c>
      <c r="C299" t="s">
        <v>1</v>
      </c>
      <c r="D299" t="str" cm="1">
        <f t="array" aca="1" ref="D299" ca="1">+IF(OR($B299=Apoyo!$B$2,$B299=Apoyo!$B$6),"Lima",IF($B299=Apoyo!$B$10,INDEX(Apoyo!$D$2:$D$19,RANDBETWEEN(1,18)),IF(OR($B299&lt;&gt;Apoyo!$B$10,$B299&lt;&gt;Apoyo!$B$2,$B299&lt;&gt;Apoyo!$B$6),B299,0)))</f>
        <v>Cajamarca</v>
      </c>
      <c r="E299" t="str">
        <f t="shared" ref="E299" si="328">+IF(C299="Mujer","Femenino",2)</f>
        <v>Femenino</v>
      </c>
      <c r="F299">
        <f t="shared" ca="1" si="279"/>
        <v>54</v>
      </c>
      <c r="G299" t="s">
        <v>54</v>
      </c>
      <c r="H299" s="3">
        <f t="shared" ca="1" si="319"/>
        <v>1</v>
      </c>
      <c r="I299" s="3">
        <f t="shared" ca="1" si="319"/>
        <v>1</v>
      </c>
      <c r="J299">
        <f t="shared" ca="1" si="282"/>
        <v>0</v>
      </c>
      <c r="K299" s="2">
        <f t="shared" ca="1" si="283"/>
        <v>0.52433235339448381</v>
      </c>
      <c r="L299" s="2">
        <f t="shared" ref="L299" ca="1" si="329">+IFERROR(K299+0.05,"n.a.")</f>
        <v>0.57433235339448385</v>
      </c>
    </row>
    <row r="300" spans="1:12">
      <c r="A300" s="1">
        <f ca="1">+RANDBETWEEN(Apoyo!$P$2,Apoyo!$P$3)</f>
        <v>45959</v>
      </c>
      <c r="B300" s="1" t="str" cm="1">
        <f t="array" aca="1" ref="B300" ca="1">+INDEX(Apoyo!$B$2:$B$10,RANDBETWEEN(1,9))</f>
        <v>Huánuco</v>
      </c>
      <c r="C300" t="s">
        <v>2</v>
      </c>
      <c r="D300" t="str" cm="1">
        <f t="array" aca="1" ref="D300" ca="1">+IF(OR($B300=Apoyo!$B$2,$B300=Apoyo!$B$6),"Lima",IF($B300=Apoyo!$B$10,INDEX(Apoyo!$D$2:$D$19,RANDBETWEEN(1,18)),IF(OR($B300&lt;&gt;Apoyo!$B$10,$B300&lt;&gt;Apoyo!$B$2,$B300&lt;&gt;Apoyo!$B$6),B300,0)))</f>
        <v>Huánuco</v>
      </c>
      <c r="E300" t="s">
        <v>44</v>
      </c>
      <c r="F300">
        <f t="shared" ca="1" si="279"/>
        <v>13</v>
      </c>
      <c r="G300" t="s">
        <v>54</v>
      </c>
      <c r="H300" s="3">
        <f t="shared" ca="1" si="319"/>
        <v>0</v>
      </c>
      <c r="I300" s="3">
        <f t="shared" ca="1" si="319"/>
        <v>0</v>
      </c>
      <c r="J300">
        <f t="shared" ca="1" si="282"/>
        <v>0</v>
      </c>
      <c r="K300" s="2">
        <f t="shared" ca="1" si="283"/>
        <v>0.2365253707537377</v>
      </c>
      <c r="L300" s="2">
        <f t="shared" ref="L300:L301" ca="1" si="330">+IFERROR(K300+0.03,"n.a.")</f>
        <v>0.26652537075373772</v>
      </c>
    </row>
    <row r="301" spans="1:12">
      <c r="A301" s="1">
        <f ca="1">+RANDBETWEEN(Apoyo!$P$2,Apoyo!$P$3)</f>
        <v>45954</v>
      </c>
      <c r="B301" s="1" t="str" cm="1">
        <f t="array" aca="1" ref="B301" ca="1">+INDEX(Apoyo!$B$2:$B$10,RANDBETWEEN(1,9))</f>
        <v>Resto del Perú</v>
      </c>
      <c r="C301" t="s">
        <v>1</v>
      </c>
      <c r="D301" t="str" cm="1">
        <f t="array" aca="1" ref="D301" ca="1">+IF(OR($B301=Apoyo!$B$2,$B301=Apoyo!$B$6),"Lima",IF($B301=Apoyo!$B$10,INDEX(Apoyo!$D$2:$D$19,RANDBETWEEN(1,18)),IF(OR($B301&lt;&gt;Apoyo!$B$10,$B301&lt;&gt;Apoyo!$B$2,$B301&lt;&gt;Apoyo!$B$6),B301,0)))</f>
        <v>Puno</v>
      </c>
      <c r="E301" t="str">
        <f t="shared" ref="E301" si="331">+IF(C301="Mujer","Femenino",2)</f>
        <v>Femenino</v>
      </c>
      <c r="F301">
        <f t="shared" ca="1" si="279"/>
        <v>37</v>
      </c>
      <c r="G301" t="str">
        <f ca="1">+CHOOSE(RANDBETWEEN(1,5),Apoyo!$E$3,Apoyo!$E$4,Apoyo!$E$5,Apoyo!$E$6,Apoyo!$E$7)</f>
        <v>Incompleta</v>
      </c>
      <c r="H301" s="3">
        <f t="shared" ca="1" si="319"/>
        <v>0</v>
      </c>
      <c r="I301" s="3">
        <f t="shared" ca="1" si="319"/>
        <v>0</v>
      </c>
      <c r="J301">
        <f t="shared" ca="1" si="282"/>
        <v>0</v>
      </c>
      <c r="K301" s="2" t="str">
        <f t="shared" ca="1" si="283"/>
        <v>n.a.</v>
      </c>
      <c r="L301" s="2" t="str">
        <f t="shared" ca="1" si="330"/>
        <v>n.a.</v>
      </c>
    </row>
    <row r="302" spans="1:12">
      <c r="A302" s="1">
        <f ca="1">+RANDBETWEEN(Apoyo!$P$2,Apoyo!$P$3)</f>
        <v>45956</v>
      </c>
      <c r="B302" s="1" t="str" cm="1">
        <f t="array" aca="1" ref="B302" ca="1">+INDEX(Apoyo!$B$2:$B$10,RANDBETWEEN(1,9))</f>
        <v>Ayacucho</v>
      </c>
      <c r="C302" t="s">
        <v>1</v>
      </c>
      <c r="D302" t="str" cm="1">
        <f t="array" aca="1" ref="D302" ca="1">+IF(OR($B302=Apoyo!$B$2,$B302=Apoyo!$B$6),"Lima",IF($B302=Apoyo!$B$10,INDEX(Apoyo!$D$2:$D$19,RANDBETWEEN(1,18)),IF(OR($B302&lt;&gt;Apoyo!$B$10,$B302&lt;&gt;Apoyo!$B$2,$B302&lt;&gt;Apoyo!$B$6),B302,0)))</f>
        <v>Ayacucho</v>
      </c>
      <c r="E302" t="str">
        <f>+IF(C302="Mujer","Femenino",2)</f>
        <v>Femenino</v>
      </c>
      <c r="F302">
        <f t="shared" ca="1" si="279"/>
        <v>61</v>
      </c>
      <c r="G302" t="str">
        <f ca="1">+CHOOSE(RANDBETWEEN(1,5),Apoyo!$E$3,Apoyo!$E$4,Apoyo!$E$5,Apoyo!$E$6,Apoyo!$E$7)</f>
        <v>Rechazada</v>
      </c>
      <c r="H302" s="3">
        <f t="shared" ca="1" si="319"/>
        <v>0</v>
      </c>
      <c r="I302" s="3">
        <f t="shared" ca="1" si="319"/>
        <v>0</v>
      </c>
      <c r="J302">
        <f t="shared" ca="1" si="282"/>
        <v>0</v>
      </c>
      <c r="K302" s="2" t="str">
        <f t="shared" ca="1" si="283"/>
        <v>n.a.</v>
      </c>
      <c r="L302" s="2" t="str">
        <f t="shared" ref="L302" ca="1" si="332">+IFERROR(K302+0.04,"n.a.")</f>
        <v>n.a.</v>
      </c>
    </row>
    <row r="303" spans="1:12">
      <c r="A303" s="1">
        <f ca="1">+RANDBETWEEN(Apoyo!$P$2,Apoyo!$P$3)</f>
        <v>45950</v>
      </c>
      <c r="B303" s="1" t="str" cm="1">
        <f t="array" aca="1" ref="B303" ca="1">+INDEX(Apoyo!$B$2:$B$10,RANDBETWEEN(1,9))</f>
        <v>Ayacucho</v>
      </c>
      <c r="C303" t="s">
        <v>2</v>
      </c>
      <c r="D303" t="str" cm="1">
        <f t="array" aca="1" ref="D303" ca="1">+IF(OR($B303=Apoyo!$B$2,$B303=Apoyo!$B$6),"Lima",IF($B303=Apoyo!$B$10,INDEX(Apoyo!$D$2:$D$19,RANDBETWEEN(1,18)),IF(OR($B303&lt;&gt;Apoyo!$B$10,$B303&lt;&gt;Apoyo!$B$2,$B303&lt;&gt;Apoyo!$B$6),B303,0)))</f>
        <v>Ayacucho</v>
      </c>
      <c r="E303" t="s">
        <v>43</v>
      </c>
      <c r="F303">
        <f t="shared" ca="1" si="279"/>
        <v>12</v>
      </c>
      <c r="G303" t="s">
        <v>54</v>
      </c>
      <c r="H303" s="3">
        <f t="shared" ca="1" si="319"/>
        <v>1</v>
      </c>
      <c r="I303" s="3">
        <f t="shared" ca="1" si="319"/>
        <v>0</v>
      </c>
      <c r="J303">
        <f t="shared" ca="1" si="282"/>
        <v>1</v>
      </c>
      <c r="K303" s="2">
        <f t="shared" ca="1" si="283"/>
        <v>2.6681275902561974E-2</v>
      </c>
      <c r="L303" s="2">
        <f t="shared" ref="L303" ca="1" si="333">+IFERROR(K303+0.05,"n.a.")</f>
        <v>7.6681275902561977E-2</v>
      </c>
    </row>
    <row r="304" spans="1:12">
      <c r="A304" s="1">
        <f ca="1">+RANDBETWEEN(Apoyo!$P$2,Apoyo!$P$3)</f>
        <v>45951</v>
      </c>
      <c r="B304" s="1" t="str" cm="1">
        <f t="array" aca="1" ref="B304" ca="1">+INDEX(Apoyo!$B$2:$B$10,RANDBETWEEN(1,9))</f>
        <v>Ayacucho</v>
      </c>
      <c r="C304" t="s">
        <v>2</v>
      </c>
      <c r="D304" t="str" cm="1">
        <f t="array" aca="1" ref="D304" ca="1">+IF(OR($B304=Apoyo!$B$2,$B304=Apoyo!$B$6),"Lima",IF($B304=Apoyo!$B$10,INDEX(Apoyo!$D$2:$D$19,RANDBETWEEN(1,18)),IF(OR($B304&lt;&gt;Apoyo!$B$10,$B304&lt;&gt;Apoyo!$B$2,$B304&lt;&gt;Apoyo!$B$6),B304,0)))</f>
        <v>Ayacucho</v>
      </c>
      <c r="E304" t="s">
        <v>44</v>
      </c>
      <c r="F304">
        <f t="shared" ca="1" si="279"/>
        <v>14</v>
      </c>
      <c r="G304" t="s">
        <v>54</v>
      </c>
      <c r="H304" s="3">
        <f t="shared" ca="1" si="319"/>
        <v>0</v>
      </c>
      <c r="I304" s="3">
        <f t="shared" ca="1" si="319"/>
        <v>1</v>
      </c>
      <c r="J304">
        <f t="shared" ca="1" si="282"/>
        <v>0</v>
      </c>
      <c r="K304" s="2">
        <f t="shared" ca="1" si="283"/>
        <v>0.16318396179450267</v>
      </c>
      <c r="L304" s="2">
        <f t="shared" ref="L304:L305" ca="1" si="334">+IFERROR(K304+0.03,"n.a.")</f>
        <v>0.19318396179450267</v>
      </c>
    </row>
    <row r="305" spans="1:12">
      <c r="A305" s="1">
        <f ca="1">+RANDBETWEEN(Apoyo!$P$2,Apoyo!$P$3)</f>
        <v>45959</v>
      </c>
      <c r="B305" s="1" t="str" cm="1">
        <f t="array" aca="1" ref="B305" ca="1">+INDEX(Apoyo!$B$2:$B$10,RANDBETWEEN(1,9))</f>
        <v>Ayacucho</v>
      </c>
      <c r="C305" t="s">
        <v>1</v>
      </c>
      <c r="D305" t="str" cm="1">
        <f t="array" aca="1" ref="D305" ca="1">+IF(OR($B305=Apoyo!$B$2,$B305=Apoyo!$B$6),"Lima",IF($B305=Apoyo!$B$10,INDEX(Apoyo!$D$2:$D$19,RANDBETWEEN(1,18)),IF(OR($B305&lt;&gt;Apoyo!$B$10,$B305&lt;&gt;Apoyo!$B$2,$B305&lt;&gt;Apoyo!$B$6),B305,0)))</f>
        <v>Ayacucho</v>
      </c>
      <c r="E305" t="str">
        <f t="shared" ref="E305:E306" si="335">+IF(C305="Mujer","Femenino",2)</f>
        <v>Femenino</v>
      </c>
      <c r="F305">
        <f t="shared" ca="1" si="279"/>
        <v>43</v>
      </c>
      <c r="G305" t="s">
        <v>54</v>
      </c>
      <c r="H305" s="3">
        <f t="shared" ca="1" si="319"/>
        <v>1</v>
      </c>
      <c r="I305" s="3">
        <f t="shared" ca="1" si="319"/>
        <v>1</v>
      </c>
      <c r="J305">
        <f t="shared" ca="1" si="282"/>
        <v>1</v>
      </c>
      <c r="K305" s="2">
        <f t="shared" ca="1" si="283"/>
        <v>0.16031850980752405</v>
      </c>
      <c r="L305" s="2">
        <f t="shared" ca="1" si="334"/>
        <v>0.19031850980752404</v>
      </c>
    </row>
    <row r="306" spans="1:12">
      <c r="A306" s="1">
        <f ca="1">+RANDBETWEEN(Apoyo!$P$2,Apoyo!$P$3)</f>
        <v>45948</v>
      </c>
      <c r="B306" s="1" t="str" cm="1">
        <f t="array" aca="1" ref="B306" ca="1">+INDEX(Apoyo!$B$2:$B$10,RANDBETWEEN(1,9))</f>
        <v>Resto del Perú</v>
      </c>
      <c r="C306" t="s">
        <v>1</v>
      </c>
      <c r="D306" t="str" cm="1">
        <f t="array" aca="1" ref="D306" ca="1">+IF(OR($B306=Apoyo!$B$2,$B306=Apoyo!$B$6),"Lima",IF($B306=Apoyo!$B$10,INDEX(Apoyo!$D$2:$D$19,RANDBETWEEN(1,18)),IF(OR($B306&lt;&gt;Apoyo!$B$10,$B306&lt;&gt;Apoyo!$B$2,$B306&lt;&gt;Apoyo!$B$6),B306,0)))</f>
        <v>Moquegua</v>
      </c>
      <c r="E306" t="str">
        <f t="shared" si="335"/>
        <v>Femenino</v>
      </c>
      <c r="F306">
        <f t="shared" ca="1" si="279"/>
        <v>51</v>
      </c>
      <c r="G306" t="s">
        <v>54</v>
      </c>
      <c r="H306" s="3">
        <f t="shared" ca="1" si="319"/>
        <v>0</v>
      </c>
      <c r="I306" s="3">
        <f t="shared" ca="1" si="319"/>
        <v>1</v>
      </c>
      <c r="J306">
        <f t="shared" ca="1" si="282"/>
        <v>0</v>
      </c>
      <c r="K306" s="2">
        <f t="shared" ca="1" si="283"/>
        <v>0.24763176575563361</v>
      </c>
      <c r="L306" s="2">
        <f t="shared" ca="1" si="322"/>
        <v>0.28763176575563359</v>
      </c>
    </row>
    <row r="307" spans="1:12">
      <c r="A307" s="1">
        <f ca="1">+RANDBETWEEN(Apoyo!$P$2,Apoyo!$P$3)</f>
        <v>45960</v>
      </c>
      <c r="B307" s="1" t="str" cm="1">
        <f t="array" aca="1" ref="B307" ca="1">+INDEX(Apoyo!$B$2:$B$10,RANDBETWEEN(1,9))</f>
        <v>Resto del Perú</v>
      </c>
      <c r="C307" t="s">
        <v>2</v>
      </c>
      <c r="D307" t="str" cm="1">
        <f t="array" aca="1" ref="D307" ca="1">+IF(OR($B307=Apoyo!$B$2,$B307=Apoyo!$B$6),"Lima",IF($B307=Apoyo!$B$10,INDEX(Apoyo!$D$2:$D$19,RANDBETWEEN(1,18)),IF(OR($B307&lt;&gt;Apoyo!$B$10,$B307&lt;&gt;Apoyo!$B$2,$B307&lt;&gt;Apoyo!$B$6),B307,0)))</f>
        <v>Pasco</v>
      </c>
      <c r="E307" t="s">
        <v>44</v>
      </c>
      <c r="F307">
        <f t="shared" ca="1" si="279"/>
        <v>17</v>
      </c>
      <c r="G307" t="s">
        <v>54</v>
      </c>
      <c r="H307" s="3">
        <f t="shared" ca="1" si="319"/>
        <v>1</v>
      </c>
      <c r="I307" s="3">
        <f t="shared" ca="1" si="319"/>
        <v>0</v>
      </c>
      <c r="J307">
        <f t="shared" ca="1" si="282"/>
        <v>0</v>
      </c>
      <c r="K307" s="2">
        <f t="shared" ca="1" si="283"/>
        <v>0.30958165633039636</v>
      </c>
      <c r="L307" s="2">
        <f t="shared" ref="L307" ca="1" si="336">+IFERROR(K307+0.06,"n.a.")</f>
        <v>0.36958165633039636</v>
      </c>
    </row>
    <row r="308" spans="1:12">
      <c r="A308" s="1">
        <f ca="1">+RANDBETWEEN(Apoyo!$P$2,Apoyo!$P$3)</f>
        <v>45951</v>
      </c>
      <c r="B308" s="1" t="str" cm="1">
        <f t="array" aca="1" ref="B308" ca="1">+INDEX(Apoyo!$B$2:$B$10,RANDBETWEEN(1,9))</f>
        <v>Cajamarca</v>
      </c>
      <c r="C308" t="s">
        <v>2</v>
      </c>
      <c r="D308" t="str" cm="1">
        <f t="array" aca="1" ref="D308" ca="1">+IF(OR($B308=Apoyo!$B$2,$B308=Apoyo!$B$6),"Lima",IF($B308=Apoyo!$B$10,INDEX(Apoyo!$D$2:$D$19,RANDBETWEEN(1,18)),IF(OR($B308&lt;&gt;Apoyo!$B$10,$B308&lt;&gt;Apoyo!$B$2,$B308&lt;&gt;Apoyo!$B$6),B308,0)))</f>
        <v>Cajamarca</v>
      </c>
      <c r="E308" t="s">
        <v>43</v>
      </c>
      <c r="F308">
        <f t="shared" ca="1" si="279"/>
        <v>14</v>
      </c>
      <c r="G308" t="s">
        <v>54</v>
      </c>
      <c r="H308" s="3">
        <f t="shared" ca="1" si="319"/>
        <v>1</v>
      </c>
      <c r="I308" s="3">
        <f t="shared" ca="1" si="319"/>
        <v>0</v>
      </c>
      <c r="J308">
        <f t="shared" ca="1" si="282"/>
        <v>1</v>
      </c>
      <c r="K308" s="2">
        <f t="shared" ca="1" si="283"/>
        <v>0.71835748628308815</v>
      </c>
      <c r="L308" s="2">
        <f t="shared" ref="L308" ca="1" si="337">+IFERROR(K308+0.03,"n.a.")</f>
        <v>0.74835748628308818</v>
      </c>
    </row>
    <row r="309" spans="1:12">
      <c r="A309" s="1">
        <f ca="1">+RANDBETWEEN(Apoyo!$P$2,Apoyo!$P$3)</f>
        <v>45948</v>
      </c>
      <c r="B309" s="1" t="str" cm="1">
        <f t="array" aca="1" ref="B309" ca="1">+INDEX(Apoyo!$B$2:$B$10,RANDBETWEEN(1,9))</f>
        <v>Ayacucho</v>
      </c>
      <c r="C309" t="s">
        <v>1</v>
      </c>
      <c r="D309" t="str" cm="1">
        <f t="array" aca="1" ref="D309" ca="1">+IF(OR($B309=Apoyo!$B$2,$B309=Apoyo!$B$6),"Lima",IF($B309=Apoyo!$B$10,INDEX(Apoyo!$D$2:$D$19,RANDBETWEEN(1,18)),IF(OR($B309&lt;&gt;Apoyo!$B$10,$B309&lt;&gt;Apoyo!$B$2,$B309&lt;&gt;Apoyo!$B$6),B309,0)))</f>
        <v>Ayacucho</v>
      </c>
      <c r="E309" t="str">
        <f t="shared" ref="E309" si="338">+IF(C309="Mujer","Femenino",2)</f>
        <v>Femenino</v>
      </c>
      <c r="F309">
        <f t="shared" ca="1" si="279"/>
        <v>32</v>
      </c>
      <c r="G309" t="s">
        <v>54</v>
      </c>
      <c r="H309" s="3">
        <f t="shared" ca="1" si="319"/>
        <v>1</v>
      </c>
      <c r="I309" s="3">
        <f t="shared" ca="1" si="319"/>
        <v>0</v>
      </c>
      <c r="J309">
        <f t="shared" ca="1" si="282"/>
        <v>0</v>
      </c>
      <c r="K309" s="2">
        <f t="shared" ca="1" si="283"/>
        <v>0.79451703876411162</v>
      </c>
      <c r="L309" s="2">
        <f t="shared" ref="L309" ca="1" si="339">+IFERROR(K309+0.05,"n.a.")</f>
        <v>0.84451703876411166</v>
      </c>
    </row>
    <row r="310" spans="1:12">
      <c r="A310" s="1">
        <f ca="1">+RANDBETWEEN(Apoyo!$P$2,Apoyo!$P$3)</f>
        <v>45960</v>
      </c>
      <c r="B310" s="1" t="str" cm="1">
        <f t="array" aca="1" ref="B310" ca="1">+INDEX(Apoyo!$B$2:$B$10,RANDBETWEEN(1,9))</f>
        <v>Puente Piedra-Ventanilla</v>
      </c>
      <c r="C310" t="s">
        <v>2</v>
      </c>
      <c r="D310" t="str" cm="1">
        <f t="array" aca="1" ref="D310" ca="1">+IF(OR($B310=Apoyo!$B$2,$B310=Apoyo!$B$6),"Lima",IF($B310=Apoyo!$B$10,INDEX(Apoyo!$D$2:$D$19,RANDBETWEEN(1,18)),IF(OR($B310&lt;&gt;Apoyo!$B$10,$B310&lt;&gt;Apoyo!$B$2,$B310&lt;&gt;Apoyo!$B$6),B310,0)))</f>
        <v>Lima</v>
      </c>
      <c r="E310" t="s">
        <v>44</v>
      </c>
      <c r="F310">
        <f t="shared" ca="1" si="279"/>
        <v>17</v>
      </c>
      <c r="G310" t="s">
        <v>54</v>
      </c>
      <c r="H310" s="3">
        <f t="shared" ca="1" si="319"/>
        <v>0</v>
      </c>
      <c r="I310" s="3">
        <f t="shared" ca="1" si="319"/>
        <v>1</v>
      </c>
      <c r="J310">
        <f t="shared" ca="1" si="282"/>
        <v>1</v>
      </c>
      <c r="K310" s="2">
        <f t="shared" ca="1" si="283"/>
        <v>0.13862909967605708</v>
      </c>
      <c r="L310" s="2">
        <f t="shared" ref="L310" ca="1" si="340">+IFERROR(K310+0.04,"n.a.")</f>
        <v>0.17862909967605708</v>
      </c>
    </row>
    <row r="311" spans="1:12">
      <c r="A311" s="1">
        <f ca="1">+RANDBETWEEN(Apoyo!$P$2,Apoyo!$P$3)</f>
        <v>45945</v>
      </c>
      <c r="B311" s="1" t="str" cm="1">
        <f t="array" aca="1" ref="B311" ca="1">+INDEX(Apoyo!$B$2:$B$10,RANDBETWEEN(1,9))</f>
        <v>Ucayali</v>
      </c>
      <c r="C311" t="s">
        <v>1</v>
      </c>
      <c r="D311" t="str" cm="1">
        <f t="array" aca="1" ref="D311" ca="1">+IF(OR($B311=Apoyo!$B$2,$B311=Apoyo!$B$6),"Lima",IF($B311=Apoyo!$B$10,INDEX(Apoyo!$D$2:$D$19,RANDBETWEEN(1,18)),IF(OR($B311&lt;&gt;Apoyo!$B$10,$B311&lt;&gt;Apoyo!$B$2,$B311&lt;&gt;Apoyo!$B$6),B311,0)))</f>
        <v>Ucayali</v>
      </c>
      <c r="E311" t="str">
        <f t="shared" ref="E311" si="341">+IF(C311="Mujer","Femenino",2)</f>
        <v>Femenino</v>
      </c>
      <c r="F311">
        <f t="shared" ca="1" si="279"/>
        <v>51</v>
      </c>
      <c r="G311" t="s">
        <v>54</v>
      </c>
      <c r="H311" s="3">
        <f t="shared" ca="1" si="319"/>
        <v>1</v>
      </c>
      <c r="I311" s="3">
        <f t="shared" ca="1" si="319"/>
        <v>0</v>
      </c>
      <c r="J311">
        <f t="shared" ca="1" si="282"/>
        <v>1</v>
      </c>
      <c r="K311" s="2">
        <f t="shared" ca="1" si="283"/>
        <v>0.49830722035223929</v>
      </c>
      <c r="L311" s="2">
        <f t="shared" ref="L311" ca="1" si="342">+IFERROR(K311+0.05,"n.a.")</f>
        <v>0.54830722035223933</v>
      </c>
    </row>
    <row r="312" spans="1:12">
      <c r="A312" s="1">
        <f ca="1">+RANDBETWEEN(Apoyo!$P$2,Apoyo!$P$3)</f>
        <v>45945</v>
      </c>
      <c r="B312" s="1" t="str" cm="1">
        <f t="array" aca="1" ref="B312" ca="1">+INDEX(Apoyo!$B$2:$B$10,RANDBETWEEN(1,9))</f>
        <v>Lima Norte</v>
      </c>
      <c r="C312" t="s">
        <v>1</v>
      </c>
      <c r="D312" t="str" cm="1">
        <f t="array" aca="1" ref="D312" ca="1">+IF(OR($B312=Apoyo!$B$2,$B312=Apoyo!$B$6),"Lima",IF($B312=Apoyo!$B$10,INDEX(Apoyo!$D$2:$D$19,RANDBETWEEN(1,18)),IF(OR($B312&lt;&gt;Apoyo!$B$10,$B312&lt;&gt;Apoyo!$B$2,$B312&lt;&gt;Apoyo!$B$6),B312,0)))</f>
        <v>Lima</v>
      </c>
      <c r="E312" t="str">
        <f>+IF(C312="Mujer","Femenino",2)</f>
        <v>Femenino</v>
      </c>
      <c r="F312">
        <f t="shared" ca="1" si="279"/>
        <v>47</v>
      </c>
      <c r="G312" t="s">
        <v>54</v>
      </c>
      <c r="H312" s="3">
        <f t="shared" ca="1" si="319"/>
        <v>1</v>
      </c>
      <c r="I312" s="3">
        <f t="shared" ca="1" si="319"/>
        <v>0</v>
      </c>
      <c r="J312">
        <f t="shared" ca="1" si="282"/>
        <v>1</v>
      </c>
      <c r="K312" s="2">
        <f t="shared" ca="1" si="283"/>
        <v>0.89817408822349609</v>
      </c>
      <c r="L312" s="2">
        <f t="shared" ref="L312:L313" ca="1" si="343">+IFERROR(K312+0.03,"n.a.")</f>
        <v>0.92817408822349612</v>
      </c>
    </row>
    <row r="313" spans="1:12">
      <c r="A313" s="1">
        <f ca="1">+RANDBETWEEN(Apoyo!$P$2,Apoyo!$P$3)</f>
        <v>45948</v>
      </c>
      <c r="B313" s="1" t="str" cm="1">
        <f t="array" aca="1" ref="B313" ca="1">+INDEX(Apoyo!$B$2:$B$10,RANDBETWEEN(1,9))</f>
        <v>Ucayali</v>
      </c>
      <c r="C313" t="s">
        <v>2</v>
      </c>
      <c r="D313" t="str" cm="1">
        <f t="array" aca="1" ref="D313" ca="1">+IF(OR($B313=Apoyo!$B$2,$B313=Apoyo!$B$6),"Lima",IF($B313=Apoyo!$B$10,INDEX(Apoyo!$D$2:$D$19,RANDBETWEEN(1,18)),IF(OR($B313&lt;&gt;Apoyo!$B$10,$B313&lt;&gt;Apoyo!$B$2,$B313&lt;&gt;Apoyo!$B$6),B313,0)))</f>
        <v>Ucayali</v>
      </c>
      <c r="E313" t="s">
        <v>43</v>
      </c>
      <c r="F313">
        <f t="shared" ca="1" si="279"/>
        <v>17</v>
      </c>
      <c r="G313" t="s">
        <v>54</v>
      </c>
      <c r="H313" s="3">
        <f t="shared" ca="1" si="319"/>
        <v>0</v>
      </c>
      <c r="I313" s="3">
        <f t="shared" ca="1" si="319"/>
        <v>1</v>
      </c>
      <c r="J313">
        <f t="shared" ca="1" si="282"/>
        <v>1</v>
      </c>
      <c r="K313" s="2">
        <f t="shared" ca="1" si="283"/>
        <v>0.79285198238744392</v>
      </c>
      <c r="L313" s="2">
        <f t="shared" ca="1" si="343"/>
        <v>0.82285198238744395</v>
      </c>
    </row>
    <row r="314" spans="1:12">
      <c r="A314" s="1">
        <f ca="1">+RANDBETWEEN(Apoyo!$P$2,Apoyo!$P$3)</f>
        <v>45960</v>
      </c>
      <c r="B314" s="1" t="str" cm="1">
        <f t="array" aca="1" ref="B314" ca="1">+INDEX(Apoyo!$B$2:$B$10,RANDBETWEEN(1,9))</f>
        <v>Resto del Perú</v>
      </c>
      <c r="C314" t="s">
        <v>2</v>
      </c>
      <c r="D314" t="str" cm="1">
        <f t="array" aca="1" ref="D314" ca="1">+IF(OR($B314=Apoyo!$B$2,$B314=Apoyo!$B$6),"Lima",IF($B314=Apoyo!$B$10,INDEX(Apoyo!$D$2:$D$19,RANDBETWEEN(1,18)),IF(OR($B314&lt;&gt;Apoyo!$B$10,$B314&lt;&gt;Apoyo!$B$2,$B314&lt;&gt;Apoyo!$B$6),B314,0)))</f>
        <v>Moquegua</v>
      </c>
      <c r="E314" t="s">
        <v>44</v>
      </c>
      <c r="F314">
        <f t="shared" ca="1" si="279"/>
        <v>17</v>
      </c>
      <c r="G314" t="s">
        <v>54</v>
      </c>
      <c r="H314" s="3">
        <f t="shared" ca="1" si="319"/>
        <v>0</v>
      </c>
      <c r="I314" s="3">
        <f t="shared" ca="1" si="319"/>
        <v>0</v>
      </c>
      <c r="J314">
        <f t="shared" ca="1" si="282"/>
        <v>0</v>
      </c>
      <c r="K314" s="2">
        <f t="shared" ca="1" si="283"/>
        <v>0.55247683356725152</v>
      </c>
      <c r="L314" s="2">
        <f t="shared" ref="L314" ca="1" si="344">+IFERROR(K314+0.04,"n.a.")</f>
        <v>0.59247683356725156</v>
      </c>
    </row>
    <row r="315" spans="1:12">
      <c r="A315" s="1">
        <f ca="1">+RANDBETWEEN(Apoyo!$P$2,Apoyo!$P$3)</f>
        <v>45947</v>
      </c>
      <c r="B315" s="1" t="str" cm="1">
        <f t="array" aca="1" ref="B315" ca="1">+INDEX(Apoyo!$B$2:$B$10,RANDBETWEEN(1,9))</f>
        <v>Ayacucho</v>
      </c>
      <c r="C315" t="s">
        <v>1</v>
      </c>
      <c r="D315" t="str" cm="1">
        <f t="array" aca="1" ref="D315" ca="1">+IF(OR($B315=Apoyo!$B$2,$B315=Apoyo!$B$6),"Lima",IF($B315=Apoyo!$B$10,INDEX(Apoyo!$D$2:$D$19,RANDBETWEEN(1,18)),IF(OR($B315&lt;&gt;Apoyo!$B$10,$B315&lt;&gt;Apoyo!$B$2,$B315&lt;&gt;Apoyo!$B$6),B315,0)))</f>
        <v>Ayacucho</v>
      </c>
      <c r="E315" t="str">
        <f t="shared" ref="E315:E316" si="345">+IF(C315="Mujer","Femenino",2)</f>
        <v>Femenino</v>
      </c>
      <c r="F315">
        <f t="shared" ca="1" si="279"/>
        <v>32</v>
      </c>
      <c r="G315" t="s">
        <v>54</v>
      </c>
      <c r="H315" s="3">
        <f t="shared" ca="1" si="319"/>
        <v>0</v>
      </c>
      <c r="I315" s="3">
        <f t="shared" ca="1" si="319"/>
        <v>0</v>
      </c>
      <c r="J315">
        <f t="shared" ca="1" si="282"/>
        <v>0</v>
      </c>
      <c r="K315" s="2">
        <f t="shared" ca="1" si="283"/>
        <v>0.86991405824094359</v>
      </c>
      <c r="L315" s="2">
        <f t="shared" ref="L315" ca="1" si="346">+IFERROR(K315+0.05,"n.a.")</f>
        <v>0.91991405824094363</v>
      </c>
    </row>
    <row r="316" spans="1:12">
      <c r="A316" s="1">
        <f ca="1">+RANDBETWEEN(Apoyo!$P$2,Apoyo!$P$3)</f>
        <v>45945</v>
      </c>
      <c r="B316" s="1" t="str" cm="1">
        <f t="array" aca="1" ref="B316" ca="1">+INDEX(Apoyo!$B$2:$B$10,RANDBETWEEN(1,9))</f>
        <v>Cajamarca</v>
      </c>
      <c r="C316" t="s">
        <v>1</v>
      </c>
      <c r="D316" t="str" cm="1">
        <f t="array" aca="1" ref="D316" ca="1">+IF(OR($B316=Apoyo!$B$2,$B316=Apoyo!$B$6),"Lima",IF($B316=Apoyo!$B$10,INDEX(Apoyo!$D$2:$D$19,RANDBETWEEN(1,18)),IF(OR($B316&lt;&gt;Apoyo!$B$10,$B316&lt;&gt;Apoyo!$B$2,$B316&lt;&gt;Apoyo!$B$6),B316,0)))</f>
        <v>Cajamarca</v>
      </c>
      <c r="E316" t="str">
        <f t="shared" si="345"/>
        <v>Femenino</v>
      </c>
      <c r="F316">
        <f t="shared" ca="1" si="279"/>
        <v>53</v>
      </c>
      <c r="G316" t="str">
        <f ca="1">+CHOOSE(RANDBETWEEN(1,5),Apoyo!$E$3,Apoyo!$E$4,Apoyo!$E$5,Apoyo!$E$6,Apoyo!$E$7)</f>
        <v>Incompleta</v>
      </c>
      <c r="H316" s="3">
        <f t="shared" ca="1" si="319"/>
        <v>0</v>
      </c>
      <c r="I316" s="3">
        <f t="shared" ca="1" si="319"/>
        <v>0</v>
      </c>
      <c r="J316">
        <f t="shared" ca="1" si="282"/>
        <v>0</v>
      </c>
      <c r="K316" s="2" t="str">
        <f t="shared" ca="1" si="283"/>
        <v>n.a.</v>
      </c>
      <c r="L316" s="2" t="str">
        <f t="shared" ref="L316:L317" ca="1" si="347">+IFERROR(K316+0.03,"n.a.")</f>
        <v>n.a.</v>
      </c>
    </row>
    <row r="317" spans="1:12">
      <c r="A317" s="1">
        <f ca="1">+RANDBETWEEN(Apoyo!$P$2,Apoyo!$P$3)</f>
        <v>45960</v>
      </c>
      <c r="B317" s="1" t="str" cm="1">
        <f t="array" aca="1" ref="B317" ca="1">+INDEX(Apoyo!$B$2:$B$10,RANDBETWEEN(1,9))</f>
        <v>Ucayali</v>
      </c>
      <c r="C317" t="s">
        <v>2</v>
      </c>
      <c r="D317" t="str" cm="1">
        <f t="array" aca="1" ref="D317" ca="1">+IF(OR($B317=Apoyo!$B$2,$B317=Apoyo!$B$6),"Lima",IF($B317=Apoyo!$B$10,INDEX(Apoyo!$D$2:$D$19,RANDBETWEEN(1,18)),IF(OR($B317&lt;&gt;Apoyo!$B$10,$B317&lt;&gt;Apoyo!$B$2,$B317&lt;&gt;Apoyo!$B$6),B317,0)))</f>
        <v>Ucayali</v>
      </c>
      <c r="E317" t="s">
        <v>44</v>
      </c>
      <c r="F317">
        <f t="shared" ca="1" si="279"/>
        <v>14</v>
      </c>
      <c r="G317" t="str">
        <f ca="1">+CHOOSE(RANDBETWEEN(1,5),Apoyo!$E$3,Apoyo!$E$4,Apoyo!$E$5,Apoyo!$E$6,Apoyo!$E$7)</f>
        <v>Otro</v>
      </c>
      <c r="H317" s="3">
        <f t="shared" ca="1" si="319"/>
        <v>0</v>
      </c>
      <c r="I317" s="3">
        <f t="shared" ca="1" si="319"/>
        <v>0</v>
      </c>
      <c r="J317">
        <f t="shared" ca="1" si="282"/>
        <v>0</v>
      </c>
      <c r="K317" s="2" t="str">
        <f t="shared" ca="1" si="283"/>
        <v>n.a.</v>
      </c>
      <c r="L317" s="2" t="str">
        <f t="shared" ca="1" si="347"/>
        <v>n.a.</v>
      </c>
    </row>
    <row r="318" spans="1:12">
      <c r="A318" s="1">
        <f ca="1">+RANDBETWEEN(Apoyo!$P$2,Apoyo!$P$3)</f>
        <v>45948</v>
      </c>
      <c r="B318" s="1" t="str" cm="1">
        <f t="array" aca="1" ref="B318" ca="1">+INDEX(Apoyo!$B$2:$B$10,RANDBETWEEN(1,9))</f>
        <v>Resto del Perú</v>
      </c>
      <c r="C318" t="s">
        <v>2</v>
      </c>
      <c r="D318" t="str" cm="1">
        <f t="array" aca="1" ref="D318" ca="1">+IF(OR($B318=Apoyo!$B$2,$B318=Apoyo!$B$6),"Lima",IF($B318=Apoyo!$B$10,INDEX(Apoyo!$D$2:$D$19,RANDBETWEEN(1,18)),IF(OR($B318&lt;&gt;Apoyo!$B$10,$B318&lt;&gt;Apoyo!$B$2,$B318&lt;&gt;Apoyo!$B$6),B318,0)))</f>
        <v>Pasco</v>
      </c>
      <c r="E318" t="s">
        <v>43</v>
      </c>
      <c r="F318">
        <f t="shared" ca="1" si="279"/>
        <v>14</v>
      </c>
      <c r="G318" t="s">
        <v>54</v>
      </c>
      <c r="H318" s="3">
        <f t="shared" ca="1" si="319"/>
        <v>1</v>
      </c>
      <c r="I318" s="3">
        <f t="shared" ca="1" si="319"/>
        <v>0</v>
      </c>
      <c r="J318">
        <f t="shared" ca="1" si="282"/>
        <v>0</v>
      </c>
      <c r="K318" s="2">
        <f t="shared" ca="1" si="283"/>
        <v>0.67064557840700811</v>
      </c>
      <c r="L318" s="2">
        <f t="shared" ca="1" si="322"/>
        <v>0.71064557840700815</v>
      </c>
    </row>
    <row r="319" spans="1:12">
      <c r="A319" s="1">
        <f ca="1">+RANDBETWEEN(Apoyo!$P$2,Apoyo!$P$3)</f>
        <v>45948</v>
      </c>
      <c r="B319" s="1" t="str" cm="1">
        <f t="array" aca="1" ref="B319" ca="1">+INDEX(Apoyo!$B$2:$B$10,RANDBETWEEN(1,9))</f>
        <v>Cajamarca</v>
      </c>
      <c r="C319" t="s">
        <v>1</v>
      </c>
      <c r="D319" t="str" cm="1">
        <f t="array" aca="1" ref="D319" ca="1">+IF(OR($B319=Apoyo!$B$2,$B319=Apoyo!$B$6),"Lima",IF($B319=Apoyo!$B$10,INDEX(Apoyo!$D$2:$D$19,RANDBETWEEN(1,18)),IF(OR($B319&lt;&gt;Apoyo!$B$10,$B319&lt;&gt;Apoyo!$B$2,$B319&lt;&gt;Apoyo!$B$6),B319,0)))</f>
        <v>Cajamarca</v>
      </c>
      <c r="E319" t="str">
        <f t="shared" ref="E319" si="348">+IF(C319="Mujer","Femenino",2)</f>
        <v>Femenino</v>
      </c>
      <c r="F319">
        <f t="shared" ca="1" si="279"/>
        <v>36</v>
      </c>
      <c r="G319" t="str">
        <f ca="1">+CHOOSE(RANDBETWEEN(1,5),Apoyo!$E$3,Apoyo!$E$4,Apoyo!$E$5,Apoyo!$E$6,Apoyo!$E$7)</f>
        <v>Aplazada</v>
      </c>
      <c r="H319" s="3">
        <f t="shared" ca="1" si="319"/>
        <v>0</v>
      </c>
      <c r="I319" s="3">
        <f t="shared" ca="1" si="319"/>
        <v>0</v>
      </c>
      <c r="J319">
        <f t="shared" ca="1" si="282"/>
        <v>0</v>
      </c>
      <c r="K319" s="2" t="str">
        <f t="shared" ca="1" si="283"/>
        <v>n.a.</v>
      </c>
      <c r="L319" s="2" t="str">
        <f t="shared" ref="L319" ca="1" si="349">+IFERROR(K319+0.06,"n.a.")</f>
        <v>n.a.</v>
      </c>
    </row>
    <row r="320" spans="1:12">
      <c r="A320" s="1">
        <f ca="1">+RANDBETWEEN(Apoyo!$P$2,Apoyo!$P$3)</f>
        <v>45947</v>
      </c>
      <c r="B320" s="1" t="str" cm="1">
        <f t="array" aca="1" ref="B320" ca="1">+INDEX(Apoyo!$B$2:$B$10,RANDBETWEEN(1,9))</f>
        <v>Ayacucho</v>
      </c>
      <c r="C320" t="s">
        <v>2</v>
      </c>
      <c r="D320" t="str" cm="1">
        <f t="array" aca="1" ref="D320" ca="1">+IF(OR($B320=Apoyo!$B$2,$B320=Apoyo!$B$6),"Lima",IF($B320=Apoyo!$B$10,INDEX(Apoyo!$D$2:$D$19,RANDBETWEEN(1,18)),IF(OR($B320&lt;&gt;Apoyo!$B$10,$B320&lt;&gt;Apoyo!$B$2,$B320&lt;&gt;Apoyo!$B$6),B320,0)))</f>
        <v>Ayacucho</v>
      </c>
      <c r="E320" t="s">
        <v>44</v>
      </c>
      <c r="F320">
        <f t="shared" ca="1" si="279"/>
        <v>17</v>
      </c>
      <c r="G320" t="s">
        <v>54</v>
      </c>
      <c r="H320" s="3">
        <f t="shared" ca="1" si="319"/>
        <v>0</v>
      </c>
      <c r="I320" s="3">
        <f t="shared" ca="1" si="319"/>
        <v>1</v>
      </c>
      <c r="J320">
        <f t="shared" ca="1" si="282"/>
        <v>1</v>
      </c>
      <c r="K320" s="2">
        <f t="shared" ca="1" si="283"/>
        <v>0.66730627068401849</v>
      </c>
      <c r="L320" s="2">
        <f t="shared" ref="L320" ca="1" si="350">+IFERROR(K320+0.03,"n.a.")</f>
        <v>0.69730627068401851</v>
      </c>
    </row>
    <row r="321" spans="1:12">
      <c r="A321" s="1">
        <f ca="1">+RANDBETWEEN(Apoyo!$P$2,Apoyo!$P$3)</f>
        <v>45954</v>
      </c>
      <c r="B321" s="1" t="str" cm="1">
        <f t="array" aca="1" ref="B321" ca="1">+INDEX(Apoyo!$B$2:$B$10,RANDBETWEEN(1,9))</f>
        <v>Loreto</v>
      </c>
      <c r="C321" t="s">
        <v>1</v>
      </c>
      <c r="D321" t="str" cm="1">
        <f t="array" aca="1" ref="D321" ca="1">+IF(OR($B321=Apoyo!$B$2,$B321=Apoyo!$B$6),"Lima",IF($B321=Apoyo!$B$10,INDEX(Apoyo!$D$2:$D$19,RANDBETWEEN(1,18)),IF(OR($B321&lt;&gt;Apoyo!$B$10,$B321&lt;&gt;Apoyo!$B$2,$B321&lt;&gt;Apoyo!$B$6),B321,0)))</f>
        <v>Loreto</v>
      </c>
      <c r="E321" t="str">
        <f t="shared" ref="E321" si="351">+IF(C321="Mujer","Femenino",2)</f>
        <v>Femenino</v>
      </c>
      <c r="F321">
        <f t="shared" ca="1" si="279"/>
        <v>23</v>
      </c>
      <c r="G321" t="str">
        <f ca="1">+CHOOSE(RANDBETWEEN(1,5),Apoyo!$E$3,Apoyo!$E$4,Apoyo!$E$5,Apoyo!$E$6,Apoyo!$E$7)</f>
        <v>Ausente</v>
      </c>
      <c r="H321" s="3">
        <f t="shared" ca="1" si="319"/>
        <v>0</v>
      </c>
      <c r="I321" s="3">
        <f t="shared" ca="1" si="319"/>
        <v>0</v>
      </c>
      <c r="J321">
        <f t="shared" ca="1" si="282"/>
        <v>0</v>
      </c>
      <c r="K321" s="2" t="str">
        <f t="shared" ca="1" si="283"/>
        <v>n.a.</v>
      </c>
      <c r="L321" s="2" t="str">
        <f t="shared" ref="L321" ca="1" si="352">+IFERROR(K321+0.05,"n.a.")</f>
        <v>n.a.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9375-103B-4B99-98EE-0BA77313F284}">
  <sheetPr>
    <tabColor theme="0" tint="-0.14999847407452621"/>
  </sheetPr>
  <dimension ref="B1:R19"/>
  <sheetViews>
    <sheetView topLeftCell="M1" workbookViewId="0">
      <selection activeCell="R2" sqref="R2"/>
    </sheetView>
  </sheetViews>
  <sheetFormatPr defaultColWidth="11.19921875" defaultRowHeight="13.8"/>
  <sheetData>
    <row r="1" spans="2:18">
      <c r="B1" t="s">
        <v>5</v>
      </c>
      <c r="C1" t="s">
        <v>18</v>
      </c>
      <c r="D1" t="s">
        <v>6</v>
      </c>
      <c r="E1" t="s">
        <v>50</v>
      </c>
      <c r="F1" t="s">
        <v>56</v>
      </c>
      <c r="G1" t="s">
        <v>59</v>
      </c>
      <c r="H1" t="s">
        <v>62</v>
      </c>
      <c r="I1" t="s">
        <v>64</v>
      </c>
      <c r="J1" t="s">
        <v>42</v>
      </c>
      <c r="K1" t="s">
        <v>71</v>
      </c>
      <c r="L1" t="s">
        <v>75</v>
      </c>
      <c r="M1" t="s">
        <v>86</v>
      </c>
      <c r="N1" t="s">
        <v>81</v>
      </c>
      <c r="O1" t="s">
        <v>80</v>
      </c>
      <c r="P1" t="s">
        <v>88</v>
      </c>
      <c r="Q1" t="s">
        <v>50</v>
      </c>
      <c r="R1" t="s">
        <v>79</v>
      </c>
    </row>
    <row r="2" spans="2:18">
      <c r="B2" s="1" t="s">
        <v>8</v>
      </c>
      <c r="C2" t="s">
        <v>16</v>
      </c>
      <c r="D2" t="s">
        <v>20</v>
      </c>
      <c r="E2" t="s">
        <v>54</v>
      </c>
      <c r="F2" t="s">
        <v>57</v>
      </c>
      <c r="G2" t="s">
        <v>60</v>
      </c>
      <c r="I2" t="s">
        <v>67</v>
      </c>
      <c r="J2" t="s">
        <v>65</v>
      </c>
      <c r="K2" t="s">
        <v>72</v>
      </c>
      <c r="L2" t="s">
        <v>76</v>
      </c>
      <c r="M2" s="8">
        <v>0.375</v>
      </c>
      <c r="N2">
        <v>1</v>
      </c>
      <c r="O2" t="s">
        <v>51</v>
      </c>
      <c r="P2" s="1">
        <v>45945</v>
      </c>
      <c r="Q2" t="s">
        <v>54</v>
      </c>
      <c r="R2">
        <v>30</v>
      </c>
    </row>
    <row r="3" spans="2:18">
      <c r="B3" s="1" t="s">
        <v>9</v>
      </c>
      <c r="C3" t="s">
        <v>16</v>
      </c>
      <c r="D3" t="s">
        <v>21</v>
      </c>
      <c r="E3" t="s">
        <v>45</v>
      </c>
      <c r="F3" t="s">
        <v>58</v>
      </c>
      <c r="G3" t="s">
        <v>61</v>
      </c>
      <c r="I3" t="s">
        <v>68</v>
      </c>
      <c r="J3" t="s">
        <v>1</v>
      </c>
      <c r="K3" t="s">
        <v>73</v>
      </c>
      <c r="L3" t="s">
        <v>77</v>
      </c>
      <c r="M3" s="8">
        <v>0.75</v>
      </c>
      <c r="N3">
        <v>8</v>
      </c>
      <c r="O3" t="s">
        <v>52</v>
      </c>
      <c r="P3" s="1">
        <v>45960</v>
      </c>
      <c r="Q3" t="s">
        <v>48</v>
      </c>
      <c r="R3">
        <v>50</v>
      </c>
    </row>
    <row r="4" spans="2:18">
      <c r="B4" s="1" t="s">
        <v>10</v>
      </c>
      <c r="C4" t="s">
        <v>16</v>
      </c>
      <c r="D4" t="s">
        <v>22</v>
      </c>
      <c r="E4" t="s">
        <v>46</v>
      </c>
      <c r="G4" t="s">
        <v>47</v>
      </c>
      <c r="I4" t="s">
        <v>69</v>
      </c>
      <c r="L4" t="s">
        <v>76</v>
      </c>
      <c r="O4" t="s">
        <v>87</v>
      </c>
    </row>
    <row r="5" spans="2:18">
      <c r="B5" s="1" t="s">
        <v>11</v>
      </c>
      <c r="C5" t="s">
        <v>16</v>
      </c>
      <c r="D5" t="s">
        <v>23</v>
      </c>
      <c r="E5" t="s">
        <v>47</v>
      </c>
      <c r="I5" t="s">
        <v>70</v>
      </c>
      <c r="O5" t="s">
        <v>51</v>
      </c>
    </row>
    <row r="6" spans="2:18">
      <c r="B6" s="1" t="s">
        <v>12</v>
      </c>
      <c r="C6" t="s">
        <v>17</v>
      </c>
      <c r="D6" t="s">
        <v>24</v>
      </c>
      <c r="E6" t="s">
        <v>48</v>
      </c>
      <c r="O6" t="s">
        <v>51</v>
      </c>
    </row>
    <row r="7" spans="2:18">
      <c r="B7" s="1" t="s">
        <v>13</v>
      </c>
      <c r="C7" t="s">
        <v>17</v>
      </c>
      <c r="D7" t="s">
        <v>25</v>
      </c>
      <c r="E7" t="s">
        <v>49</v>
      </c>
      <c r="O7" t="s">
        <v>51</v>
      </c>
    </row>
    <row r="8" spans="2:18">
      <c r="B8" s="1" t="s">
        <v>14</v>
      </c>
      <c r="C8" t="s">
        <v>17</v>
      </c>
      <c r="D8" t="s">
        <v>26</v>
      </c>
      <c r="O8" t="s">
        <v>51</v>
      </c>
    </row>
    <row r="9" spans="2:18">
      <c r="B9" s="1" t="s">
        <v>15</v>
      </c>
      <c r="C9" t="s">
        <v>17</v>
      </c>
      <c r="D9" t="s">
        <v>27</v>
      </c>
      <c r="O9" t="s">
        <v>52</v>
      </c>
    </row>
    <row r="10" spans="2:18">
      <c r="B10" s="1" t="s">
        <v>19</v>
      </c>
      <c r="C10" t="s">
        <v>19</v>
      </c>
      <c r="D10" t="s">
        <v>28</v>
      </c>
    </row>
    <row r="11" spans="2:18">
      <c r="D11" t="s">
        <v>29</v>
      </c>
    </row>
    <row r="12" spans="2:18">
      <c r="D12" t="s">
        <v>30</v>
      </c>
    </row>
    <row r="13" spans="2:18">
      <c r="D13" t="s">
        <v>31</v>
      </c>
    </row>
    <row r="14" spans="2:18">
      <c r="D14" t="s">
        <v>32</v>
      </c>
    </row>
    <row r="15" spans="2:18">
      <c r="D15" t="s">
        <v>33</v>
      </c>
    </row>
    <row r="16" spans="2:18">
      <c r="D16" t="s">
        <v>34</v>
      </c>
    </row>
    <row r="17" spans="4:4">
      <c r="D17" t="s">
        <v>35</v>
      </c>
    </row>
    <row r="18" spans="4:4">
      <c r="D18" t="s">
        <v>36</v>
      </c>
    </row>
    <row r="19" spans="4:4">
      <c r="D19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854AC-3960-4F1E-8162-D9A1EB5EEB23}">
  <sheetPr>
    <tabColor theme="0" tint="-0.14999847407452621"/>
  </sheetPr>
  <dimension ref="A1:B102"/>
  <sheetViews>
    <sheetView tabSelected="1" workbookViewId="0">
      <selection sqref="A1:B1048576"/>
    </sheetView>
  </sheetViews>
  <sheetFormatPr defaultColWidth="11.19921875" defaultRowHeight="13.8"/>
  <cols>
    <col min="1" max="2" width="10.796875" style="4"/>
  </cols>
  <sheetData>
    <row r="1" spans="1:2">
      <c r="A1" s="4" t="s">
        <v>38</v>
      </c>
      <c r="B1" s="4" t="s">
        <v>39</v>
      </c>
    </row>
    <row r="2" spans="1:2">
      <c r="A2" s="4">
        <v>0.10651924675531294</v>
      </c>
      <c r="B2" s="4">
        <v>0.12478932759665948</v>
      </c>
    </row>
    <row r="3" spans="1:2">
      <c r="A3" s="4">
        <v>0.11457889195333235</v>
      </c>
      <c r="B3" s="4">
        <v>9.1374209757901087E-2</v>
      </c>
    </row>
    <row r="4" spans="1:2">
      <c r="A4" s="4">
        <v>3.1403202119967645E-2</v>
      </c>
      <c r="B4" s="4">
        <v>4.145454394753248E-2</v>
      </c>
    </row>
    <row r="5" spans="1:2">
      <c r="A5" s="4">
        <v>0.10371877402837197</v>
      </c>
      <c r="B5" s="4">
        <v>0.12688141346404319</v>
      </c>
    </row>
    <row r="6" spans="1:2">
      <c r="A6" s="4">
        <v>0.14905358658406567</v>
      </c>
      <c r="B6" s="4">
        <v>4.7168073280939575E-2</v>
      </c>
    </row>
    <row r="7" spans="1:2">
      <c r="A7" s="4">
        <v>4.7819045324227753E-2</v>
      </c>
      <c r="B7" s="4">
        <v>1.6255922128492039E-2</v>
      </c>
    </row>
    <row r="8" spans="1:2">
      <c r="A8" s="4">
        <v>0.11355041456429289</v>
      </c>
      <c r="B8" s="4">
        <v>0.10319095009623951</v>
      </c>
    </row>
    <row r="9" spans="1:2">
      <c r="A9" s="4">
        <v>0.13040050478447296</v>
      </c>
      <c r="B9" s="4">
        <v>7.638455499276435E-2</v>
      </c>
    </row>
    <row r="10" spans="1:2">
      <c r="A10" s="4">
        <v>4.8252042398532619E-2</v>
      </c>
      <c r="B10" s="4">
        <v>1.5243170189958282E-2</v>
      </c>
    </row>
    <row r="11" spans="1:2">
      <c r="A11" s="4">
        <v>0.10562484439335369</v>
      </c>
      <c r="B11" s="4">
        <v>1.3947177971341278E-2</v>
      </c>
    </row>
    <row r="12" spans="1:2">
      <c r="A12" s="4">
        <v>7.2415369378755728E-2</v>
      </c>
      <c r="B12" s="4">
        <v>0.1357993037863959</v>
      </c>
    </row>
    <row r="13" spans="1:2">
      <c r="A13" s="4">
        <v>2.56845698235834E-2</v>
      </c>
      <c r="B13" s="4">
        <v>0.12111389481848282</v>
      </c>
    </row>
    <row r="14" spans="1:2">
      <c r="A14" s="4">
        <v>9.5723389481793264E-2</v>
      </c>
      <c r="B14" s="4">
        <v>1.2569660830114635E-2</v>
      </c>
    </row>
    <row r="15" spans="1:2">
      <c r="A15" s="4">
        <v>7.7208005791285492E-2</v>
      </c>
      <c r="B15" s="4">
        <v>3.3200211076469102E-2</v>
      </c>
    </row>
    <row r="16" spans="1:2">
      <c r="A16" s="4">
        <v>7.4967998652939905E-2</v>
      </c>
      <c r="B16" s="4">
        <v>1.3488752216717694E-2</v>
      </c>
    </row>
    <row r="17" spans="1:2">
      <c r="A17" s="4">
        <v>0.13608645752733492</v>
      </c>
      <c r="B17" s="4">
        <v>0.14591773367314634</v>
      </c>
    </row>
    <row r="18" spans="1:2">
      <c r="A18" s="4">
        <v>1.4707182159539797E-2</v>
      </c>
      <c r="B18" s="4">
        <v>0.10228120040862129</v>
      </c>
    </row>
    <row r="19" spans="1:2">
      <c r="A19" s="4">
        <v>2.2122133363624098E-2</v>
      </c>
      <c r="B19" s="4">
        <v>4.7307935924101201E-2</v>
      </c>
    </row>
    <row r="20" spans="1:2">
      <c r="A20" s="4">
        <v>0.13755995315887606</v>
      </c>
      <c r="B20" s="4">
        <v>7.6751944325699623E-2</v>
      </c>
    </row>
    <row r="21" spans="1:2">
      <c r="A21" s="4">
        <v>6.0676480341451185E-2</v>
      </c>
      <c r="B21" s="4">
        <v>0.10139841395994142</v>
      </c>
    </row>
    <row r="22" spans="1:2">
      <c r="A22" s="4">
        <v>9.044520321674468E-2</v>
      </c>
      <c r="B22" s="4">
        <v>2.1119863003499252E-2</v>
      </c>
    </row>
    <row r="23" spans="1:2">
      <c r="A23" s="4">
        <v>7.736910016439974E-2</v>
      </c>
      <c r="B23" s="4">
        <v>3.9699460868129567E-2</v>
      </c>
    </row>
    <row r="24" spans="1:2">
      <c r="A24" s="4">
        <v>2.4456094869052036E-2</v>
      </c>
      <c r="B24" s="4">
        <v>2.4328455473320583E-2</v>
      </c>
    </row>
    <row r="25" spans="1:2">
      <c r="A25" s="4">
        <v>5.4926653181813029E-2</v>
      </c>
      <c r="B25" s="4">
        <v>8.0141594605201663E-2</v>
      </c>
    </row>
    <row r="26" spans="1:2">
      <c r="A26" s="4">
        <v>3.287132593761033E-2</v>
      </c>
      <c r="B26" s="4">
        <v>5.2151950602658897E-2</v>
      </c>
    </row>
    <row r="27" spans="1:2">
      <c r="A27" s="4">
        <v>3.8565017191386955E-2</v>
      </c>
      <c r="B27" s="4">
        <v>0.11069934206219519</v>
      </c>
    </row>
    <row r="28" spans="1:2">
      <c r="A28" s="4">
        <v>4.2743634992148352E-2</v>
      </c>
      <c r="B28" s="4">
        <v>4.9265296509746398E-2</v>
      </c>
    </row>
    <row r="29" spans="1:2">
      <c r="A29" s="4">
        <v>0.14364842627194843</v>
      </c>
      <c r="B29" s="4">
        <v>3.4861457087157009E-2</v>
      </c>
    </row>
    <row r="30" spans="1:2">
      <c r="A30" s="4">
        <v>0.13071797342661207</v>
      </c>
      <c r="B30" s="4">
        <v>2.235938983748114E-2</v>
      </c>
    </row>
    <row r="31" spans="1:2">
      <c r="A31" s="4">
        <v>3.8677439893206739E-2</v>
      </c>
      <c r="B31" s="4">
        <v>0.12481799888134952</v>
      </c>
    </row>
    <row r="32" spans="1:2">
      <c r="A32" s="4">
        <v>0.11432815060128536</v>
      </c>
      <c r="B32" s="4">
        <v>3.7144633573736659E-2</v>
      </c>
    </row>
    <row r="33" spans="1:2">
      <c r="A33" s="4">
        <v>7.4878379809141402E-2</v>
      </c>
      <c r="B33" s="4">
        <v>4.7356632273487929E-2</v>
      </c>
    </row>
    <row r="34" spans="1:2">
      <c r="A34" s="4">
        <v>0.121103939878047</v>
      </c>
      <c r="B34" s="4">
        <v>0.12278340830779154</v>
      </c>
    </row>
    <row r="35" spans="1:2">
      <c r="A35" s="4">
        <v>0.10890228468116087</v>
      </c>
      <c r="B35" s="4">
        <v>6.1945542790664006E-2</v>
      </c>
    </row>
    <row r="36" spans="1:2">
      <c r="A36" s="4">
        <v>0.13590724295290652</v>
      </c>
      <c r="B36" s="4">
        <v>0.12237043211687398</v>
      </c>
    </row>
    <row r="37" spans="1:2">
      <c r="A37" s="4">
        <v>4.3976144340206649E-2</v>
      </c>
      <c r="B37" s="4">
        <v>9.2069623698645991E-2</v>
      </c>
    </row>
    <row r="38" spans="1:2">
      <c r="A38" s="4">
        <v>0.1330035097196407</v>
      </c>
      <c r="B38" s="4">
        <v>1.4734989602058705E-2</v>
      </c>
    </row>
    <row r="39" spans="1:2">
      <c r="A39" s="4">
        <v>2.8276434166290873E-2</v>
      </c>
      <c r="B39" s="4">
        <v>5.5335410131280183E-2</v>
      </c>
    </row>
    <row r="40" spans="1:2">
      <c r="A40" s="4">
        <v>0.13593200073811287</v>
      </c>
      <c r="B40" s="4">
        <v>2.7451947231136295E-2</v>
      </c>
    </row>
    <row r="41" spans="1:2">
      <c r="A41" s="4">
        <v>0.1486530349225392</v>
      </c>
      <c r="B41" s="4">
        <v>6.9355293844735669E-2</v>
      </c>
    </row>
    <row r="42" spans="1:2">
      <c r="A42" s="4">
        <v>1.7020055666886847E-2</v>
      </c>
      <c r="B42" s="4">
        <v>1.9440695117453805E-2</v>
      </c>
    </row>
    <row r="43" spans="1:2">
      <c r="A43" s="4">
        <v>2.1795607677955547E-2</v>
      </c>
      <c r="B43" s="4">
        <v>9.0415730072960832E-2</v>
      </c>
    </row>
    <row r="44" spans="1:2">
      <c r="A44" s="4">
        <v>1.2525613516955195E-2</v>
      </c>
      <c r="B44" s="4">
        <v>5.0034155324783357E-2</v>
      </c>
    </row>
    <row r="45" spans="1:2">
      <c r="A45" s="4">
        <v>1.7497144136556154E-2</v>
      </c>
      <c r="B45" s="4">
        <v>1.5586995753702218E-2</v>
      </c>
    </row>
    <row r="46" spans="1:2">
      <c r="A46" s="4">
        <v>7.1825024444183719E-2</v>
      </c>
      <c r="B46" s="4">
        <v>4.8275738975911163E-2</v>
      </c>
    </row>
    <row r="47" spans="1:2">
      <c r="A47" s="4">
        <v>0.13903207273850948</v>
      </c>
      <c r="B47" s="4">
        <v>8.7250261036192794E-2</v>
      </c>
    </row>
    <row r="48" spans="1:2">
      <c r="A48" s="4">
        <v>9.5944643442003583E-2</v>
      </c>
      <c r="B48" s="4">
        <v>1.8688090810170244E-2</v>
      </c>
    </row>
    <row r="49" spans="1:2">
      <c r="A49" s="4">
        <v>0.13295207424316749</v>
      </c>
      <c r="B49" s="4">
        <v>2.2434746771730386E-2</v>
      </c>
    </row>
    <row r="50" spans="1:2">
      <c r="A50" s="4">
        <v>0.14336224678284493</v>
      </c>
      <c r="B50" s="4">
        <v>4.6743071368579615E-2</v>
      </c>
    </row>
    <row r="51" spans="1:2">
      <c r="A51" s="4">
        <v>4.8183490797672611E-2</v>
      </c>
      <c r="B51" s="4">
        <v>0.11508468391084675</v>
      </c>
    </row>
    <row r="52" spans="1:2">
      <c r="A52" s="4">
        <v>0.14405142616198821</v>
      </c>
      <c r="B52" s="4">
        <v>0.12455763607983908</v>
      </c>
    </row>
    <row r="53" spans="1:2">
      <c r="A53" s="4">
        <v>6.0277096166831988E-2</v>
      </c>
      <c r="B53" s="4">
        <v>2.0959749308838031E-2</v>
      </c>
    </row>
    <row r="54" spans="1:2">
      <c r="A54" s="4">
        <v>0.14041951310978495</v>
      </c>
      <c r="B54" s="4">
        <v>0.10407284584073226</v>
      </c>
    </row>
    <row r="55" spans="1:2">
      <c r="A55" s="4">
        <v>0.1410077662873164</v>
      </c>
      <c r="B55" s="4">
        <v>0.12540161831104352</v>
      </c>
    </row>
    <row r="56" spans="1:2">
      <c r="A56" s="4">
        <v>0.14910696239645629</v>
      </c>
      <c r="B56" s="4">
        <v>5.2519284450665484E-2</v>
      </c>
    </row>
    <row r="57" spans="1:2">
      <c r="A57" s="4">
        <v>3.0512929912474632E-2</v>
      </c>
      <c r="B57" s="4">
        <v>9.4346699521602267E-2</v>
      </c>
    </row>
    <row r="58" spans="1:2">
      <c r="A58" s="4">
        <v>6.0300373097383425E-2</v>
      </c>
      <c r="B58" s="4">
        <v>0.14132391205203251</v>
      </c>
    </row>
    <row r="59" spans="1:2">
      <c r="A59" s="4">
        <v>2.013532664731086E-2</v>
      </c>
      <c r="B59" s="4">
        <v>0.11523276787631601</v>
      </c>
    </row>
    <row r="60" spans="1:2">
      <c r="A60" s="4">
        <v>0.13613382445579517</v>
      </c>
      <c r="B60" s="4">
        <v>0.1239722712220416</v>
      </c>
    </row>
    <row r="61" spans="1:2">
      <c r="A61" s="4">
        <v>0.10226974029853284</v>
      </c>
      <c r="B61" s="4">
        <v>0.1450798110482632</v>
      </c>
    </row>
    <row r="62" spans="1:2">
      <c r="A62" s="4">
        <v>3.9409788800733245E-2</v>
      </c>
      <c r="B62" s="4">
        <v>1.9151171034764387E-2</v>
      </c>
    </row>
    <row r="63" spans="1:2">
      <c r="A63" s="4">
        <v>0.11114727309471999</v>
      </c>
      <c r="B63" s="4">
        <v>0.11375206507512925</v>
      </c>
    </row>
    <row r="64" spans="1:2">
      <c r="A64" s="4">
        <v>7.607916652993256E-2</v>
      </c>
      <c r="B64" s="4">
        <v>6.4263817368994933E-2</v>
      </c>
    </row>
    <row r="65" spans="1:2">
      <c r="A65" s="4">
        <v>5.0336360012371115E-2</v>
      </c>
      <c r="B65" s="4">
        <v>0.13010518764595319</v>
      </c>
    </row>
    <row r="66" spans="1:2">
      <c r="A66" s="4">
        <v>1.7673550986319092E-2</v>
      </c>
      <c r="B66" s="4">
        <v>3.0248039682560991E-2</v>
      </c>
    </row>
    <row r="67" spans="1:2">
      <c r="A67" s="4">
        <v>0.13992398219487423</v>
      </c>
      <c r="B67" s="4">
        <v>0.13990421714566217</v>
      </c>
    </row>
    <row r="68" spans="1:2">
      <c r="A68" s="4">
        <v>0.14801256977214208</v>
      </c>
      <c r="B68" s="4">
        <v>1.7286447463938662E-2</v>
      </c>
    </row>
    <row r="69" spans="1:2">
      <c r="A69" s="4">
        <v>0.14483917893360201</v>
      </c>
      <c r="B69" s="4">
        <v>0.10953835802617309</v>
      </c>
    </row>
    <row r="70" spans="1:2">
      <c r="A70" s="4">
        <v>1.5155036706676353E-2</v>
      </c>
      <c r="B70" s="4">
        <v>9.4868301771326768E-2</v>
      </c>
    </row>
    <row r="71" spans="1:2">
      <c r="A71" s="4">
        <v>0.12620438155531394</v>
      </c>
      <c r="B71" s="4">
        <v>6.9106070754863066E-2</v>
      </c>
    </row>
    <row r="72" spans="1:2">
      <c r="A72" s="4">
        <v>4.9766150703890656E-2</v>
      </c>
      <c r="B72" s="4">
        <v>0.1384451411139036</v>
      </c>
    </row>
    <row r="73" spans="1:2">
      <c r="A73" s="4">
        <v>0.10981385166920227</v>
      </c>
      <c r="B73" s="4">
        <v>3.9072764991295424E-2</v>
      </c>
    </row>
    <row r="74" spans="1:2">
      <c r="A74" s="4">
        <v>0.13369720135712543</v>
      </c>
      <c r="B74" s="4">
        <v>0.13681955366128035</v>
      </c>
    </row>
    <row r="75" spans="1:2">
      <c r="A75" s="4">
        <v>7.1210641874318387E-2</v>
      </c>
      <c r="B75" s="4">
        <v>0.11844813328757442</v>
      </c>
    </row>
    <row r="76" spans="1:2">
      <c r="A76" s="4">
        <v>5.5401167382653625E-2</v>
      </c>
      <c r="B76" s="4">
        <v>0.13752998698368235</v>
      </c>
    </row>
    <row r="77" spans="1:2">
      <c r="A77" s="4">
        <v>0.1127109151262642</v>
      </c>
      <c r="B77" s="4">
        <v>0.11018671578852239</v>
      </c>
    </row>
    <row r="78" spans="1:2">
      <c r="A78" s="4">
        <v>0.13861538478325139</v>
      </c>
      <c r="B78" s="4">
        <v>0.11133559079846192</v>
      </c>
    </row>
    <row r="79" spans="1:2">
      <c r="A79" s="4">
        <v>9.2528573083409213E-2</v>
      </c>
      <c r="B79" s="4">
        <v>8.6691626753997941E-2</v>
      </c>
    </row>
    <row r="80" spans="1:2">
      <c r="A80" s="4">
        <v>8.234553107079276E-2</v>
      </c>
      <c r="B80" s="4">
        <v>0.13299231177286971</v>
      </c>
    </row>
    <row r="81" spans="1:2">
      <c r="A81" s="4">
        <v>7.6177092000306187E-2</v>
      </c>
      <c r="B81" s="4">
        <v>0.11588763577860527</v>
      </c>
    </row>
    <row r="82" spans="1:2">
      <c r="A82" s="4">
        <v>3.2010081711594994E-2</v>
      </c>
      <c r="B82" s="4">
        <v>3.9115323210810952E-2</v>
      </c>
    </row>
    <row r="83" spans="1:2">
      <c r="A83" s="4">
        <v>6.1641036216148644E-2</v>
      </c>
      <c r="B83" s="4">
        <v>6.3494821685213365E-2</v>
      </c>
    </row>
    <row r="84" spans="1:2">
      <c r="A84" s="4">
        <v>3.4752198592600606E-2</v>
      </c>
      <c r="B84" s="4">
        <v>3.7028313277021642E-2</v>
      </c>
    </row>
    <row r="85" spans="1:2">
      <c r="A85" s="4">
        <v>9.0715061598436342E-2</v>
      </c>
      <c r="B85" s="4">
        <v>0.13898357782921328</v>
      </c>
    </row>
    <row r="86" spans="1:2">
      <c r="A86" s="4">
        <v>3.9694827237925223E-2</v>
      </c>
      <c r="B86" s="4">
        <v>6.1745675968009943E-2</v>
      </c>
    </row>
    <row r="87" spans="1:2">
      <c r="A87" s="4">
        <v>8.209870354027185E-2</v>
      </c>
      <c r="B87" s="4">
        <v>4.5634324815314251E-2</v>
      </c>
    </row>
    <row r="88" spans="1:2">
      <c r="A88" s="4">
        <v>9.5374858612310986E-2</v>
      </c>
      <c r="B88" s="4">
        <v>4.1383857028443466E-2</v>
      </c>
    </row>
    <row r="89" spans="1:2">
      <c r="A89" s="4">
        <v>0.13102251968983983</v>
      </c>
      <c r="B89" s="4">
        <v>3.1202235062420342E-2</v>
      </c>
    </row>
    <row r="90" spans="1:2">
      <c r="A90" s="4">
        <v>1.0839839755344407E-2</v>
      </c>
      <c r="B90" s="4">
        <v>2.0759068801066045E-2</v>
      </c>
    </row>
    <row r="91" spans="1:2">
      <c r="A91" s="4">
        <v>6.8322754270827915E-2</v>
      </c>
      <c r="B91" s="4">
        <v>0.11068378341698402</v>
      </c>
    </row>
    <row r="92" spans="1:2">
      <c r="A92" s="4">
        <v>3.6584944161998291E-2</v>
      </c>
      <c r="B92" s="4">
        <v>0.10737132364310234</v>
      </c>
    </row>
    <row r="93" spans="1:2">
      <c r="A93" s="4">
        <v>9.6779809546863396E-2</v>
      </c>
      <c r="B93" s="4">
        <v>4.2430927255169122E-2</v>
      </c>
    </row>
    <row r="94" spans="1:2">
      <c r="A94" s="4">
        <v>1.0630414098828263E-2</v>
      </c>
      <c r="B94" s="4">
        <v>8.0125103623369956E-2</v>
      </c>
    </row>
    <row r="95" spans="1:2">
      <c r="A95" s="4">
        <v>8.1191015296249947E-2</v>
      </c>
      <c r="B95" s="4">
        <v>0.14185713210648307</v>
      </c>
    </row>
    <row r="96" spans="1:2">
      <c r="A96" s="4">
        <v>9.0533726380456092E-2</v>
      </c>
      <c r="B96" s="4">
        <v>0.13965013474855156</v>
      </c>
    </row>
    <row r="97" spans="1:2">
      <c r="A97" s="4">
        <v>6.3047405424531522E-2</v>
      </c>
      <c r="B97" s="4">
        <v>0.14985129878330242</v>
      </c>
    </row>
    <row r="98" spans="1:2">
      <c r="A98" s="4">
        <v>0.10002151543729634</v>
      </c>
      <c r="B98" s="4">
        <v>5.011427024841144E-2</v>
      </c>
    </row>
    <row r="99" spans="1:2">
      <c r="A99" s="4">
        <v>7.5501343075737512E-2</v>
      </c>
      <c r="B99" s="4">
        <v>7.3303297838022669E-2</v>
      </c>
    </row>
    <row r="100" spans="1:2">
      <c r="A100" s="4">
        <v>8.2461094809324689E-2</v>
      </c>
      <c r="B100" s="4">
        <v>0.13340148399956933</v>
      </c>
    </row>
    <row r="101" spans="1:2">
      <c r="A101" s="4">
        <v>6.034189003216902E-2</v>
      </c>
      <c r="B101" s="4">
        <v>0.13262176010371299</v>
      </c>
    </row>
    <row r="102" spans="1:2">
      <c r="A102" s="4">
        <v>9.1416917289109986E-2</v>
      </c>
      <c r="B102" s="4">
        <v>5.9064998339727309E-2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7f41b3-fada-4b69-b314-7ed8c2ce1ec6" xsi:nil="true"/>
    <lcf76f155ced4ddcb4097134ff3c332f xmlns="667d70cb-f49f-4223-87b6-a8a0e4fc323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83A11C1BA9EC45BAE4956AD7AAC49F" ma:contentTypeVersion="12" ma:contentTypeDescription="Crear nuevo documento." ma:contentTypeScope="" ma:versionID="f031da45812bb81645562bafa3e27792">
  <xsd:schema xmlns:xsd="http://www.w3.org/2001/XMLSchema" xmlns:xs="http://www.w3.org/2001/XMLSchema" xmlns:p="http://schemas.microsoft.com/office/2006/metadata/properties" xmlns:ns2="667d70cb-f49f-4223-87b6-a8a0e4fc3231" xmlns:ns3="c37f41b3-fada-4b69-b314-7ed8c2ce1ec6" targetNamespace="http://schemas.microsoft.com/office/2006/metadata/properties" ma:root="true" ma:fieldsID="997341155ac57a7f96d45d03b878e5a8" ns2:_="" ns3:_="">
    <xsd:import namespace="667d70cb-f49f-4223-87b6-a8a0e4fc3231"/>
    <xsd:import namespace="c37f41b3-fada-4b69-b314-7ed8c2ce1e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7d70cb-f49f-4223-87b6-a8a0e4fc32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6da8801b-af9e-424b-a774-47cfcf7fa7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7f41b3-fada-4b69-b314-7ed8c2ce1ec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88a0f83-113f-4a62-8e16-6df74f754526}" ma:internalName="TaxCatchAll" ma:showField="CatchAllData" ma:web="c37f41b3-fada-4b69-b314-7ed8c2ce1e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58D86-25F8-4F93-9BB6-4D59F20E5E67}">
  <ds:schemaRefs>
    <ds:schemaRef ds:uri="http://schemas.microsoft.com/office/2006/metadata/properties"/>
    <ds:schemaRef ds:uri="http://schemas.microsoft.com/office/infopath/2007/PartnerControls"/>
    <ds:schemaRef ds:uri="c37f41b3-fada-4b69-b314-7ed8c2ce1ec6"/>
    <ds:schemaRef ds:uri="667d70cb-f49f-4223-87b6-a8a0e4fc3231"/>
  </ds:schemaRefs>
</ds:datastoreItem>
</file>

<file path=customXml/itemProps2.xml><?xml version="1.0" encoding="utf-8"?>
<ds:datastoreItem xmlns:ds="http://schemas.openxmlformats.org/officeDocument/2006/customXml" ds:itemID="{CF247058-F464-4576-85DB-4D38054861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F3D9CD-CD16-4E68-8AE2-0B891CD56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7d70cb-f49f-4223-87b6-a8a0e4fc3231"/>
    <ds:schemaRef ds:uri="c37f41b3-fada-4b69-b314-7ed8c2ce1e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Bases &gt;&gt;</vt:lpstr>
      <vt:lpstr>GF</vt:lpstr>
      <vt:lpstr>Entrevistas</vt:lpstr>
      <vt:lpstr>Expedientes</vt:lpstr>
      <vt:lpstr>Insumos &gt;&gt;</vt:lpstr>
      <vt:lpstr>Aleatorio</vt:lpstr>
      <vt:lpstr>Apoyo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Consultoría</dc:creator>
  <cp:lastModifiedBy>APOYO Consultoría</cp:lastModifiedBy>
  <dcterms:created xsi:type="dcterms:W3CDTF">2025-08-04T18:00:18Z</dcterms:created>
  <dcterms:modified xsi:type="dcterms:W3CDTF">2026-02-20T04:04:57Z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0x0101007183A11C1BA9EC45BAE4956AD7AAC49F</vt:lpwstr>
  </property>
  <property fmtid="{D5CDD505-2E9C-101B-9397-08002B2CF9AE}" pid="3" name="MediaServiceImageTags">
    <vt:lpwstr/>
  </property>
</Properties>
</file>