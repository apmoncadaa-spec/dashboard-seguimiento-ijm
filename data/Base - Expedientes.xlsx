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oyoconsultoria0.sharepoint.com/sites/fileserver/Polticas Pblicas/6 Proyectos/2025/2025-070-O IJM - Linea de base/04. Analisis/03. Programacion/00. Dashboard de seguimiento/"/>
    </mc:Choice>
  </mc:AlternateContent>
  <xr:revisionPtr revIDLastSave="273" documentId="8_{56D7AE21-1CA3-45C9-B375-8767683E0B66}" xr6:coauthVersionLast="47" xr6:coauthVersionMax="47" xr10:uidLastSave="{B5AAA3E8-2514-4206-ADB2-69F6B24B64C5}"/>
  <bookViews>
    <workbookView xWindow="-110" yWindow="-110" windowWidth="19420" windowHeight="10300" activeTab="2" xr2:uid="{00000000-000D-0000-FFFF-FFFF00000000}"/>
  </bookViews>
  <sheets>
    <sheet name="Kobo" sheetId="1" r:id="rId1"/>
    <sheet name="Insumos&gt;&gt;&gt;" sheetId="4" r:id="rId2"/>
    <sheet name="Dashboard" sheetId="2" r:id="rId3"/>
    <sheet name="Auxilia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M5" i="2" s="1"/>
  <c r="M6" i="2" s="1"/>
  <c r="M7" i="2" s="1"/>
  <c r="M8" i="2" s="1"/>
  <c r="M3" i="2"/>
  <c r="L2" i="2" a="1"/>
  <c r="L2" i="2" s="1"/>
  <c r="K2" i="2" a="1"/>
  <c r="K2" i="2" s="1"/>
  <c r="J2" i="2" a="1"/>
  <c r="J2" i="2" s="1"/>
  <c r="A2" i="2" a="1"/>
  <c r="A2" i="2" s="1"/>
  <c r="C2" i="2" a="1"/>
  <c r="C2" i="2" s="1"/>
  <c r="B2" i="2" a="1"/>
  <c r="B2" i="2" s="1"/>
  <c r="E2" i="2" s="1"/>
  <c r="H2" i="2" l="1"/>
  <c r="I2" i="2" s="1"/>
  <c r="E4" i="2"/>
  <c r="G5" i="2"/>
  <c r="H8" i="2"/>
  <c r="I8" i="2" s="1"/>
  <c r="G2" i="2"/>
  <c r="G4" i="2"/>
  <c r="H5" i="2"/>
  <c r="I5" i="2" s="1"/>
  <c r="G7" i="2"/>
  <c r="E7" i="2"/>
  <c r="F6" i="2"/>
  <c r="D2" i="2"/>
  <c r="G8" i="2"/>
  <c r="F4" i="2"/>
  <c r="H6" i="2"/>
  <c r="I6" i="2" s="1"/>
  <c r="D6" i="2"/>
  <c r="F3" i="2"/>
  <c r="D3" i="2"/>
  <c r="F7" i="2"/>
  <c r="D8" i="2"/>
  <c r="E3" i="2"/>
  <c r="H4" i="2"/>
  <c r="I4" i="2" s="1"/>
  <c r="D7" i="2"/>
  <c r="E8" i="2"/>
  <c r="F2" i="2"/>
  <c r="G6" i="2"/>
  <c r="G3" i="2"/>
  <c r="H3" i="2"/>
  <c r="I3" i="2" s="1"/>
  <c r="D5" i="2"/>
  <c r="E6" i="2"/>
  <c r="H7" i="2"/>
  <c r="I7" i="2" s="1"/>
  <c r="D4" i="2"/>
  <c r="E5" i="2"/>
  <c r="F8" i="2"/>
  <c r="F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<sst xmlns="http://schemas.openxmlformats.org/spreadsheetml/2006/main" count="463" uniqueCount="295">
  <si>
    <t>Fecha-Inicio</t>
  </si>
  <si>
    <t>Hora-Inicio</t>
  </si>
  <si>
    <t>Fecha-fin</t>
  </si>
  <si>
    <t>Hora-Fin</t>
  </si>
  <si>
    <t>Duración</t>
  </si>
  <si>
    <t>Revisor</t>
  </si>
  <si>
    <t>Distrito Judicial</t>
  </si>
  <si>
    <t>Tipo</t>
  </si>
  <si>
    <t>Contador</t>
  </si>
  <si>
    <t>start</t>
  </si>
  <si>
    <t>Código</t>
  </si>
  <si>
    <t>_submission_time</t>
  </si>
  <si>
    <t>(34)</t>
  </si>
  <si>
    <t>(1)</t>
  </si>
  <si>
    <t>(5)</t>
  </si>
  <si>
    <t>(2)</t>
  </si>
  <si>
    <t>(99)</t>
  </si>
  <si>
    <t>(4)</t>
  </si>
  <si>
    <t>(7)</t>
  </si>
  <si>
    <t>(3)</t>
  </si>
  <si>
    <t>Amazonas</t>
  </si>
  <si>
    <t>Áncash</t>
  </si>
  <si>
    <t>Apurímac</t>
  </si>
  <si>
    <t>Arequipa</t>
  </si>
  <si>
    <t>Ayacucho</t>
  </si>
  <si>
    <t>(6)</t>
  </si>
  <si>
    <t>Cajamarca</t>
  </si>
  <si>
    <t>Callao</t>
  </si>
  <si>
    <t>(8)</t>
  </si>
  <si>
    <t>Cañete</t>
  </si>
  <si>
    <t>(9)</t>
  </si>
  <si>
    <t>Cusco</t>
  </si>
  <si>
    <t>(10)</t>
  </si>
  <si>
    <t>Huancavelica</t>
  </si>
  <si>
    <t>(11)</t>
  </si>
  <si>
    <t>Huánuco</t>
  </si>
  <si>
    <t>(12)</t>
  </si>
  <si>
    <t>Huaura</t>
  </si>
  <si>
    <t>(13)</t>
  </si>
  <si>
    <t>Ica</t>
  </si>
  <si>
    <t>(14)</t>
  </si>
  <si>
    <t>Junín</t>
  </si>
  <si>
    <t>(15)</t>
  </si>
  <si>
    <t>La Libertad</t>
  </si>
  <si>
    <t>(16)</t>
  </si>
  <si>
    <t>Lambayeque</t>
  </si>
  <si>
    <t>(17)</t>
  </si>
  <si>
    <t>Lima</t>
  </si>
  <si>
    <t>(18)</t>
  </si>
  <si>
    <t>Lima Este</t>
  </si>
  <si>
    <t>(19)</t>
  </si>
  <si>
    <t>Lima Norte</t>
  </si>
  <si>
    <t>(20)</t>
  </si>
  <si>
    <t>Lima Sur</t>
  </si>
  <si>
    <t>(21)</t>
  </si>
  <si>
    <t>Loreto</t>
  </si>
  <si>
    <t>(22)</t>
  </si>
  <si>
    <t>Madre de Dios</t>
  </si>
  <si>
    <t>(23)</t>
  </si>
  <si>
    <t>Moquegua</t>
  </si>
  <si>
    <t>(24)</t>
  </si>
  <si>
    <t>Pasco</t>
  </si>
  <si>
    <t>(25)</t>
  </si>
  <si>
    <t>Piura</t>
  </si>
  <si>
    <t>(26)</t>
  </si>
  <si>
    <t>Puente Piedra - Ventanilla</t>
  </si>
  <si>
    <t>(27)</t>
  </si>
  <si>
    <t>Puno</t>
  </si>
  <si>
    <t>(28)</t>
  </si>
  <si>
    <t>San Martín</t>
  </si>
  <si>
    <t>(29)</t>
  </si>
  <si>
    <t>Santa</t>
  </si>
  <si>
    <t>(30)</t>
  </si>
  <si>
    <t>Selva Central</t>
  </si>
  <si>
    <t>(31)</t>
  </si>
  <si>
    <t>Sullana</t>
  </si>
  <si>
    <t>(32)</t>
  </si>
  <si>
    <t>Tacna</t>
  </si>
  <si>
    <t>(33)</t>
  </si>
  <si>
    <t>Tumbes</t>
  </si>
  <si>
    <t>Ucayali</t>
  </si>
  <si>
    <t>Violencia sexual</t>
  </si>
  <si>
    <t>Violencia física</t>
  </si>
  <si>
    <t>Violencia psicológica</t>
  </si>
  <si>
    <t>Feminicidio</t>
  </si>
  <si>
    <t>Otros</t>
  </si>
  <si>
    <t>No disponible</t>
  </si>
  <si>
    <t>999</t>
  </si>
  <si>
    <t>No sabe</t>
  </si>
  <si>
    <t>Minutos</t>
  </si>
  <si>
    <t>end</t>
  </si>
  <si>
    <t>today</t>
  </si>
  <si>
    <t>Nombre_revisor</t>
  </si>
  <si>
    <t>Organización_revisor</t>
  </si>
  <si>
    <t>Posición_revisor</t>
  </si>
  <si>
    <t>Fecha_revisión</t>
  </si>
  <si>
    <t>Distrito_Judicial</t>
  </si>
  <si>
    <t>Denuncias_6meses</t>
  </si>
  <si>
    <t>Total_sentencia_final</t>
  </si>
  <si>
    <t>Tipo_Delito</t>
  </si>
  <si>
    <t>Delito_especifique</t>
  </si>
  <si>
    <t>Fecha_Inicio_Hecho</t>
  </si>
  <si>
    <t>Día_Inicio_Hecho</t>
  </si>
  <si>
    <t>Mes_Inicio_Hecho</t>
  </si>
  <si>
    <t>Año_Inicio_Hecho</t>
  </si>
  <si>
    <t>Fecha_Fin_Hecho</t>
  </si>
  <si>
    <t>Día_Fin_Hecho</t>
  </si>
  <si>
    <t>Mes_Fin_Hecho</t>
  </si>
  <si>
    <t>Año_Fin_Hecho</t>
  </si>
  <si>
    <t>Numero_Victimas</t>
  </si>
  <si>
    <t>Total_sobrevivientes</t>
  </si>
  <si>
    <t>Numero_Agresores</t>
  </si>
  <si>
    <t>Etapa_Caso</t>
  </si>
  <si>
    <t>Arrestos_Caso</t>
  </si>
  <si>
    <t>Arrestos_No_Acusados</t>
  </si>
  <si>
    <t>Fecha_Denuncia</t>
  </si>
  <si>
    <t>Día_Denuncia</t>
  </si>
  <si>
    <t>Mes_Denuncia</t>
  </si>
  <si>
    <t>Año_Denuncia</t>
  </si>
  <si>
    <t>Entidad_Receptora</t>
  </si>
  <si>
    <t>Caso_Denunciado</t>
  </si>
  <si>
    <t>Desestimacion</t>
  </si>
  <si>
    <t>Agresor_arrestro_flagrancia</t>
  </si>
  <si>
    <t>Medidas_Cautelares</t>
  </si>
  <si>
    <t>Medidas_Proteccion</t>
  </si>
  <si>
    <t>Fecha_Inicio_Medidas_Protecci_n</t>
  </si>
  <si>
    <t>D_a_Inicio_Medidas_Protecci_n</t>
  </si>
  <si>
    <t>Mes_Inicio_Medidas_Protecci_n</t>
  </si>
  <si>
    <t>A_o_Inicio_Medidas_Protecci_n</t>
  </si>
  <si>
    <t>Estado_Medidas_Proteccion</t>
  </si>
  <si>
    <t>D_a_fin_Medidas_Protecci_n</t>
  </si>
  <si>
    <t>Mes_fin_Medidas_Protecci_n</t>
  </si>
  <si>
    <t>A_o_fin_Medidas_Protecci_n</t>
  </si>
  <si>
    <t>Tipo_Medida_Protección</t>
  </si>
  <si>
    <t>Tipo_Medida_Protección/(1)</t>
  </si>
  <si>
    <t>Tipo_Medida_Protección/(2)</t>
  </si>
  <si>
    <t>Tipo_Medida_Protección/(3)</t>
  </si>
  <si>
    <t>Tipo_Medida_Protección/(4)</t>
  </si>
  <si>
    <t>Tipo_Medida_Protección/(5)</t>
  </si>
  <si>
    <t>Tipo_Medida_Protección/(6)</t>
  </si>
  <si>
    <t>Tipo_Medida_Protección/(7)</t>
  </si>
  <si>
    <t>Tipo_Medida_Protección/(8)</t>
  </si>
  <si>
    <t>Tipo_Medida_Protección/(9)</t>
  </si>
  <si>
    <t>Tipo_Medida_Protección/(10)</t>
  </si>
  <si>
    <t>Tipo_Medida_Protección/(11)</t>
  </si>
  <si>
    <t>Tipo_Medida_Protección/(12)</t>
  </si>
  <si>
    <t>Tipo_Medida_Protección/(99)</t>
  </si>
  <si>
    <t>Fecha_Inicio_Investigacion</t>
  </si>
  <si>
    <t>Día_Inicio_Investigacion</t>
  </si>
  <si>
    <t>Mes_Inicio_Investigacion</t>
  </si>
  <si>
    <t>Año_Inicio_Investigacion</t>
  </si>
  <si>
    <t>Fecha_Fin_Investigacion</t>
  </si>
  <si>
    <t>Día_Fin_Investigacion</t>
  </si>
  <si>
    <t>Mes_Fin_Investigacion</t>
  </si>
  <si>
    <t>Año_Fin_Investigacion</t>
  </si>
  <si>
    <t>Estado_Final_Investigacion</t>
  </si>
  <si>
    <t>Solicitud_Aplazamiento</t>
  </si>
  <si>
    <t>Tiempo_Aplazamiento</t>
  </si>
  <si>
    <t>Caso_Completo_Investigacion</t>
  </si>
  <si>
    <t>Declaracion_Victima</t>
  </si>
  <si>
    <t>Declaraciones_Testigos</t>
  </si>
  <si>
    <t>Declaraciones_Sospechosos</t>
  </si>
  <si>
    <t>Declaración_Persona_Agresora</t>
  </si>
  <si>
    <t>Declaración_Clave</t>
  </si>
  <si>
    <t>Informe_Pericial_Existente</t>
  </si>
  <si>
    <t>Prueba_Material</t>
  </si>
  <si>
    <t>Prueba_Pericial_1</t>
  </si>
  <si>
    <t>Prueba_Pericial_2</t>
  </si>
  <si>
    <t>Prueba_Pericial_Otros</t>
  </si>
  <si>
    <t>Prueba_Pericial_Especificar</t>
  </si>
  <si>
    <t>Análisis_Forense_Oportuno</t>
  </si>
  <si>
    <t>Evidencia_Dentro_Ley</t>
  </si>
  <si>
    <t>Evidencia_Documentada</t>
  </si>
  <si>
    <t>Circunstancias_Mitigantes</t>
  </si>
  <si>
    <t>Lineas_Investigacion_Completas</t>
  </si>
  <si>
    <t>Criterio_Valoración_Declaraciónvíctima</t>
  </si>
  <si>
    <t>Criterio_Valoración_Declaraciónvíctima_Violenciasexual</t>
  </si>
  <si>
    <t>Casos_Con_Detencion_Preliminar</t>
  </si>
  <si>
    <t>Acusados_Con_Detencion_Preliminar</t>
  </si>
  <si>
    <t>Acusados_Formales</t>
  </si>
  <si>
    <t>Fecha_Inicio_Intermedia</t>
  </si>
  <si>
    <t>Día_Inicio_Intermedia</t>
  </si>
  <si>
    <t>Mes_Inicio_Intermedia</t>
  </si>
  <si>
    <t>Año_Inicio_Intermedia</t>
  </si>
  <si>
    <t>Fecha_Fin_Intermedia</t>
  </si>
  <si>
    <t>Día_Fin_Intermedia</t>
  </si>
  <si>
    <t>Mes_Fin_Intermedia</t>
  </si>
  <si>
    <t>Año_Fin_Intermedia</t>
  </si>
  <si>
    <t>Acusados_Prision_Preventiva</t>
  </si>
  <si>
    <t>Casos_Con_Proceso_Legal</t>
  </si>
  <si>
    <t>Estado_Final_Etapa_Intermedia</t>
  </si>
  <si>
    <t>Fecha_Inicio_Juzgamiento</t>
  </si>
  <si>
    <t>Día_Inicio_Juzgamiento</t>
  </si>
  <si>
    <t>Mes_Inicio_Juzgamiento</t>
  </si>
  <si>
    <t>Año_Inicio_Juzgamiento</t>
  </si>
  <si>
    <t>Fecha_Sentencia</t>
  </si>
  <si>
    <t>Día_Sentencia</t>
  </si>
  <si>
    <t>Mes_Sentencia</t>
  </si>
  <si>
    <t>Año_Sentencia</t>
  </si>
  <si>
    <t>Culpabilidad</t>
  </si>
  <si>
    <t>Audiencias</t>
  </si>
  <si>
    <t>Audiencias_Canceladas</t>
  </si>
  <si>
    <t>Resultado_Sentencia</t>
  </si>
  <si>
    <t>Acusados_Condenados</t>
  </si>
  <si>
    <t>Recurso_Apelacion</t>
  </si>
  <si>
    <t>Fecha_Inicio_Apelación</t>
  </si>
  <si>
    <t>Día_Inicio_Apelación</t>
  </si>
  <si>
    <t>Mes_Inicio_Apelación</t>
  </si>
  <si>
    <t>Año_Inicio_Apelación</t>
  </si>
  <si>
    <t>Fecha_Sentencia_Apelación</t>
  </si>
  <si>
    <t>Día_Sentencia_Apelación</t>
  </si>
  <si>
    <t>Mes_Sentencia_Apelación</t>
  </si>
  <si>
    <t>Año_Sentencia_Apelación</t>
  </si>
  <si>
    <t>Resultado_Sentencia_Apelación</t>
  </si>
  <si>
    <t>Condena_Revocada</t>
  </si>
  <si>
    <t>Entidad_Acompañamiento_Víctima</t>
  </si>
  <si>
    <t>Seguimiento_actualizacion_medidas</t>
  </si>
  <si>
    <t>Acta_Nuevo_Codigo_Procesal_Penal</t>
  </si>
  <si>
    <t>Acta_Llenada</t>
  </si>
  <si>
    <t>Ficha_24horas</t>
  </si>
  <si>
    <t>Ficha_Completa</t>
  </si>
  <si>
    <t>Cadena_Custodia_Documentada</t>
  </si>
  <si>
    <t>Sentencia_Medidas_Protección</t>
  </si>
  <si>
    <t>Informe_Respaldado_Seguimiento</t>
  </si>
  <si>
    <t>Informe_Plan_Seguimiento</t>
  </si>
  <si>
    <t>Participo_denuncia_investigación</t>
  </si>
  <si>
    <t>Ficha_riesgo_investigación</t>
  </si>
  <si>
    <t>Declaro_victima_investigación</t>
  </si>
  <si>
    <t>Derivacion_iml_investigación</t>
  </si>
  <si>
    <t>Abogado_activo_investigación</t>
  </si>
  <si>
    <t>Participacion_completa_investigación</t>
  </si>
  <si>
    <t>Declaro_victima_legal</t>
  </si>
  <si>
    <t>Derivacion_iml_legal</t>
  </si>
  <si>
    <t>Abogado_activo_legal</t>
  </si>
  <si>
    <t>Participacion_completa_legal</t>
  </si>
  <si>
    <t>Participacion_completa_cuidados</t>
  </si>
  <si>
    <t>Tiempo_Medidas_Proteccion</t>
  </si>
  <si>
    <t>Tiempo_Investigacion_Dias</t>
  </si>
  <si>
    <t>Tiempo_Etapaintermedia_Dias</t>
  </si>
  <si>
    <t>Días_Denuncia_Sentencia</t>
  </si>
  <si>
    <t>Tiempo_Sentencia_Dias</t>
  </si>
  <si>
    <t>Tiempo_Sentencia_Apelación_Dias</t>
  </si>
  <si>
    <t>_id</t>
  </si>
  <si>
    <t>_uuid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</si>
  <si>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</si>
  <si>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</si>
  <si>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</si>
  <si>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</si>
  <si>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</si>
  <si>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</si>
  <si>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</si>
  <si>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</si>
  <si>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Mayra Sánchez Hinojosa</t>
  </si>
  <si>
    <t>Apoyo</t>
  </si>
  <si>
    <t>Consultora</t>
  </si>
  <si>
    <t>02800-2023-0-2402-JR-PE-03</t>
  </si>
  <si>
    <t>Jan</t>
  </si>
  <si>
    <t>Feb</t>
  </si>
  <si>
    <t>Mar</t>
  </si>
  <si>
    <t>Aug</t>
  </si>
  <si>
    <t>Dec</t>
  </si>
  <si>
    <t>250e134b-3375-40fe-8c20-5f239f6a6f76</t>
  </si>
  <si>
    <t>submitted_via_web</t>
  </si>
  <si>
    <t>vqrarsEugcUgCpddhNZrYT</t>
  </si>
  <si>
    <t>uuid:ba10fcbd-427f-4e84-aaba-94f2e22d8573</t>
  </si>
  <si>
    <t>01552-2022-8-0701-JR-PE-03</t>
  </si>
  <si>
    <t>Jun</t>
  </si>
  <si>
    <t>(1) (2) (10) (12)</t>
  </si>
  <si>
    <t>Sep</t>
  </si>
  <si>
    <t>Oct</t>
  </si>
  <si>
    <t>Nov</t>
  </si>
  <si>
    <t>40da4763-aa4f-47d4-8740-18fd00da2855</t>
  </si>
  <si>
    <t>uuid:0ee640fc-8310-4735-8462-08c8946a5a4c</t>
  </si>
  <si>
    <t>Mayra Sanchez Hinojosa</t>
  </si>
  <si>
    <t>00075-2023-32-0701-JR-PE-01</t>
  </si>
  <si>
    <t>43260ed3-1dfb-44f0-a499-e75f3f94de79</t>
  </si>
  <si>
    <t>vL7DQzFjwrSWoxPu4tAtN7</t>
  </si>
  <si>
    <t>uuid:d1e219ff-53a5-4932-b518-d55bcaccc2f6</t>
  </si>
  <si>
    <t>Pamelhy Valle</t>
  </si>
  <si>
    <t>00440-2019-16-1007-JR-PE-01</t>
  </si>
  <si>
    <t>pericia psicosomática a la víctima, pericia antropológica forense a la víctima</t>
  </si>
  <si>
    <t>Apr</t>
  </si>
  <si>
    <t>(0)</t>
  </si>
  <si>
    <t>c342132a-db87-4fdd-9ebc-b030951ef0b9</t>
  </si>
  <si>
    <t>uuid:2bc6668a-f952-411e-b2af-c378f6134cf8</t>
  </si>
  <si>
    <t>01654-2023-58-0701-JR-PE-01</t>
  </si>
  <si>
    <t>May</t>
  </si>
  <si>
    <t>d5e5895d-76ba-46bd-b453-7c36a72f1135</t>
  </si>
  <si>
    <t>uuid:fb0262ce-494d-4deb-84d9-880db8d97020</t>
  </si>
  <si>
    <t>02800-2023-95-2402-JR-PE-03</t>
  </si>
  <si>
    <t>dd2cf55d-3c86-4d1e-9ab1-ed0c4c905679</t>
  </si>
  <si>
    <t>uuid:4c49f6ba-7ba7-49ae-89f1-c08da6576533</t>
  </si>
  <si>
    <t>00432-2023-73-2402-JR-PE-04</t>
  </si>
  <si>
    <t>53dd7e6c-08e5-4389-a998-713fc163a411</t>
  </si>
  <si>
    <t>uuid:74903673-0e02-4664-92a5-fb975bf59067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</si>
</sst>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7" formatCode="[$-F400]h:mm:ss\ AM/PM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 applyAlignment="1">
      <alignment wrapText="1"/>
    </xf>
    <xf numFmtId="2" fontId="0" fillId="0" borderId="0" xfId="0" applyNumberFormat="1"/>
    <xf numFmtId="22" fontId="0" fillId="0" borderId="0" xfId="0" applyNumberFormat="1"/>
    <xf numFmtId="164" fontId="0" fillId="0" borderId="0" xfId="0" applyNumberFormat="1"/>
    <xf numFmtId="16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2455-C174-4581-B02F-C2FFA505A635}">
  <dimension ref="A1:FI8"/>
  <sheetViews>
    <sheetView topLeftCell="D1" zoomScale="116" zoomScaleNormal="64" workbookViewId="0">
      <selection activeCell="M1" sqref="M1:M1048576"/>
    </sheetView>
  </sheetViews>
  <sheetFormatPr baseColWidth="10" defaultColWidth="8.7265625" defaultRowHeight="14.5" x14ac:dyDescent="0.35"/>
  <cols>
    <col min="1" max="3" width="10.08984375" bestFit="1" customWidth="1"/>
    <col min="7" max="7" width="10.08984375" bestFit="1" customWidth="1"/>
    <col min="10" max="11" width="8.81640625" bestFit="1" customWidth="1"/>
    <col min="15" max="15" width="8.81640625" bestFit="1" customWidth="1"/>
    <col min="17" max="17" width="8.81640625" bestFit="1" customWidth="1"/>
    <col min="19" max="19" width="8.81640625" bestFit="1" customWidth="1"/>
    <col min="21" max="24" width="8.81640625" bestFit="1" customWidth="1"/>
    <col min="26" max="27" width="8.81640625" bestFit="1" customWidth="1"/>
    <col min="29" max="29" width="8.81640625" bestFit="1" customWidth="1"/>
    <col min="31" max="31" width="8.81640625" bestFit="1" customWidth="1"/>
  </cols>
  <sheetData>
    <row r="1" spans="1:165" x14ac:dyDescent="0.35">
      <c r="A1" t="s">
        <v>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10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  <c r="AM1" t="s">
        <v>126</v>
      </c>
      <c r="AN1" t="s">
        <v>127</v>
      </c>
      <c r="AO1" t="s">
        <v>128</v>
      </c>
      <c r="AP1" t="s">
        <v>129</v>
      </c>
      <c r="AQ1" t="s">
        <v>130</v>
      </c>
      <c r="AR1" t="s">
        <v>131</v>
      </c>
      <c r="AS1" t="s">
        <v>132</v>
      </c>
      <c r="AT1" t="s">
        <v>133</v>
      </c>
      <c r="AU1" t="s">
        <v>134</v>
      </c>
      <c r="AV1" t="s">
        <v>135</v>
      </c>
      <c r="AW1" t="s">
        <v>136</v>
      </c>
      <c r="AX1" t="s">
        <v>137</v>
      </c>
      <c r="AY1" t="s">
        <v>138</v>
      </c>
      <c r="AZ1" t="s">
        <v>139</v>
      </c>
      <c r="BA1" t="s">
        <v>140</v>
      </c>
      <c r="BB1" t="s">
        <v>141</v>
      </c>
      <c r="BC1" t="s">
        <v>142</v>
      </c>
      <c r="BD1" t="s">
        <v>143</v>
      </c>
      <c r="BE1" t="s">
        <v>144</v>
      </c>
      <c r="BF1" t="s">
        <v>145</v>
      </c>
      <c r="BG1" t="s">
        <v>146</v>
      </c>
      <c r="BH1" t="s">
        <v>147</v>
      </c>
      <c r="BI1" t="s">
        <v>148</v>
      </c>
      <c r="BJ1" t="s">
        <v>149</v>
      </c>
      <c r="BK1" t="s">
        <v>150</v>
      </c>
      <c r="BL1" t="s">
        <v>151</v>
      </c>
      <c r="BM1" t="s">
        <v>152</v>
      </c>
      <c r="BN1" t="s">
        <v>153</v>
      </c>
      <c r="BO1" t="s">
        <v>154</v>
      </c>
      <c r="BP1" t="s">
        <v>155</v>
      </c>
      <c r="BQ1" t="s">
        <v>156</v>
      </c>
      <c r="BR1" t="s">
        <v>157</v>
      </c>
      <c r="BS1" t="s">
        <v>158</v>
      </c>
      <c r="BT1" t="s">
        <v>159</v>
      </c>
      <c r="BU1" t="s">
        <v>160</v>
      </c>
      <c r="BV1" t="s">
        <v>161</v>
      </c>
      <c r="BW1" t="s">
        <v>162</v>
      </c>
      <c r="BX1" t="s">
        <v>163</v>
      </c>
      <c r="BY1" t="s">
        <v>164</v>
      </c>
      <c r="BZ1" t="s">
        <v>165</v>
      </c>
      <c r="CA1" t="s">
        <v>166</v>
      </c>
      <c r="CB1" t="s">
        <v>167</v>
      </c>
      <c r="CC1" t="s">
        <v>168</v>
      </c>
      <c r="CD1" t="s">
        <v>169</v>
      </c>
      <c r="CE1" t="s">
        <v>170</v>
      </c>
      <c r="CF1" t="s">
        <v>171</v>
      </c>
      <c r="CG1" t="s">
        <v>172</v>
      </c>
      <c r="CH1" t="s">
        <v>173</v>
      </c>
      <c r="CI1" t="s">
        <v>174</v>
      </c>
      <c r="CJ1" t="s">
        <v>175</v>
      </c>
      <c r="CK1" t="s">
        <v>176</v>
      </c>
      <c r="CL1" t="s">
        <v>177</v>
      </c>
      <c r="CM1" t="s">
        <v>178</v>
      </c>
      <c r="CN1" t="s">
        <v>179</v>
      </c>
      <c r="CO1" t="s">
        <v>180</v>
      </c>
      <c r="CP1" t="s">
        <v>181</v>
      </c>
      <c r="CQ1" t="s">
        <v>182</v>
      </c>
      <c r="CR1" t="s">
        <v>183</v>
      </c>
      <c r="CS1" t="s">
        <v>184</v>
      </c>
      <c r="CT1" t="s">
        <v>185</v>
      </c>
      <c r="CU1" t="s">
        <v>186</v>
      </c>
      <c r="CV1" t="s">
        <v>187</v>
      </c>
      <c r="CW1" t="s">
        <v>188</v>
      </c>
      <c r="CX1" t="s">
        <v>189</v>
      </c>
      <c r="CY1" t="s">
        <v>190</v>
      </c>
      <c r="CZ1" t="s">
        <v>191</v>
      </c>
      <c r="DA1" t="s">
        <v>192</v>
      </c>
      <c r="DB1" t="s">
        <v>193</v>
      </c>
      <c r="DC1" t="s">
        <v>194</v>
      </c>
      <c r="DD1" t="s">
        <v>195</v>
      </c>
      <c r="DE1" t="s">
        <v>196</v>
      </c>
      <c r="DF1" t="s">
        <v>197</v>
      </c>
      <c r="DG1" t="s">
        <v>198</v>
      </c>
      <c r="DH1" t="s">
        <v>199</v>
      </c>
      <c r="DI1" t="s">
        <v>200</v>
      </c>
      <c r="DJ1" t="s">
        <v>201</v>
      </c>
      <c r="DK1" t="s">
        <v>202</v>
      </c>
      <c r="DL1" t="s">
        <v>203</v>
      </c>
      <c r="DM1" t="s">
        <v>204</v>
      </c>
      <c r="DN1" t="s">
        <v>205</v>
      </c>
      <c r="DO1" t="s">
        <v>206</v>
      </c>
      <c r="DP1" t="s">
        <v>207</v>
      </c>
      <c r="DQ1" t="s">
        <v>208</v>
      </c>
      <c r="DR1" t="s">
        <v>209</v>
      </c>
      <c r="DS1" t="s">
        <v>210</v>
      </c>
      <c r="DT1" t="s">
        <v>211</v>
      </c>
      <c r="DU1" t="s">
        <v>212</v>
      </c>
      <c r="DV1" t="s">
        <v>213</v>
      </c>
      <c r="DW1" t="s">
        <v>214</v>
      </c>
      <c r="DX1" t="s">
        <v>215</v>
      </c>
      <c r="DY1" t="s">
        <v>216</v>
      </c>
      <c r="DZ1" t="s">
        <v>217</v>
      </c>
      <c r="EA1" t="s">
        <v>218</v>
      </c>
      <c r="EB1" t="s">
        <v>219</v>
      </c>
      <c r="EC1" t="s">
        <v>220</v>
      </c>
      <c r="ED1" t="s">
        <v>221</v>
      </c>
      <c r="EE1" t="s">
        <v>222</v>
      </c>
      <c r="EF1" t="s">
        <v>223</v>
      </c>
      <c r="EG1" t="s">
        <v>224</v>
      </c>
      <c r="EH1" t="s">
        <v>225</v>
      </c>
      <c r="EI1" t="s">
        <v>226</v>
      </c>
      <c r="EJ1" t="s">
        <v>227</v>
      </c>
      <c r="EK1" t="s">
        <v>228</v>
      </c>
      <c r="EL1" t="s">
        <v>229</v>
      </c>
      <c r="EM1" t="s">
        <v>230</v>
      </c>
      <c r="EN1" t="s">
        <v>231</v>
      </c>
      <c r="EO1" t="s">
        <v>232</v>
      </c>
      <c r="EP1" t="s">
        <v>233</v>
      </c>
      <c r="EQ1" t="s">
        <v>234</v>
      </c>
      <c r="ER1" t="s">
        <v>235</v>
      </c>
      <c r="ES1" t="s">
        <v>236</v>
      </c>
      <c r="ET1" t="s">
        <v>237</v>
      </c>
      <c r="EU1" t="s">
        <v>238</v>
      </c>
      <c r="EV1" t="s">
        <v>239</v>
      </c>
      <c r="EW1" t="s">
        <v>240</v>
      </c>
      <c r="EX1" t="s">
        <v>241</v>
      </c>
      <c r="EY1" t="s">
        <v>242</v>
      </c>
      <c r="EZ1" t="s">
        <v>243</v>
      </c>
      <c r="FA1" t="s">
        <v>11</v>
      </c>
      <c r="FB1" t="s">
        <v>244</v>
      </c>
      <c r="FC1" t="s">
        <v>245</v>
      </c>
      <c r="FD1" t="s">
        <v>246</v>
      </c>
      <c r="FE1" t="s">
        <v>247</v>
      </c>
      <c r="FF1" t="s">
        <v>248</v>
      </c>
      <c r="FG1" t="s">
        <v>249</v>
      </c>
      <c r="FH1" t="s">
        <v>250</v>
      </c>
      <c r="FI1" t="s">
        <v>251</v>
      </c>
    </row>
    <row r="2" spans="1:165" x14ac:dyDescent="0.35">
      <c r="A2" s="5">
        <v>46086.393920416667</v>
      </c>
      <c r="B2" s="5">
        <v>46092.73322898148</v>
      </c>
      <c r="C2" s="5">
        <v>46085</v>
      </c>
      <c r="D2" t="s">
        <v>252</v>
      </c>
      <c r="E2" t="s">
        <v>253</v>
      </c>
      <c r="F2" t="s">
        <v>254</v>
      </c>
      <c r="G2" s="5">
        <v>46086</v>
      </c>
      <c r="H2" t="s">
        <v>255</v>
      </c>
      <c r="I2" t="s">
        <v>80</v>
      </c>
      <c r="J2">
        <v>0</v>
      </c>
      <c r="K2">
        <v>99</v>
      </c>
      <c r="L2" t="s">
        <v>81</v>
      </c>
      <c r="O2">
        <v>31</v>
      </c>
      <c r="P2" t="s">
        <v>256</v>
      </c>
      <c r="Q2">
        <v>2023</v>
      </c>
      <c r="S2">
        <v>31</v>
      </c>
      <c r="T2" t="s">
        <v>256</v>
      </c>
      <c r="U2">
        <v>2023</v>
      </c>
      <c r="V2">
        <v>1</v>
      </c>
      <c r="W2">
        <v>1</v>
      </c>
      <c r="X2">
        <v>1</v>
      </c>
      <c r="Y2" t="s">
        <v>14</v>
      </c>
      <c r="Z2">
        <v>1</v>
      </c>
      <c r="AA2">
        <v>0</v>
      </c>
      <c r="AC2">
        <v>9</v>
      </c>
      <c r="AD2" t="s">
        <v>257</v>
      </c>
      <c r="AE2">
        <v>2023</v>
      </c>
      <c r="AF2" t="s">
        <v>13</v>
      </c>
      <c r="AG2">
        <v>1</v>
      </c>
      <c r="AH2">
        <v>0</v>
      </c>
      <c r="AI2">
        <v>0</v>
      </c>
      <c r="AJ2">
        <v>99</v>
      </c>
      <c r="AK2">
        <v>99</v>
      </c>
      <c r="BI2">
        <v>999</v>
      </c>
      <c r="BJ2">
        <v>999</v>
      </c>
      <c r="BK2">
        <v>2023</v>
      </c>
      <c r="BM2">
        <v>1</v>
      </c>
      <c r="BN2" t="s">
        <v>258</v>
      </c>
      <c r="BO2">
        <v>2024</v>
      </c>
      <c r="BP2" t="s">
        <v>15</v>
      </c>
      <c r="BQ2">
        <v>0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0</v>
      </c>
      <c r="CA2">
        <v>1</v>
      </c>
      <c r="CB2">
        <v>0</v>
      </c>
      <c r="CC2">
        <v>0</v>
      </c>
      <c r="CE2">
        <v>1</v>
      </c>
      <c r="CF2">
        <v>99</v>
      </c>
      <c r="CG2">
        <v>99</v>
      </c>
      <c r="CH2">
        <v>1</v>
      </c>
      <c r="CI2">
        <v>1</v>
      </c>
      <c r="CJ2" t="s">
        <v>16</v>
      </c>
      <c r="CK2" t="s">
        <v>16</v>
      </c>
      <c r="CL2">
        <v>1</v>
      </c>
      <c r="CM2">
        <v>1</v>
      </c>
      <c r="CN2">
        <v>1</v>
      </c>
      <c r="CP2">
        <v>1</v>
      </c>
      <c r="CQ2" t="s">
        <v>258</v>
      </c>
      <c r="CR2">
        <v>2023</v>
      </c>
      <c r="CT2">
        <v>19</v>
      </c>
      <c r="CU2" t="s">
        <v>259</v>
      </c>
      <c r="CV2">
        <v>2024</v>
      </c>
      <c r="CW2">
        <v>0</v>
      </c>
      <c r="CX2">
        <v>1</v>
      </c>
      <c r="CY2">
        <v>1</v>
      </c>
      <c r="DA2">
        <v>26</v>
      </c>
      <c r="DB2" t="s">
        <v>260</v>
      </c>
      <c r="DC2">
        <v>2024</v>
      </c>
      <c r="DE2">
        <v>999</v>
      </c>
      <c r="DF2">
        <v>999</v>
      </c>
      <c r="DG2">
        <v>999</v>
      </c>
      <c r="DH2">
        <v>99</v>
      </c>
      <c r="DI2">
        <v>7</v>
      </c>
      <c r="DJ2">
        <v>7</v>
      </c>
      <c r="DK2" t="s">
        <v>19</v>
      </c>
      <c r="DL2">
        <v>7</v>
      </c>
      <c r="DM2">
        <v>99</v>
      </c>
      <c r="DX2" t="s">
        <v>17</v>
      </c>
      <c r="DY2" t="s">
        <v>16</v>
      </c>
      <c r="DZ2">
        <v>1</v>
      </c>
      <c r="EA2">
        <v>99</v>
      </c>
      <c r="EB2">
        <v>99</v>
      </c>
      <c r="EC2">
        <v>99</v>
      </c>
      <c r="ED2">
        <v>1</v>
      </c>
      <c r="EE2">
        <v>99</v>
      </c>
      <c r="EF2">
        <v>99</v>
      </c>
      <c r="EG2">
        <v>99</v>
      </c>
      <c r="EH2" t="s">
        <v>15</v>
      </c>
      <c r="EI2">
        <v>99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 t="s">
        <v>15</v>
      </c>
      <c r="EY2">
        <v>687421158</v>
      </c>
      <c r="EZ2" t="s">
        <v>261</v>
      </c>
      <c r="FA2" s="5">
        <v>46086.664421296293</v>
      </c>
      <c r="FD2" t="s">
        <v>262</v>
      </c>
      <c r="FF2" t="s">
        <v>263</v>
      </c>
      <c r="FH2" t="s">
        <v>264</v>
      </c>
      <c r="FI2">
        <v>1</v>
      </c>
    </row>
    <row r="3" spans="1:165" x14ac:dyDescent="0.35">
      <c r="A3" s="5">
        <v>46086.456091493063</v>
      </c>
      <c r="B3" s="5">
        <v>46092.733478865739</v>
      </c>
      <c r="C3" s="5">
        <v>46085</v>
      </c>
      <c r="D3" t="s">
        <v>252</v>
      </c>
      <c r="E3" t="s">
        <v>253</v>
      </c>
      <c r="F3" t="s">
        <v>254</v>
      </c>
      <c r="G3" s="5">
        <v>46086</v>
      </c>
      <c r="H3" t="s">
        <v>265</v>
      </c>
      <c r="I3" t="s">
        <v>27</v>
      </c>
      <c r="J3">
        <v>0</v>
      </c>
      <c r="K3">
        <v>0</v>
      </c>
      <c r="L3" t="s">
        <v>82</v>
      </c>
      <c r="O3">
        <v>13</v>
      </c>
      <c r="P3" t="s">
        <v>266</v>
      </c>
      <c r="Q3">
        <v>2021</v>
      </c>
      <c r="S3">
        <v>13</v>
      </c>
      <c r="T3" t="s">
        <v>266</v>
      </c>
      <c r="U3">
        <v>2021</v>
      </c>
      <c r="V3">
        <v>1</v>
      </c>
      <c r="W3">
        <v>1</v>
      </c>
      <c r="X3">
        <v>1</v>
      </c>
      <c r="Y3" t="s">
        <v>18</v>
      </c>
      <c r="Z3">
        <v>0</v>
      </c>
      <c r="AA3">
        <v>0</v>
      </c>
      <c r="AC3">
        <v>15</v>
      </c>
      <c r="AD3" t="s">
        <v>266</v>
      </c>
      <c r="AE3">
        <v>2021</v>
      </c>
      <c r="AF3" t="s">
        <v>15</v>
      </c>
      <c r="AG3">
        <v>1</v>
      </c>
      <c r="AH3">
        <v>0</v>
      </c>
      <c r="AI3">
        <v>0</v>
      </c>
      <c r="AJ3">
        <v>0</v>
      </c>
      <c r="AK3">
        <v>1</v>
      </c>
      <c r="AM3">
        <v>17</v>
      </c>
      <c r="AN3" t="s">
        <v>266</v>
      </c>
      <c r="AO3">
        <v>2021</v>
      </c>
      <c r="AP3" t="s">
        <v>16</v>
      </c>
      <c r="AQ3">
        <v>999</v>
      </c>
      <c r="AR3">
        <v>999</v>
      </c>
      <c r="AS3">
        <v>999</v>
      </c>
      <c r="AT3" t="s">
        <v>267</v>
      </c>
      <c r="BI3">
        <v>21</v>
      </c>
      <c r="BJ3" t="s">
        <v>268</v>
      </c>
      <c r="BK3">
        <v>2021</v>
      </c>
      <c r="BM3">
        <v>27</v>
      </c>
      <c r="BN3" t="s">
        <v>269</v>
      </c>
      <c r="BO3">
        <v>2022</v>
      </c>
      <c r="BP3" t="s">
        <v>15</v>
      </c>
      <c r="BQ3">
        <v>1</v>
      </c>
      <c r="BR3">
        <v>120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0</v>
      </c>
      <c r="CA3">
        <v>1</v>
      </c>
      <c r="CB3">
        <v>1</v>
      </c>
      <c r="CC3">
        <v>0</v>
      </c>
      <c r="CE3">
        <v>1</v>
      </c>
      <c r="CF3">
        <v>99</v>
      </c>
      <c r="CG3">
        <v>99</v>
      </c>
      <c r="CH3">
        <v>99</v>
      </c>
      <c r="CI3">
        <v>1</v>
      </c>
      <c r="CJ3" t="s">
        <v>19</v>
      </c>
      <c r="CK3" t="s">
        <v>16</v>
      </c>
      <c r="CL3">
        <v>0</v>
      </c>
      <c r="CM3">
        <v>0</v>
      </c>
      <c r="CN3">
        <v>1</v>
      </c>
      <c r="CP3">
        <v>9</v>
      </c>
      <c r="CQ3" t="s">
        <v>270</v>
      </c>
      <c r="CR3">
        <v>2022</v>
      </c>
      <c r="CT3">
        <v>3</v>
      </c>
      <c r="CU3" t="s">
        <v>257</v>
      </c>
      <c r="CV3">
        <v>2023</v>
      </c>
      <c r="CW3">
        <v>0</v>
      </c>
      <c r="CX3">
        <v>1</v>
      </c>
      <c r="CY3">
        <v>1</v>
      </c>
      <c r="DA3">
        <v>999</v>
      </c>
      <c r="DB3">
        <v>999</v>
      </c>
      <c r="DC3">
        <v>999</v>
      </c>
      <c r="DE3">
        <v>18</v>
      </c>
      <c r="DF3" t="s">
        <v>269</v>
      </c>
      <c r="DG3">
        <v>2023</v>
      </c>
      <c r="DH3">
        <v>0</v>
      </c>
      <c r="DI3">
        <v>7</v>
      </c>
      <c r="DJ3">
        <v>7</v>
      </c>
      <c r="DK3" t="s">
        <v>13</v>
      </c>
      <c r="DL3">
        <v>1</v>
      </c>
      <c r="DM3">
        <v>99</v>
      </c>
      <c r="DX3" t="s">
        <v>15</v>
      </c>
      <c r="DY3" t="s">
        <v>16</v>
      </c>
      <c r="DZ3">
        <v>1</v>
      </c>
      <c r="EA3">
        <v>0</v>
      </c>
      <c r="EB3">
        <v>1</v>
      </c>
      <c r="EC3">
        <v>1</v>
      </c>
      <c r="ED3">
        <v>1</v>
      </c>
      <c r="EE3">
        <v>1</v>
      </c>
      <c r="EF3">
        <v>0</v>
      </c>
      <c r="EG3">
        <v>0</v>
      </c>
      <c r="EH3" t="s">
        <v>13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 t="s">
        <v>16</v>
      </c>
      <c r="EY3">
        <v>687484166</v>
      </c>
      <c r="EZ3" t="s">
        <v>271</v>
      </c>
      <c r="FA3" s="5">
        <v>46086.718564814822</v>
      </c>
      <c r="FD3" t="s">
        <v>262</v>
      </c>
      <c r="FF3" t="s">
        <v>263</v>
      </c>
      <c r="FH3" t="s">
        <v>272</v>
      </c>
      <c r="FI3">
        <v>2</v>
      </c>
    </row>
    <row r="4" spans="1:165" x14ac:dyDescent="0.35">
      <c r="A4" s="5">
        <v>46086.510233310182</v>
      </c>
      <c r="B4" s="5">
        <v>46092.739509386571</v>
      </c>
      <c r="C4" s="5">
        <v>46085</v>
      </c>
      <c r="D4" t="s">
        <v>273</v>
      </c>
      <c r="E4" t="s">
        <v>253</v>
      </c>
      <c r="F4" t="s">
        <v>254</v>
      </c>
      <c r="G4" s="5">
        <v>46086</v>
      </c>
      <c r="H4" t="s">
        <v>274</v>
      </c>
      <c r="I4" t="s">
        <v>27</v>
      </c>
      <c r="J4">
        <v>0</v>
      </c>
      <c r="K4">
        <v>0</v>
      </c>
      <c r="L4" t="s">
        <v>81</v>
      </c>
      <c r="O4">
        <v>2</v>
      </c>
      <c r="P4" t="s">
        <v>256</v>
      </c>
      <c r="Q4">
        <v>2023</v>
      </c>
      <c r="S4">
        <v>2</v>
      </c>
      <c r="T4" t="s">
        <v>256</v>
      </c>
      <c r="U4">
        <v>2023</v>
      </c>
      <c r="V4">
        <v>1</v>
      </c>
      <c r="W4">
        <v>1</v>
      </c>
      <c r="X4">
        <v>2</v>
      </c>
      <c r="Y4" t="s">
        <v>25</v>
      </c>
      <c r="Z4">
        <v>1</v>
      </c>
      <c r="AA4">
        <v>0</v>
      </c>
      <c r="AC4">
        <v>2</v>
      </c>
      <c r="AD4" t="s">
        <v>256</v>
      </c>
      <c r="AE4">
        <v>2023</v>
      </c>
      <c r="AF4" t="s">
        <v>15</v>
      </c>
      <c r="AG4">
        <v>1</v>
      </c>
      <c r="AH4">
        <v>0</v>
      </c>
      <c r="AI4">
        <v>0</v>
      </c>
      <c r="AJ4">
        <v>99</v>
      </c>
      <c r="AK4">
        <v>99</v>
      </c>
      <c r="BI4">
        <v>4</v>
      </c>
      <c r="BJ4" t="s">
        <v>256</v>
      </c>
      <c r="BK4">
        <v>2023</v>
      </c>
      <c r="BM4">
        <v>28</v>
      </c>
      <c r="BN4" t="s">
        <v>268</v>
      </c>
      <c r="BO4">
        <v>2023</v>
      </c>
      <c r="BP4" t="s">
        <v>15</v>
      </c>
      <c r="BQ4">
        <v>1</v>
      </c>
      <c r="BR4">
        <v>60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0</v>
      </c>
      <c r="CA4">
        <v>1</v>
      </c>
      <c r="CB4">
        <v>1</v>
      </c>
      <c r="CC4">
        <v>0</v>
      </c>
      <c r="CE4">
        <v>1</v>
      </c>
      <c r="CF4">
        <v>1</v>
      </c>
      <c r="CG4">
        <v>1</v>
      </c>
      <c r="CH4">
        <v>0</v>
      </c>
      <c r="CI4">
        <v>1</v>
      </c>
      <c r="CJ4" t="s">
        <v>19</v>
      </c>
      <c r="CK4" t="s">
        <v>19</v>
      </c>
      <c r="CL4">
        <v>1</v>
      </c>
      <c r="CM4">
        <v>1</v>
      </c>
      <c r="CN4">
        <v>2</v>
      </c>
      <c r="CP4">
        <v>28</v>
      </c>
      <c r="CQ4" t="s">
        <v>268</v>
      </c>
      <c r="CR4">
        <v>2023</v>
      </c>
      <c r="CT4">
        <v>30</v>
      </c>
      <c r="CU4" t="s">
        <v>270</v>
      </c>
      <c r="CV4">
        <v>2023</v>
      </c>
      <c r="CW4">
        <v>1</v>
      </c>
      <c r="CX4">
        <v>1</v>
      </c>
      <c r="CY4">
        <v>1</v>
      </c>
      <c r="DA4">
        <v>30</v>
      </c>
      <c r="DB4" t="s">
        <v>270</v>
      </c>
      <c r="DC4">
        <v>2023</v>
      </c>
      <c r="DE4">
        <v>8</v>
      </c>
      <c r="DF4" t="s">
        <v>256</v>
      </c>
      <c r="DG4">
        <v>2024</v>
      </c>
      <c r="DH4">
        <v>0</v>
      </c>
      <c r="DI4">
        <v>7</v>
      </c>
      <c r="DJ4">
        <v>7</v>
      </c>
      <c r="DK4" t="s">
        <v>13</v>
      </c>
      <c r="DL4">
        <v>1</v>
      </c>
      <c r="DM4">
        <v>1</v>
      </c>
      <c r="DO4">
        <v>19</v>
      </c>
      <c r="DP4" t="s">
        <v>256</v>
      </c>
      <c r="DQ4">
        <v>2024</v>
      </c>
      <c r="DS4">
        <v>999</v>
      </c>
      <c r="DT4">
        <v>999</v>
      </c>
      <c r="DU4">
        <v>999</v>
      </c>
      <c r="DV4" t="s">
        <v>19</v>
      </c>
      <c r="DW4">
        <v>99</v>
      </c>
      <c r="DX4" t="s">
        <v>13</v>
      </c>
      <c r="DY4" t="s">
        <v>16</v>
      </c>
      <c r="DZ4">
        <v>1</v>
      </c>
      <c r="EA4">
        <v>1</v>
      </c>
      <c r="EB4">
        <v>1</v>
      </c>
      <c r="EC4">
        <v>99</v>
      </c>
      <c r="ED4">
        <v>1</v>
      </c>
      <c r="EE4">
        <v>99</v>
      </c>
      <c r="EF4">
        <v>99</v>
      </c>
      <c r="EG4">
        <v>99</v>
      </c>
      <c r="EH4" t="s">
        <v>15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 t="s">
        <v>15</v>
      </c>
      <c r="EY4">
        <v>687598305</v>
      </c>
      <c r="EZ4" t="s">
        <v>275</v>
      </c>
      <c r="FA4" s="5">
        <v>46086.870092592602</v>
      </c>
      <c r="FD4" t="s">
        <v>262</v>
      </c>
      <c r="FF4" t="s">
        <v>276</v>
      </c>
      <c r="FH4" t="s">
        <v>277</v>
      </c>
      <c r="FI4">
        <v>3</v>
      </c>
    </row>
    <row r="5" spans="1:165" x14ac:dyDescent="0.35">
      <c r="A5" s="5">
        <v>46088.803843703703</v>
      </c>
      <c r="B5" s="5">
        <v>46093.498221469898</v>
      </c>
      <c r="C5" s="5">
        <v>46087</v>
      </c>
      <c r="D5" t="s">
        <v>278</v>
      </c>
      <c r="E5" t="s">
        <v>253</v>
      </c>
      <c r="F5" t="s">
        <v>254</v>
      </c>
      <c r="G5" s="5">
        <v>46087</v>
      </c>
      <c r="H5" t="s">
        <v>279</v>
      </c>
      <c r="I5" t="s">
        <v>31</v>
      </c>
      <c r="J5">
        <v>0</v>
      </c>
      <c r="K5">
        <v>1</v>
      </c>
      <c r="L5" t="s">
        <v>81</v>
      </c>
      <c r="O5">
        <v>999</v>
      </c>
      <c r="P5" t="s">
        <v>258</v>
      </c>
      <c r="Q5">
        <v>2017</v>
      </c>
      <c r="S5">
        <v>999</v>
      </c>
      <c r="T5" t="s">
        <v>258</v>
      </c>
      <c r="U5">
        <v>2018</v>
      </c>
      <c r="V5">
        <v>1</v>
      </c>
      <c r="W5">
        <v>1</v>
      </c>
      <c r="X5">
        <v>1</v>
      </c>
      <c r="Y5" t="s">
        <v>14</v>
      </c>
      <c r="Z5">
        <v>0</v>
      </c>
      <c r="AA5">
        <v>0</v>
      </c>
      <c r="AC5">
        <v>11</v>
      </c>
      <c r="AD5" t="s">
        <v>258</v>
      </c>
      <c r="AE5">
        <v>2019</v>
      </c>
      <c r="AF5" t="s">
        <v>17</v>
      </c>
      <c r="AG5">
        <v>1</v>
      </c>
      <c r="AH5">
        <v>1</v>
      </c>
      <c r="AI5">
        <v>0</v>
      </c>
      <c r="AJ5">
        <v>99</v>
      </c>
      <c r="AK5">
        <v>99</v>
      </c>
      <c r="BI5">
        <v>10</v>
      </c>
      <c r="BJ5" t="s">
        <v>260</v>
      </c>
      <c r="BK5">
        <v>2018</v>
      </c>
      <c r="BM5">
        <v>7</v>
      </c>
      <c r="BN5" t="s">
        <v>266</v>
      </c>
      <c r="BO5">
        <v>2022</v>
      </c>
      <c r="BP5" t="s">
        <v>15</v>
      </c>
      <c r="BQ5">
        <v>1</v>
      </c>
      <c r="BR5">
        <v>90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99</v>
      </c>
      <c r="CA5">
        <v>1</v>
      </c>
      <c r="CB5">
        <v>1</v>
      </c>
      <c r="CC5">
        <v>1</v>
      </c>
      <c r="CD5" t="s">
        <v>280</v>
      </c>
      <c r="CE5">
        <v>99</v>
      </c>
      <c r="CF5">
        <v>0</v>
      </c>
      <c r="CG5">
        <v>99</v>
      </c>
      <c r="CH5">
        <v>99</v>
      </c>
      <c r="CI5">
        <v>0</v>
      </c>
      <c r="CJ5" t="s">
        <v>15</v>
      </c>
      <c r="CK5" t="s">
        <v>19</v>
      </c>
      <c r="CL5">
        <v>0</v>
      </c>
      <c r="CM5">
        <v>0</v>
      </c>
      <c r="CN5">
        <v>1</v>
      </c>
      <c r="CP5">
        <v>25</v>
      </c>
      <c r="CQ5" t="s">
        <v>281</v>
      </c>
      <c r="CR5">
        <v>2022</v>
      </c>
      <c r="CT5">
        <v>7</v>
      </c>
      <c r="CU5" t="s">
        <v>266</v>
      </c>
      <c r="CV5">
        <v>2022</v>
      </c>
      <c r="CW5">
        <v>0</v>
      </c>
      <c r="CX5">
        <v>1</v>
      </c>
      <c r="CY5">
        <v>1</v>
      </c>
      <c r="DA5">
        <v>22</v>
      </c>
      <c r="DB5" t="s">
        <v>269</v>
      </c>
      <c r="DC5">
        <v>2024</v>
      </c>
      <c r="DE5">
        <v>26</v>
      </c>
      <c r="DF5" t="s">
        <v>258</v>
      </c>
      <c r="DG5">
        <v>2025</v>
      </c>
      <c r="DH5">
        <v>0</v>
      </c>
      <c r="DI5">
        <v>6</v>
      </c>
      <c r="DJ5">
        <v>6</v>
      </c>
      <c r="DK5" t="s">
        <v>15</v>
      </c>
      <c r="DL5">
        <v>7</v>
      </c>
      <c r="DM5">
        <v>99</v>
      </c>
      <c r="DX5" t="s">
        <v>15</v>
      </c>
      <c r="DY5" t="s">
        <v>16</v>
      </c>
      <c r="DZ5">
        <v>1</v>
      </c>
      <c r="EA5">
        <v>1</v>
      </c>
      <c r="EB5">
        <v>99</v>
      </c>
      <c r="EC5">
        <v>99</v>
      </c>
      <c r="ED5">
        <v>0</v>
      </c>
      <c r="EE5">
        <v>99</v>
      </c>
      <c r="EF5">
        <v>0</v>
      </c>
      <c r="EG5">
        <v>99</v>
      </c>
      <c r="EH5" t="s">
        <v>282</v>
      </c>
      <c r="EI5">
        <v>99</v>
      </c>
      <c r="EJ5">
        <v>1</v>
      </c>
      <c r="EK5">
        <v>1</v>
      </c>
      <c r="EL5">
        <v>99</v>
      </c>
      <c r="EM5">
        <v>99</v>
      </c>
      <c r="EN5">
        <v>0</v>
      </c>
      <c r="EO5">
        <v>0</v>
      </c>
      <c r="EP5">
        <v>1</v>
      </c>
      <c r="EQ5">
        <v>0</v>
      </c>
      <c r="ER5" t="s">
        <v>16</v>
      </c>
      <c r="EY5">
        <v>689385171</v>
      </c>
      <c r="EZ5" t="s">
        <v>283</v>
      </c>
      <c r="FA5" s="5">
        <v>46089.050057870372</v>
      </c>
      <c r="FD5" t="s">
        <v>262</v>
      </c>
      <c r="FF5" t="s">
        <v>276</v>
      </c>
      <c r="FH5" t="s">
        <v>284</v>
      </c>
      <c r="FI5">
        <v>4</v>
      </c>
    </row>
    <row r="6" spans="1:165" x14ac:dyDescent="0.35">
      <c r="A6" s="5">
        <v>46088.885877719913</v>
      </c>
      <c r="B6" s="5">
        <v>46093.551711701388</v>
      </c>
      <c r="C6" s="5">
        <v>46087</v>
      </c>
      <c r="D6" t="s">
        <v>278</v>
      </c>
      <c r="E6" t="s">
        <v>253</v>
      </c>
      <c r="F6" t="s">
        <v>254</v>
      </c>
      <c r="G6" s="5">
        <v>46088</v>
      </c>
      <c r="H6" t="s">
        <v>285</v>
      </c>
      <c r="I6" t="s">
        <v>27</v>
      </c>
      <c r="J6">
        <v>0</v>
      </c>
      <c r="K6">
        <v>0</v>
      </c>
      <c r="L6" t="s">
        <v>81</v>
      </c>
      <c r="O6">
        <v>17</v>
      </c>
      <c r="P6" t="s">
        <v>286</v>
      </c>
      <c r="Q6">
        <v>2019</v>
      </c>
      <c r="S6">
        <v>17</v>
      </c>
      <c r="T6" t="s">
        <v>286</v>
      </c>
      <c r="U6">
        <v>2019</v>
      </c>
      <c r="V6">
        <v>1</v>
      </c>
      <c r="W6">
        <v>1</v>
      </c>
      <c r="X6">
        <v>1</v>
      </c>
      <c r="Y6" t="s">
        <v>17</v>
      </c>
      <c r="Z6">
        <v>1</v>
      </c>
      <c r="AA6">
        <v>0</v>
      </c>
      <c r="AC6">
        <v>19</v>
      </c>
      <c r="AD6" t="s">
        <v>286</v>
      </c>
      <c r="AE6">
        <v>2019</v>
      </c>
      <c r="AF6" t="s">
        <v>15</v>
      </c>
      <c r="AG6">
        <v>1</v>
      </c>
      <c r="AH6">
        <v>0</v>
      </c>
      <c r="AI6">
        <v>1</v>
      </c>
      <c r="AJ6">
        <v>99</v>
      </c>
      <c r="AK6">
        <v>99</v>
      </c>
      <c r="BI6">
        <v>15</v>
      </c>
      <c r="BJ6" t="s">
        <v>269</v>
      </c>
      <c r="BK6">
        <v>2023</v>
      </c>
      <c r="BM6">
        <v>1</v>
      </c>
      <c r="BN6" t="s">
        <v>257</v>
      </c>
      <c r="BO6">
        <v>2024</v>
      </c>
      <c r="BP6" t="s">
        <v>15</v>
      </c>
      <c r="BQ6">
        <v>1</v>
      </c>
      <c r="BR6">
        <v>63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99</v>
      </c>
      <c r="CE6">
        <v>99</v>
      </c>
      <c r="CF6">
        <v>99</v>
      </c>
      <c r="CG6">
        <v>99</v>
      </c>
      <c r="CH6">
        <v>99</v>
      </c>
      <c r="CI6">
        <v>1</v>
      </c>
      <c r="CJ6" t="s">
        <v>16</v>
      </c>
      <c r="CK6" t="s">
        <v>16</v>
      </c>
      <c r="CL6">
        <v>1</v>
      </c>
      <c r="CM6">
        <v>1</v>
      </c>
      <c r="CN6">
        <v>1</v>
      </c>
      <c r="CP6">
        <v>22</v>
      </c>
      <c r="CQ6" t="s">
        <v>270</v>
      </c>
      <c r="CR6">
        <v>2023</v>
      </c>
      <c r="CT6">
        <v>999</v>
      </c>
      <c r="CU6">
        <v>999</v>
      </c>
      <c r="CV6">
        <v>999</v>
      </c>
      <c r="CW6">
        <v>0</v>
      </c>
      <c r="CX6">
        <v>0</v>
      </c>
      <c r="CY6" t="s">
        <v>15</v>
      </c>
      <c r="DX6" t="s">
        <v>15</v>
      </c>
      <c r="DY6" t="s">
        <v>16</v>
      </c>
      <c r="DZ6">
        <v>1</v>
      </c>
      <c r="EA6">
        <v>1</v>
      </c>
      <c r="EB6">
        <v>99</v>
      </c>
      <c r="EC6">
        <v>99</v>
      </c>
      <c r="ED6">
        <v>1</v>
      </c>
      <c r="EE6">
        <v>99</v>
      </c>
      <c r="EF6">
        <v>99</v>
      </c>
      <c r="EG6">
        <v>99</v>
      </c>
      <c r="EH6" t="s">
        <v>15</v>
      </c>
      <c r="EI6">
        <v>99</v>
      </c>
      <c r="EJ6">
        <v>1</v>
      </c>
      <c r="EK6">
        <v>1</v>
      </c>
      <c r="EL6">
        <v>1</v>
      </c>
      <c r="EM6">
        <v>1</v>
      </c>
      <c r="EN6">
        <v>99</v>
      </c>
      <c r="EO6">
        <v>99</v>
      </c>
      <c r="EP6">
        <v>99</v>
      </c>
      <c r="EQ6">
        <v>99</v>
      </c>
      <c r="ER6" t="s">
        <v>16</v>
      </c>
      <c r="EY6">
        <v>689414180</v>
      </c>
      <c r="EZ6" t="s">
        <v>287</v>
      </c>
      <c r="FA6" s="5">
        <v>46089.132048611107</v>
      </c>
      <c r="FD6" t="s">
        <v>262</v>
      </c>
      <c r="FF6" t="s">
        <v>276</v>
      </c>
      <c r="FH6" t="s">
        <v>288</v>
      </c>
      <c r="FI6">
        <v>5</v>
      </c>
    </row>
    <row r="7" spans="1:165" x14ac:dyDescent="0.35">
      <c r="A7" s="5">
        <v>46088.927542523154</v>
      </c>
      <c r="B7" s="5">
        <v>46093.524193657409</v>
      </c>
      <c r="C7" s="5">
        <v>46087</v>
      </c>
      <c r="D7" t="s">
        <v>278</v>
      </c>
      <c r="E7" t="s">
        <v>253</v>
      </c>
      <c r="F7" t="s">
        <v>254</v>
      </c>
      <c r="G7" s="5">
        <v>46088</v>
      </c>
      <c r="H7" t="s">
        <v>289</v>
      </c>
      <c r="I7" t="s">
        <v>80</v>
      </c>
      <c r="J7">
        <v>0</v>
      </c>
      <c r="K7">
        <v>0</v>
      </c>
      <c r="L7" t="s">
        <v>81</v>
      </c>
      <c r="O7">
        <v>31</v>
      </c>
      <c r="P7" t="s">
        <v>256</v>
      </c>
      <c r="Q7">
        <v>2023</v>
      </c>
      <c r="S7">
        <v>31</v>
      </c>
      <c r="T7" t="s">
        <v>256</v>
      </c>
      <c r="U7">
        <v>2023</v>
      </c>
      <c r="V7">
        <v>1</v>
      </c>
      <c r="W7">
        <v>1</v>
      </c>
      <c r="X7">
        <v>1</v>
      </c>
      <c r="Y7" t="s">
        <v>14</v>
      </c>
      <c r="Z7">
        <v>0</v>
      </c>
      <c r="AA7">
        <v>0</v>
      </c>
      <c r="AC7">
        <v>9</v>
      </c>
      <c r="AD7" t="s">
        <v>257</v>
      </c>
      <c r="AE7">
        <v>2023</v>
      </c>
      <c r="AF7" t="s">
        <v>13</v>
      </c>
      <c r="AG7">
        <v>1</v>
      </c>
      <c r="AH7">
        <v>0</v>
      </c>
      <c r="AI7">
        <v>0</v>
      </c>
      <c r="AJ7">
        <v>99</v>
      </c>
      <c r="AK7">
        <v>99</v>
      </c>
      <c r="BI7">
        <v>13</v>
      </c>
      <c r="BJ7" t="s">
        <v>257</v>
      </c>
      <c r="BK7">
        <v>2023</v>
      </c>
      <c r="BM7">
        <v>20</v>
      </c>
      <c r="BN7" t="s">
        <v>266</v>
      </c>
      <c r="BO7">
        <v>2023</v>
      </c>
      <c r="BP7" t="s">
        <v>15</v>
      </c>
      <c r="BQ7">
        <v>1</v>
      </c>
      <c r="BR7">
        <v>60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99</v>
      </c>
      <c r="CE7">
        <v>0</v>
      </c>
      <c r="CF7">
        <v>1</v>
      </c>
      <c r="CG7">
        <v>1</v>
      </c>
      <c r="CH7">
        <v>0</v>
      </c>
      <c r="CI7">
        <v>1</v>
      </c>
      <c r="CJ7" t="s">
        <v>16</v>
      </c>
      <c r="CK7" t="s">
        <v>16</v>
      </c>
      <c r="CL7">
        <v>0</v>
      </c>
      <c r="CM7">
        <v>0</v>
      </c>
      <c r="CN7">
        <v>1</v>
      </c>
      <c r="CP7">
        <v>4</v>
      </c>
      <c r="CQ7" t="s">
        <v>258</v>
      </c>
      <c r="CR7">
        <v>2024</v>
      </c>
      <c r="CT7">
        <v>19</v>
      </c>
      <c r="CU7" t="s">
        <v>259</v>
      </c>
      <c r="CV7">
        <v>2024</v>
      </c>
      <c r="CW7">
        <v>0</v>
      </c>
      <c r="CX7">
        <v>1</v>
      </c>
      <c r="CY7">
        <v>1</v>
      </c>
      <c r="DA7">
        <v>26</v>
      </c>
      <c r="DB7" t="s">
        <v>260</v>
      </c>
      <c r="DC7">
        <v>2024</v>
      </c>
      <c r="DE7">
        <v>999</v>
      </c>
      <c r="DF7">
        <v>999</v>
      </c>
      <c r="DG7">
        <v>999</v>
      </c>
      <c r="DH7">
        <v>0</v>
      </c>
      <c r="DI7">
        <v>7</v>
      </c>
      <c r="DJ7">
        <v>1</v>
      </c>
      <c r="DK7" t="s">
        <v>19</v>
      </c>
      <c r="DL7">
        <v>7</v>
      </c>
      <c r="DM7">
        <v>99</v>
      </c>
      <c r="DX7" t="s">
        <v>19</v>
      </c>
      <c r="DY7" t="s">
        <v>16</v>
      </c>
      <c r="DZ7">
        <v>1</v>
      </c>
      <c r="EA7">
        <v>1</v>
      </c>
      <c r="EB7">
        <v>99</v>
      </c>
      <c r="EC7">
        <v>99</v>
      </c>
      <c r="ED7">
        <v>1</v>
      </c>
      <c r="EE7">
        <v>99</v>
      </c>
      <c r="EF7">
        <v>99</v>
      </c>
      <c r="EG7">
        <v>99</v>
      </c>
      <c r="EH7" t="s">
        <v>15</v>
      </c>
      <c r="EI7">
        <v>99</v>
      </c>
      <c r="EJ7">
        <v>1</v>
      </c>
      <c r="EK7">
        <v>1</v>
      </c>
      <c r="EL7">
        <v>1</v>
      </c>
      <c r="EM7">
        <v>1</v>
      </c>
      <c r="EN7">
        <v>0</v>
      </c>
      <c r="EO7">
        <v>0</v>
      </c>
      <c r="EP7">
        <v>99</v>
      </c>
      <c r="EQ7">
        <v>99</v>
      </c>
      <c r="ER7" t="s">
        <v>16</v>
      </c>
      <c r="EY7">
        <v>689431137</v>
      </c>
      <c r="EZ7" t="s">
        <v>290</v>
      </c>
      <c r="FA7" s="5">
        <v>46089.163460648153</v>
      </c>
      <c r="FD7" t="s">
        <v>262</v>
      </c>
      <c r="FF7" t="s">
        <v>276</v>
      </c>
      <c r="FH7" t="s">
        <v>291</v>
      </c>
      <c r="FI7">
        <v>6</v>
      </c>
    </row>
    <row r="8" spans="1:165" x14ac:dyDescent="0.35">
      <c r="A8" s="5">
        <v>46088.955126550929</v>
      </c>
      <c r="B8" s="5">
        <v>46093.548409317133</v>
      </c>
      <c r="C8" s="5">
        <v>46087</v>
      </c>
      <c r="D8" t="s">
        <v>278</v>
      </c>
      <c r="E8" t="s">
        <v>253</v>
      </c>
      <c r="F8" t="s">
        <v>254</v>
      </c>
      <c r="G8" s="5">
        <v>46088</v>
      </c>
      <c r="H8" t="s">
        <v>292</v>
      </c>
      <c r="I8" t="s">
        <v>80</v>
      </c>
      <c r="J8">
        <v>0</v>
      </c>
      <c r="K8">
        <v>0</v>
      </c>
      <c r="L8" t="s">
        <v>81</v>
      </c>
      <c r="O8">
        <v>999</v>
      </c>
      <c r="P8" t="s">
        <v>257</v>
      </c>
      <c r="Q8">
        <v>2015</v>
      </c>
      <c r="S8">
        <v>999</v>
      </c>
      <c r="T8" t="s">
        <v>257</v>
      </c>
      <c r="U8">
        <v>2015</v>
      </c>
      <c r="V8">
        <v>1</v>
      </c>
      <c r="W8">
        <v>1</v>
      </c>
      <c r="X8">
        <v>1</v>
      </c>
      <c r="Y8" t="s">
        <v>14</v>
      </c>
      <c r="Z8">
        <v>0</v>
      </c>
      <c r="AA8">
        <v>99</v>
      </c>
      <c r="AC8">
        <v>17</v>
      </c>
      <c r="AD8" t="s">
        <v>281</v>
      </c>
      <c r="AE8">
        <v>2022</v>
      </c>
      <c r="AF8" t="s">
        <v>15</v>
      </c>
      <c r="AG8">
        <v>1</v>
      </c>
      <c r="AH8">
        <v>0</v>
      </c>
      <c r="AI8">
        <v>0</v>
      </c>
      <c r="AJ8">
        <v>99</v>
      </c>
      <c r="AK8">
        <v>99</v>
      </c>
      <c r="BI8">
        <v>18</v>
      </c>
      <c r="BJ8" t="s">
        <v>286</v>
      </c>
      <c r="BK8">
        <v>2022</v>
      </c>
      <c r="BM8">
        <v>28</v>
      </c>
      <c r="BN8" t="s">
        <v>257</v>
      </c>
      <c r="BO8">
        <v>2024</v>
      </c>
      <c r="BP8" t="s">
        <v>15</v>
      </c>
      <c r="BQ8">
        <v>1</v>
      </c>
      <c r="BR8">
        <v>60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0</v>
      </c>
      <c r="CE8">
        <v>1</v>
      </c>
      <c r="CF8">
        <v>1</v>
      </c>
      <c r="CG8">
        <v>99</v>
      </c>
      <c r="CH8">
        <v>0</v>
      </c>
      <c r="CI8">
        <v>1</v>
      </c>
      <c r="CJ8" t="s">
        <v>16</v>
      </c>
      <c r="CK8" t="s">
        <v>16</v>
      </c>
      <c r="CL8">
        <v>0</v>
      </c>
      <c r="CM8">
        <v>0</v>
      </c>
      <c r="CN8">
        <v>1</v>
      </c>
      <c r="CP8">
        <v>1</v>
      </c>
      <c r="CQ8" t="s">
        <v>258</v>
      </c>
      <c r="CR8">
        <v>2024</v>
      </c>
      <c r="CT8">
        <v>12</v>
      </c>
      <c r="CU8" t="s">
        <v>259</v>
      </c>
      <c r="CV8">
        <v>2024</v>
      </c>
      <c r="CW8">
        <v>0</v>
      </c>
      <c r="CX8">
        <v>1</v>
      </c>
      <c r="CY8">
        <v>1</v>
      </c>
      <c r="DA8">
        <v>16</v>
      </c>
      <c r="DB8" t="s">
        <v>269</v>
      </c>
      <c r="DC8">
        <v>2024</v>
      </c>
      <c r="DE8">
        <v>999</v>
      </c>
      <c r="DF8">
        <v>999</v>
      </c>
      <c r="DG8">
        <v>999</v>
      </c>
      <c r="DH8">
        <v>0</v>
      </c>
      <c r="DI8">
        <v>7</v>
      </c>
      <c r="DJ8">
        <v>7</v>
      </c>
      <c r="DK8" t="s">
        <v>19</v>
      </c>
      <c r="DL8">
        <v>7</v>
      </c>
      <c r="DM8">
        <v>99</v>
      </c>
      <c r="DX8" t="s">
        <v>19</v>
      </c>
      <c r="DY8" t="s">
        <v>16</v>
      </c>
      <c r="DZ8">
        <v>1</v>
      </c>
      <c r="EA8">
        <v>1</v>
      </c>
      <c r="EB8">
        <v>99</v>
      </c>
      <c r="EC8">
        <v>99</v>
      </c>
      <c r="ED8">
        <v>0</v>
      </c>
      <c r="EE8">
        <v>0</v>
      </c>
      <c r="EF8">
        <v>99</v>
      </c>
      <c r="EG8">
        <v>99</v>
      </c>
      <c r="EH8" t="s">
        <v>15</v>
      </c>
      <c r="EI8">
        <v>99</v>
      </c>
      <c r="EJ8">
        <v>1</v>
      </c>
      <c r="EK8">
        <v>1</v>
      </c>
      <c r="EL8">
        <v>1</v>
      </c>
      <c r="EM8">
        <v>1</v>
      </c>
      <c r="EN8">
        <v>0</v>
      </c>
      <c r="EO8">
        <v>0</v>
      </c>
      <c r="EP8">
        <v>99</v>
      </c>
      <c r="EQ8">
        <v>99</v>
      </c>
      <c r="ER8" t="s">
        <v>16</v>
      </c>
      <c r="EY8">
        <v>689449626</v>
      </c>
      <c r="EZ8" t="s">
        <v>293</v>
      </c>
      <c r="FA8" s="5">
        <v>46089.197546296287</v>
      </c>
      <c r="FD8" t="s">
        <v>262</v>
      </c>
      <c r="FF8" t="s">
        <v>276</v>
      </c>
      <c r="FH8" t="s">
        <v>294</v>
      </c>
      <c r="FI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BB53-9CD7-4B93-9365-F3F61664E081}">
  <sheetPr>
    <tabColor rgb="FF002060"/>
  </sheetPr>
  <dimension ref="A1"/>
  <sheetViews>
    <sheetView view="pageBreakPreview" zoomScale="60" zoomScaleNormal="100" workbookViewId="0">
      <selection activeCell="F28" sqref="F28"/>
    </sheetView>
  </sheetViews>
  <sheetFormatPr baseColWidth="10" defaultRowHeight="14.5" x14ac:dyDescent="0.3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8E18-0ABB-4376-B773-6F74C6D98258}">
  <dimension ref="A1:M11"/>
  <sheetViews>
    <sheetView tabSelected="1" zoomScale="65" zoomScaleNormal="77" workbookViewId="0">
      <selection activeCell="C14" sqref="C14"/>
    </sheetView>
  </sheetViews>
  <sheetFormatPr baseColWidth="10" defaultRowHeight="14.5" x14ac:dyDescent="0.35"/>
  <cols>
    <col min="1" max="1" width="28.453125" customWidth="1"/>
    <col min="2" max="3" width="25.7265625" customWidth="1"/>
    <col min="4" max="4" width="16.26953125" customWidth="1"/>
    <col min="5" max="5" width="12.453125" customWidth="1"/>
    <col min="8" max="8" width="9.1796875" bestFit="1" customWidth="1"/>
    <col min="9" max="9" width="9.1796875" customWidth="1"/>
    <col min="10" max="10" width="22.7265625" customWidth="1"/>
    <col min="11" max="11" width="27.1796875" customWidth="1"/>
    <col min="12" max="12" width="18.81640625" customWidth="1"/>
  </cols>
  <sheetData>
    <row r="1" spans="1:13" x14ac:dyDescent="0.35">
      <c r="A1" t="s">
        <v>10</v>
      </c>
      <c r="B1" t="s">
        <v>9</v>
      </c>
      <c r="C1" t="s">
        <v>11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89</v>
      </c>
      <c r="J1" t="s">
        <v>5</v>
      </c>
      <c r="K1" s="1" t="s">
        <v>6</v>
      </c>
      <c r="L1" t="s">
        <v>7</v>
      </c>
      <c r="M1" t="s">
        <v>8</v>
      </c>
    </row>
    <row r="2" spans="1:13" x14ac:dyDescent="0.35">
      <c r="A2" t="str" cm="1">
        <f t="array" ref="A2:A8">+Kobo!H2:H8</f>
        <v>02800-2023-0-2402-JR-PE-03</v>
      </c>
      <c r="B2" s="4" cm="1">
        <f t="array" ref="B2:B8">+Kobo!A2:A8</f>
        <v>46086.393920416667</v>
      </c>
      <c r="C2" s="4" cm="1">
        <f t="array" ref="C2:C8">+Kobo!FA2:FA8</f>
        <v>46086.664421296293</v>
      </c>
      <c r="D2" s="2">
        <f>INT(B2)</f>
        <v>46086</v>
      </c>
      <c r="E2" s="6">
        <f>B2-INT(B2)</f>
        <v>0.39392041666724253</v>
      </c>
      <c r="F2" s="2">
        <f>INT(C2)</f>
        <v>46086</v>
      </c>
      <c r="G2" s="6">
        <f>C2-INT(C2)</f>
        <v>0.66442129629285773</v>
      </c>
      <c r="H2" s="3">
        <f>+C2-B2</f>
        <v>0.2705008796256152</v>
      </c>
      <c r="I2" s="7">
        <f>H2*1440</f>
        <v>389.52126666088589</v>
      </c>
      <c r="J2" t="str" cm="1">
        <f t="array" ref="J2:J8">+Kobo!D2:D8</f>
        <v>Mayra Sánchez Hinojosa</v>
      </c>
      <c r="K2" t="str" cm="1">
        <f t="array" ref="K2:K8">+Kobo!I2:I8</f>
        <v>Ucayali</v>
      </c>
      <c r="L2" t="str" cm="1">
        <f t="array" ref="L2:L8">+Kobo!L2:L8</f>
        <v>Violencia sexual</v>
      </c>
      <c r="M2">
        <v>1</v>
      </c>
    </row>
    <row r="3" spans="1:13" x14ac:dyDescent="0.35">
      <c r="A3" t="str">
        <v>01552-2022-8-0701-JR-PE-03</v>
      </c>
      <c r="B3" s="4">
        <v>46086.456091493063</v>
      </c>
      <c r="C3" s="4">
        <v>46086.718564814822</v>
      </c>
      <c r="D3" s="2">
        <f t="shared" ref="D3:D8" si="0">INT(B3)</f>
        <v>46086</v>
      </c>
      <c r="E3" s="6">
        <f t="shared" ref="E3:E8" si="1">B3-INT(B3)</f>
        <v>0.45609149306255858</v>
      </c>
      <c r="F3" s="2">
        <f t="shared" ref="F3:F8" si="2">INT(C3)</f>
        <v>46086</v>
      </c>
      <c r="G3" s="6">
        <f t="shared" ref="G3:G8" si="3">C3-INT(C3)</f>
        <v>0.71856481482245727</v>
      </c>
      <c r="H3" s="3">
        <f t="shared" ref="H3:H8" si="4">+C3-B3</f>
        <v>0.26247332175989868</v>
      </c>
      <c r="I3" s="7">
        <f t="shared" ref="I3:I8" si="5">H3*1440</f>
        <v>377.9615833342541</v>
      </c>
      <c r="J3" t="str">
        <v>Mayra Sánchez Hinojosa</v>
      </c>
      <c r="K3" t="str">
        <v>Callao</v>
      </c>
      <c r="L3" t="str">
        <v>Violencia física</v>
      </c>
      <c r="M3">
        <f>+M2+1</f>
        <v>2</v>
      </c>
    </row>
    <row r="4" spans="1:13" x14ac:dyDescent="0.35">
      <c r="A4" t="str">
        <v>00075-2023-32-0701-JR-PE-01</v>
      </c>
      <c r="B4" s="4">
        <v>46086.510233310182</v>
      </c>
      <c r="C4" s="4">
        <v>46086.870092592602</v>
      </c>
      <c r="D4" s="2">
        <f t="shared" si="0"/>
        <v>46086</v>
      </c>
      <c r="E4" s="6">
        <f t="shared" si="1"/>
        <v>0.51023331018222962</v>
      </c>
      <c r="F4" s="2">
        <f t="shared" si="2"/>
        <v>46086</v>
      </c>
      <c r="G4" s="6">
        <f t="shared" si="3"/>
        <v>0.87009259260230465</v>
      </c>
      <c r="H4" s="3">
        <f t="shared" si="4"/>
        <v>0.35985928242007503</v>
      </c>
      <c r="I4" s="7">
        <f t="shared" si="5"/>
        <v>518.19736668490805</v>
      </c>
      <c r="J4" t="str">
        <v>Mayra Sanchez Hinojosa</v>
      </c>
      <c r="K4" t="str">
        <v>Callao</v>
      </c>
      <c r="L4" t="str">
        <v>Violencia sexual</v>
      </c>
      <c r="M4">
        <f t="shared" ref="M4:M8" si="6">+M3+1</f>
        <v>3</v>
      </c>
    </row>
    <row r="5" spans="1:13" x14ac:dyDescent="0.35">
      <c r="A5" t="str">
        <v>00440-2019-16-1007-JR-PE-01</v>
      </c>
      <c r="B5" s="4">
        <v>46088.803843703703</v>
      </c>
      <c r="C5" s="4">
        <v>46089.050057870372</v>
      </c>
      <c r="D5" s="2">
        <f t="shared" si="0"/>
        <v>46088</v>
      </c>
      <c r="E5" s="6">
        <f t="shared" si="1"/>
        <v>0.80384370370302349</v>
      </c>
      <c r="F5" s="2">
        <f t="shared" si="2"/>
        <v>46089</v>
      </c>
      <c r="G5" s="6">
        <f t="shared" si="3"/>
        <v>5.005787037225673E-2</v>
      </c>
      <c r="H5" s="3">
        <f t="shared" si="4"/>
        <v>0.24621416666923324</v>
      </c>
      <c r="I5" s="7">
        <f t="shared" si="5"/>
        <v>354.54840000369586</v>
      </c>
      <c r="J5" t="str">
        <v>Pamelhy Valle</v>
      </c>
      <c r="K5" t="str">
        <v>Cusco</v>
      </c>
      <c r="L5" t="str">
        <v>Violencia sexual</v>
      </c>
      <c r="M5">
        <f t="shared" si="6"/>
        <v>4</v>
      </c>
    </row>
    <row r="6" spans="1:13" x14ac:dyDescent="0.35">
      <c r="A6" t="str">
        <v>01654-2023-58-0701-JR-PE-01</v>
      </c>
      <c r="B6" s="4">
        <v>46088.885877719913</v>
      </c>
      <c r="C6" s="4">
        <v>46089.132048611107</v>
      </c>
      <c r="D6" s="2">
        <f t="shared" si="0"/>
        <v>46088</v>
      </c>
      <c r="E6" s="6">
        <f t="shared" si="1"/>
        <v>0.88587771991296904</v>
      </c>
      <c r="F6" s="2">
        <f t="shared" si="2"/>
        <v>46089</v>
      </c>
      <c r="G6" s="6">
        <f t="shared" si="3"/>
        <v>0.13204861110716593</v>
      </c>
      <c r="H6" s="3">
        <f>+C6-B6</f>
        <v>0.24617089119419688</v>
      </c>
      <c r="I6" s="7">
        <f t="shared" si="5"/>
        <v>354.48608331964351</v>
      </c>
      <c r="J6" t="str">
        <v>Pamelhy Valle</v>
      </c>
      <c r="K6" t="str">
        <v>Callao</v>
      </c>
      <c r="L6" t="str">
        <v>Violencia sexual</v>
      </c>
      <c r="M6">
        <f t="shared" si="6"/>
        <v>5</v>
      </c>
    </row>
    <row r="7" spans="1:13" x14ac:dyDescent="0.35">
      <c r="A7" t="str">
        <v>02800-2023-95-2402-JR-PE-03</v>
      </c>
      <c r="B7" s="4">
        <v>46088.927542523154</v>
      </c>
      <c r="C7" s="4">
        <v>46089.163460648153</v>
      </c>
      <c r="D7" s="2">
        <f t="shared" si="0"/>
        <v>46088</v>
      </c>
      <c r="E7" s="6">
        <f t="shared" si="1"/>
        <v>0.92754252315353369</v>
      </c>
      <c r="F7" s="2">
        <f t="shared" si="2"/>
        <v>46089</v>
      </c>
      <c r="G7" s="6">
        <f t="shared" si="3"/>
        <v>0.16346064815297723</v>
      </c>
      <c r="H7" s="3">
        <f t="shared" si="4"/>
        <v>0.23591812499944353</v>
      </c>
      <c r="I7" s="7">
        <f t="shared" si="5"/>
        <v>339.72209999919869</v>
      </c>
      <c r="J7" t="str">
        <v>Pamelhy Valle</v>
      </c>
      <c r="K7" t="str">
        <v>Ucayali</v>
      </c>
      <c r="L7" t="str">
        <v>Violencia sexual</v>
      </c>
      <c r="M7">
        <f t="shared" si="6"/>
        <v>6</v>
      </c>
    </row>
    <row r="8" spans="1:13" x14ac:dyDescent="0.35">
      <c r="A8" t="str">
        <v>00432-2023-73-2402-JR-PE-04</v>
      </c>
      <c r="B8" s="4">
        <v>46088.955126550929</v>
      </c>
      <c r="C8" s="4">
        <v>46089.197546296287</v>
      </c>
      <c r="D8" s="2">
        <f t="shared" si="0"/>
        <v>46088</v>
      </c>
      <c r="E8" s="6">
        <f t="shared" si="1"/>
        <v>0.95512655092898058</v>
      </c>
      <c r="F8" s="2">
        <f t="shared" si="2"/>
        <v>46089</v>
      </c>
      <c r="G8" s="6">
        <f t="shared" si="3"/>
        <v>0.197546296287328</v>
      </c>
      <c r="H8" s="3">
        <f t="shared" si="4"/>
        <v>0.24241974535834743</v>
      </c>
      <c r="I8" s="7">
        <f t="shared" si="5"/>
        <v>349.0844333160203</v>
      </c>
      <c r="J8" t="str">
        <v>Pamelhy Valle</v>
      </c>
      <c r="K8" t="str">
        <v>Ucayali</v>
      </c>
      <c r="L8" t="str">
        <v>Violencia sexual</v>
      </c>
      <c r="M8">
        <f t="shared" si="6"/>
        <v>7</v>
      </c>
    </row>
    <row r="9" spans="1:13" x14ac:dyDescent="0.35">
      <c r="D9" s="2"/>
      <c r="E9" s="3"/>
      <c r="F9" s="2"/>
      <c r="G9" s="3"/>
      <c r="H9" s="3"/>
      <c r="I9" s="3"/>
    </row>
    <row r="10" spans="1:13" x14ac:dyDescent="0.35">
      <c r="D10" s="2"/>
      <c r="E10" s="3"/>
      <c r="F10" s="2"/>
      <c r="G10" s="3"/>
      <c r="H10" s="3"/>
      <c r="I10" s="3"/>
    </row>
    <row r="11" spans="1:13" x14ac:dyDescent="0.35">
      <c r="D11" s="2"/>
      <c r="E11" s="3"/>
      <c r="F11" s="2"/>
      <c r="G11" s="3"/>
      <c r="H11" s="3"/>
      <c r="I1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9763-4DC2-4AE5-B762-9D7ECC3A8F82}">
  <dimension ref="A1:E35"/>
  <sheetViews>
    <sheetView workbookViewId="0">
      <selection activeCell="E3" sqref="E3"/>
    </sheetView>
  </sheetViews>
  <sheetFormatPr baseColWidth="10" defaultRowHeight="14.5" x14ac:dyDescent="0.35"/>
  <sheetData>
    <row r="1" spans="1:5" x14ac:dyDescent="0.35">
      <c r="B1" t="s">
        <v>6</v>
      </c>
      <c r="D1" t="s">
        <v>7</v>
      </c>
    </row>
    <row r="2" spans="1:5" x14ac:dyDescent="0.35">
      <c r="A2" t="s">
        <v>13</v>
      </c>
      <c r="B2" t="s">
        <v>20</v>
      </c>
      <c r="D2" t="s">
        <v>13</v>
      </c>
      <c r="E2" t="s">
        <v>81</v>
      </c>
    </row>
    <row r="3" spans="1:5" x14ac:dyDescent="0.35">
      <c r="A3" t="s">
        <v>15</v>
      </c>
      <c r="B3" t="s">
        <v>21</v>
      </c>
      <c r="D3" t="s">
        <v>15</v>
      </c>
      <c r="E3" t="s">
        <v>82</v>
      </c>
    </row>
    <row r="4" spans="1:5" x14ac:dyDescent="0.35">
      <c r="A4" t="s">
        <v>19</v>
      </c>
      <c r="B4" t="s">
        <v>22</v>
      </c>
      <c r="D4" t="s">
        <v>19</v>
      </c>
      <c r="E4" t="s">
        <v>83</v>
      </c>
    </row>
    <row r="5" spans="1:5" x14ac:dyDescent="0.35">
      <c r="A5" t="s">
        <v>17</v>
      </c>
      <c r="B5" t="s">
        <v>23</v>
      </c>
      <c r="D5" t="s">
        <v>17</v>
      </c>
      <c r="E5" t="s">
        <v>84</v>
      </c>
    </row>
    <row r="6" spans="1:5" x14ac:dyDescent="0.35">
      <c r="A6" t="s">
        <v>14</v>
      </c>
      <c r="B6" t="s">
        <v>24</v>
      </c>
      <c r="D6" t="s">
        <v>14</v>
      </c>
      <c r="E6" t="s">
        <v>85</v>
      </c>
    </row>
    <row r="7" spans="1:5" x14ac:dyDescent="0.35">
      <c r="A7" t="s">
        <v>25</v>
      </c>
      <c r="B7" t="s">
        <v>26</v>
      </c>
      <c r="D7" t="s">
        <v>16</v>
      </c>
      <c r="E7" t="s">
        <v>86</v>
      </c>
    </row>
    <row r="8" spans="1:5" x14ac:dyDescent="0.35">
      <c r="A8" t="s">
        <v>18</v>
      </c>
      <c r="B8" t="s">
        <v>27</v>
      </c>
      <c r="D8" t="s">
        <v>87</v>
      </c>
      <c r="E8" t="s">
        <v>88</v>
      </c>
    </row>
    <row r="9" spans="1:5" x14ac:dyDescent="0.35">
      <c r="A9" t="s">
        <v>28</v>
      </c>
      <c r="B9" t="s">
        <v>29</v>
      </c>
    </row>
    <row r="10" spans="1:5" x14ac:dyDescent="0.35">
      <c r="A10" t="s">
        <v>30</v>
      </c>
      <c r="B10" t="s">
        <v>31</v>
      </c>
    </row>
    <row r="11" spans="1:5" x14ac:dyDescent="0.35">
      <c r="A11" t="s">
        <v>32</v>
      </c>
      <c r="B11" t="s">
        <v>33</v>
      </c>
    </row>
    <row r="12" spans="1:5" x14ac:dyDescent="0.35">
      <c r="A12" t="s">
        <v>34</v>
      </c>
      <c r="B12" t="s">
        <v>35</v>
      </c>
    </row>
    <row r="13" spans="1:5" x14ac:dyDescent="0.35">
      <c r="A13" t="s">
        <v>36</v>
      </c>
      <c r="B13" t="s">
        <v>37</v>
      </c>
    </row>
    <row r="14" spans="1:5" x14ac:dyDescent="0.35">
      <c r="A14" t="s">
        <v>38</v>
      </c>
      <c r="B14" t="s">
        <v>39</v>
      </c>
    </row>
    <row r="15" spans="1:5" x14ac:dyDescent="0.35">
      <c r="A15" t="s">
        <v>40</v>
      </c>
      <c r="B15" t="s">
        <v>41</v>
      </c>
    </row>
    <row r="16" spans="1:5" x14ac:dyDescent="0.35">
      <c r="A16" t="s">
        <v>42</v>
      </c>
      <c r="B16" t="s">
        <v>43</v>
      </c>
    </row>
    <row r="17" spans="1:2" x14ac:dyDescent="0.35">
      <c r="A17" t="s">
        <v>44</v>
      </c>
      <c r="B17" t="s">
        <v>45</v>
      </c>
    </row>
    <row r="18" spans="1:2" x14ac:dyDescent="0.35">
      <c r="A18" t="s">
        <v>46</v>
      </c>
      <c r="B18" t="s">
        <v>47</v>
      </c>
    </row>
    <row r="19" spans="1:2" x14ac:dyDescent="0.35">
      <c r="A19" t="s">
        <v>48</v>
      </c>
      <c r="B19" t="s">
        <v>49</v>
      </c>
    </row>
    <row r="20" spans="1:2" x14ac:dyDescent="0.35">
      <c r="A20" t="s">
        <v>50</v>
      </c>
      <c r="B20" t="s">
        <v>51</v>
      </c>
    </row>
    <row r="21" spans="1:2" x14ac:dyDescent="0.35">
      <c r="A21" t="s">
        <v>52</v>
      </c>
      <c r="B21" t="s">
        <v>53</v>
      </c>
    </row>
    <row r="22" spans="1:2" x14ac:dyDescent="0.35">
      <c r="A22" t="s">
        <v>54</v>
      </c>
      <c r="B22" t="s">
        <v>55</v>
      </c>
    </row>
    <row r="23" spans="1:2" x14ac:dyDescent="0.35">
      <c r="A23" t="s">
        <v>56</v>
      </c>
      <c r="B23" t="s">
        <v>57</v>
      </c>
    </row>
    <row r="24" spans="1:2" x14ac:dyDescent="0.35">
      <c r="A24" t="s">
        <v>58</v>
      </c>
      <c r="B24" t="s">
        <v>59</v>
      </c>
    </row>
    <row r="25" spans="1:2" x14ac:dyDescent="0.35">
      <c r="A25" t="s">
        <v>60</v>
      </c>
      <c r="B25" t="s">
        <v>61</v>
      </c>
    </row>
    <row r="26" spans="1:2" x14ac:dyDescent="0.35">
      <c r="A26" t="s">
        <v>62</v>
      </c>
      <c r="B26" t="s">
        <v>63</v>
      </c>
    </row>
    <row r="27" spans="1:2" x14ac:dyDescent="0.35">
      <c r="A27" t="s">
        <v>64</v>
      </c>
      <c r="B27" t="s">
        <v>65</v>
      </c>
    </row>
    <row r="28" spans="1:2" x14ac:dyDescent="0.35">
      <c r="A28" t="s">
        <v>66</v>
      </c>
      <c r="B28" t="s">
        <v>67</v>
      </c>
    </row>
    <row r="29" spans="1:2" x14ac:dyDescent="0.35">
      <c r="A29" t="s">
        <v>68</v>
      </c>
      <c r="B29" t="s">
        <v>69</v>
      </c>
    </row>
    <row r="30" spans="1:2" x14ac:dyDescent="0.35">
      <c r="A30" t="s">
        <v>70</v>
      </c>
      <c r="B30" t="s">
        <v>71</v>
      </c>
    </row>
    <row r="31" spans="1:2" x14ac:dyDescent="0.35">
      <c r="A31" t="s">
        <v>72</v>
      </c>
      <c r="B31" t="s">
        <v>73</v>
      </c>
    </row>
    <row r="32" spans="1:2" x14ac:dyDescent="0.35">
      <c r="A32" t="s">
        <v>74</v>
      </c>
      <c r="B32" t="s">
        <v>75</v>
      </c>
    </row>
    <row r="33" spans="1:2" x14ac:dyDescent="0.35">
      <c r="A33" t="s">
        <v>76</v>
      </c>
      <c r="B33" t="s">
        <v>77</v>
      </c>
    </row>
    <row r="34" spans="1:2" x14ac:dyDescent="0.35">
      <c r="A34" t="s">
        <v>78</v>
      </c>
      <c r="B34" t="s">
        <v>79</v>
      </c>
    </row>
    <row r="35" spans="1:2" x14ac:dyDescent="0.35">
      <c r="A35" t="s">
        <v>12</v>
      </c>
      <c r="B35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83A11C1BA9EC45BAE4956AD7AAC49F" ma:contentTypeVersion="12" ma:contentTypeDescription="Crear nuevo documento." ma:contentTypeScope="" ma:versionID="f031da45812bb81645562bafa3e27792">
  <xsd:schema xmlns:xsd="http://www.w3.org/2001/XMLSchema" xmlns:xs="http://www.w3.org/2001/XMLSchema" xmlns:p="http://schemas.microsoft.com/office/2006/metadata/properties" xmlns:ns2="667d70cb-f49f-4223-87b6-a8a0e4fc3231" xmlns:ns3="c37f41b3-fada-4b69-b314-7ed8c2ce1ec6" targetNamespace="http://schemas.microsoft.com/office/2006/metadata/properties" ma:root="true" ma:fieldsID="997341155ac57a7f96d45d03b878e5a8" ns2:_="" ns3:_="">
    <xsd:import namespace="667d70cb-f49f-4223-87b6-a8a0e4fc3231"/>
    <xsd:import namespace="c37f41b3-fada-4b69-b314-7ed8c2ce1e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7d70cb-f49f-4223-87b6-a8a0e4fc32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6da8801b-af9e-424b-a774-47cfcf7fa7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7f41b3-fada-4b69-b314-7ed8c2ce1ec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88a0f83-113f-4a62-8e16-6df74f754526}" ma:internalName="TaxCatchAll" ma:showField="CatchAllData" ma:web="c37f41b3-fada-4b69-b314-7ed8c2ce1e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7f41b3-fada-4b69-b314-7ed8c2ce1ec6" xsi:nil="true"/>
    <lcf76f155ced4ddcb4097134ff3c332f xmlns="667d70cb-f49f-4223-87b6-a8a0e4fc323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C3E504-D7D5-4222-9384-F1AB9F1C26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7d70cb-f49f-4223-87b6-a8a0e4fc3231"/>
    <ds:schemaRef ds:uri="c37f41b3-fada-4b69-b314-7ed8c2ce1e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1E92AD-DE1D-418F-8156-2A73F71F9FC1}">
  <ds:schemaRefs>
    <ds:schemaRef ds:uri="http://schemas.microsoft.com/office/2006/metadata/properties"/>
    <ds:schemaRef ds:uri="http://schemas.microsoft.com/office/infopath/2007/PartnerControls"/>
    <ds:schemaRef ds:uri="c37f41b3-fada-4b69-b314-7ed8c2ce1ec6"/>
    <ds:schemaRef ds:uri="667d70cb-f49f-4223-87b6-a8a0e4fc3231"/>
  </ds:schemaRefs>
</ds:datastoreItem>
</file>

<file path=customXml/itemProps3.xml><?xml version="1.0" encoding="utf-8"?>
<ds:datastoreItem xmlns:ds="http://schemas.openxmlformats.org/officeDocument/2006/customXml" ds:itemID="{70A274DE-28D9-4284-9340-75368BF24E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Kobo</vt:lpstr>
      <vt:lpstr>Insumos&gt;&gt;&gt;</vt:lpstr>
      <vt:lpstr>Dashboard</vt:lpstr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Consultoría</dc:creator>
  <cp:lastModifiedBy>APOYO Consultoría</cp:lastModifiedBy>
  <dcterms:created xsi:type="dcterms:W3CDTF">2026-03-05T20:44:02Z</dcterms:created>
  <dcterms:modified xsi:type="dcterms:W3CDTF">2026-06-18T15:19:36Z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0x0101007183A11C1BA9EC45BAE4956AD7AAC49F</vt:lpwstr>
  </property>
  <property fmtid="{D5CDD505-2E9C-101B-9397-08002B2CF9AE}" pid="3" name="MediaServiceImageTags">
    <vt:lpwstr/>
  </property>
</Properties>
</file>