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41" documentId="8_{1F76FD1E-0D89-40D4-8D42-21081E327455}" xr6:coauthVersionLast="47" xr6:coauthVersionMax="47" xr10:uidLastSave="{46C516A5-61C4-4E7F-9B21-02836DE15CFB}"/>
  <bookViews>
    <workbookView xWindow="-110" yWindow="-110" windowWidth="19420" windowHeight="11500" tabRatio="844" xr2:uid="{00000000-000D-0000-FFFF-FFFF00000000}"/>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1">'Dashboard - Entrevistas'!$A$1:$V$995</definedName>
    <definedName name="_xlnm._FilterDatabase" localSheetId="11" hidden="1">'Dashboard - Reunión'!$A$1:$U$996</definedName>
    <definedName name="_xlnm._FilterDatabase" localSheetId="8" hidden="1">'Dashboard - Reunión(0)'!$A$1:$R$31</definedName>
    <definedName name="_xlnm._FilterDatabase" localSheetId="3" hidden="1">Entrevistas!$A$1:$Z$22</definedName>
    <definedName name="_xlnm._FilterDatabase" localSheetId="12" hidden="1">Meta!$A$1:$E$30</definedName>
    <definedName name="_xlnm._FilterDatabase" localSheetId="4" hidden="1">'Reunión de validación'!$A$1:$T$31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6" l="1"/>
  <c r="A4" i="16" s="1"/>
  <c r="A5" i="16" s="1"/>
  <c r="A6" i="16" s="1"/>
  <c r="A7" i="16" s="1"/>
  <c r="A8" i="16" s="1"/>
  <c r="A9" i="16" s="1"/>
  <c r="A10" i="16" s="1"/>
  <c r="A11" i="16" s="1"/>
  <c r="A12" i="16" s="1"/>
  <c r="A13" i="16" s="1"/>
  <c r="A14" i="16" s="1"/>
  <c r="A15" i="16" s="1"/>
  <c r="A16" i="16" s="1"/>
  <c r="A17" i="16" s="1"/>
  <c r="A18" i="16" s="1"/>
  <c r="A19" i="16" s="1"/>
  <c r="A20" i="16" s="1"/>
  <c r="A21" i="16" s="1"/>
  <c r="A22" i="16" s="1"/>
  <c r="A23" i="16" s="1"/>
  <c r="A24" i="16" s="1"/>
  <c r="A25" i="16" s="1"/>
  <c r="A26" i="16" s="1"/>
  <c r="A27" i="16" s="1"/>
  <c r="A28" i="16" s="1"/>
  <c r="A29" i="16" s="1"/>
  <c r="A30" i="16" s="1"/>
  <c r="U996" i="20"/>
  <c r="T996" i="20"/>
  <c r="R996" i="20"/>
  <c r="Q996" i="20"/>
  <c r="U995" i="20"/>
  <c r="T995" i="20"/>
  <c r="R995" i="20"/>
  <c r="Q995" i="20"/>
  <c r="T385" i="20"/>
  <c r="P2" i="20" a="1"/>
  <c r="O2" i="20" a="1"/>
  <c r="N2" i="20" a="1"/>
  <c r="M2" i="20" a="1"/>
  <c r="L2" i="20" a="1"/>
  <c r="K2" i="20" a="1"/>
  <c r="J2" i="20" a="1"/>
  <c r="I2" i="20" a="1"/>
  <c r="H2" i="20" a="1"/>
  <c r="G2" i="20" a="1"/>
  <c r="F2" i="20" a="1"/>
  <c r="E2" i="20" a="1"/>
  <c r="D2" i="20" a="1"/>
  <c r="C2" i="20" a="1"/>
  <c r="B2" i="20" a="1"/>
  <c r="A2" i="20" a="1"/>
  <c r="U600" i="22"/>
  <c r="T600" i="22"/>
  <c r="S600" i="22"/>
  <c r="R600" i="22"/>
  <c r="U599" i="22"/>
  <c r="T599" i="22"/>
  <c r="S599" i="22"/>
  <c r="R599" i="22"/>
  <c r="U598" i="22"/>
  <c r="T598" i="22"/>
  <c r="S598" i="22"/>
  <c r="R598" i="22"/>
  <c r="U597" i="22"/>
  <c r="T597" i="22"/>
  <c r="S597" i="22"/>
  <c r="R597" i="22"/>
  <c r="U596" i="22"/>
  <c r="T596" i="22"/>
  <c r="S596" i="22"/>
  <c r="R596" i="22"/>
  <c r="U595" i="22"/>
  <c r="T595" i="22"/>
  <c r="S595" i="22"/>
  <c r="R595" i="22"/>
  <c r="U594" i="22"/>
  <c r="T594" i="22"/>
  <c r="S594" i="22"/>
  <c r="R594" i="22"/>
  <c r="U593" i="22"/>
  <c r="T593" i="22"/>
  <c r="S593" i="22"/>
  <c r="R593" i="22"/>
  <c r="U592" i="22"/>
  <c r="T592" i="22"/>
  <c r="S592" i="22"/>
  <c r="R592" i="22"/>
  <c r="U591" i="22"/>
  <c r="T591" i="22"/>
  <c r="S591" i="22"/>
  <c r="R591" i="22"/>
  <c r="U590" i="22"/>
  <c r="T590" i="22"/>
  <c r="S590" i="22"/>
  <c r="R590" i="22"/>
  <c r="U589" i="22"/>
  <c r="T589" i="22"/>
  <c r="S589" i="22"/>
  <c r="R589" i="22"/>
  <c r="U588" i="22"/>
  <c r="T588" i="22"/>
  <c r="S588" i="22"/>
  <c r="R588" i="22"/>
  <c r="U587" i="22"/>
  <c r="T587" i="22"/>
  <c r="S587" i="22"/>
  <c r="R587" i="22"/>
  <c r="U586" i="22"/>
  <c r="T586" i="22"/>
  <c r="S586" i="22"/>
  <c r="R586" i="22"/>
  <c r="U585" i="22"/>
  <c r="T585" i="22"/>
  <c r="S585" i="22"/>
  <c r="R585" i="22"/>
  <c r="U584" i="22"/>
  <c r="T584" i="22"/>
  <c r="S584" i="22"/>
  <c r="R584" i="22"/>
  <c r="U583" i="22"/>
  <c r="T583" i="22"/>
  <c r="S583" i="22"/>
  <c r="R583" i="22"/>
  <c r="U582" i="22"/>
  <c r="T582" i="22"/>
  <c r="S582" i="22"/>
  <c r="R582" i="22"/>
  <c r="U581" i="22"/>
  <c r="T581" i="22"/>
  <c r="S581" i="22"/>
  <c r="R581" i="22"/>
  <c r="U580" i="22"/>
  <c r="T580" i="22"/>
  <c r="S580" i="22"/>
  <c r="R580" i="22"/>
  <c r="U579" i="22"/>
  <c r="T579" i="22"/>
  <c r="S579" i="22"/>
  <c r="R579" i="22"/>
  <c r="U578" i="22"/>
  <c r="T578" i="22"/>
  <c r="S578" i="22"/>
  <c r="R578" i="22"/>
  <c r="U577" i="22"/>
  <c r="T577" i="22"/>
  <c r="S577" i="22"/>
  <c r="R577" i="22"/>
  <c r="U576" i="22"/>
  <c r="T576" i="22"/>
  <c r="S576" i="22"/>
  <c r="R576" i="22"/>
  <c r="U575" i="22"/>
  <c r="T575" i="22"/>
  <c r="S575" i="22"/>
  <c r="R575" i="22"/>
  <c r="U574" i="22"/>
  <c r="T574" i="22"/>
  <c r="S574" i="22"/>
  <c r="R574" i="22"/>
  <c r="U573" i="22"/>
  <c r="T573" i="22"/>
  <c r="S573" i="22"/>
  <c r="R573" i="22"/>
  <c r="U572" i="22"/>
  <c r="T572" i="22"/>
  <c r="S572" i="22"/>
  <c r="R572" i="22"/>
  <c r="U571" i="22"/>
  <c r="T571" i="22"/>
  <c r="S571" i="22"/>
  <c r="R571" i="22"/>
  <c r="U570" i="22"/>
  <c r="T570" i="22"/>
  <c r="S570" i="22"/>
  <c r="R570" i="22"/>
  <c r="U569" i="22"/>
  <c r="T569" i="22"/>
  <c r="S569" i="22"/>
  <c r="R569" i="22"/>
  <c r="U568" i="22"/>
  <c r="T568" i="22"/>
  <c r="S568" i="22"/>
  <c r="R568" i="22"/>
  <c r="U567" i="22"/>
  <c r="T567" i="22"/>
  <c r="S567" i="22"/>
  <c r="R567" i="22"/>
  <c r="U566" i="22"/>
  <c r="T566" i="22"/>
  <c r="S566" i="22"/>
  <c r="R566" i="22"/>
  <c r="U565" i="22"/>
  <c r="T565" i="22"/>
  <c r="S565" i="22"/>
  <c r="R565" i="22"/>
  <c r="U564" i="22"/>
  <c r="T564" i="22"/>
  <c r="S564" i="22"/>
  <c r="R564" i="22"/>
  <c r="U563" i="22"/>
  <c r="T563" i="22"/>
  <c r="S563" i="22"/>
  <c r="R563" i="22"/>
  <c r="U562" i="22"/>
  <c r="T562" i="22"/>
  <c r="S562" i="22"/>
  <c r="R562" i="22"/>
  <c r="U561" i="22"/>
  <c r="T561" i="22"/>
  <c r="S561" i="22"/>
  <c r="R561" i="22"/>
  <c r="U560" i="22"/>
  <c r="T560" i="22"/>
  <c r="S560" i="22"/>
  <c r="R560" i="22"/>
  <c r="U559" i="22"/>
  <c r="T559" i="22"/>
  <c r="S559" i="22"/>
  <c r="R559" i="22"/>
  <c r="U558" i="22"/>
  <c r="T558" i="22"/>
  <c r="S558" i="22"/>
  <c r="R558" i="22"/>
  <c r="U557" i="22"/>
  <c r="T557" i="22"/>
  <c r="S557" i="22"/>
  <c r="R557" i="22"/>
  <c r="U556" i="22"/>
  <c r="T556" i="22"/>
  <c r="S556" i="22"/>
  <c r="R556" i="22"/>
  <c r="U555" i="22"/>
  <c r="T555" i="22"/>
  <c r="S555" i="22"/>
  <c r="R555" i="22"/>
  <c r="U554" i="22"/>
  <c r="T554" i="22"/>
  <c r="S554" i="22"/>
  <c r="R554" i="22"/>
  <c r="U553" i="22"/>
  <c r="T553" i="22"/>
  <c r="S553" i="22"/>
  <c r="R553" i="22"/>
  <c r="U552" i="22"/>
  <c r="T552" i="22"/>
  <c r="S552" i="22"/>
  <c r="R552" i="22"/>
  <c r="U551" i="22"/>
  <c r="T551" i="22"/>
  <c r="S551" i="22"/>
  <c r="R551" i="22"/>
  <c r="U550" i="22"/>
  <c r="T550" i="22"/>
  <c r="S550" i="22"/>
  <c r="R550" i="22"/>
  <c r="U549" i="22"/>
  <c r="T549" i="22"/>
  <c r="S549" i="22"/>
  <c r="R549" i="22"/>
  <c r="U548" i="22"/>
  <c r="T548" i="22"/>
  <c r="S548" i="22"/>
  <c r="R548" i="22"/>
  <c r="U547" i="22"/>
  <c r="T547" i="22"/>
  <c r="S547" i="22"/>
  <c r="R547" i="22"/>
  <c r="U546" i="22"/>
  <c r="T546" i="22"/>
  <c r="S546" i="22"/>
  <c r="R546" i="22"/>
  <c r="U545" i="22"/>
  <c r="T545" i="22"/>
  <c r="S545" i="22"/>
  <c r="R545" i="22"/>
  <c r="U544" i="22"/>
  <c r="T544" i="22"/>
  <c r="S544" i="22"/>
  <c r="R544" i="22"/>
  <c r="U543" i="22"/>
  <c r="T543" i="22"/>
  <c r="S543" i="22"/>
  <c r="R543" i="22"/>
  <c r="U542" i="22"/>
  <c r="T542" i="22"/>
  <c r="S542" i="22"/>
  <c r="R542" i="22"/>
  <c r="U541" i="22"/>
  <c r="T541" i="22"/>
  <c r="S541" i="22"/>
  <c r="R541" i="22"/>
  <c r="U540" i="22"/>
  <c r="T540" i="22"/>
  <c r="S540" i="22"/>
  <c r="R540" i="22"/>
  <c r="U539" i="22"/>
  <c r="T539" i="22"/>
  <c r="S539" i="22"/>
  <c r="R539" i="22"/>
  <c r="U538" i="22"/>
  <c r="T538" i="22"/>
  <c r="S538" i="22"/>
  <c r="R538" i="22"/>
  <c r="U537" i="22"/>
  <c r="T537" i="22"/>
  <c r="S537" i="22"/>
  <c r="R537" i="22"/>
  <c r="U536" i="22"/>
  <c r="T536" i="22"/>
  <c r="S536" i="22"/>
  <c r="R536" i="22"/>
  <c r="U535" i="22"/>
  <c r="T535" i="22"/>
  <c r="S535" i="22"/>
  <c r="R535" i="22"/>
  <c r="U534" i="22"/>
  <c r="T534" i="22"/>
  <c r="S534" i="22"/>
  <c r="R534" i="22"/>
  <c r="U533" i="22"/>
  <c r="T533" i="22"/>
  <c r="S533" i="22"/>
  <c r="R533" i="22"/>
  <c r="U532" i="22"/>
  <c r="T532" i="22"/>
  <c r="S532" i="22"/>
  <c r="R532" i="22"/>
  <c r="U531" i="22"/>
  <c r="T531" i="22"/>
  <c r="S531" i="22"/>
  <c r="R531" i="22"/>
  <c r="U530" i="22"/>
  <c r="T530" i="22"/>
  <c r="S530" i="22"/>
  <c r="R530" i="22"/>
  <c r="U529" i="22"/>
  <c r="T529" i="22"/>
  <c r="S529" i="22"/>
  <c r="R529" i="22"/>
  <c r="U528" i="22"/>
  <c r="T528" i="22"/>
  <c r="S528" i="22"/>
  <c r="R528" i="22"/>
  <c r="U527" i="22"/>
  <c r="T527" i="22"/>
  <c r="S527" i="22"/>
  <c r="R527" i="22"/>
  <c r="U526" i="22"/>
  <c r="T526" i="22"/>
  <c r="S526" i="22"/>
  <c r="R526" i="22"/>
  <c r="U525" i="22"/>
  <c r="T525" i="22"/>
  <c r="S525" i="22"/>
  <c r="R525" i="22"/>
  <c r="U524" i="22"/>
  <c r="T524" i="22"/>
  <c r="S524" i="22"/>
  <c r="R524" i="22"/>
  <c r="U523" i="22"/>
  <c r="T523" i="22"/>
  <c r="S523" i="22"/>
  <c r="R523" i="22"/>
  <c r="U522" i="22"/>
  <c r="T522" i="22"/>
  <c r="S522" i="22"/>
  <c r="R522" i="22"/>
  <c r="U521" i="22"/>
  <c r="T521" i="22"/>
  <c r="S521" i="22"/>
  <c r="R521" i="22"/>
  <c r="U520" i="22"/>
  <c r="T520" i="22"/>
  <c r="S520" i="22"/>
  <c r="R520" i="22"/>
  <c r="U519" i="22"/>
  <c r="T519" i="22"/>
  <c r="S519" i="22"/>
  <c r="R519" i="22"/>
  <c r="U518" i="22"/>
  <c r="T518" i="22"/>
  <c r="S518" i="22"/>
  <c r="R518" i="22"/>
  <c r="U517" i="22"/>
  <c r="T517" i="22"/>
  <c r="S517" i="22"/>
  <c r="R517" i="22"/>
  <c r="U516" i="22"/>
  <c r="T516" i="22"/>
  <c r="S516" i="22"/>
  <c r="R516" i="22"/>
  <c r="U515" i="22"/>
  <c r="T515" i="22"/>
  <c r="S515" i="22"/>
  <c r="R515" i="22"/>
  <c r="U514" i="22"/>
  <c r="T514" i="22"/>
  <c r="S514" i="22"/>
  <c r="R514" i="22"/>
  <c r="U513" i="22"/>
  <c r="T513" i="22"/>
  <c r="S513" i="22"/>
  <c r="R513" i="22"/>
  <c r="U512" i="22"/>
  <c r="T512" i="22"/>
  <c r="S512" i="22"/>
  <c r="R512" i="22"/>
  <c r="U511" i="22"/>
  <c r="T511" i="22"/>
  <c r="S511" i="22"/>
  <c r="R511" i="22"/>
  <c r="U510" i="22"/>
  <c r="T510" i="22"/>
  <c r="S510" i="22"/>
  <c r="R510" i="22"/>
  <c r="P2" i="22" a="1"/>
  <c r="O2" i="22" a="1"/>
  <c r="N2" i="22" a="1"/>
  <c r="M2" i="22" a="1"/>
  <c r="L2" i="22" a="1"/>
  <c r="K2" i="22" a="1"/>
  <c r="J2" i="22" a="1"/>
  <c r="I2" i="22" a="1"/>
  <c r="H2" i="22" a="1"/>
  <c r="G2" i="22" a="1"/>
  <c r="F2" i="22" a="1"/>
  <c r="E2" i="22" a="1"/>
  <c r="D2" i="22" a="1"/>
  <c r="C2" i="22" a="1"/>
  <c r="B2" i="22" a="1"/>
  <c r="A2" i="22" a="1"/>
  <c r="Q2" i="19" a="1"/>
  <c r="P2" i="19" a="1"/>
  <c r="O2" i="19" a="1"/>
  <c r="N2" i="19" a="1"/>
  <c r="M2" i="19" a="1"/>
  <c r="L2" i="19" a="1"/>
  <c r="K2" i="19" a="1"/>
  <c r="J2" i="19" a="1"/>
  <c r="I2" i="19" a="1"/>
  <c r="H2" i="19" a="1"/>
  <c r="G2" i="19" a="1"/>
  <c r="F2" i="19" a="1"/>
  <c r="E2" i="19" a="1"/>
  <c r="D2" i="19" a="1"/>
  <c r="C2" i="19" a="1"/>
  <c r="B2" i="19" a="1"/>
  <c r="A2" i="19" a="1"/>
  <c r="O31" i="15"/>
  <c r="N31" i="15"/>
  <c r="Q31" i="15" s="1"/>
  <c r="M31" i="15"/>
  <c r="L31" i="15"/>
  <c r="R31" i="15" s="1"/>
  <c r="K31" i="15"/>
  <c r="J31" i="15"/>
  <c r="I31" i="15"/>
  <c r="H31" i="15"/>
  <c r="G31" i="15"/>
  <c r="F31" i="15"/>
  <c r="E31" i="15"/>
  <c r="D31" i="15"/>
  <c r="C31" i="15"/>
  <c r="B31" i="15"/>
  <c r="O30" i="15"/>
  <c r="N30" i="15"/>
  <c r="Q30" i="15" s="1"/>
  <c r="M30" i="15"/>
  <c r="L30" i="15"/>
  <c r="R30" i="15" s="1"/>
  <c r="K30" i="15"/>
  <c r="J30" i="15"/>
  <c r="I30" i="15"/>
  <c r="H30" i="15"/>
  <c r="G30" i="15"/>
  <c r="F30" i="15"/>
  <c r="E30" i="15"/>
  <c r="D30" i="15"/>
  <c r="C30" i="15"/>
  <c r="B30" i="15"/>
  <c r="O29" i="15"/>
  <c r="N29" i="15"/>
  <c r="Q29" i="15" s="1"/>
  <c r="M29" i="15"/>
  <c r="L29" i="15"/>
  <c r="R29" i="15" s="1"/>
  <c r="K29" i="15"/>
  <c r="J29" i="15"/>
  <c r="I29" i="15"/>
  <c r="H29" i="15"/>
  <c r="G29" i="15"/>
  <c r="F29" i="15"/>
  <c r="E29" i="15"/>
  <c r="D29" i="15"/>
  <c r="C29" i="15"/>
  <c r="B29" i="15"/>
  <c r="O28" i="15"/>
  <c r="N28" i="15"/>
  <c r="Q28" i="15" s="1"/>
  <c r="M28" i="15"/>
  <c r="L28" i="15"/>
  <c r="R28" i="15" s="1"/>
  <c r="K28" i="15"/>
  <c r="J28" i="15"/>
  <c r="I28" i="15"/>
  <c r="H28" i="15"/>
  <c r="G28" i="15"/>
  <c r="F28" i="15"/>
  <c r="E28" i="15"/>
  <c r="D28" i="15"/>
  <c r="C28" i="15"/>
  <c r="B28" i="15"/>
  <c r="O27" i="15"/>
  <c r="N27" i="15"/>
  <c r="Q27" i="15" s="1"/>
  <c r="M27" i="15"/>
  <c r="L27" i="15"/>
  <c r="R27" i="15" s="1"/>
  <c r="K27" i="15"/>
  <c r="J27" i="15"/>
  <c r="I27" i="15"/>
  <c r="H27" i="15"/>
  <c r="G27" i="15"/>
  <c r="F27" i="15"/>
  <c r="E27" i="15"/>
  <c r="D27" i="15"/>
  <c r="C27" i="15"/>
  <c r="B27" i="15"/>
  <c r="O26" i="15"/>
  <c r="N26" i="15"/>
  <c r="Q26" i="15" s="1"/>
  <c r="M26" i="15"/>
  <c r="L26" i="15"/>
  <c r="R26" i="15" s="1"/>
  <c r="K26" i="15"/>
  <c r="J26" i="15"/>
  <c r="I26" i="15"/>
  <c r="H26" i="15"/>
  <c r="G26" i="15"/>
  <c r="F26" i="15"/>
  <c r="E26" i="15"/>
  <c r="D26" i="15"/>
  <c r="C26" i="15"/>
  <c r="B26" i="15"/>
  <c r="O25" i="15"/>
  <c r="N25" i="15"/>
  <c r="Q25" i="15" s="1"/>
  <c r="M25" i="15"/>
  <c r="L25" i="15"/>
  <c r="R25" i="15" s="1"/>
  <c r="K25" i="15"/>
  <c r="J25" i="15"/>
  <c r="I25" i="15"/>
  <c r="H25" i="15"/>
  <c r="G25" i="15"/>
  <c r="F25" i="15"/>
  <c r="E25" i="15"/>
  <c r="D25" i="15"/>
  <c r="C25" i="15"/>
  <c r="B25" i="15"/>
  <c r="O24" i="15"/>
  <c r="N24" i="15"/>
  <c r="Q24" i="15" s="1"/>
  <c r="M24" i="15"/>
  <c r="L24" i="15"/>
  <c r="R24" i="15" s="1"/>
  <c r="K24" i="15"/>
  <c r="J24" i="15"/>
  <c r="I24" i="15"/>
  <c r="H24" i="15"/>
  <c r="G24" i="15"/>
  <c r="F24" i="15"/>
  <c r="E24" i="15"/>
  <c r="D24" i="15"/>
  <c r="C24" i="15"/>
  <c r="B24" i="15"/>
  <c r="O23" i="15"/>
  <c r="N23" i="15"/>
  <c r="Q23" i="15" s="1"/>
  <c r="M23" i="15"/>
  <c r="L23" i="15"/>
  <c r="R23" i="15" s="1"/>
  <c r="K23" i="15"/>
  <c r="J23" i="15"/>
  <c r="I23" i="15"/>
  <c r="H23" i="15"/>
  <c r="G23" i="15"/>
  <c r="F23" i="15"/>
  <c r="E23" i="15"/>
  <c r="D23" i="15"/>
  <c r="C23" i="15"/>
  <c r="B23" i="15"/>
  <c r="O22" i="15"/>
  <c r="N22" i="15"/>
  <c r="Q22" i="15" s="1"/>
  <c r="M22" i="15"/>
  <c r="L22" i="15"/>
  <c r="R22" i="15" s="1"/>
  <c r="K22" i="15"/>
  <c r="J22" i="15"/>
  <c r="I22" i="15"/>
  <c r="H22" i="15"/>
  <c r="G22" i="15"/>
  <c r="F22" i="15"/>
  <c r="E22" i="15"/>
  <c r="D22" i="15"/>
  <c r="C22" i="15"/>
  <c r="B22" i="15"/>
  <c r="O21" i="15"/>
  <c r="N21" i="15"/>
  <c r="Q21" i="15" s="1"/>
  <c r="M21" i="15"/>
  <c r="L21" i="15"/>
  <c r="R21" i="15" s="1"/>
  <c r="K21" i="15"/>
  <c r="J21" i="15"/>
  <c r="I21" i="15"/>
  <c r="H21" i="15"/>
  <c r="G21" i="15"/>
  <c r="F21" i="15"/>
  <c r="E21" i="15"/>
  <c r="D21" i="15"/>
  <c r="C21" i="15"/>
  <c r="B21" i="15"/>
  <c r="O20" i="15"/>
  <c r="N20" i="15"/>
  <c r="Q20" i="15" s="1"/>
  <c r="M20" i="15"/>
  <c r="L20" i="15"/>
  <c r="R20" i="15" s="1"/>
  <c r="K20" i="15"/>
  <c r="J20" i="15"/>
  <c r="I20" i="15"/>
  <c r="H20" i="15"/>
  <c r="G20" i="15"/>
  <c r="F20" i="15"/>
  <c r="E20" i="15"/>
  <c r="D20" i="15"/>
  <c r="C20" i="15"/>
  <c r="B20" i="15"/>
  <c r="O19" i="15"/>
  <c r="N19" i="15"/>
  <c r="Q19" i="15" s="1"/>
  <c r="M19" i="15"/>
  <c r="L19" i="15"/>
  <c r="R19" i="15" s="1"/>
  <c r="K19" i="15"/>
  <c r="J19" i="15"/>
  <c r="I19" i="15"/>
  <c r="H19" i="15"/>
  <c r="G19" i="15"/>
  <c r="F19" i="15"/>
  <c r="E19" i="15"/>
  <c r="D19" i="15"/>
  <c r="C19" i="15"/>
  <c r="B19" i="15"/>
  <c r="O18" i="15"/>
  <c r="N18" i="15"/>
  <c r="Q18" i="15" s="1"/>
  <c r="M18" i="15"/>
  <c r="L18" i="15"/>
  <c r="R18" i="15" s="1"/>
  <c r="K18" i="15"/>
  <c r="J18" i="15"/>
  <c r="I18" i="15"/>
  <c r="H18" i="15"/>
  <c r="G18" i="15"/>
  <c r="F18" i="15"/>
  <c r="E18" i="15"/>
  <c r="D18" i="15"/>
  <c r="C18" i="15"/>
  <c r="B18" i="15"/>
  <c r="O17" i="15"/>
  <c r="N17" i="15"/>
  <c r="Q17" i="15" s="1"/>
  <c r="M17" i="15"/>
  <c r="L17" i="15"/>
  <c r="R17" i="15" s="1"/>
  <c r="K17" i="15"/>
  <c r="J17" i="15"/>
  <c r="I17" i="15"/>
  <c r="H17" i="15"/>
  <c r="G17" i="15"/>
  <c r="F17" i="15"/>
  <c r="E17" i="15"/>
  <c r="D17" i="15"/>
  <c r="C17" i="15"/>
  <c r="B17" i="15"/>
  <c r="O16" i="15"/>
  <c r="N16" i="15"/>
  <c r="Q16" i="15" s="1"/>
  <c r="M16" i="15"/>
  <c r="L16" i="15"/>
  <c r="R16" i="15" s="1"/>
  <c r="K16" i="15"/>
  <c r="J16" i="15"/>
  <c r="I16" i="15"/>
  <c r="H16" i="15"/>
  <c r="G16" i="15"/>
  <c r="F16" i="15"/>
  <c r="E16" i="15"/>
  <c r="D16" i="15"/>
  <c r="C16" i="15"/>
  <c r="B16" i="15"/>
  <c r="O15" i="15"/>
  <c r="N15" i="15"/>
  <c r="Q15" i="15" s="1"/>
  <c r="M15" i="15"/>
  <c r="L15" i="15"/>
  <c r="R15" i="15" s="1"/>
  <c r="K15" i="15"/>
  <c r="J15" i="15"/>
  <c r="I15" i="15"/>
  <c r="H15" i="15"/>
  <c r="G15" i="15"/>
  <c r="F15" i="15"/>
  <c r="E15" i="15"/>
  <c r="D15" i="15"/>
  <c r="C15" i="15"/>
  <c r="B15" i="15"/>
  <c r="O14" i="15"/>
  <c r="N14" i="15"/>
  <c r="Q14" i="15" s="1"/>
  <c r="M14" i="15"/>
  <c r="L14" i="15"/>
  <c r="R14" i="15" s="1"/>
  <c r="K14" i="15"/>
  <c r="J14" i="15"/>
  <c r="I14" i="15"/>
  <c r="H14" i="15"/>
  <c r="G14" i="15"/>
  <c r="F14" i="15"/>
  <c r="E14" i="15"/>
  <c r="D14" i="15"/>
  <c r="C14" i="15"/>
  <c r="B14" i="15"/>
  <c r="O13" i="15"/>
  <c r="N13" i="15"/>
  <c r="Q13" i="15" s="1"/>
  <c r="M13" i="15"/>
  <c r="L13" i="15"/>
  <c r="R13" i="15" s="1"/>
  <c r="K13" i="15"/>
  <c r="J13" i="15"/>
  <c r="I13" i="15"/>
  <c r="H13" i="15"/>
  <c r="G13" i="15"/>
  <c r="F13" i="15"/>
  <c r="E13" i="15"/>
  <c r="D13" i="15"/>
  <c r="C13" i="15"/>
  <c r="B13" i="15"/>
  <c r="O12" i="15"/>
  <c r="N12" i="15"/>
  <c r="Q12" i="15" s="1"/>
  <c r="M12" i="15"/>
  <c r="L12" i="15"/>
  <c r="R12" i="15" s="1"/>
  <c r="K12" i="15"/>
  <c r="J12" i="15"/>
  <c r="I12" i="15"/>
  <c r="H12" i="15"/>
  <c r="G12" i="15"/>
  <c r="F12" i="15"/>
  <c r="E12" i="15"/>
  <c r="D12" i="15"/>
  <c r="C12" i="15"/>
  <c r="B12" i="15"/>
  <c r="O11" i="15"/>
  <c r="N11" i="15"/>
  <c r="Q11" i="15" s="1"/>
  <c r="M11" i="15"/>
  <c r="L11" i="15"/>
  <c r="R11" i="15" s="1"/>
  <c r="K11" i="15"/>
  <c r="J11" i="15"/>
  <c r="I11" i="15"/>
  <c r="H11" i="15"/>
  <c r="G11" i="15"/>
  <c r="F11" i="15"/>
  <c r="E11" i="15"/>
  <c r="D11" i="15"/>
  <c r="C11" i="15"/>
  <c r="B11" i="15"/>
  <c r="O10" i="15"/>
  <c r="N10" i="15"/>
  <c r="Q10" i="15" s="1"/>
  <c r="M10" i="15"/>
  <c r="L10" i="15"/>
  <c r="R10" i="15" s="1"/>
  <c r="K10" i="15"/>
  <c r="J10" i="15"/>
  <c r="I10" i="15"/>
  <c r="H10" i="15"/>
  <c r="G10" i="15"/>
  <c r="F10" i="15"/>
  <c r="E10" i="15"/>
  <c r="D10" i="15"/>
  <c r="C10" i="15"/>
  <c r="B10" i="15"/>
  <c r="O9" i="15"/>
  <c r="N9" i="15"/>
  <c r="Q9" i="15" s="1"/>
  <c r="M9" i="15"/>
  <c r="L9" i="15"/>
  <c r="R9" i="15" s="1"/>
  <c r="K9" i="15"/>
  <c r="J9" i="15"/>
  <c r="I9" i="15"/>
  <c r="H9" i="15"/>
  <c r="G9" i="15"/>
  <c r="F9" i="15"/>
  <c r="E9" i="15"/>
  <c r="D9" i="15"/>
  <c r="C9" i="15"/>
  <c r="B9" i="15"/>
  <c r="O8" i="15"/>
  <c r="N8" i="15"/>
  <c r="Q8" i="15" s="1"/>
  <c r="M8" i="15"/>
  <c r="L8" i="15"/>
  <c r="R8" i="15" s="1"/>
  <c r="K8" i="15"/>
  <c r="J8" i="15"/>
  <c r="I8" i="15"/>
  <c r="H8" i="15"/>
  <c r="G8" i="15"/>
  <c r="F8" i="15"/>
  <c r="E8" i="15"/>
  <c r="D8" i="15"/>
  <c r="C8" i="15"/>
  <c r="B8" i="15"/>
  <c r="O7" i="15"/>
  <c r="N7" i="15"/>
  <c r="Q7" i="15" s="1"/>
  <c r="M7" i="15"/>
  <c r="L7" i="15"/>
  <c r="R7" i="15" s="1"/>
  <c r="K7" i="15"/>
  <c r="J7" i="15"/>
  <c r="I7" i="15"/>
  <c r="H7" i="15"/>
  <c r="G7" i="15"/>
  <c r="F7" i="15"/>
  <c r="E7" i="15"/>
  <c r="D7" i="15"/>
  <c r="C7" i="15"/>
  <c r="B7" i="15"/>
  <c r="O6" i="15"/>
  <c r="N6" i="15"/>
  <c r="Q6" i="15" s="1"/>
  <c r="M6" i="15"/>
  <c r="L6" i="15"/>
  <c r="R6" i="15" s="1"/>
  <c r="K6" i="15"/>
  <c r="J6" i="15"/>
  <c r="I6" i="15"/>
  <c r="H6" i="15"/>
  <c r="G6" i="15"/>
  <c r="F6" i="15"/>
  <c r="E6" i="15"/>
  <c r="D6" i="15"/>
  <c r="C6" i="15"/>
  <c r="B6" i="15"/>
  <c r="O5" i="15"/>
  <c r="N5" i="15"/>
  <c r="Q5" i="15" s="1"/>
  <c r="M5" i="15"/>
  <c r="L5" i="15"/>
  <c r="R5" i="15" s="1"/>
  <c r="K5" i="15"/>
  <c r="J5" i="15"/>
  <c r="I5" i="15"/>
  <c r="H5" i="15"/>
  <c r="G5" i="15"/>
  <c r="F5" i="15"/>
  <c r="E5" i="15"/>
  <c r="D5" i="15"/>
  <c r="C5" i="15"/>
  <c r="B5" i="15"/>
  <c r="O4" i="15"/>
  <c r="N4" i="15"/>
  <c r="Q4" i="15" s="1"/>
  <c r="M4" i="15"/>
  <c r="L4" i="15"/>
  <c r="R4" i="15" s="1"/>
  <c r="K4" i="15"/>
  <c r="J4" i="15"/>
  <c r="I4" i="15"/>
  <c r="H4" i="15"/>
  <c r="G4" i="15"/>
  <c r="F4" i="15"/>
  <c r="E4" i="15"/>
  <c r="D4" i="15"/>
  <c r="C4" i="15"/>
  <c r="B4" i="15"/>
  <c r="O3" i="15"/>
  <c r="N3" i="15"/>
  <c r="Q3" i="15" s="1"/>
  <c r="M3" i="15"/>
  <c r="L3" i="15"/>
  <c r="R3" i="15" s="1"/>
  <c r="K3" i="15"/>
  <c r="J3" i="15"/>
  <c r="I3" i="15"/>
  <c r="H3" i="15"/>
  <c r="G3" i="15"/>
  <c r="F3" i="15"/>
  <c r="E3" i="15"/>
  <c r="D3" i="15"/>
  <c r="C3" i="15"/>
  <c r="B3" i="15"/>
  <c r="A3" i="15"/>
  <c r="O2" i="15"/>
  <c r="N2" i="15"/>
  <c r="Q2" i="15" s="1"/>
  <c r="M2" i="15"/>
  <c r="L2" i="15"/>
  <c r="R2" i="15" s="1"/>
  <c r="K2" i="15"/>
  <c r="J2" i="15"/>
  <c r="I2" i="15"/>
  <c r="H2" i="15"/>
  <c r="G2" i="15"/>
  <c r="F2" i="15"/>
  <c r="E2" i="15"/>
  <c r="D2" i="15"/>
  <c r="C2" i="15"/>
  <c r="B2" i="15"/>
  <c r="A2" i="15"/>
  <c r="Y22" i="14"/>
  <c r="X22" i="14"/>
  <c r="W22" i="14"/>
  <c r="V22" i="14"/>
  <c r="U22" i="14"/>
  <c r="T22" i="14"/>
  <c r="S22" i="14"/>
  <c r="R22" i="14"/>
  <c r="Q22" i="14"/>
  <c r="P22" i="14"/>
  <c r="O22" i="14"/>
  <c r="N22" i="14"/>
  <c r="M22" i="14"/>
  <c r="L22" i="14"/>
  <c r="K22" i="14"/>
  <c r="J22" i="14"/>
  <c r="I22" i="14"/>
  <c r="H22" i="14"/>
  <c r="G22" i="14"/>
  <c r="F22" i="14"/>
  <c r="E22" i="14"/>
  <c r="D22" i="14"/>
  <c r="C22" i="14"/>
  <c r="B22" i="14"/>
  <c r="T21" i="14"/>
  <c r="S21" i="14"/>
  <c r="R21" i="14"/>
  <c r="Q21" i="14"/>
  <c r="P21" i="14"/>
  <c r="O21" i="14"/>
  <c r="N21" i="14"/>
  <c r="M21" i="14"/>
  <c r="L21" i="14"/>
  <c r="K21" i="14"/>
  <c r="J21" i="14"/>
  <c r="I21" i="14"/>
  <c r="U21" i="14" s="1"/>
  <c r="H21" i="14"/>
  <c r="G21" i="14"/>
  <c r="F21" i="14"/>
  <c r="E21" i="14"/>
  <c r="D21" i="14"/>
  <c r="C21" i="14"/>
  <c r="B21" i="14"/>
  <c r="T20" i="14"/>
  <c r="S20" i="14"/>
  <c r="R20" i="14"/>
  <c r="Q20" i="14"/>
  <c r="P20" i="14"/>
  <c r="O20" i="14"/>
  <c r="N20" i="14"/>
  <c r="M20" i="14"/>
  <c r="L20" i="14"/>
  <c r="K20" i="14"/>
  <c r="J20" i="14"/>
  <c r="I20" i="14"/>
  <c r="U20" i="14" s="1"/>
  <c r="H20" i="14"/>
  <c r="G20" i="14"/>
  <c r="F20" i="14"/>
  <c r="E20" i="14"/>
  <c r="D20" i="14"/>
  <c r="C20" i="14"/>
  <c r="B20" i="14"/>
  <c r="T19" i="14"/>
  <c r="S19" i="14"/>
  <c r="R19" i="14"/>
  <c r="Q19" i="14"/>
  <c r="P19" i="14"/>
  <c r="O19" i="14"/>
  <c r="N19" i="14"/>
  <c r="M19" i="14"/>
  <c r="L19" i="14"/>
  <c r="K19" i="14"/>
  <c r="J19" i="14"/>
  <c r="I19" i="14"/>
  <c r="U19" i="14" s="1"/>
  <c r="H19" i="14"/>
  <c r="G19" i="14"/>
  <c r="F19" i="14"/>
  <c r="E19" i="14"/>
  <c r="D19" i="14"/>
  <c r="C19" i="14"/>
  <c r="B19" i="14"/>
  <c r="T18" i="14"/>
  <c r="S18" i="14"/>
  <c r="R18" i="14"/>
  <c r="Q18" i="14"/>
  <c r="P18" i="14"/>
  <c r="O18" i="14"/>
  <c r="N18" i="14"/>
  <c r="M18" i="14"/>
  <c r="L18" i="14"/>
  <c r="K18" i="14"/>
  <c r="J18" i="14"/>
  <c r="I18" i="14"/>
  <c r="U18" i="14" s="1"/>
  <c r="H18" i="14"/>
  <c r="G18" i="14"/>
  <c r="F18" i="14"/>
  <c r="E18" i="14"/>
  <c r="D18" i="14"/>
  <c r="C18" i="14"/>
  <c r="B18" i="14"/>
  <c r="T17" i="14"/>
  <c r="S17" i="14"/>
  <c r="R17" i="14"/>
  <c r="Q17" i="14"/>
  <c r="P17" i="14"/>
  <c r="O17" i="14"/>
  <c r="N17" i="14"/>
  <c r="M17" i="14"/>
  <c r="L17" i="14"/>
  <c r="K17" i="14"/>
  <c r="J17" i="14"/>
  <c r="I17" i="14"/>
  <c r="U17" i="14" s="1"/>
  <c r="H17" i="14"/>
  <c r="G17" i="14"/>
  <c r="F17" i="14"/>
  <c r="E17" i="14"/>
  <c r="D17" i="14"/>
  <c r="C17" i="14"/>
  <c r="B17" i="14"/>
  <c r="T16" i="14"/>
  <c r="S16" i="14"/>
  <c r="R16" i="14"/>
  <c r="Q16" i="14"/>
  <c r="P16" i="14"/>
  <c r="O16" i="14"/>
  <c r="N16" i="14"/>
  <c r="M16" i="14"/>
  <c r="L16" i="14"/>
  <c r="K16" i="14"/>
  <c r="J16" i="14"/>
  <c r="I16" i="14"/>
  <c r="U16" i="14" s="1"/>
  <c r="H16" i="14"/>
  <c r="G16" i="14"/>
  <c r="F16" i="14"/>
  <c r="E16" i="14"/>
  <c r="D16" i="14"/>
  <c r="C16" i="14"/>
  <c r="B16" i="14"/>
  <c r="T15" i="14"/>
  <c r="S15" i="14"/>
  <c r="R15" i="14"/>
  <c r="Q15" i="14"/>
  <c r="P15" i="14"/>
  <c r="O15" i="14"/>
  <c r="N15" i="14"/>
  <c r="M15" i="14"/>
  <c r="L15" i="14"/>
  <c r="K15" i="14"/>
  <c r="J15" i="14"/>
  <c r="I15" i="14"/>
  <c r="U15" i="14" s="1"/>
  <c r="H15" i="14"/>
  <c r="G15" i="14"/>
  <c r="F15" i="14"/>
  <c r="E15" i="14"/>
  <c r="D15" i="14"/>
  <c r="C15" i="14"/>
  <c r="B15" i="14"/>
  <c r="T14" i="14"/>
  <c r="S14" i="14"/>
  <c r="R14" i="14"/>
  <c r="Q14" i="14"/>
  <c r="P14" i="14"/>
  <c r="O14" i="14"/>
  <c r="N14" i="14"/>
  <c r="M14" i="14"/>
  <c r="L14" i="14"/>
  <c r="K14" i="14"/>
  <c r="J14" i="14"/>
  <c r="I14" i="14"/>
  <c r="U14" i="14" s="1"/>
  <c r="H14" i="14"/>
  <c r="G14" i="14"/>
  <c r="F14" i="14"/>
  <c r="E14" i="14"/>
  <c r="D14" i="14"/>
  <c r="C14" i="14"/>
  <c r="B14" i="14"/>
  <c r="T13" i="14"/>
  <c r="S13" i="14"/>
  <c r="R13" i="14"/>
  <c r="Q13" i="14"/>
  <c r="P13" i="14"/>
  <c r="O13" i="14"/>
  <c r="N13" i="14"/>
  <c r="M13" i="14"/>
  <c r="L13" i="14"/>
  <c r="K13" i="14"/>
  <c r="J13" i="14"/>
  <c r="I13" i="14"/>
  <c r="U13" i="14" s="1"/>
  <c r="H13" i="14"/>
  <c r="G13" i="14"/>
  <c r="F13" i="14"/>
  <c r="E13" i="14"/>
  <c r="D13" i="14"/>
  <c r="C13" i="14"/>
  <c r="B13" i="14"/>
  <c r="T12" i="14"/>
  <c r="S12" i="14"/>
  <c r="R12" i="14"/>
  <c r="Q12" i="14"/>
  <c r="P12" i="14"/>
  <c r="O12" i="14"/>
  <c r="N12" i="14"/>
  <c r="M12" i="14"/>
  <c r="L12" i="14"/>
  <c r="K12" i="14"/>
  <c r="J12" i="14"/>
  <c r="I12" i="14"/>
  <c r="U12" i="14" s="1"/>
  <c r="H12" i="14"/>
  <c r="G12" i="14"/>
  <c r="F12" i="14"/>
  <c r="E12" i="14"/>
  <c r="D12" i="14"/>
  <c r="C12" i="14"/>
  <c r="B12" i="14"/>
  <c r="T11" i="14"/>
  <c r="S11" i="14"/>
  <c r="R11" i="14"/>
  <c r="Q11" i="14"/>
  <c r="P11" i="14"/>
  <c r="O11" i="14"/>
  <c r="N11" i="14"/>
  <c r="M11" i="14"/>
  <c r="L11" i="14"/>
  <c r="K11" i="14"/>
  <c r="J11" i="14"/>
  <c r="I11" i="14"/>
  <c r="U11" i="14" s="1"/>
  <c r="H11" i="14"/>
  <c r="G11" i="14"/>
  <c r="F11" i="14"/>
  <c r="E11" i="14"/>
  <c r="D11" i="14"/>
  <c r="C11" i="14"/>
  <c r="B11" i="14"/>
  <c r="T10" i="14"/>
  <c r="S10" i="14"/>
  <c r="R10" i="14"/>
  <c r="Q10" i="14"/>
  <c r="P10" i="14"/>
  <c r="O10" i="14"/>
  <c r="N10" i="14"/>
  <c r="M10" i="14"/>
  <c r="L10" i="14"/>
  <c r="K10" i="14"/>
  <c r="J10" i="14"/>
  <c r="I10" i="14"/>
  <c r="U10" i="14" s="1"/>
  <c r="H10" i="14"/>
  <c r="G10" i="14"/>
  <c r="F10" i="14"/>
  <c r="E10" i="14"/>
  <c r="D10" i="14"/>
  <c r="C10" i="14"/>
  <c r="B10" i="14"/>
  <c r="T9" i="14"/>
  <c r="S9" i="14"/>
  <c r="R9" i="14"/>
  <c r="Q9" i="14"/>
  <c r="P9" i="14"/>
  <c r="O9" i="14"/>
  <c r="N9" i="14"/>
  <c r="M9" i="14"/>
  <c r="L9" i="14"/>
  <c r="K9" i="14"/>
  <c r="J9" i="14"/>
  <c r="I9" i="14"/>
  <c r="U9" i="14" s="1"/>
  <c r="H9" i="14"/>
  <c r="G9" i="14"/>
  <c r="F9" i="14"/>
  <c r="E9" i="14"/>
  <c r="D9" i="14"/>
  <c r="C9" i="14"/>
  <c r="B9" i="14"/>
  <c r="T8" i="14"/>
  <c r="S8" i="14"/>
  <c r="R8" i="14"/>
  <c r="Q8" i="14"/>
  <c r="P8" i="14"/>
  <c r="O8" i="14"/>
  <c r="N8" i="14"/>
  <c r="M8" i="14"/>
  <c r="L8" i="14"/>
  <c r="K8" i="14"/>
  <c r="J8" i="14"/>
  <c r="I8" i="14"/>
  <c r="U8" i="14" s="1"/>
  <c r="H8" i="14"/>
  <c r="G8" i="14"/>
  <c r="F8" i="14"/>
  <c r="E8" i="14"/>
  <c r="D8" i="14"/>
  <c r="C8" i="14"/>
  <c r="B8" i="14"/>
  <c r="T7" i="14"/>
  <c r="S7" i="14"/>
  <c r="R7" i="14"/>
  <c r="Q7" i="14"/>
  <c r="P7" i="14"/>
  <c r="O7" i="14"/>
  <c r="N7" i="14"/>
  <c r="M7" i="14"/>
  <c r="L7" i="14"/>
  <c r="K7" i="14"/>
  <c r="J7" i="14"/>
  <c r="I7" i="14"/>
  <c r="U7" i="14" s="1"/>
  <c r="H7" i="14"/>
  <c r="G7" i="14"/>
  <c r="F7" i="14"/>
  <c r="E7" i="14"/>
  <c r="D7" i="14"/>
  <c r="C7" i="14"/>
  <c r="B7" i="14"/>
  <c r="T6" i="14"/>
  <c r="S6" i="14"/>
  <c r="R6" i="14"/>
  <c r="Q6" i="14"/>
  <c r="P6" i="14"/>
  <c r="O6" i="14"/>
  <c r="N6" i="14"/>
  <c r="M6" i="14"/>
  <c r="L6" i="14"/>
  <c r="K6" i="14"/>
  <c r="J6" i="14"/>
  <c r="I6" i="14"/>
  <c r="U6" i="14" s="1"/>
  <c r="H6" i="14"/>
  <c r="G6" i="14"/>
  <c r="F6" i="14"/>
  <c r="E6" i="14"/>
  <c r="D6" i="14"/>
  <c r="C6" i="14"/>
  <c r="B6" i="14"/>
  <c r="T5" i="14"/>
  <c r="S5" i="14"/>
  <c r="R5" i="14"/>
  <c r="Q5" i="14"/>
  <c r="P5" i="14"/>
  <c r="O5" i="14"/>
  <c r="N5" i="14"/>
  <c r="M5" i="14"/>
  <c r="L5" i="14"/>
  <c r="K5" i="14"/>
  <c r="J5" i="14"/>
  <c r="I5" i="14"/>
  <c r="U5" i="14" s="1"/>
  <c r="H5" i="14"/>
  <c r="G5" i="14"/>
  <c r="F5" i="14"/>
  <c r="E5" i="14"/>
  <c r="D5" i="14"/>
  <c r="C5" i="14"/>
  <c r="B5" i="14"/>
  <c r="T4" i="14"/>
  <c r="S4" i="14"/>
  <c r="R4" i="14"/>
  <c r="Q4" i="14"/>
  <c r="P4" i="14"/>
  <c r="O4" i="14"/>
  <c r="N4" i="14"/>
  <c r="M4" i="14"/>
  <c r="L4" i="14"/>
  <c r="K4" i="14"/>
  <c r="J4" i="14"/>
  <c r="I4" i="14"/>
  <c r="U4" i="14" s="1"/>
  <c r="H4" i="14"/>
  <c r="G4" i="14"/>
  <c r="F4" i="14"/>
  <c r="E4" i="14"/>
  <c r="D4" i="14"/>
  <c r="C4" i="14"/>
  <c r="B4" i="14"/>
  <c r="T3" i="14"/>
  <c r="S3" i="14"/>
  <c r="R3" i="14"/>
  <c r="Q3" i="14"/>
  <c r="P3" i="14"/>
  <c r="O3" i="14"/>
  <c r="N3" i="14"/>
  <c r="M3" i="14"/>
  <c r="L3" i="14"/>
  <c r="K3" i="14"/>
  <c r="J3" i="14"/>
  <c r="I3" i="14"/>
  <c r="U3" i="14" s="1"/>
  <c r="H3" i="14"/>
  <c r="G3" i="14"/>
  <c r="F3" i="14"/>
  <c r="E3" i="14"/>
  <c r="D3" i="14"/>
  <c r="C3" i="14"/>
  <c r="B3" i="14"/>
  <c r="T2" i="14"/>
  <c r="S2" i="14"/>
  <c r="R2" i="14"/>
  <c r="Q2" i="14"/>
  <c r="P2" i="14"/>
  <c r="O2" i="14"/>
  <c r="N2" i="14"/>
  <c r="M2" i="14"/>
  <c r="L2" i="14"/>
  <c r="K2" i="14"/>
  <c r="J2" i="14"/>
  <c r="I2" i="14"/>
  <c r="U2" i="14" s="1"/>
  <c r="H2" i="14"/>
  <c r="G2" i="14"/>
  <c r="F2" i="14"/>
  <c r="E2" i="14"/>
  <c r="D2" i="14"/>
  <c r="C2" i="14"/>
  <c r="B2" i="14"/>
  <c r="A2" i="14"/>
  <c r="A3" i="11"/>
  <c r="A4" i="11" s="1"/>
  <c r="A3" i="10"/>
  <c r="V995" i="19" l="1"/>
  <c r="U993" i="19"/>
  <c r="U992" i="19"/>
  <c r="T991" i="19"/>
  <c r="V989" i="19"/>
  <c r="T988" i="19"/>
  <c r="U986" i="19"/>
  <c r="S985" i="19"/>
  <c r="S984" i="19"/>
  <c r="S983" i="19"/>
  <c r="U980" i="19"/>
  <c r="U987" i="19"/>
  <c r="T992" i="19"/>
  <c r="V984" i="19"/>
  <c r="U985" i="19"/>
  <c r="T982" i="19"/>
  <c r="S981" i="19"/>
  <c r="U969" i="19"/>
  <c r="U995" i="19"/>
  <c r="S982" i="19"/>
  <c r="U991" i="19"/>
  <c r="T990" i="19"/>
  <c r="S989" i="19"/>
  <c r="V987" i="19"/>
  <c r="T970" i="19"/>
  <c r="V985" i="19"/>
  <c r="S987" i="19"/>
  <c r="T980" i="19"/>
  <c r="S980" i="19"/>
  <c r="T981" i="19"/>
  <c r="V979" i="19"/>
  <c r="U979" i="19"/>
  <c r="T979" i="19"/>
  <c r="S979" i="19"/>
  <c r="V994" i="19"/>
  <c r="V978" i="19"/>
  <c r="U978" i="19"/>
  <c r="T978" i="19"/>
  <c r="S978" i="19"/>
  <c r="S994" i="19"/>
  <c r="V977" i="19"/>
  <c r="U977" i="19"/>
  <c r="T977" i="19"/>
  <c r="S977" i="19"/>
  <c r="T993" i="19"/>
  <c r="V976" i="19"/>
  <c r="U976" i="19"/>
  <c r="T976" i="19"/>
  <c r="S976" i="19"/>
  <c r="V992" i="19"/>
  <c r="V975" i="19"/>
  <c r="U975" i="19"/>
  <c r="T975" i="19"/>
  <c r="S975" i="19"/>
  <c r="T986" i="19"/>
  <c r="V974" i="19"/>
  <c r="U974" i="19"/>
  <c r="T974" i="19"/>
  <c r="S974" i="19"/>
  <c r="U984" i="19"/>
  <c r="V973" i="19"/>
  <c r="U973" i="19"/>
  <c r="T973" i="19"/>
  <c r="S973" i="19"/>
  <c r="V980" i="19"/>
  <c r="V972" i="19"/>
  <c r="U972" i="19"/>
  <c r="T972" i="19"/>
  <c r="S972" i="19"/>
  <c r="V971" i="19"/>
  <c r="U971" i="19"/>
  <c r="T971" i="19"/>
  <c r="S971" i="19"/>
  <c r="V970" i="19"/>
  <c r="U982" i="19"/>
  <c r="U981" i="19"/>
  <c r="S970" i="19"/>
  <c r="T995" i="19"/>
  <c r="T994" i="19"/>
  <c r="S993" i="19"/>
  <c r="S992" i="19"/>
  <c r="S990" i="19"/>
  <c r="T989" i="19"/>
  <c r="S988" i="19"/>
  <c r="T987" i="19"/>
  <c r="V986" i="19"/>
  <c r="S986" i="19"/>
  <c r="T985" i="19"/>
  <c r="V983" i="19"/>
  <c r="T983" i="19"/>
  <c r="U970" i="19"/>
  <c r="U994" i="19"/>
  <c r="S991" i="19"/>
  <c r="U990" i="19"/>
  <c r="U988" i="19"/>
  <c r="T984" i="19"/>
  <c r="U983" i="19"/>
  <c r="V969" i="19"/>
  <c r="V982" i="19"/>
  <c r="V981" i="19"/>
  <c r="S995" i="19"/>
  <c r="V993" i="19"/>
  <c r="V991" i="19"/>
  <c r="V990" i="19"/>
  <c r="U989" i="19"/>
  <c r="V988" i="19"/>
  <c r="R995" i="19"/>
  <c r="R989" i="19"/>
  <c r="R994" i="19"/>
  <c r="R987" i="19"/>
  <c r="R984" i="19"/>
  <c r="R980" i="19"/>
  <c r="R979" i="19"/>
  <c r="R978" i="19"/>
  <c r="R977" i="19"/>
  <c r="R976" i="19"/>
  <c r="R975" i="19"/>
  <c r="R974" i="19"/>
  <c r="R973" i="19"/>
  <c r="R992" i="19"/>
  <c r="R971" i="19"/>
  <c r="R990" i="19"/>
  <c r="R993" i="19"/>
  <c r="R972" i="19"/>
  <c r="R985" i="19"/>
  <c r="R983" i="19"/>
  <c r="R982" i="19"/>
  <c r="R991" i="19"/>
  <c r="R988" i="19"/>
  <c r="R970" i="19"/>
  <c r="R986" i="19"/>
  <c r="R981" i="19"/>
  <c r="T438" i="20"/>
  <c r="T994" i="20"/>
  <c r="T705" i="20"/>
  <c r="T317" i="20"/>
  <c r="T2" i="20"/>
  <c r="T993" i="20"/>
  <c r="T467" i="20"/>
  <c r="T5" i="20"/>
  <c r="T704" i="20"/>
  <c r="T203" i="20"/>
  <c r="T8" i="20"/>
  <c r="T92" i="20"/>
  <c r="T991" i="20"/>
  <c r="T9" i="20"/>
  <c r="T513" i="20"/>
  <c r="T703" i="20"/>
  <c r="T318" i="20"/>
  <c r="T93" i="20"/>
  <c r="T11" i="20"/>
  <c r="T439" i="20"/>
  <c r="T702" i="20"/>
  <c r="T13" i="20"/>
  <c r="T985" i="20"/>
  <c r="T984" i="20"/>
  <c r="T17" i="20"/>
  <c r="T202" i="20"/>
  <c r="T94" i="20"/>
  <c r="T21" i="20"/>
  <c r="T22" i="20"/>
  <c r="T24" i="20"/>
  <c r="T979" i="20"/>
  <c r="T978" i="20"/>
  <c r="T977" i="20"/>
  <c r="T701" i="20"/>
  <c r="T319" i="20"/>
  <c r="T95" i="20"/>
  <c r="T25" i="20"/>
  <c r="T26" i="20"/>
  <c r="T31" i="20"/>
  <c r="T34" i="20"/>
  <c r="T39" i="20"/>
  <c r="T969" i="20"/>
  <c r="T968" i="20"/>
  <c r="T528" i="20"/>
  <c r="T111" i="20"/>
  <c r="T700" i="20"/>
  <c r="T119" i="20"/>
  <c r="T201" i="20"/>
  <c r="T963" i="20"/>
  <c r="T127" i="20"/>
  <c r="T962" i="20"/>
  <c r="T96" i="20"/>
  <c r="T494" i="20"/>
  <c r="T129" i="20"/>
  <c r="T699" i="20"/>
  <c r="T959" i="20"/>
  <c r="T320" i="20"/>
  <c r="T135" i="20"/>
  <c r="T97" i="20"/>
  <c r="T958" i="20"/>
  <c r="T980" i="20"/>
  <c r="T136" i="20"/>
  <c r="T698" i="20"/>
  <c r="T957" i="20"/>
  <c r="T200" i="20"/>
  <c r="T142" i="20"/>
  <c r="T98" i="20"/>
  <c r="T956" i="20"/>
  <c r="T468" i="20"/>
  <c r="T144" i="20"/>
  <c r="T697" i="20"/>
  <c r="T955" i="20"/>
  <c r="T483" i="20"/>
  <c r="T145" i="20"/>
  <c r="T99" i="20"/>
  <c r="T954" i="20"/>
  <c r="T199" i="20"/>
  <c r="T148" i="20"/>
  <c r="T696" i="20"/>
  <c r="T953" i="20"/>
  <c r="T981" i="20"/>
  <c r="T159" i="20"/>
  <c r="T100" i="20"/>
  <c r="T952" i="20"/>
  <c r="T321" i="20"/>
  <c r="T163" i="20"/>
  <c r="T695" i="20"/>
  <c r="T951" i="20"/>
  <c r="T198" i="20"/>
  <c r="T169" i="20"/>
  <c r="T101" i="20"/>
  <c r="T950" i="20"/>
  <c r="T527" i="20"/>
  <c r="T172" i="20"/>
  <c r="T694" i="20"/>
  <c r="T949" i="20"/>
  <c r="T505" i="20"/>
  <c r="T173" i="20"/>
  <c r="T102" i="20"/>
  <c r="T948" i="20"/>
  <c r="T197" i="20"/>
  <c r="T181" i="20"/>
  <c r="T693" i="20"/>
  <c r="T947" i="20"/>
  <c r="T440" i="20"/>
  <c r="T188" i="20"/>
  <c r="T103" i="20"/>
  <c r="T946" i="20"/>
  <c r="T322" i="20"/>
  <c r="T195" i="20"/>
  <c r="T692" i="20"/>
  <c r="T945" i="20"/>
  <c r="T196" i="20"/>
  <c r="T617" i="20"/>
  <c r="T104" i="20"/>
  <c r="T944" i="20"/>
  <c r="T323" i="20"/>
  <c r="T620" i="20"/>
  <c r="T691" i="20"/>
  <c r="T943" i="20"/>
  <c r="T469" i="20"/>
  <c r="T621" i="20"/>
  <c r="T105" i="20"/>
  <c r="T942" i="20"/>
  <c r="T555" i="20"/>
  <c r="T625" i="20"/>
  <c r="T690" i="20"/>
  <c r="T941" i="20"/>
  <c r="T324" i="20"/>
  <c r="T629" i="20"/>
  <c r="T106" i="20"/>
  <c r="T940" i="20"/>
  <c r="T194" i="20"/>
  <c r="T630" i="20"/>
  <c r="T689" i="20"/>
  <c r="T939" i="20"/>
  <c r="T107" i="20"/>
  <c r="T631" i="20"/>
  <c r="T512" i="20"/>
  <c r="T938" i="20"/>
  <c r="T193" i="20"/>
  <c r="T325" i="20"/>
  <c r="T937" i="20"/>
  <c r="T632" i="20"/>
  <c r="T687" i="20"/>
  <c r="T929" i="20"/>
  <c r="T928" i="20"/>
  <c r="T23" i="20"/>
  <c r="T633" i="20"/>
  <c r="T192" i="20"/>
  <c r="T925" i="20"/>
  <c r="T191" i="20"/>
  <c r="T441" i="20"/>
  <c r="T684" i="20"/>
  <c r="T28" i="20"/>
  <c r="T683" i="20"/>
  <c r="T682" i="20"/>
  <c r="T190" i="20"/>
  <c r="T635" i="20"/>
  <c r="T920" i="20"/>
  <c r="T33" i="20"/>
  <c r="T680" i="20"/>
  <c r="T35" i="20"/>
  <c r="T917" i="20"/>
  <c r="T679" i="20"/>
  <c r="T37" i="20"/>
  <c r="T915" i="20"/>
  <c r="T526" i="20"/>
  <c r="T636" i="20"/>
  <c r="T643" i="20"/>
  <c r="T912" i="20"/>
  <c r="T677" i="20"/>
  <c r="T644" i="20"/>
  <c r="T189" i="20"/>
  <c r="T909" i="20"/>
  <c r="T40" i="20"/>
  <c r="T650" i="20"/>
  <c r="T675" i="20"/>
  <c r="T907" i="20"/>
  <c r="T326" i="20"/>
  <c r="T651" i="20"/>
  <c r="T327" i="20"/>
  <c r="T554" i="20"/>
  <c r="T496" i="20"/>
  <c r="T652" i="20"/>
  <c r="T672" i="20"/>
  <c r="T108" i="20"/>
  <c r="T671" i="20"/>
  <c r="T109" i="20"/>
  <c r="T670" i="20"/>
  <c r="T442" i="20"/>
  <c r="T901" i="20"/>
  <c r="T900" i="20"/>
  <c r="T666" i="20"/>
  <c r="T668" i="20"/>
  <c r="T470" i="20"/>
  <c r="T897" i="20"/>
  <c r="T184" i="20"/>
  <c r="T183" i="20"/>
  <c r="T110" i="20"/>
  <c r="T669" i="20"/>
  <c r="T667" i="20"/>
  <c r="T893" i="20"/>
  <c r="T892" i="20"/>
  <c r="T891" i="20"/>
  <c r="T673" i="20"/>
  <c r="T674" i="20"/>
  <c r="T328" i="20"/>
  <c r="T888" i="20"/>
  <c r="T114" i="20"/>
  <c r="T676" i="20"/>
  <c r="T678" i="20"/>
  <c r="T665" i="20"/>
  <c r="T116" i="20"/>
  <c r="T664" i="20"/>
  <c r="T681" i="20"/>
  <c r="T118" i="20"/>
  <c r="T881" i="20"/>
  <c r="T663" i="20"/>
  <c r="T685" i="20"/>
  <c r="T553" i="20"/>
  <c r="T878" i="20"/>
  <c r="T877" i="20"/>
  <c r="T124" i="20"/>
  <c r="T661" i="20"/>
  <c r="T484" i="20"/>
  <c r="T875" i="20"/>
  <c r="T125" i="20"/>
  <c r="T686" i="20"/>
  <c r="T873" i="20"/>
  <c r="T688" i="20"/>
  <c r="T659" i="20"/>
  <c r="T870" i="20"/>
  <c r="T869" i="20"/>
  <c r="T780" i="20"/>
  <c r="T658" i="20"/>
  <c r="T781" i="20"/>
  <c r="T657" i="20"/>
  <c r="T656" i="20"/>
  <c r="T866" i="20"/>
  <c r="T864" i="20"/>
  <c r="T126" i="20"/>
  <c r="T329" i="20"/>
  <c r="T180" i="20"/>
  <c r="T861" i="20"/>
  <c r="T443" i="20"/>
  <c r="T128" i="20"/>
  <c r="T859" i="20"/>
  <c r="T525" i="20"/>
  <c r="T857" i="20"/>
  <c r="T552" i="20"/>
  <c r="T782" i="20"/>
  <c r="T783" i="20"/>
  <c r="T177" i="20"/>
  <c r="T330" i="20"/>
  <c r="T131" i="20"/>
  <c r="T649" i="20"/>
  <c r="T132" i="20"/>
  <c r="T784" i="20"/>
  <c r="T850" i="20"/>
  <c r="T176" i="20"/>
  <c r="T785" i="20"/>
  <c r="T848" i="20"/>
  <c r="T331" i="20"/>
  <c r="T491" i="20"/>
  <c r="T174" i="20"/>
  <c r="T846" i="20"/>
  <c r="T786" i="20"/>
  <c r="T134" i="20"/>
  <c r="T844" i="20"/>
  <c r="T444" i="20"/>
  <c r="T843" i="20"/>
  <c r="T842" i="20"/>
  <c r="T471" i="20"/>
  <c r="T386" i="20"/>
  <c r="T840" i="20"/>
  <c r="T551" i="20"/>
  <c r="T787" i="20"/>
  <c r="T642" i="20"/>
  <c r="T839" i="20"/>
  <c r="T511" i="20"/>
  <c r="T788" i="20"/>
  <c r="T137" i="20"/>
  <c r="T838" i="20"/>
  <c r="T445" i="20"/>
  <c r="T789" i="20"/>
  <c r="T524" i="20"/>
  <c r="T837" i="20"/>
  <c r="T138" i="20"/>
  <c r="T139" i="20"/>
  <c r="T170" i="20"/>
  <c r="T550" i="20"/>
  <c r="T387" i="20"/>
  <c r="T501" i="20"/>
  <c r="T388" i="20"/>
  <c r="T389" i="20"/>
  <c r="T446" i="20"/>
  <c r="T472" i="20"/>
  <c r="T831" i="20"/>
  <c r="T549" i="20"/>
  <c r="T830" i="20"/>
  <c r="T485" i="20"/>
  <c r="T390" i="20"/>
  <c r="T140" i="20"/>
  <c r="T828" i="20"/>
  <c r="T150" i="20"/>
  <c r="T827" i="20"/>
  <c r="T152" i="20"/>
  <c r="T790" i="20"/>
  <c r="T825" i="20"/>
  <c r="T824" i="20"/>
  <c r="T154" i="20"/>
  <c r="T447" i="20"/>
  <c r="T822" i="20"/>
  <c r="T624" i="20"/>
  <c r="T662" i="20"/>
  <c r="T660" i="20"/>
  <c r="T791" i="20"/>
  <c r="T792" i="20"/>
  <c r="T793" i="20"/>
  <c r="T655" i="20"/>
  <c r="T654" i="20"/>
  <c r="T653" i="20"/>
  <c r="T794" i="20"/>
  <c r="T795" i="20"/>
  <c r="T161" i="20"/>
  <c r="T648" i="20"/>
  <c r="T647" i="20"/>
  <c r="T646" i="20"/>
  <c r="T645" i="20"/>
  <c r="T623" i="20"/>
  <c r="T796" i="20"/>
  <c r="T622" i="20"/>
  <c r="T641" i="20"/>
  <c r="T640" i="20"/>
  <c r="T639" i="20"/>
  <c r="T638" i="20"/>
  <c r="T637" i="20"/>
  <c r="T156" i="20"/>
  <c r="T391" i="20"/>
  <c r="T634" i="20"/>
  <c r="T523" i="20"/>
  <c r="T160" i="20"/>
  <c r="T618" i="20"/>
  <c r="T392" i="20"/>
  <c r="T628" i="20"/>
  <c r="T627" i="20"/>
  <c r="T626" i="20"/>
  <c r="T162" i="20"/>
  <c r="T797" i="20"/>
  <c r="T798" i="20"/>
  <c r="T616" i="20"/>
  <c r="T799" i="20"/>
  <c r="T548" i="20"/>
  <c r="T619" i="20"/>
  <c r="T504" i="20"/>
  <c r="T615" i="20"/>
  <c r="T800" i="20"/>
  <c r="T164" i="20"/>
  <c r="T614" i="20"/>
  <c r="T801" i="20"/>
  <c r="T158" i="20"/>
  <c r="T393" i="20"/>
  <c r="T613" i="20"/>
  <c r="T165" i="20"/>
  <c r="T612" i="20"/>
  <c r="T166" i="20"/>
  <c r="T611" i="20"/>
  <c r="T167" i="20"/>
  <c r="T802" i="20"/>
  <c r="T608" i="20"/>
  <c r="T610" i="20"/>
  <c r="T803" i="20"/>
  <c r="T168" i="20"/>
  <c r="T607" i="20"/>
  <c r="T609" i="20"/>
  <c r="T804" i="20"/>
  <c r="T157" i="20"/>
  <c r="T606" i="20"/>
  <c r="T448" i="20"/>
  <c r="T805" i="20"/>
  <c r="T580" i="20"/>
  <c r="T605" i="20"/>
  <c r="T473" i="20"/>
  <c r="T806" i="20"/>
  <c r="T155" i="20"/>
  <c r="T604" i="20"/>
  <c r="T394" i="20"/>
  <c r="T807" i="20"/>
  <c r="T547" i="20"/>
  <c r="T603" i="20"/>
  <c r="T153" i="20"/>
  <c r="T808" i="20"/>
  <c r="T577" i="20"/>
  <c r="T602" i="20"/>
  <c r="T171" i="20"/>
  <c r="T809" i="20"/>
  <c r="T510" i="20"/>
  <c r="T601" i="20"/>
  <c r="T175" i="20"/>
  <c r="T810" i="20"/>
  <c r="T449" i="20"/>
  <c r="T600" i="20"/>
  <c r="T178" i="20"/>
  <c r="T811" i="20"/>
  <c r="T574" i="20"/>
  <c r="T599" i="20"/>
  <c r="T151" i="20"/>
  <c r="T812" i="20"/>
  <c r="T179" i="20"/>
  <c r="T598" i="20"/>
  <c r="T573" i="20"/>
  <c r="T813" i="20"/>
  <c r="T395" i="20"/>
  <c r="T597" i="20"/>
  <c r="T522" i="20"/>
  <c r="T814" i="20"/>
  <c r="T182" i="20"/>
  <c r="T596" i="20"/>
  <c r="T149" i="20"/>
  <c r="T815" i="20"/>
  <c r="T185" i="20"/>
  <c r="T595" i="20"/>
  <c r="T570" i="20"/>
  <c r="T816" i="20"/>
  <c r="T396" i="20"/>
  <c r="T594" i="20"/>
  <c r="T546" i="20"/>
  <c r="T817" i="20"/>
  <c r="T186" i="20"/>
  <c r="T593" i="20"/>
  <c r="T568" i="20"/>
  <c r="T818" i="20"/>
  <c r="T397" i="20"/>
  <c r="T592" i="20"/>
  <c r="T147" i="20"/>
  <c r="T819" i="20"/>
  <c r="T497" i="20"/>
  <c r="T591" i="20"/>
  <c r="T146" i="20"/>
  <c r="T820" i="20"/>
  <c r="T398" i="20"/>
  <c r="T590" i="20"/>
  <c r="T450" i="20"/>
  <c r="T821" i="20"/>
  <c r="T565" i="20"/>
  <c r="T589" i="20"/>
  <c r="T187" i="20"/>
  <c r="T823" i="20"/>
  <c r="T474" i="20"/>
  <c r="T588" i="20"/>
  <c r="T399" i="20"/>
  <c r="T826" i="20"/>
  <c r="T247" i="20"/>
  <c r="T587" i="20"/>
  <c r="T563" i="20"/>
  <c r="T829" i="20"/>
  <c r="T248" i="20"/>
  <c r="T586" i="20"/>
  <c r="T562" i="20"/>
  <c r="T832" i="20"/>
  <c r="T249" i="20"/>
  <c r="T585" i="20"/>
  <c r="T561" i="20"/>
  <c r="T833" i="20"/>
  <c r="T143" i="20"/>
  <c r="T584" i="20"/>
  <c r="T400" i="20"/>
  <c r="T834" i="20"/>
  <c r="T545" i="20"/>
  <c r="T583" i="20"/>
  <c r="T250" i="20"/>
  <c r="T835" i="20"/>
  <c r="T559" i="20"/>
  <c r="T582" i="20"/>
  <c r="T141" i="20"/>
  <c r="T836" i="20"/>
  <c r="T558" i="20"/>
  <c r="T581" i="20"/>
  <c r="T251" i="20"/>
  <c r="T841" i="20"/>
  <c r="T401" i="20"/>
  <c r="T486" i="20"/>
  <c r="T845" i="20"/>
  <c r="T579" i="20"/>
  <c r="T847" i="20"/>
  <c r="T578" i="20"/>
  <c r="T849" i="20"/>
  <c r="T402" i="20"/>
  <c r="T576" i="20"/>
  <c r="T451" i="20"/>
  <c r="T575" i="20"/>
  <c r="T521" i="20"/>
  <c r="T252" i="20"/>
  <c r="T544" i="20"/>
  <c r="T384" i="20"/>
  <c r="T851" i="20"/>
  <c r="T572" i="20"/>
  <c r="T571" i="20"/>
  <c r="T492" i="20"/>
  <c r="T253" i="20"/>
  <c r="T452" i="20"/>
  <c r="T852" i="20"/>
  <c r="T569" i="20"/>
  <c r="T383" i="20"/>
  <c r="T853" i="20"/>
  <c r="T567" i="20"/>
  <c r="T854" i="20"/>
  <c r="T566" i="20"/>
  <c r="T855" i="20"/>
  <c r="T475" i="20"/>
  <c r="T564" i="20"/>
  <c r="T254" i="20"/>
  <c r="T543" i="20"/>
  <c r="T382" i="20"/>
  <c r="T509" i="20"/>
  <c r="T255" i="20"/>
  <c r="T856" i="20"/>
  <c r="T560" i="20"/>
  <c r="T381" i="20"/>
  <c r="T453" i="20"/>
  <c r="T858" i="20"/>
  <c r="T256" i="20"/>
  <c r="T557" i="20"/>
  <c r="T860" i="20"/>
  <c r="T556" i="20"/>
  <c r="T403" i="20"/>
  <c r="T257" i="20"/>
  <c r="T380" i="20"/>
  <c r="T379" i="20"/>
  <c r="T404" i="20"/>
  <c r="T376" i="20"/>
  <c r="T258" i="20"/>
  <c r="T133" i="20"/>
  <c r="T374" i="20"/>
  <c r="T862" i="20"/>
  <c r="T372" i="20"/>
  <c r="T371" i="20"/>
  <c r="T378" i="20"/>
  <c r="T863" i="20"/>
  <c r="T369" i="20"/>
  <c r="T520" i="20"/>
  <c r="T865" i="20"/>
  <c r="T259" i="20"/>
  <c r="T366" i="20"/>
  <c r="T405" i="20"/>
  <c r="T377" i="20"/>
  <c r="T364" i="20"/>
  <c r="T260" i="20"/>
  <c r="T867" i="20"/>
  <c r="T542" i="20"/>
  <c r="T361" i="20"/>
  <c r="T495" i="20"/>
  <c r="T359" i="20"/>
  <c r="T261" i="20"/>
  <c r="T868" i="20"/>
  <c r="T375" i="20"/>
  <c r="T262" i="20"/>
  <c r="T356" i="20"/>
  <c r="T130" i="20"/>
  <c r="T406" i="20"/>
  <c r="T354" i="20"/>
  <c r="T353" i="20"/>
  <c r="T454" i="20"/>
  <c r="T871" i="20"/>
  <c r="T872" i="20"/>
  <c r="T373" i="20"/>
  <c r="T349" i="20"/>
  <c r="T476" i="20"/>
  <c r="T263" i="20"/>
  <c r="T541" i="20"/>
  <c r="T874" i="20"/>
  <c r="T407" i="20"/>
  <c r="T264" i="20"/>
  <c r="T876" i="20"/>
  <c r="T344" i="20"/>
  <c r="T879" i="20"/>
  <c r="T343" i="20"/>
  <c r="T487" i="20"/>
  <c r="T880" i="20"/>
  <c r="T341" i="20"/>
  <c r="T882" i="20"/>
  <c r="T408" i="20"/>
  <c r="T265" i="20"/>
  <c r="T883" i="20"/>
  <c r="T370" i="20"/>
  <c r="T455" i="20"/>
  <c r="T884" i="20"/>
  <c r="T336" i="20"/>
  <c r="T519" i="20"/>
  <c r="T885" i="20"/>
  <c r="T409" i="20"/>
  <c r="T334" i="20"/>
  <c r="T266" i="20"/>
  <c r="T886" i="20"/>
  <c r="T368" i="20"/>
  <c r="T333" i="20"/>
  <c r="T123" i="20"/>
  <c r="T887" i="20"/>
  <c r="T122" i="20"/>
  <c r="T332" i="20"/>
  <c r="T367" i="20"/>
  <c r="T246" i="20"/>
  <c r="T267" i="20"/>
  <c r="T889" i="20"/>
  <c r="T410" i="20"/>
  <c r="T245" i="20"/>
  <c r="T121" i="20"/>
  <c r="T890" i="20"/>
  <c r="T268" i="20"/>
  <c r="T244" i="20"/>
  <c r="T365" i="20"/>
  <c r="T894" i="20"/>
  <c r="T269" i="20"/>
  <c r="T243" i="20"/>
  <c r="T411" i="20"/>
  <c r="T895" i="20"/>
  <c r="T120" i="20"/>
  <c r="T242" i="20"/>
  <c r="T270" i="20"/>
  <c r="T896" i="20"/>
  <c r="T363" i="20"/>
  <c r="T241" i="20"/>
  <c r="T412" i="20"/>
  <c r="T898" i="20"/>
  <c r="T540" i="20"/>
  <c r="T240" i="20"/>
  <c r="T362" i="20"/>
  <c r="T899" i="20"/>
  <c r="T271" i="20"/>
  <c r="T239" i="20"/>
  <c r="T413" i="20"/>
  <c r="T902" i="20"/>
  <c r="T503" i="20"/>
  <c r="T238" i="20"/>
  <c r="T272" i="20"/>
  <c r="T903" i="20"/>
  <c r="T117" i="20"/>
  <c r="T237" i="20"/>
  <c r="T360" i="20"/>
  <c r="T904" i="20"/>
  <c r="T273" i="20"/>
  <c r="T236" i="20"/>
  <c r="T414" i="20"/>
  <c r="T905" i="20"/>
  <c r="T456" i="20"/>
  <c r="T235" i="20"/>
  <c r="T274" i="20"/>
  <c r="T906" i="20"/>
  <c r="T358" i="20"/>
  <c r="T234" i="20"/>
  <c r="T115" i="20"/>
  <c r="T908" i="20"/>
  <c r="T415" i="20"/>
  <c r="T233" i="20"/>
  <c r="T357" i="20"/>
  <c r="T275" i="20"/>
  <c r="T477" i="20"/>
  <c r="T910" i="20"/>
  <c r="T964" i="20"/>
  <c r="T276" i="20"/>
  <c r="T416" i="20"/>
  <c r="T965" i="20"/>
  <c r="T911" i="20"/>
  <c r="T355" i="20"/>
  <c r="T966" i="20"/>
  <c r="T277" i="20"/>
  <c r="T113" i="20"/>
  <c r="T967" i="20"/>
  <c r="T913" i="20"/>
  <c r="T278" i="20"/>
  <c r="T417" i="20"/>
  <c r="T914" i="20"/>
  <c r="T112" i="20"/>
  <c r="T279" i="20"/>
  <c r="T352" i="20"/>
  <c r="T970" i="20"/>
  <c r="T418" i="20"/>
  <c r="T539" i="20"/>
  <c r="T971" i="20"/>
  <c r="T351" i="20"/>
  <c r="T508" i="20"/>
  <c r="T457" i="20"/>
  <c r="T350" i="20"/>
  <c r="T973" i="20"/>
  <c r="T280" i="20"/>
  <c r="T518" i="20"/>
  <c r="T974" i="20"/>
  <c r="T916" i="20"/>
  <c r="T38" i="20"/>
  <c r="T975" i="20"/>
  <c r="T918" i="20"/>
  <c r="T281" i="20"/>
  <c r="T976" i="20"/>
  <c r="T919" i="20"/>
  <c r="T921" i="20"/>
  <c r="T348" i="20"/>
  <c r="T779" i="20"/>
  <c r="T282" i="20"/>
  <c r="T922" i="20"/>
  <c r="T347" i="20"/>
  <c r="T778" i="20"/>
  <c r="T538" i="20"/>
  <c r="T923" i="20"/>
  <c r="T36" i="20"/>
  <c r="T777" i="20"/>
  <c r="T346" i="20"/>
  <c r="T924" i="20"/>
  <c r="T283" i="20"/>
  <c r="T776" i="20"/>
  <c r="T345" i="20"/>
  <c r="T926" i="20"/>
  <c r="T419" i="20"/>
  <c r="T775" i="20"/>
  <c r="T499" i="20"/>
  <c r="T927" i="20"/>
  <c r="T420" i="20"/>
  <c r="T774" i="20"/>
  <c r="T458" i="20"/>
  <c r="T930" i="20"/>
  <c r="T478" i="20"/>
  <c r="T773" i="20"/>
  <c r="T284" i="20"/>
  <c r="T931" i="20"/>
  <c r="T342" i="20"/>
  <c r="T772" i="20"/>
  <c r="T421" i="20"/>
  <c r="T932" i="20"/>
  <c r="T32" i="20"/>
  <c r="T771" i="20"/>
  <c r="T537" i="20"/>
  <c r="T933" i="20"/>
  <c r="T422" i="20"/>
  <c r="T770" i="20"/>
  <c r="T340" i="20"/>
  <c r="T934" i="20"/>
  <c r="T285" i="20"/>
  <c r="T769" i="20"/>
  <c r="T339" i="20"/>
  <c r="T935" i="20"/>
  <c r="T30" i="20"/>
  <c r="T768" i="20"/>
  <c r="T29" i="20"/>
  <c r="T936" i="20"/>
  <c r="T338" i="20"/>
  <c r="T767" i="20"/>
  <c r="T286" i="20"/>
  <c r="T960" i="20"/>
  <c r="T337" i="20"/>
  <c r="T766" i="20"/>
  <c r="T488" i="20"/>
  <c r="T961" i="20"/>
  <c r="T423" i="20"/>
  <c r="T765" i="20"/>
  <c r="T27" i="20"/>
  <c r="T972" i="20"/>
  <c r="T287" i="20"/>
  <c r="T764" i="20"/>
  <c r="T335" i="20"/>
  <c r="T989" i="20"/>
  <c r="T459" i="20"/>
  <c r="T763" i="20"/>
  <c r="T288" i="20"/>
  <c r="T990" i="20"/>
  <c r="T517" i="20"/>
  <c r="T762" i="20"/>
  <c r="T232" i="20"/>
  <c r="T983" i="20"/>
  <c r="T424" i="20"/>
  <c r="T761" i="20"/>
  <c r="T289" i="20"/>
  <c r="T986" i="20"/>
  <c r="T536" i="20"/>
  <c r="T760" i="20"/>
  <c r="T231" i="20"/>
  <c r="T992" i="20"/>
  <c r="T493" i="20"/>
  <c r="T759" i="20"/>
  <c r="T290" i="20"/>
  <c r="T987" i="20"/>
  <c r="T425" i="20"/>
  <c r="T758" i="20"/>
  <c r="T230" i="20"/>
  <c r="T982" i="20"/>
  <c r="T460" i="20"/>
  <c r="T757" i="20"/>
  <c r="T291" i="20"/>
  <c r="T988" i="20"/>
  <c r="T426" i="20"/>
  <c r="T756" i="20"/>
  <c r="T229" i="20"/>
  <c r="T41" i="20"/>
  <c r="T479" i="20"/>
  <c r="T755" i="20"/>
  <c r="T292" i="20"/>
  <c r="T42" i="20"/>
  <c r="T535" i="20"/>
  <c r="T754" i="20"/>
  <c r="T228" i="20"/>
  <c r="T43" i="20"/>
  <c r="T507" i="20"/>
  <c r="T753" i="20"/>
  <c r="T293" i="20"/>
  <c r="T44" i="20"/>
  <c r="T427" i="20"/>
  <c r="T752" i="20"/>
  <c r="T227" i="20"/>
  <c r="T45" i="20"/>
  <c r="T20" i="20"/>
  <c r="T751" i="20"/>
  <c r="T294" i="20"/>
  <c r="T46" i="20"/>
  <c r="T461" i="20"/>
  <c r="T750" i="20"/>
  <c r="T226" i="20"/>
  <c r="T47" i="20"/>
  <c r="T516" i="20"/>
  <c r="T749" i="20"/>
  <c r="T295" i="20"/>
  <c r="T48" i="20"/>
  <c r="T19" i="20"/>
  <c r="T748" i="20"/>
  <c r="T225" i="20"/>
  <c r="T49" i="20"/>
  <c r="T534" i="20"/>
  <c r="T747" i="20"/>
  <c r="T296" i="20"/>
  <c r="T50" i="20"/>
  <c r="T18" i="20"/>
  <c r="T746" i="20"/>
  <c r="T224" i="20"/>
  <c r="T51" i="20"/>
  <c r="T428" i="20"/>
  <c r="T745" i="20"/>
  <c r="T297" i="20"/>
  <c r="T52" i="20"/>
  <c r="T500" i="20"/>
  <c r="T744" i="20"/>
  <c r="T223" i="20"/>
  <c r="T53" i="20"/>
  <c r="T462" i="20"/>
  <c r="T743" i="20"/>
  <c r="T298" i="20"/>
  <c r="T54" i="20"/>
  <c r="T429" i="20"/>
  <c r="T742" i="20"/>
  <c r="T222" i="20"/>
  <c r="T55" i="20"/>
  <c r="T16" i="20"/>
  <c r="T741" i="20"/>
  <c r="T299" i="20"/>
  <c r="T56" i="20"/>
  <c r="T480" i="20"/>
  <c r="T740" i="20"/>
  <c r="T221" i="20"/>
  <c r="T57" i="20"/>
  <c r="T533" i="20"/>
  <c r="T739" i="20"/>
  <c r="T300" i="20"/>
  <c r="T58" i="20"/>
  <c r="T15" i="20"/>
  <c r="T738" i="20"/>
  <c r="T220" i="20"/>
  <c r="T59" i="20"/>
  <c r="T430" i="20"/>
  <c r="T737" i="20"/>
  <c r="T301" i="20"/>
  <c r="T60" i="20"/>
  <c r="T14" i="20"/>
  <c r="T736" i="20"/>
  <c r="T219" i="20"/>
  <c r="T61" i="20"/>
  <c r="T431" i="20"/>
  <c r="T735" i="20"/>
  <c r="T302" i="20"/>
  <c r="T62" i="20"/>
  <c r="T489" i="20"/>
  <c r="T734" i="20"/>
  <c r="T218" i="20"/>
  <c r="T63" i="20"/>
  <c r="T432" i="20"/>
  <c r="T733" i="20"/>
  <c r="T303" i="20"/>
  <c r="T64" i="20"/>
  <c r="T12" i="20"/>
  <c r="T732" i="20"/>
  <c r="T217" i="20"/>
  <c r="T65" i="20"/>
  <c r="T463" i="20"/>
  <c r="T731" i="20"/>
  <c r="T304" i="20"/>
  <c r="T66" i="20"/>
  <c r="T515" i="20"/>
  <c r="T730" i="20"/>
  <c r="T216" i="20"/>
  <c r="T67" i="20"/>
  <c r="T532" i="20"/>
  <c r="T729" i="20"/>
  <c r="T305" i="20"/>
  <c r="T68" i="20"/>
  <c r="T433" i="20"/>
  <c r="T728" i="20"/>
  <c r="T215" i="20"/>
  <c r="T69" i="20"/>
  <c r="T10" i="20"/>
  <c r="T727" i="20"/>
  <c r="T306" i="20"/>
  <c r="T70" i="20"/>
  <c r="T502" i="20"/>
  <c r="T726" i="20"/>
  <c r="T214" i="20"/>
  <c r="T71" i="20"/>
  <c r="T464" i="20"/>
  <c r="T725" i="20"/>
  <c r="T307" i="20"/>
  <c r="T72" i="20"/>
  <c r="T434" i="20"/>
  <c r="T724" i="20"/>
  <c r="T213" i="20"/>
  <c r="T73" i="20"/>
  <c r="T481" i="20"/>
  <c r="T723" i="20"/>
  <c r="T308" i="20"/>
  <c r="T74" i="20"/>
  <c r="T531" i="20"/>
  <c r="T722" i="20"/>
  <c r="T212" i="20"/>
  <c r="T75" i="20"/>
  <c r="T7" i="20"/>
  <c r="T721" i="20"/>
  <c r="T309" i="20"/>
  <c r="T76" i="20"/>
  <c r="T506" i="20"/>
  <c r="T720" i="20"/>
  <c r="T211" i="20"/>
  <c r="T77" i="20"/>
  <c r="T465" i="20"/>
  <c r="T719" i="20"/>
  <c r="T310" i="20"/>
  <c r="T78" i="20"/>
  <c r="T6" i="20"/>
  <c r="T718" i="20"/>
  <c r="T210" i="20"/>
  <c r="T79" i="20"/>
  <c r="T514" i="20"/>
  <c r="T717" i="20"/>
  <c r="T311" i="20"/>
  <c r="T80" i="20"/>
  <c r="T530" i="20"/>
  <c r="T716" i="20"/>
  <c r="T209" i="20"/>
  <c r="T81" i="20"/>
  <c r="T435" i="20"/>
  <c r="T715" i="20"/>
  <c r="T312" i="20"/>
  <c r="T82" i="20"/>
  <c r="T4" i="20"/>
  <c r="T714" i="20"/>
  <c r="T208" i="20"/>
  <c r="T83" i="20"/>
  <c r="T436" i="20"/>
  <c r="T713" i="20"/>
  <c r="T313" i="20"/>
  <c r="T84" i="20"/>
  <c r="T3" i="20"/>
  <c r="T712" i="20"/>
  <c r="T207" i="20"/>
  <c r="T85" i="20"/>
  <c r="T498" i="20"/>
  <c r="T711" i="20"/>
  <c r="T314" i="20"/>
  <c r="T86" i="20"/>
  <c r="T466" i="20"/>
  <c r="T710" i="20"/>
  <c r="T206" i="20"/>
  <c r="T87" i="20"/>
  <c r="T482" i="20"/>
  <c r="T709" i="20"/>
  <c r="T315" i="20"/>
  <c r="T88" i="20"/>
  <c r="T437" i="20"/>
  <c r="T708" i="20"/>
  <c r="T205" i="20"/>
  <c r="T89" i="20"/>
  <c r="T529" i="20"/>
  <c r="T707" i="20"/>
  <c r="T316" i="20"/>
  <c r="T90" i="20"/>
  <c r="T490" i="20"/>
  <c r="T706" i="20"/>
  <c r="T204" i="20"/>
  <c r="T91" i="20"/>
  <c r="U994" i="20"/>
  <c r="R994" i="20"/>
  <c r="U3" i="20"/>
  <c r="U993" i="20"/>
  <c r="R993" i="20"/>
  <c r="U992" i="20"/>
  <c r="R992" i="20"/>
  <c r="U991" i="20"/>
  <c r="R990" i="20"/>
  <c r="U989" i="20"/>
  <c r="R989" i="20"/>
  <c r="U988" i="20"/>
  <c r="R987" i="20"/>
  <c r="U986" i="20"/>
  <c r="R983" i="20"/>
  <c r="U982" i="20"/>
  <c r="R979" i="20"/>
  <c r="U976" i="20"/>
  <c r="U975" i="20"/>
  <c r="U974" i="20"/>
  <c r="U967" i="20"/>
  <c r="U965" i="20"/>
  <c r="R964" i="20"/>
  <c r="U961" i="20"/>
  <c r="U960" i="20"/>
  <c r="U959" i="20"/>
  <c r="R959" i="20"/>
  <c r="U958" i="20"/>
  <c r="R958" i="20"/>
  <c r="U957" i="20"/>
  <c r="R957" i="20"/>
  <c r="U956" i="20"/>
  <c r="R956" i="20"/>
  <c r="U955" i="20"/>
  <c r="R955" i="20"/>
  <c r="U954" i="20"/>
  <c r="R954" i="20"/>
  <c r="U953" i="20"/>
  <c r="R953" i="20"/>
  <c r="U952" i="20"/>
  <c r="R952" i="20"/>
  <c r="U951" i="20"/>
  <c r="R951" i="20"/>
  <c r="U950" i="20"/>
  <c r="R950" i="20"/>
  <c r="U949" i="20"/>
  <c r="R949" i="20"/>
  <c r="U948" i="20"/>
  <c r="R948" i="20"/>
  <c r="U947" i="20"/>
  <c r="R947" i="20"/>
  <c r="U946" i="20"/>
  <c r="R946" i="20"/>
  <c r="U945" i="20"/>
  <c r="R945" i="20"/>
  <c r="U944" i="20"/>
  <c r="R944" i="20"/>
  <c r="U943" i="20"/>
  <c r="R943" i="20"/>
  <c r="U942" i="20"/>
  <c r="R942" i="20"/>
  <c r="U941" i="20"/>
  <c r="R941" i="20"/>
  <c r="U940" i="20"/>
  <c r="R940" i="20"/>
  <c r="U939" i="20"/>
  <c r="R939" i="20"/>
  <c r="U938" i="20"/>
  <c r="R938" i="20"/>
  <c r="U937" i="20"/>
  <c r="U930" i="20"/>
  <c r="U927" i="20"/>
  <c r="R926" i="20"/>
  <c r="U924" i="20"/>
  <c r="R924" i="20"/>
  <c r="U923" i="20"/>
  <c r="R923" i="20"/>
  <c r="U922" i="20"/>
  <c r="R922" i="20"/>
  <c r="U921" i="20"/>
  <c r="U919" i="20"/>
  <c r="U918" i="20"/>
  <c r="R918" i="20"/>
  <c r="U916" i="20"/>
  <c r="R916" i="20"/>
  <c r="U914" i="20"/>
  <c r="U911" i="20"/>
  <c r="R910" i="20"/>
  <c r="U908" i="20"/>
  <c r="U907" i="20"/>
  <c r="R907" i="20"/>
  <c r="U906" i="20"/>
  <c r="R906" i="20"/>
  <c r="U905" i="20"/>
  <c r="R904" i="20"/>
  <c r="U903" i="20"/>
  <c r="R903" i="20"/>
  <c r="U902" i="20"/>
  <c r="R902" i="20"/>
  <c r="U901" i="20"/>
  <c r="R898" i="20"/>
  <c r="U896" i="20"/>
  <c r="R896" i="20"/>
  <c r="U895" i="20"/>
  <c r="R894" i="20"/>
  <c r="R889" i="20"/>
  <c r="U887" i="20"/>
  <c r="R885" i="20"/>
  <c r="R884" i="20"/>
  <c r="U883" i="20"/>
  <c r="R882" i="20"/>
  <c r="U880" i="20"/>
  <c r="R879" i="20"/>
  <c r="R877" i="20"/>
  <c r="U876" i="20"/>
  <c r="R876" i="20"/>
  <c r="U874" i="20"/>
  <c r="R871" i="20"/>
  <c r="R868" i="20"/>
  <c r="R867" i="20"/>
  <c r="U866" i="20"/>
  <c r="U862" i="20"/>
  <c r="R862" i="20"/>
  <c r="U861" i="20"/>
  <c r="U860" i="20"/>
  <c r="R860" i="20"/>
  <c r="R858" i="20"/>
  <c r="U856" i="20"/>
  <c r="U853" i="20"/>
  <c r="R853" i="20"/>
  <c r="U852" i="20"/>
  <c r="R852" i="20"/>
  <c r="U851" i="20"/>
  <c r="U849" i="20"/>
  <c r="U847" i="20"/>
  <c r="R847" i="20"/>
  <c r="U846" i="20"/>
  <c r="U844" i="20"/>
  <c r="U843" i="20"/>
  <c r="R841" i="20"/>
  <c r="U840" i="20"/>
  <c r="R840" i="20"/>
  <c r="U839" i="20"/>
  <c r="R839" i="20"/>
  <c r="U838" i="20"/>
  <c r="R838" i="20"/>
  <c r="U837" i="20"/>
  <c r="R837" i="20"/>
  <c r="U836" i="20"/>
  <c r="R836" i="20"/>
  <c r="U835" i="20"/>
  <c r="R835" i="20"/>
  <c r="U834" i="20"/>
  <c r="U833" i="20"/>
  <c r="U832" i="20"/>
  <c r="R832" i="20"/>
  <c r="U831" i="20"/>
  <c r="U830" i="20"/>
  <c r="U829" i="20"/>
  <c r="R829" i="20"/>
  <c r="U828" i="20"/>
  <c r="U827" i="20"/>
  <c r="U826" i="20"/>
  <c r="U823" i="20"/>
  <c r="R823" i="20"/>
  <c r="R822" i="20"/>
  <c r="R650" i="20"/>
  <c r="U644" i="20"/>
  <c r="R642" i="20"/>
  <c r="U636" i="20"/>
  <c r="R635" i="20"/>
  <c r="R633" i="20"/>
  <c r="R632" i="20"/>
  <c r="U630" i="20"/>
  <c r="R629" i="20"/>
  <c r="U625" i="20"/>
  <c r="U621" i="20"/>
  <c r="R620" i="20"/>
  <c r="U617" i="20"/>
  <c r="U616" i="20"/>
  <c r="R615" i="20"/>
  <c r="U614" i="20"/>
  <c r="R613" i="20"/>
  <c r="U612" i="20"/>
  <c r="R612" i="20"/>
  <c r="U611" i="20"/>
  <c r="R611" i="20"/>
  <c r="U610" i="20"/>
  <c r="R610" i="20"/>
  <c r="U609" i="20"/>
  <c r="R608" i="20"/>
  <c r="U607" i="20"/>
  <c r="R607" i="20"/>
  <c r="U606" i="20"/>
  <c r="R606" i="20"/>
  <c r="U605" i="20"/>
  <c r="R605" i="20"/>
  <c r="U604" i="20"/>
  <c r="R604" i="20"/>
  <c r="U603" i="20"/>
  <c r="R603" i="20"/>
  <c r="U602" i="20"/>
  <c r="R602" i="20"/>
  <c r="U601" i="20"/>
  <c r="R601" i="20"/>
  <c r="U600" i="20"/>
  <c r="R600" i="20"/>
  <c r="U599" i="20"/>
  <c r="R599" i="20"/>
  <c r="U598" i="20"/>
  <c r="R598" i="20"/>
  <c r="U597" i="20"/>
  <c r="R597" i="20"/>
  <c r="U596" i="20"/>
  <c r="R596" i="20"/>
  <c r="U595" i="20"/>
  <c r="R595" i="20"/>
  <c r="U594" i="20"/>
  <c r="R594" i="20"/>
  <c r="U593" i="20"/>
  <c r="R593" i="20"/>
  <c r="U592" i="20"/>
  <c r="R592" i="20"/>
  <c r="U591" i="20"/>
  <c r="R591" i="20"/>
  <c r="U590" i="20"/>
  <c r="R590" i="20"/>
  <c r="U589" i="20"/>
  <c r="R589" i="20"/>
  <c r="U588" i="20"/>
  <c r="R588" i="20"/>
  <c r="U587" i="20"/>
  <c r="R587" i="20"/>
  <c r="U586" i="20"/>
  <c r="R586" i="20"/>
  <c r="U585" i="20"/>
  <c r="R585" i="20"/>
  <c r="U584" i="20"/>
  <c r="R584" i="20"/>
  <c r="U583" i="20"/>
  <c r="R583" i="20"/>
  <c r="U582" i="20"/>
  <c r="R582" i="20"/>
  <c r="U581" i="20"/>
  <c r="R581" i="20"/>
  <c r="U580" i="20"/>
  <c r="R580" i="20"/>
  <c r="R577" i="20"/>
  <c r="R576" i="20"/>
  <c r="R575" i="20"/>
  <c r="U574" i="20"/>
  <c r="U573" i="20"/>
  <c r="R573" i="20"/>
  <c r="R571" i="20"/>
  <c r="U570" i="20"/>
  <c r="R570" i="20"/>
  <c r="U568" i="20"/>
  <c r="R565" i="20"/>
  <c r="U563" i="20"/>
  <c r="R563" i="20"/>
  <c r="U562" i="20"/>
  <c r="R562" i="20"/>
  <c r="U561" i="20"/>
  <c r="U559" i="20"/>
  <c r="R559" i="20"/>
  <c r="R558" i="20"/>
  <c r="U381" i="20"/>
  <c r="U380" i="20"/>
  <c r="U379" i="20"/>
  <c r="R377" i="20"/>
  <c r="U375" i="20"/>
  <c r="R375" i="20"/>
  <c r="U370" i="20"/>
  <c r="U368" i="20"/>
  <c r="R367" i="20"/>
  <c r="U365" i="20"/>
  <c r="R365" i="20"/>
  <c r="U363" i="20"/>
  <c r="R362" i="20"/>
  <c r="R360" i="20"/>
  <c r="U358" i="20"/>
  <c r="R357" i="20"/>
  <c r="U356" i="20"/>
  <c r="R355" i="20"/>
  <c r="U354" i="20"/>
  <c r="U352" i="20"/>
  <c r="R350" i="20"/>
  <c r="U348" i="20"/>
  <c r="R348" i="20"/>
  <c r="U347" i="20"/>
  <c r="R346" i="20"/>
  <c r="U345" i="20"/>
  <c r="U342" i="20"/>
  <c r="R340" i="20"/>
  <c r="U339" i="20"/>
  <c r="R338" i="20"/>
  <c r="U337" i="20"/>
  <c r="U335" i="20"/>
  <c r="U334" i="20"/>
  <c r="R334" i="20"/>
  <c r="U333" i="20"/>
  <c r="R333" i="20"/>
  <c r="U332" i="20"/>
  <c r="R332" i="20"/>
  <c r="R246" i="20"/>
  <c r="U245" i="20"/>
  <c r="R245" i="20"/>
  <c r="U244" i="20"/>
  <c r="R244" i="20"/>
  <c r="U243" i="20"/>
  <c r="R243" i="20"/>
  <c r="U242" i="20"/>
  <c r="R242" i="20"/>
  <c r="U241" i="20"/>
  <c r="R241" i="20"/>
  <c r="U240" i="20"/>
  <c r="R240" i="20"/>
  <c r="U239" i="20"/>
  <c r="R239" i="20"/>
  <c r="U238" i="20"/>
  <c r="R238" i="20"/>
  <c r="U237" i="20"/>
  <c r="R237" i="20"/>
  <c r="U236" i="20"/>
  <c r="R236" i="20"/>
  <c r="U235" i="20"/>
  <c r="R235" i="20"/>
  <c r="U234" i="20"/>
  <c r="R234" i="20"/>
  <c r="U233" i="20"/>
  <c r="R233" i="20"/>
  <c r="R963" i="20"/>
  <c r="U963" i="20"/>
  <c r="U964" i="20"/>
  <c r="R965" i="20"/>
  <c r="R966" i="20"/>
  <c r="U966" i="20"/>
  <c r="R967" i="20"/>
  <c r="R968" i="20"/>
  <c r="U968" i="20"/>
  <c r="R969" i="20"/>
  <c r="U969" i="20"/>
  <c r="R970" i="20"/>
  <c r="U970" i="20"/>
  <c r="R971" i="20"/>
  <c r="U971" i="20"/>
  <c r="R972" i="20"/>
  <c r="U972" i="20"/>
  <c r="R973" i="20"/>
  <c r="U973" i="20"/>
  <c r="R974" i="20"/>
  <c r="R975" i="20"/>
  <c r="R976" i="20"/>
  <c r="U779" i="20"/>
  <c r="R779" i="20"/>
  <c r="U778" i="20"/>
  <c r="R778" i="20"/>
  <c r="U777" i="20"/>
  <c r="R777" i="20"/>
  <c r="U776" i="20"/>
  <c r="R776" i="20"/>
  <c r="U775" i="20"/>
  <c r="R775" i="20"/>
  <c r="U774" i="20"/>
  <c r="R774" i="20"/>
  <c r="U773" i="20"/>
  <c r="R773" i="20"/>
  <c r="U772" i="20"/>
  <c r="R772" i="20"/>
  <c r="U771" i="20"/>
  <c r="R771" i="20"/>
  <c r="U770" i="20"/>
  <c r="R770" i="20"/>
  <c r="U769" i="20"/>
  <c r="R769" i="20"/>
  <c r="U768" i="20"/>
  <c r="R768" i="20"/>
  <c r="U767" i="20"/>
  <c r="R767" i="20"/>
  <c r="U766" i="20"/>
  <c r="R766" i="20"/>
  <c r="U765" i="20"/>
  <c r="R765" i="20"/>
  <c r="U764" i="20"/>
  <c r="R764" i="20"/>
  <c r="U763" i="20"/>
  <c r="R763" i="20"/>
  <c r="U762" i="20"/>
  <c r="R762" i="20"/>
  <c r="U761" i="20"/>
  <c r="R761" i="20"/>
  <c r="U760" i="20"/>
  <c r="R760" i="20"/>
  <c r="U759" i="20"/>
  <c r="R759" i="20"/>
  <c r="U758" i="20"/>
  <c r="R758" i="20"/>
  <c r="U757" i="20"/>
  <c r="R757" i="20"/>
  <c r="U756" i="20"/>
  <c r="R756" i="20"/>
  <c r="U755" i="20"/>
  <c r="R755" i="20"/>
  <c r="U754" i="20"/>
  <c r="R754" i="20"/>
  <c r="U753" i="20"/>
  <c r="R753" i="20"/>
  <c r="U752" i="20"/>
  <c r="R752" i="20"/>
  <c r="U751" i="20"/>
  <c r="R751" i="20"/>
  <c r="U750" i="20"/>
  <c r="R750" i="20"/>
  <c r="U749" i="20"/>
  <c r="R749" i="20"/>
  <c r="U748" i="20"/>
  <c r="R748" i="20"/>
  <c r="U747" i="20"/>
  <c r="R747" i="20"/>
  <c r="U746" i="20"/>
  <c r="R746" i="20"/>
  <c r="U745" i="20"/>
  <c r="R745" i="20"/>
  <c r="U744" i="20"/>
  <c r="R744" i="20"/>
  <c r="U743" i="20"/>
  <c r="R743" i="20"/>
  <c r="U742" i="20"/>
  <c r="R742" i="20"/>
  <c r="U741" i="20"/>
  <c r="R741" i="20"/>
  <c r="U740" i="20"/>
  <c r="R740" i="20"/>
  <c r="U739" i="20"/>
  <c r="R739" i="20"/>
  <c r="U738" i="20"/>
  <c r="R738" i="20"/>
  <c r="U737" i="20"/>
  <c r="R737" i="20"/>
  <c r="U736" i="20"/>
  <c r="R736" i="20"/>
  <c r="U735" i="20"/>
  <c r="R735" i="20"/>
  <c r="U734" i="20"/>
  <c r="R734" i="20"/>
  <c r="U733" i="20"/>
  <c r="R733" i="20"/>
  <c r="U732" i="20"/>
  <c r="R732" i="20"/>
  <c r="U731" i="20"/>
  <c r="R731" i="20"/>
  <c r="U730" i="20"/>
  <c r="R730" i="20"/>
  <c r="U729" i="20"/>
  <c r="R729" i="20"/>
  <c r="U728" i="20"/>
  <c r="R728" i="20"/>
  <c r="U727" i="20"/>
  <c r="R727" i="20"/>
  <c r="U726" i="20"/>
  <c r="R726" i="20"/>
  <c r="U725" i="20"/>
  <c r="R725" i="20"/>
  <c r="U724" i="20"/>
  <c r="R724" i="20"/>
  <c r="U723" i="20"/>
  <c r="R723" i="20"/>
  <c r="U722" i="20"/>
  <c r="R722" i="20"/>
  <c r="U721" i="20"/>
  <c r="R721" i="20"/>
  <c r="U720" i="20"/>
  <c r="R720" i="20"/>
  <c r="U719" i="20"/>
  <c r="R719" i="20"/>
  <c r="U718" i="20"/>
  <c r="R718" i="20"/>
  <c r="U717" i="20"/>
  <c r="R717" i="20"/>
  <c r="U716" i="20"/>
  <c r="R716" i="20"/>
  <c r="U715" i="20"/>
  <c r="R715" i="20"/>
  <c r="U714" i="20"/>
  <c r="R714" i="20"/>
  <c r="U713" i="20"/>
  <c r="R713" i="20"/>
  <c r="U712" i="20"/>
  <c r="R712" i="20"/>
  <c r="U711" i="20"/>
  <c r="R711" i="20"/>
  <c r="U710" i="20"/>
  <c r="R710" i="20"/>
  <c r="U709" i="20"/>
  <c r="R709" i="20"/>
  <c r="U708" i="20"/>
  <c r="R708" i="20"/>
  <c r="U707" i="20"/>
  <c r="R707" i="20"/>
  <c r="U706" i="20"/>
  <c r="R706" i="20"/>
  <c r="U705" i="20"/>
  <c r="R705" i="20"/>
  <c r="U704" i="20"/>
  <c r="R704" i="20"/>
  <c r="U703" i="20"/>
  <c r="R703" i="20"/>
  <c r="U702" i="20"/>
  <c r="R702" i="20"/>
  <c r="U701" i="20"/>
  <c r="R701" i="20"/>
  <c r="U700" i="20"/>
  <c r="R700" i="20"/>
  <c r="U699" i="20"/>
  <c r="R699" i="20"/>
  <c r="U698" i="20"/>
  <c r="R698" i="20"/>
  <c r="U697" i="20"/>
  <c r="R697" i="20"/>
  <c r="U696" i="20"/>
  <c r="R696" i="20"/>
  <c r="U695" i="20"/>
  <c r="R695" i="20"/>
  <c r="U694" i="20"/>
  <c r="R694" i="20"/>
  <c r="U693" i="20"/>
  <c r="R693" i="20"/>
  <c r="U692" i="20"/>
  <c r="R692" i="20"/>
  <c r="U691" i="20"/>
  <c r="R691" i="20"/>
  <c r="U690" i="20"/>
  <c r="R690" i="20"/>
  <c r="U689" i="20"/>
  <c r="U688" i="20"/>
  <c r="R688" i="20"/>
  <c r="U687" i="20"/>
  <c r="R686" i="20"/>
  <c r="U685" i="20"/>
  <c r="R685" i="20"/>
  <c r="U681" i="20"/>
  <c r="R678" i="20"/>
  <c r="U676" i="20"/>
  <c r="U674" i="20"/>
  <c r="R674" i="20"/>
  <c r="U673" i="20"/>
  <c r="R673" i="20"/>
  <c r="U669" i="20"/>
  <c r="R669" i="20"/>
  <c r="U668" i="20"/>
  <c r="R668" i="20"/>
  <c r="U666" i="20"/>
  <c r="U662" i="20"/>
  <c r="U660" i="20"/>
  <c r="R655" i="20"/>
  <c r="U654" i="20"/>
  <c r="R654" i="20"/>
  <c r="R652" i="20"/>
  <c r="U651" i="20"/>
  <c r="R651" i="20"/>
  <c r="U650" i="20"/>
  <c r="R648" i="20"/>
  <c r="U647" i="20"/>
  <c r="R647" i="20"/>
  <c r="U646" i="20"/>
  <c r="R645" i="20"/>
  <c r="R644" i="20"/>
  <c r="U643" i="20"/>
  <c r="R643" i="20"/>
  <c r="U641" i="20"/>
  <c r="R640" i="20"/>
  <c r="U639" i="20"/>
  <c r="R637" i="20"/>
  <c r="R636" i="20"/>
  <c r="U635" i="20"/>
  <c r="U634" i="20"/>
  <c r="R634" i="20"/>
  <c r="U633" i="20"/>
  <c r="U632" i="20"/>
  <c r="U631" i="20"/>
  <c r="R631" i="20"/>
  <c r="R630" i="20"/>
  <c r="U629" i="20"/>
  <c r="R625" i="20"/>
  <c r="R624" i="20"/>
  <c r="U620" i="20"/>
  <c r="U619" i="20"/>
  <c r="R617" i="20"/>
  <c r="R616" i="20"/>
  <c r="U615" i="20"/>
  <c r="R614" i="20"/>
  <c r="U613" i="20"/>
  <c r="R609" i="20"/>
  <c r="U608" i="20"/>
  <c r="U579" i="20"/>
  <c r="R579" i="20"/>
  <c r="U578" i="20"/>
  <c r="R578" i="20"/>
  <c r="U577" i="20"/>
  <c r="U576" i="20"/>
  <c r="U575" i="20"/>
  <c r="R574" i="20"/>
  <c r="U572" i="20"/>
  <c r="R572" i="20"/>
  <c r="U571" i="20"/>
  <c r="U569" i="20"/>
  <c r="R569" i="20"/>
  <c r="R568" i="20"/>
  <c r="U567" i="20"/>
  <c r="R567" i="20"/>
  <c r="U566" i="20"/>
  <c r="R566" i="20"/>
  <c r="U565" i="20"/>
  <c r="U564" i="20"/>
  <c r="R564" i="20"/>
  <c r="R561" i="20"/>
  <c r="U560" i="20"/>
  <c r="R560" i="20"/>
  <c r="U558" i="20"/>
  <c r="U557" i="20"/>
  <c r="R557" i="20"/>
  <c r="U556" i="20"/>
  <c r="R556" i="20"/>
  <c r="R385" i="20"/>
  <c r="U384" i="20"/>
  <c r="R384" i="20"/>
  <c r="U383" i="20"/>
  <c r="R383" i="20"/>
  <c r="U382" i="20"/>
  <c r="R382" i="20"/>
  <c r="R381" i="20"/>
  <c r="R380" i="20"/>
  <c r="R379" i="20"/>
  <c r="U378" i="20"/>
  <c r="R378" i="20"/>
  <c r="U377" i="20"/>
  <c r="U376" i="20"/>
  <c r="R376" i="20"/>
  <c r="U374" i="20"/>
  <c r="R374" i="20"/>
  <c r="U373" i="20"/>
  <c r="R373" i="20"/>
  <c r="U372" i="20"/>
  <c r="R372" i="20"/>
  <c r="U371" i="20"/>
  <c r="R371" i="20"/>
  <c r="R370" i="20"/>
  <c r="U369" i="20"/>
  <c r="R369" i="20"/>
  <c r="R368" i="20"/>
  <c r="U367" i="20"/>
  <c r="U366" i="20"/>
  <c r="R366" i="20"/>
  <c r="U364" i="20"/>
  <c r="R364" i="20"/>
  <c r="R363" i="20"/>
  <c r="U362" i="20"/>
  <c r="U361" i="20"/>
  <c r="R361" i="20"/>
  <c r="U360" i="20"/>
  <c r="U359" i="20"/>
  <c r="R359" i="20"/>
  <c r="R358" i="20"/>
  <c r="U357" i="20"/>
  <c r="R356" i="20"/>
  <c r="U355" i="20"/>
  <c r="R354" i="20"/>
  <c r="U353" i="20"/>
  <c r="R353" i="20"/>
  <c r="R352" i="20"/>
  <c r="U351" i="20"/>
  <c r="R351" i="20"/>
  <c r="U350" i="20"/>
  <c r="U349" i="20"/>
  <c r="R349" i="20"/>
  <c r="R347" i="20"/>
  <c r="U346" i="20"/>
  <c r="R345" i="20"/>
  <c r="U344" i="20"/>
  <c r="R344" i="20"/>
  <c r="U343" i="20"/>
  <c r="R343" i="20"/>
  <c r="R342" i="20"/>
  <c r="U341" i="20"/>
  <c r="R341" i="20"/>
  <c r="U340" i="20"/>
  <c r="R339" i="20"/>
  <c r="U338" i="20"/>
  <c r="R337" i="20"/>
  <c r="U336" i="20"/>
  <c r="R336" i="20"/>
  <c r="R335" i="20"/>
  <c r="U232" i="20"/>
  <c r="R232" i="20"/>
  <c r="U231" i="20"/>
  <c r="R231" i="20"/>
  <c r="U230" i="20"/>
  <c r="R230" i="20"/>
  <c r="U229" i="20"/>
  <c r="R229" i="20"/>
  <c r="U228" i="20"/>
  <c r="R228" i="20"/>
  <c r="U227" i="20"/>
  <c r="R227" i="20"/>
  <c r="U226" i="20"/>
  <c r="R226" i="20"/>
  <c r="U225" i="20"/>
  <c r="R225" i="20"/>
  <c r="U224" i="20"/>
  <c r="R224" i="20"/>
  <c r="U223" i="20"/>
  <c r="R223" i="20"/>
  <c r="U222" i="20"/>
  <c r="R222" i="20"/>
  <c r="U221" i="20"/>
  <c r="R221" i="20"/>
  <c r="U220" i="20"/>
  <c r="R220" i="20"/>
  <c r="U219" i="20"/>
  <c r="R219" i="20"/>
  <c r="U218" i="20"/>
  <c r="R218" i="20"/>
  <c r="U217" i="20"/>
  <c r="R217" i="20"/>
  <c r="U216" i="20"/>
  <c r="R216" i="20"/>
  <c r="U215" i="20"/>
  <c r="R215" i="20"/>
  <c r="U214" i="20"/>
  <c r="R214" i="20"/>
  <c r="U213" i="20"/>
  <c r="R213" i="20"/>
  <c r="U212" i="20"/>
  <c r="R212" i="20"/>
  <c r="U211" i="20"/>
  <c r="R211" i="20"/>
  <c r="U210" i="20"/>
  <c r="R210" i="20"/>
  <c r="U209" i="20"/>
  <c r="R209" i="20"/>
  <c r="U208" i="20"/>
  <c r="R208" i="20"/>
  <c r="U207" i="20"/>
  <c r="R207" i="20"/>
  <c r="U206" i="20"/>
  <c r="R206" i="20"/>
  <c r="U205" i="20"/>
  <c r="R205" i="20"/>
  <c r="U204" i="20"/>
  <c r="R204" i="20"/>
  <c r="U203" i="20"/>
  <c r="R203" i="20"/>
  <c r="U202" i="20"/>
  <c r="R202" i="20"/>
  <c r="U201" i="20"/>
  <c r="R201" i="20"/>
  <c r="U200" i="20"/>
  <c r="R200" i="20"/>
  <c r="U199" i="20"/>
  <c r="R199" i="20"/>
  <c r="R198" i="20"/>
  <c r="U197" i="20"/>
  <c r="R197" i="20"/>
  <c r="U195" i="20"/>
  <c r="R195" i="20"/>
  <c r="U193" i="20"/>
  <c r="U190" i="20"/>
  <c r="U189" i="20"/>
  <c r="U187" i="20"/>
  <c r="R187" i="20"/>
  <c r="U186" i="20"/>
  <c r="R185" i="20"/>
  <c r="R182" i="20"/>
  <c r="U181" i="20"/>
  <c r="R179" i="20"/>
  <c r="U178" i="20"/>
  <c r="R178" i="20"/>
  <c r="R175" i="20"/>
  <c r="U173" i="20"/>
  <c r="R173" i="20"/>
  <c r="R172" i="20"/>
  <c r="U171" i="20"/>
  <c r="R171" i="20"/>
  <c r="U170" i="20"/>
  <c r="U168" i="20"/>
  <c r="R167" i="20"/>
  <c r="R165" i="20"/>
  <c r="U164" i="20"/>
  <c r="R164" i="20"/>
  <c r="U163" i="20"/>
  <c r="R162" i="20"/>
  <c r="R160" i="20"/>
  <c r="R159" i="20"/>
  <c r="U158" i="20"/>
  <c r="U156" i="20"/>
  <c r="R156" i="20"/>
  <c r="R154" i="20"/>
  <c r="U152" i="20"/>
  <c r="R152" i="20"/>
  <c r="R150" i="20"/>
  <c r="R148" i="20"/>
  <c r="U146" i="20"/>
  <c r="R145" i="20"/>
  <c r="U144" i="20"/>
  <c r="R142" i="20"/>
  <c r="R140" i="20"/>
  <c r="R139" i="20"/>
  <c r="U138" i="20"/>
  <c r="R138" i="20"/>
  <c r="U137" i="20"/>
  <c r="R137" i="20"/>
  <c r="U136" i="20"/>
  <c r="R136" i="20"/>
  <c r="U135" i="20"/>
  <c r="R135" i="20"/>
  <c r="U132" i="20"/>
  <c r="R131" i="20"/>
  <c r="U130" i="20"/>
  <c r="R129" i="20"/>
  <c r="R128" i="20"/>
  <c r="U127" i="20"/>
  <c r="R126" i="20"/>
  <c r="U124" i="20"/>
  <c r="R124" i="20"/>
  <c r="R119" i="20"/>
  <c r="R118" i="20"/>
  <c r="R116" i="20"/>
  <c r="R114" i="20"/>
  <c r="R111" i="20"/>
  <c r="U110" i="20"/>
  <c r="R110" i="20"/>
  <c r="U39" i="20"/>
  <c r="R37" i="20"/>
  <c r="R35" i="20"/>
  <c r="R34" i="20"/>
  <c r="U33" i="20"/>
  <c r="U31" i="20"/>
  <c r="U28" i="20"/>
  <c r="U26" i="20"/>
  <c r="R26" i="20"/>
  <c r="R25" i="20"/>
  <c r="U24" i="20"/>
  <c r="U23" i="20"/>
  <c r="R22" i="20"/>
  <c r="U21" i="20"/>
  <c r="R21" i="20"/>
  <c r="R20" i="20"/>
  <c r="U19" i="20"/>
  <c r="U18" i="20"/>
  <c r="U17" i="20"/>
  <c r="R17" i="20"/>
  <c r="R16" i="20"/>
  <c r="U15" i="20"/>
  <c r="R13" i="20"/>
  <c r="R12" i="20"/>
  <c r="U11" i="20"/>
  <c r="R11" i="20"/>
  <c r="U9" i="20"/>
  <c r="R9" i="20"/>
  <c r="R8" i="20"/>
  <c r="U7" i="20"/>
  <c r="R7" i="20"/>
  <c r="U6" i="20"/>
  <c r="U5" i="20"/>
  <c r="R5" i="20"/>
  <c r="R3" i="20"/>
  <c r="U2" i="20"/>
  <c r="R2" i="20"/>
  <c r="R977" i="20"/>
  <c r="U977" i="20"/>
  <c r="R978" i="20"/>
  <c r="U978" i="20"/>
  <c r="U979" i="20"/>
  <c r="R980" i="20"/>
  <c r="U980" i="20"/>
  <c r="R981" i="20"/>
  <c r="U981" i="20"/>
  <c r="R982" i="20"/>
  <c r="U555" i="20"/>
  <c r="R555" i="20"/>
  <c r="U554" i="20"/>
  <c r="R554" i="20"/>
  <c r="U553" i="20"/>
  <c r="R553" i="20"/>
  <c r="U552" i="20"/>
  <c r="R552" i="20"/>
  <c r="U551" i="20"/>
  <c r="R551" i="20"/>
  <c r="U550" i="20"/>
  <c r="R550" i="20"/>
  <c r="U549" i="20"/>
  <c r="R549" i="20"/>
  <c r="U548" i="20"/>
  <c r="R548" i="20"/>
  <c r="U547" i="20"/>
  <c r="R547" i="20"/>
  <c r="U546" i="20"/>
  <c r="R546" i="20"/>
  <c r="U545" i="20"/>
  <c r="R545" i="20"/>
  <c r="U544" i="20"/>
  <c r="R544" i="20"/>
  <c r="U543" i="20"/>
  <c r="R543" i="20"/>
  <c r="U542" i="20"/>
  <c r="R542" i="20"/>
  <c r="U541" i="20"/>
  <c r="R541" i="20"/>
  <c r="U540" i="20"/>
  <c r="R540" i="20"/>
  <c r="U539" i="20"/>
  <c r="R539" i="20"/>
  <c r="U538" i="20"/>
  <c r="R538" i="20"/>
  <c r="U537" i="20"/>
  <c r="R537" i="20"/>
  <c r="U536" i="20"/>
  <c r="R536" i="20"/>
  <c r="U535" i="20"/>
  <c r="R535" i="20"/>
  <c r="U534" i="20"/>
  <c r="R534" i="20"/>
  <c r="U533" i="20"/>
  <c r="R533" i="20"/>
  <c r="U532" i="20"/>
  <c r="R532" i="20"/>
  <c r="U531" i="20"/>
  <c r="R531" i="20"/>
  <c r="U530" i="20"/>
  <c r="R530" i="20"/>
  <c r="U529" i="20"/>
  <c r="R529" i="20"/>
  <c r="U528" i="20"/>
  <c r="R528" i="20"/>
  <c r="U527" i="20"/>
  <c r="R527" i="20"/>
  <c r="U526" i="20"/>
  <c r="R526" i="20"/>
  <c r="U525" i="20"/>
  <c r="R525" i="20"/>
  <c r="U524" i="20"/>
  <c r="R524" i="20"/>
  <c r="U523" i="20"/>
  <c r="R523" i="20"/>
  <c r="U522" i="20"/>
  <c r="R522" i="20"/>
  <c r="U521" i="20"/>
  <c r="R521" i="20"/>
  <c r="U520" i="20"/>
  <c r="R520" i="20"/>
  <c r="U519" i="20"/>
  <c r="R519" i="20"/>
  <c r="U518" i="20"/>
  <c r="R518" i="20"/>
  <c r="U517" i="20"/>
  <c r="R517" i="20"/>
  <c r="U516" i="20"/>
  <c r="R516" i="20"/>
  <c r="U515" i="20"/>
  <c r="R515" i="20"/>
  <c r="U514" i="20"/>
  <c r="R514" i="20"/>
  <c r="U513" i="20"/>
  <c r="R513" i="20"/>
  <c r="U512" i="20"/>
  <c r="R512" i="20"/>
  <c r="U511" i="20"/>
  <c r="R511" i="20"/>
  <c r="U510" i="20"/>
  <c r="R510" i="20"/>
  <c r="U509" i="20"/>
  <c r="R509" i="20"/>
  <c r="U508" i="20"/>
  <c r="R508" i="20"/>
  <c r="U507" i="20"/>
  <c r="R507" i="20"/>
  <c r="U506" i="20"/>
  <c r="R506" i="20"/>
  <c r="U505" i="20"/>
  <c r="R505" i="20"/>
  <c r="U504" i="20"/>
  <c r="R504" i="20"/>
  <c r="U503" i="20"/>
  <c r="R503" i="20"/>
  <c r="U502" i="20"/>
  <c r="R502" i="20"/>
  <c r="U501" i="20"/>
  <c r="R501" i="20"/>
  <c r="U500" i="20"/>
  <c r="R500" i="20"/>
  <c r="U499" i="20"/>
  <c r="R499" i="20"/>
  <c r="U498" i="20"/>
  <c r="R498" i="20"/>
  <c r="U497" i="20"/>
  <c r="R497" i="20"/>
  <c r="U496" i="20"/>
  <c r="R496" i="20"/>
  <c r="U495" i="20"/>
  <c r="R495" i="20"/>
  <c r="U494" i="20"/>
  <c r="R494" i="20"/>
  <c r="U493" i="20"/>
  <c r="R493" i="20"/>
  <c r="U492" i="20"/>
  <c r="R492" i="20"/>
  <c r="U491" i="20"/>
  <c r="R491" i="20"/>
  <c r="U490" i="20"/>
  <c r="R490" i="20"/>
  <c r="U489" i="20"/>
  <c r="R489" i="20"/>
  <c r="U488" i="20"/>
  <c r="R488" i="20"/>
  <c r="U487" i="20"/>
  <c r="R487" i="20"/>
  <c r="U486" i="20"/>
  <c r="R486" i="20"/>
  <c r="U485" i="20"/>
  <c r="R485" i="20"/>
  <c r="U484" i="20"/>
  <c r="R484" i="20"/>
  <c r="U483" i="20"/>
  <c r="R483" i="20"/>
  <c r="U482" i="20"/>
  <c r="R482" i="20"/>
  <c r="U481" i="20"/>
  <c r="R481" i="20"/>
  <c r="U480" i="20"/>
  <c r="R480" i="20"/>
  <c r="U479" i="20"/>
  <c r="R479" i="20"/>
  <c r="U478" i="20"/>
  <c r="R478" i="20"/>
  <c r="U477" i="20"/>
  <c r="R477" i="20"/>
  <c r="U476" i="20"/>
  <c r="R476" i="20"/>
  <c r="U475" i="20"/>
  <c r="R475" i="20"/>
  <c r="U474" i="20"/>
  <c r="R474" i="20"/>
  <c r="U473" i="20"/>
  <c r="R473" i="20"/>
  <c r="U472" i="20"/>
  <c r="R472" i="20"/>
  <c r="U471" i="20"/>
  <c r="R471" i="20"/>
  <c r="U470" i="20"/>
  <c r="R470" i="20"/>
  <c r="U469" i="20"/>
  <c r="R469" i="20"/>
  <c r="U468" i="20"/>
  <c r="R468" i="20"/>
  <c r="U467" i="20"/>
  <c r="R467" i="20"/>
  <c r="U466" i="20"/>
  <c r="R466" i="20"/>
  <c r="U465" i="20"/>
  <c r="R465" i="20"/>
  <c r="U464" i="20"/>
  <c r="R464" i="20"/>
  <c r="U463" i="20"/>
  <c r="R463" i="20"/>
  <c r="U462" i="20"/>
  <c r="R462" i="20"/>
  <c r="U461" i="20"/>
  <c r="R461" i="20"/>
  <c r="U460" i="20"/>
  <c r="R460" i="20"/>
  <c r="U459" i="20"/>
  <c r="R459" i="20"/>
  <c r="U458" i="20"/>
  <c r="R458" i="20"/>
  <c r="U457" i="20"/>
  <c r="R457" i="20"/>
  <c r="U456" i="20"/>
  <c r="R456" i="20"/>
  <c r="U455" i="20"/>
  <c r="R455" i="20"/>
  <c r="U454" i="20"/>
  <c r="R454" i="20"/>
  <c r="U453" i="20"/>
  <c r="R453" i="20"/>
  <c r="U452" i="20"/>
  <c r="R452" i="20"/>
  <c r="U451" i="20"/>
  <c r="R451" i="20"/>
  <c r="U450" i="20"/>
  <c r="R450" i="20"/>
  <c r="U449" i="20"/>
  <c r="R449" i="20"/>
  <c r="U448" i="20"/>
  <c r="R448" i="20"/>
  <c r="U447" i="20"/>
  <c r="R447" i="20"/>
  <c r="U446" i="20"/>
  <c r="R446" i="20"/>
  <c r="U445" i="20"/>
  <c r="R445" i="20"/>
  <c r="U444" i="20"/>
  <c r="R444" i="20"/>
  <c r="U443" i="20"/>
  <c r="R443" i="20"/>
  <c r="U442" i="20"/>
  <c r="R442" i="20"/>
  <c r="U441" i="20"/>
  <c r="R441" i="20"/>
  <c r="U440" i="20"/>
  <c r="R440" i="20"/>
  <c r="U439" i="20"/>
  <c r="R439" i="20"/>
  <c r="U438" i="20"/>
  <c r="R438" i="20"/>
  <c r="U437" i="20"/>
  <c r="R437" i="20"/>
  <c r="U436" i="20"/>
  <c r="R436" i="20"/>
  <c r="U435" i="20"/>
  <c r="R435" i="20"/>
  <c r="U434" i="20"/>
  <c r="R434" i="20"/>
  <c r="U433" i="20"/>
  <c r="R433" i="20"/>
  <c r="U432" i="20"/>
  <c r="R432" i="20"/>
  <c r="U431" i="20"/>
  <c r="R431" i="20"/>
  <c r="U430" i="20"/>
  <c r="R430" i="20"/>
  <c r="U429" i="20"/>
  <c r="R429" i="20"/>
  <c r="U428" i="20"/>
  <c r="R428" i="20"/>
  <c r="U427" i="20"/>
  <c r="R427" i="20"/>
  <c r="U426" i="20"/>
  <c r="R426" i="20"/>
  <c r="U425" i="20"/>
  <c r="R425" i="20"/>
  <c r="U424" i="20"/>
  <c r="R424" i="20"/>
  <c r="U423" i="20"/>
  <c r="R423" i="20"/>
  <c r="U422" i="20"/>
  <c r="R422" i="20"/>
  <c r="U421" i="20"/>
  <c r="R421" i="20"/>
  <c r="U420" i="20"/>
  <c r="R420" i="20"/>
  <c r="U419" i="20"/>
  <c r="R419" i="20"/>
  <c r="U418" i="20"/>
  <c r="R418" i="20"/>
  <c r="U417" i="20"/>
  <c r="R417" i="20"/>
  <c r="U416" i="20"/>
  <c r="R416" i="20"/>
  <c r="U415" i="20"/>
  <c r="R415" i="20"/>
  <c r="U414" i="20"/>
  <c r="R414" i="20"/>
  <c r="U413" i="20"/>
  <c r="R413" i="20"/>
  <c r="U412" i="20"/>
  <c r="R412" i="20"/>
  <c r="U411" i="20"/>
  <c r="R411" i="20"/>
  <c r="U410" i="20"/>
  <c r="R410" i="20"/>
  <c r="U409" i="20"/>
  <c r="R409" i="20"/>
  <c r="U408" i="20"/>
  <c r="R408" i="20"/>
  <c r="U407" i="20"/>
  <c r="R407" i="20"/>
  <c r="U406" i="20"/>
  <c r="R406" i="20"/>
  <c r="U405" i="20"/>
  <c r="R405" i="20"/>
  <c r="U404" i="20"/>
  <c r="R404" i="20"/>
  <c r="U403" i="20"/>
  <c r="R403" i="20"/>
  <c r="U402" i="20"/>
  <c r="R402" i="20"/>
  <c r="U401" i="20"/>
  <c r="R401" i="20"/>
  <c r="U400" i="20"/>
  <c r="R400" i="20"/>
  <c r="U399" i="20"/>
  <c r="R399" i="20"/>
  <c r="U398" i="20"/>
  <c r="R398" i="20"/>
  <c r="U397" i="20"/>
  <c r="R397" i="20"/>
  <c r="U396" i="20"/>
  <c r="R396" i="20"/>
  <c r="U395" i="20"/>
  <c r="R395" i="20"/>
  <c r="U394" i="20"/>
  <c r="R394" i="20"/>
  <c r="U393" i="20"/>
  <c r="R393" i="20"/>
  <c r="U392" i="20"/>
  <c r="R392" i="20"/>
  <c r="U391" i="20"/>
  <c r="R391" i="20"/>
  <c r="U390" i="20"/>
  <c r="R390" i="20"/>
  <c r="U389" i="20"/>
  <c r="R389" i="20"/>
  <c r="U388" i="20"/>
  <c r="R388" i="20"/>
  <c r="U387" i="20"/>
  <c r="R387" i="20"/>
  <c r="U386" i="20"/>
  <c r="R386" i="20"/>
  <c r="U385" i="20"/>
  <c r="U331" i="20"/>
  <c r="R331" i="20"/>
  <c r="U330" i="20"/>
  <c r="R330" i="20"/>
  <c r="U329" i="20"/>
  <c r="R329" i="20"/>
  <c r="U328" i="20"/>
  <c r="R328" i="20"/>
  <c r="U327" i="20"/>
  <c r="R327" i="20"/>
  <c r="U326" i="20"/>
  <c r="R326" i="20"/>
  <c r="U325" i="20"/>
  <c r="R325" i="20"/>
  <c r="U324" i="20"/>
  <c r="R324" i="20"/>
  <c r="U323" i="20"/>
  <c r="R323" i="20"/>
  <c r="U322" i="20"/>
  <c r="R322" i="20"/>
  <c r="U321" i="20"/>
  <c r="R321" i="20"/>
  <c r="U320" i="20"/>
  <c r="R320" i="20"/>
  <c r="U319" i="20"/>
  <c r="R319" i="20"/>
  <c r="U318" i="20"/>
  <c r="R318" i="20"/>
  <c r="U317" i="20"/>
  <c r="R317" i="20"/>
  <c r="U316" i="20"/>
  <c r="R316" i="20"/>
  <c r="U315" i="20"/>
  <c r="R315" i="20"/>
  <c r="U314" i="20"/>
  <c r="R314" i="20"/>
  <c r="U313" i="20"/>
  <c r="R313" i="20"/>
  <c r="U312" i="20"/>
  <c r="R312" i="20"/>
  <c r="U311" i="20"/>
  <c r="R311" i="20"/>
  <c r="U310" i="20"/>
  <c r="R310" i="20"/>
  <c r="U309" i="20"/>
  <c r="R309" i="20"/>
  <c r="U308" i="20"/>
  <c r="R308" i="20"/>
  <c r="U307" i="20"/>
  <c r="R307" i="20"/>
  <c r="U306" i="20"/>
  <c r="R306" i="20"/>
  <c r="U305" i="20"/>
  <c r="R305" i="20"/>
  <c r="U304" i="20"/>
  <c r="R304" i="20"/>
  <c r="U303" i="20"/>
  <c r="R303" i="20"/>
  <c r="U302" i="20"/>
  <c r="R302" i="20"/>
  <c r="U301" i="20"/>
  <c r="R301" i="20"/>
  <c r="U300" i="20"/>
  <c r="R300" i="20"/>
  <c r="U299" i="20"/>
  <c r="R299" i="20"/>
  <c r="U298" i="20"/>
  <c r="R298" i="20"/>
  <c r="U297" i="20"/>
  <c r="R297" i="20"/>
  <c r="U296" i="20"/>
  <c r="R296" i="20"/>
  <c r="U295" i="20"/>
  <c r="R295" i="20"/>
  <c r="U294" i="20"/>
  <c r="R294" i="20"/>
  <c r="U293" i="20"/>
  <c r="R293" i="20"/>
  <c r="U292" i="20"/>
  <c r="R292" i="20"/>
  <c r="U291" i="20"/>
  <c r="R291" i="20"/>
  <c r="U290" i="20"/>
  <c r="R290" i="20"/>
  <c r="U289" i="20"/>
  <c r="R289" i="20"/>
  <c r="U288" i="20"/>
  <c r="R288" i="20"/>
  <c r="U287" i="20"/>
  <c r="R287" i="20"/>
  <c r="U286" i="20"/>
  <c r="R286" i="20"/>
  <c r="U285" i="20"/>
  <c r="R285" i="20"/>
  <c r="U284" i="20"/>
  <c r="R284" i="20"/>
  <c r="U283" i="20"/>
  <c r="R283" i="20"/>
  <c r="U282" i="20"/>
  <c r="R282" i="20"/>
  <c r="U281" i="20"/>
  <c r="R281" i="20"/>
  <c r="U280" i="20"/>
  <c r="R280" i="20"/>
  <c r="U279" i="20"/>
  <c r="R279" i="20"/>
  <c r="U278" i="20"/>
  <c r="R278" i="20"/>
  <c r="U277" i="20"/>
  <c r="R277" i="20"/>
  <c r="U276" i="20"/>
  <c r="R276" i="20"/>
  <c r="U275" i="20"/>
  <c r="R275" i="20"/>
  <c r="U274" i="20"/>
  <c r="R274" i="20"/>
  <c r="U273" i="20"/>
  <c r="R273" i="20"/>
  <c r="U272" i="20"/>
  <c r="R272" i="20"/>
  <c r="U271" i="20"/>
  <c r="R271" i="20"/>
  <c r="U270" i="20"/>
  <c r="R270" i="20"/>
  <c r="U269" i="20"/>
  <c r="R269" i="20"/>
  <c r="U268" i="20"/>
  <c r="R268" i="20"/>
  <c r="U267" i="20"/>
  <c r="R267" i="20"/>
  <c r="U266" i="20"/>
  <c r="R266" i="20"/>
  <c r="U265" i="20"/>
  <c r="R265" i="20"/>
  <c r="U264" i="20"/>
  <c r="R264" i="20"/>
  <c r="U263" i="20"/>
  <c r="R263" i="20"/>
  <c r="U262" i="20"/>
  <c r="R262" i="20"/>
  <c r="U261" i="20"/>
  <c r="R261" i="20"/>
  <c r="U260" i="20"/>
  <c r="R260" i="20"/>
  <c r="U259" i="20"/>
  <c r="R259" i="20"/>
  <c r="U258" i="20"/>
  <c r="R258" i="20"/>
  <c r="U257" i="20"/>
  <c r="R257" i="20"/>
  <c r="U256" i="20"/>
  <c r="R256" i="20"/>
  <c r="U255" i="20"/>
  <c r="R255" i="20"/>
  <c r="U254" i="20"/>
  <c r="R254" i="20"/>
  <c r="U253" i="20"/>
  <c r="R253" i="20"/>
  <c r="U252" i="20"/>
  <c r="R252" i="20"/>
  <c r="U251" i="20"/>
  <c r="R251" i="20"/>
  <c r="U250" i="20"/>
  <c r="R250" i="20"/>
  <c r="U249" i="20"/>
  <c r="R249" i="20"/>
  <c r="U248" i="20"/>
  <c r="R248" i="20"/>
  <c r="U247" i="20"/>
  <c r="R247" i="20"/>
  <c r="U246" i="20"/>
  <c r="R194" i="20"/>
  <c r="U192" i="20"/>
  <c r="U188" i="20"/>
  <c r="R188" i="20"/>
  <c r="U184" i="20"/>
  <c r="R183" i="20"/>
  <c r="R181" i="20"/>
  <c r="U177" i="20"/>
  <c r="U176" i="20"/>
  <c r="U174" i="20"/>
  <c r="U172" i="20"/>
  <c r="R170" i="20"/>
  <c r="U169" i="20"/>
  <c r="R169" i="20"/>
  <c r="R163" i="20"/>
  <c r="R161" i="20"/>
  <c r="U159" i="20"/>
  <c r="U157" i="20"/>
  <c r="R157" i="20"/>
  <c r="R155" i="20"/>
  <c r="R153" i="20"/>
  <c r="U151" i="20"/>
  <c r="U150" i="20"/>
  <c r="U149" i="20"/>
  <c r="U148" i="20"/>
  <c r="U147" i="20"/>
  <c r="U145" i="20"/>
  <c r="R144" i="20"/>
  <c r="U143" i="20"/>
  <c r="R143" i="20"/>
  <c r="U142" i="20"/>
  <c r="R141" i="20"/>
  <c r="U140" i="20"/>
  <c r="R133" i="20"/>
  <c r="U131" i="20"/>
  <c r="U129" i="20"/>
  <c r="R127" i="20"/>
  <c r="R125" i="20"/>
  <c r="U123" i="20"/>
  <c r="R122" i="20"/>
  <c r="U121" i="20"/>
  <c r="U120" i="20"/>
  <c r="U119" i="20"/>
  <c r="U118" i="20"/>
  <c r="R117" i="20"/>
  <c r="U115" i="20"/>
  <c r="R115" i="20"/>
  <c r="U113" i="20"/>
  <c r="U112" i="20"/>
  <c r="U111" i="20"/>
  <c r="R39" i="20"/>
  <c r="U38" i="20"/>
  <c r="R38" i="20"/>
  <c r="R36" i="20"/>
  <c r="U34" i="20"/>
  <c r="U32" i="20"/>
  <c r="R31" i="20"/>
  <c r="R30" i="20"/>
  <c r="U29" i="20"/>
  <c r="U25" i="20"/>
  <c r="R24" i="20"/>
  <c r="U985" i="20"/>
  <c r="U107" i="20"/>
  <c r="R107" i="20"/>
  <c r="U106" i="20"/>
  <c r="R106" i="20"/>
  <c r="U105" i="20"/>
  <c r="R105" i="20"/>
  <c r="U104" i="20"/>
  <c r="R104" i="20"/>
  <c r="U103" i="20"/>
  <c r="R103" i="20"/>
  <c r="U102" i="20"/>
  <c r="R102" i="20"/>
  <c r="U101" i="20"/>
  <c r="R101" i="20"/>
  <c r="U100" i="20"/>
  <c r="R100" i="20"/>
  <c r="U99" i="20"/>
  <c r="R99" i="20"/>
  <c r="U98" i="20"/>
  <c r="R98" i="20"/>
  <c r="U97" i="20"/>
  <c r="R97" i="20"/>
  <c r="U96" i="20"/>
  <c r="R96" i="20"/>
  <c r="U95" i="20"/>
  <c r="R95" i="20"/>
  <c r="U94" i="20"/>
  <c r="R94" i="20"/>
  <c r="U93" i="20"/>
  <c r="R93" i="20"/>
  <c r="U92" i="20"/>
  <c r="U91" i="20"/>
  <c r="R91" i="20"/>
  <c r="U90" i="20"/>
  <c r="R90" i="20"/>
  <c r="U89" i="20"/>
  <c r="R89" i="20"/>
  <c r="U88" i="20"/>
  <c r="R88" i="20"/>
  <c r="U87" i="20"/>
  <c r="R87" i="20"/>
  <c r="U86" i="20"/>
  <c r="R86" i="20"/>
  <c r="U85" i="20"/>
  <c r="R85" i="20"/>
  <c r="U84" i="20"/>
  <c r="R84" i="20"/>
  <c r="U83" i="20"/>
  <c r="R83" i="20"/>
  <c r="U82" i="20"/>
  <c r="R82" i="20"/>
  <c r="U81" i="20"/>
  <c r="R81" i="20"/>
  <c r="U80" i="20"/>
  <c r="R80" i="20"/>
  <c r="U79" i="20"/>
  <c r="R79" i="20"/>
  <c r="U78" i="20"/>
  <c r="R78" i="20"/>
  <c r="U77" i="20"/>
  <c r="R77" i="20"/>
  <c r="U76" i="20"/>
  <c r="R76" i="20"/>
  <c r="U75" i="20"/>
  <c r="R75" i="20"/>
  <c r="U74" i="20"/>
  <c r="R74" i="20"/>
  <c r="U73" i="20"/>
  <c r="R73" i="20"/>
  <c r="U72" i="20"/>
  <c r="R72" i="20"/>
  <c r="U71" i="20"/>
  <c r="R71" i="20"/>
  <c r="U70" i="20"/>
  <c r="R70" i="20"/>
  <c r="U69" i="20"/>
  <c r="R69" i="20"/>
  <c r="U68" i="20"/>
  <c r="R68" i="20"/>
  <c r="U67" i="20"/>
  <c r="R67" i="20"/>
  <c r="U66" i="20"/>
  <c r="R66" i="20"/>
  <c r="U65" i="20"/>
  <c r="R65" i="20"/>
  <c r="U64" i="20"/>
  <c r="R64" i="20"/>
  <c r="U63" i="20"/>
  <c r="R63" i="20"/>
  <c r="U62" i="20"/>
  <c r="R62" i="20"/>
  <c r="U61" i="20"/>
  <c r="R61" i="20"/>
  <c r="U60" i="20"/>
  <c r="R60" i="20"/>
  <c r="U59" i="20"/>
  <c r="R59" i="20"/>
  <c r="U58" i="20"/>
  <c r="R58" i="20"/>
  <c r="U57" i="20"/>
  <c r="R57" i="20"/>
  <c r="U56" i="20"/>
  <c r="R56" i="20"/>
  <c r="U55" i="20"/>
  <c r="R55" i="20"/>
  <c r="U54" i="20"/>
  <c r="R54" i="20"/>
  <c r="U53" i="20"/>
  <c r="R53" i="20"/>
  <c r="U52" i="20"/>
  <c r="R52" i="20"/>
  <c r="U51" i="20"/>
  <c r="R51" i="20"/>
  <c r="U50" i="20"/>
  <c r="R50" i="20"/>
  <c r="U49" i="20"/>
  <c r="R49" i="20"/>
  <c r="U48" i="20"/>
  <c r="R48" i="20"/>
  <c r="U47" i="20"/>
  <c r="R47" i="20"/>
  <c r="U46" i="20"/>
  <c r="R46" i="20"/>
  <c r="U45" i="20"/>
  <c r="R45" i="20"/>
  <c r="U44" i="20"/>
  <c r="R44" i="20"/>
  <c r="U43" i="20"/>
  <c r="R43" i="20"/>
  <c r="U42" i="20"/>
  <c r="R42" i="20"/>
  <c r="U41" i="20"/>
  <c r="R41" i="20"/>
  <c r="U40" i="20"/>
  <c r="R984" i="20"/>
  <c r="R991" i="20"/>
  <c r="U990" i="20"/>
  <c r="R988" i="20"/>
  <c r="U984" i="20"/>
  <c r="U987" i="20"/>
  <c r="R986" i="20"/>
  <c r="U983" i="20"/>
  <c r="R985" i="20"/>
  <c r="U962" i="20"/>
  <c r="R962" i="20"/>
  <c r="R961" i="20"/>
  <c r="R960" i="20"/>
  <c r="R937" i="20"/>
  <c r="U936" i="20"/>
  <c r="R936" i="20"/>
  <c r="U935" i="20"/>
  <c r="R935" i="20"/>
  <c r="U934" i="20"/>
  <c r="R934" i="20"/>
  <c r="U933" i="20"/>
  <c r="R933" i="20"/>
  <c r="U932" i="20"/>
  <c r="R932" i="20"/>
  <c r="U931" i="20"/>
  <c r="R931" i="20"/>
  <c r="R930" i="20"/>
  <c r="U929" i="20"/>
  <c r="R929" i="20"/>
  <c r="U928" i="20"/>
  <c r="R928" i="20"/>
  <c r="R927" i="20"/>
  <c r="U926" i="20"/>
  <c r="U925" i="20"/>
  <c r="R925" i="20"/>
  <c r="R921" i="20"/>
  <c r="U920" i="20"/>
  <c r="R920" i="20"/>
  <c r="R919" i="20"/>
  <c r="U917" i="20"/>
  <c r="R917" i="20"/>
  <c r="U915" i="20"/>
  <c r="R915" i="20"/>
  <c r="R914" i="20"/>
  <c r="U913" i="20"/>
  <c r="R913" i="20"/>
  <c r="U912" i="20"/>
  <c r="R912" i="20"/>
  <c r="R911" i="20"/>
  <c r="U910" i="20"/>
  <c r="U909" i="20"/>
  <c r="R909" i="20"/>
  <c r="R908" i="20"/>
  <c r="R905" i="20"/>
  <c r="U904" i="20"/>
  <c r="R901" i="20"/>
  <c r="U900" i="20"/>
  <c r="R900" i="20"/>
  <c r="U899" i="20"/>
  <c r="R899" i="20"/>
  <c r="U898" i="20"/>
  <c r="U897" i="20"/>
  <c r="R897" i="20"/>
  <c r="R895" i="20"/>
  <c r="U894" i="20"/>
  <c r="U893" i="20"/>
  <c r="R893" i="20"/>
  <c r="U892" i="20"/>
  <c r="R892" i="20"/>
  <c r="U891" i="20"/>
  <c r="R891" i="20"/>
  <c r="U890" i="20"/>
  <c r="R890" i="20"/>
  <c r="U889" i="20"/>
  <c r="U888" i="20"/>
  <c r="R888" i="20"/>
  <c r="R887" i="20"/>
  <c r="U886" i="20"/>
  <c r="R886" i="20"/>
  <c r="U885" i="20"/>
  <c r="U884" i="20"/>
  <c r="R883" i="20"/>
  <c r="U882" i="20"/>
  <c r="U881" i="20"/>
  <c r="R881" i="20"/>
  <c r="R880" i="20"/>
  <c r="U879" i="20"/>
  <c r="U878" i="20"/>
  <c r="R878" i="20"/>
  <c r="U877" i="20"/>
  <c r="U875" i="20"/>
  <c r="R875" i="20"/>
  <c r="R874" i="20"/>
  <c r="U873" i="20"/>
  <c r="R873" i="20"/>
  <c r="U872" i="20"/>
  <c r="R872" i="20"/>
  <c r="U871" i="20"/>
  <c r="U870" i="20"/>
  <c r="R870" i="20"/>
  <c r="U869" i="20"/>
  <c r="R869" i="20"/>
  <c r="U868" i="20"/>
  <c r="U867" i="20"/>
  <c r="R866" i="20"/>
  <c r="U865" i="20"/>
  <c r="R865" i="20"/>
  <c r="U864" i="20"/>
  <c r="R864" i="20"/>
  <c r="U863" i="20"/>
  <c r="R863" i="20"/>
  <c r="R861" i="20"/>
  <c r="U859" i="20"/>
  <c r="R859" i="20"/>
  <c r="U858" i="20"/>
  <c r="U857" i="20"/>
  <c r="R857" i="20"/>
  <c r="R856" i="20"/>
  <c r="U855" i="20"/>
  <c r="R855" i="20"/>
  <c r="U854" i="20"/>
  <c r="R854" i="20"/>
  <c r="R851" i="20"/>
  <c r="U850" i="20"/>
  <c r="R850" i="20"/>
  <c r="R849" i="20"/>
  <c r="U848" i="20"/>
  <c r="R848" i="20"/>
  <c r="R846" i="20"/>
  <c r="U845" i="20"/>
  <c r="R845" i="20"/>
  <c r="R844" i="20"/>
  <c r="R843" i="20"/>
  <c r="U842" i="20"/>
  <c r="R842" i="20"/>
  <c r="U841" i="20"/>
  <c r="R92" i="20"/>
  <c r="R834" i="20"/>
  <c r="R833" i="20"/>
  <c r="R831" i="20"/>
  <c r="R830" i="20"/>
  <c r="R828" i="20"/>
  <c r="R827" i="20"/>
  <c r="R826" i="20"/>
  <c r="U825" i="20"/>
  <c r="R825" i="20"/>
  <c r="U824" i="20"/>
  <c r="R824" i="20"/>
  <c r="U822" i="20"/>
  <c r="U821" i="20"/>
  <c r="R821" i="20"/>
  <c r="U820" i="20"/>
  <c r="R820" i="20"/>
  <c r="U819" i="20"/>
  <c r="R819" i="20"/>
  <c r="U818" i="20"/>
  <c r="R818" i="20"/>
  <c r="U817" i="20"/>
  <c r="R817" i="20"/>
  <c r="U816" i="20"/>
  <c r="R816" i="20"/>
  <c r="U815" i="20"/>
  <c r="R815" i="20"/>
  <c r="U814" i="20"/>
  <c r="R814" i="20"/>
  <c r="U813" i="20"/>
  <c r="R813" i="20"/>
  <c r="U812" i="20"/>
  <c r="R812" i="20"/>
  <c r="U811" i="20"/>
  <c r="R811" i="20"/>
  <c r="U810" i="20"/>
  <c r="R810" i="20"/>
  <c r="U809" i="20"/>
  <c r="R809" i="20"/>
  <c r="U808" i="20"/>
  <c r="R808" i="20"/>
  <c r="U807" i="20"/>
  <c r="R807" i="20"/>
  <c r="U806" i="20"/>
  <c r="R806" i="20"/>
  <c r="U805" i="20"/>
  <c r="R805" i="20"/>
  <c r="U804" i="20"/>
  <c r="R804" i="20"/>
  <c r="U803" i="20"/>
  <c r="R803" i="20"/>
  <c r="U802" i="20"/>
  <c r="R802" i="20"/>
  <c r="U801" i="20"/>
  <c r="R801" i="20"/>
  <c r="U800" i="20"/>
  <c r="R800" i="20"/>
  <c r="U799" i="20"/>
  <c r="R799" i="20"/>
  <c r="U798" i="20"/>
  <c r="R798" i="20"/>
  <c r="U797" i="20"/>
  <c r="R797" i="20"/>
  <c r="U796" i="20"/>
  <c r="R796" i="20"/>
  <c r="U795" i="20"/>
  <c r="R795" i="20"/>
  <c r="U794" i="20"/>
  <c r="R794" i="20"/>
  <c r="U793" i="20"/>
  <c r="R793" i="20"/>
  <c r="U792" i="20"/>
  <c r="R792" i="20"/>
  <c r="U791" i="20"/>
  <c r="R791" i="20"/>
  <c r="U790" i="20"/>
  <c r="R790" i="20"/>
  <c r="U789" i="20"/>
  <c r="R789" i="20"/>
  <c r="U788" i="20"/>
  <c r="R788" i="20"/>
  <c r="U787" i="20"/>
  <c r="R787" i="20"/>
  <c r="U786" i="20"/>
  <c r="R786" i="20"/>
  <c r="U785" i="20"/>
  <c r="R785" i="20"/>
  <c r="U784" i="20"/>
  <c r="R784" i="20"/>
  <c r="U783" i="20"/>
  <c r="R783" i="20"/>
  <c r="U782" i="20"/>
  <c r="R782" i="20"/>
  <c r="U781" i="20"/>
  <c r="R781" i="20"/>
  <c r="U780" i="20"/>
  <c r="R780" i="20"/>
  <c r="R689" i="20"/>
  <c r="R687" i="20"/>
  <c r="U686" i="20"/>
  <c r="U684" i="20"/>
  <c r="R684" i="20"/>
  <c r="U683" i="20"/>
  <c r="R683" i="20"/>
  <c r="U682" i="20"/>
  <c r="R682" i="20"/>
  <c r="R681" i="20"/>
  <c r="U680" i="20"/>
  <c r="R680" i="20"/>
  <c r="U679" i="20"/>
  <c r="R679" i="20"/>
  <c r="U678" i="20"/>
  <c r="U677" i="20"/>
  <c r="R677" i="20"/>
  <c r="R676" i="20"/>
  <c r="U675" i="20"/>
  <c r="R675" i="20"/>
  <c r="U672" i="20"/>
  <c r="R672" i="20"/>
  <c r="U671" i="20"/>
  <c r="R671" i="20"/>
  <c r="U670" i="20"/>
  <c r="R670" i="20"/>
  <c r="U667" i="20"/>
  <c r="R667" i="20"/>
  <c r="R666" i="20"/>
  <c r="U665" i="20"/>
  <c r="R665" i="20"/>
  <c r="U664" i="20"/>
  <c r="R664" i="20"/>
  <c r="U663" i="20"/>
  <c r="R663" i="20"/>
  <c r="R662" i="20"/>
  <c r="U661" i="20"/>
  <c r="R661" i="20"/>
  <c r="R660" i="20"/>
  <c r="U659" i="20"/>
  <c r="R659" i="20"/>
  <c r="U658" i="20"/>
  <c r="R658" i="20"/>
  <c r="U657" i="20"/>
  <c r="R657" i="20"/>
  <c r="U656" i="20"/>
  <c r="R656" i="20"/>
  <c r="U655" i="20"/>
  <c r="U653" i="20"/>
  <c r="R653" i="20"/>
  <c r="U652" i="20"/>
  <c r="U649" i="20"/>
  <c r="R649" i="20"/>
  <c r="U648" i="20"/>
  <c r="R646" i="20"/>
  <c r="U645" i="20"/>
  <c r="U642" i="20"/>
  <c r="R641" i="20"/>
  <c r="U640" i="20"/>
  <c r="R639" i="20"/>
  <c r="U638" i="20"/>
  <c r="R638" i="20"/>
  <c r="U637" i="20"/>
  <c r="U628" i="20"/>
  <c r="R628" i="20"/>
  <c r="U627" i="20"/>
  <c r="R627" i="20"/>
  <c r="U626" i="20"/>
  <c r="R626" i="20"/>
  <c r="U624" i="20"/>
  <c r="U623" i="20"/>
  <c r="R623" i="20"/>
  <c r="U622" i="20"/>
  <c r="R622" i="20"/>
  <c r="R621" i="20"/>
  <c r="R619" i="20"/>
  <c r="U618" i="20"/>
  <c r="R618" i="20"/>
  <c r="U198" i="20"/>
  <c r="U196" i="20"/>
  <c r="R196" i="20"/>
  <c r="U194" i="20"/>
  <c r="R193" i="20"/>
  <c r="R192" i="20"/>
  <c r="U191" i="20"/>
  <c r="R191" i="20"/>
  <c r="R190" i="20"/>
  <c r="R189" i="20"/>
  <c r="R186" i="20"/>
  <c r="U185" i="20"/>
  <c r="R184" i="20"/>
  <c r="U183" i="20"/>
  <c r="U182" i="20"/>
  <c r="U180" i="20"/>
  <c r="R180" i="20"/>
  <c r="U179" i="20"/>
  <c r="R177" i="20"/>
  <c r="R176" i="20"/>
  <c r="U175" i="20"/>
  <c r="R174" i="20"/>
  <c r="R168" i="20"/>
  <c r="U167" i="20"/>
  <c r="U166" i="20"/>
  <c r="R166" i="20"/>
  <c r="U165" i="20"/>
  <c r="U162" i="20"/>
  <c r="U161" i="20"/>
  <c r="U160" i="20"/>
  <c r="R158" i="20"/>
  <c r="U155" i="20"/>
  <c r="U154" i="20"/>
  <c r="U153" i="20"/>
  <c r="R151" i="20"/>
  <c r="R149" i="20"/>
  <c r="R147" i="20"/>
  <c r="R146" i="20"/>
  <c r="U141" i="20"/>
  <c r="U139" i="20"/>
  <c r="U134" i="20"/>
  <c r="R134" i="20"/>
  <c r="U133" i="20"/>
  <c r="R132" i="20"/>
  <c r="R130" i="20"/>
  <c r="U128" i="20"/>
  <c r="U126" i="20"/>
  <c r="U125" i="20"/>
  <c r="R123" i="20"/>
  <c r="U122" i="20"/>
  <c r="R121" i="20"/>
  <c r="R120" i="20"/>
  <c r="U117" i="20"/>
  <c r="U116" i="20"/>
  <c r="U114" i="20"/>
  <c r="R113" i="20"/>
  <c r="R112" i="20"/>
  <c r="U109" i="20"/>
  <c r="R109" i="20"/>
  <c r="U108" i="20"/>
  <c r="R108" i="20"/>
  <c r="R40" i="20"/>
  <c r="U37" i="20"/>
  <c r="U36" i="20"/>
  <c r="U35" i="20"/>
  <c r="R33" i="20"/>
  <c r="R32" i="20"/>
  <c r="U30" i="20"/>
  <c r="R29" i="20"/>
  <c r="R28" i="20"/>
  <c r="U27" i="20"/>
  <c r="R27" i="20"/>
  <c r="R23" i="20"/>
  <c r="U22" i="20"/>
  <c r="U20" i="20"/>
  <c r="R19" i="20"/>
  <c r="R18" i="20"/>
  <c r="U16" i="20"/>
  <c r="R15" i="20"/>
  <c r="U14" i="20"/>
  <c r="R14" i="20"/>
  <c r="U13" i="20"/>
  <c r="U12" i="20"/>
  <c r="U10" i="20"/>
  <c r="R10" i="20"/>
  <c r="U8" i="20"/>
  <c r="R6" i="20"/>
  <c r="U4" i="20"/>
  <c r="R4" i="20"/>
  <c r="Q994" i="20"/>
  <c r="Q92" i="20"/>
  <c r="Q437" i="20"/>
  <c r="Q706" i="20"/>
  <c r="Q322" i="20"/>
  <c r="Q91" i="20"/>
  <c r="Q529" i="20"/>
  <c r="Q707" i="20"/>
  <c r="Q199" i="20"/>
  <c r="Q90" i="20"/>
  <c r="Q4" i="20"/>
  <c r="Q708" i="20"/>
  <c r="Q321" i="20"/>
  <c r="Q89" i="20"/>
  <c r="Q506" i="20"/>
  <c r="Q709" i="20"/>
  <c r="Q201" i="20"/>
  <c r="Q88" i="20"/>
  <c r="Q436" i="20"/>
  <c r="Q710" i="20"/>
  <c r="Q320" i="20"/>
  <c r="Q87" i="20"/>
  <c r="Q467" i="20"/>
  <c r="Q711" i="20"/>
  <c r="Q202" i="20"/>
  <c r="Q86" i="20"/>
  <c r="Q5" i="20"/>
  <c r="Q712" i="20"/>
  <c r="Q319" i="20"/>
  <c r="Q85" i="20"/>
  <c r="Q514" i="20"/>
  <c r="Q713" i="20"/>
  <c r="Q203" i="20"/>
  <c r="Q84" i="20"/>
  <c r="Q435" i="20"/>
  <c r="Q714" i="20"/>
  <c r="Q318" i="20"/>
  <c r="Q83" i="20"/>
  <c r="Q530" i="20"/>
  <c r="Q715" i="20"/>
  <c r="Q204" i="20"/>
  <c r="Q82" i="20"/>
  <c r="Q9" i="20"/>
  <c r="Q716" i="20"/>
  <c r="Q317" i="20"/>
  <c r="Q81" i="20"/>
  <c r="Q498" i="20"/>
  <c r="Q717" i="20"/>
  <c r="Q205" i="20"/>
  <c r="Q80" i="20"/>
  <c r="Q434" i="20"/>
  <c r="Q718" i="20"/>
  <c r="Q316" i="20"/>
  <c r="Q79" i="20"/>
  <c r="Q466" i="20"/>
  <c r="Q719" i="20"/>
  <c r="Q206" i="20"/>
  <c r="Q78" i="20"/>
  <c r="Q11" i="20"/>
  <c r="Q720" i="20"/>
  <c r="Q315" i="20"/>
  <c r="Q77" i="20"/>
  <c r="Q482" i="20"/>
  <c r="Q721" i="20"/>
  <c r="Q207" i="20"/>
  <c r="Q76" i="20"/>
  <c r="Q433" i="20"/>
  <c r="Q722" i="20"/>
  <c r="Q314" i="20"/>
  <c r="Q75" i="20"/>
  <c r="Q531" i="20"/>
  <c r="Q723" i="20"/>
  <c r="Q208" i="20"/>
  <c r="Q74" i="20"/>
  <c r="Q13" i="20"/>
  <c r="Q724" i="20"/>
  <c r="Q313" i="20"/>
  <c r="Q73" i="20"/>
  <c r="Q490" i="20"/>
  <c r="Q725" i="20"/>
  <c r="Q209" i="20"/>
  <c r="Q72" i="20"/>
  <c r="Q432" i="20"/>
  <c r="Q726" i="20"/>
  <c r="Q312" i="20"/>
  <c r="Q71" i="20"/>
  <c r="Q465" i="20"/>
  <c r="Q727" i="20"/>
  <c r="Q210" i="20"/>
  <c r="Q70" i="20"/>
  <c r="Q14" i="20"/>
  <c r="Q728" i="20"/>
  <c r="Q311" i="20"/>
  <c r="Q69" i="20"/>
  <c r="Q515" i="20"/>
  <c r="Q729" i="20"/>
  <c r="Q211" i="20"/>
  <c r="Q68" i="20"/>
  <c r="Q431" i="20"/>
  <c r="Q730" i="20"/>
  <c r="Q310" i="20"/>
  <c r="Q67" i="20"/>
  <c r="Q532" i="20"/>
  <c r="Q731" i="20"/>
  <c r="Q212" i="20"/>
  <c r="Q66" i="20"/>
  <c r="Q15" i="20"/>
  <c r="Q732" i="20"/>
  <c r="Q309" i="20"/>
  <c r="Q65" i="20"/>
  <c r="Q494" i="20"/>
  <c r="Q733" i="20"/>
  <c r="Q213" i="20"/>
  <c r="Q64" i="20"/>
  <c r="Q430" i="20"/>
  <c r="Q734" i="20"/>
  <c r="Q308" i="20"/>
  <c r="Q63" i="20"/>
  <c r="Q464" i="20"/>
  <c r="Q735" i="20"/>
  <c r="Q214" i="20"/>
  <c r="Q62" i="20"/>
  <c r="Q17" i="20"/>
  <c r="Q736" i="20"/>
  <c r="Q307" i="20"/>
  <c r="Q61" i="20"/>
  <c r="Q481" i="20"/>
  <c r="Q737" i="20"/>
  <c r="Q215" i="20"/>
  <c r="Q60" i="20"/>
  <c r="Q429" i="20"/>
  <c r="Q738" i="20"/>
  <c r="Q306" i="20"/>
  <c r="Q59" i="20"/>
  <c r="Q533" i="20"/>
  <c r="Q739" i="20"/>
  <c r="Q216" i="20"/>
  <c r="Q58" i="20"/>
  <c r="Q18" i="20"/>
  <c r="Q740" i="20"/>
  <c r="Q305" i="20"/>
  <c r="Q57" i="20"/>
  <c r="Q507" i="20"/>
  <c r="Q741" i="20"/>
  <c r="Q217" i="20"/>
  <c r="Q56" i="20"/>
  <c r="Q428" i="20"/>
  <c r="Q742" i="20"/>
  <c r="Q304" i="20"/>
  <c r="Q55" i="20"/>
  <c r="Q463" i="20"/>
  <c r="Q743" i="20"/>
  <c r="Q218" i="20"/>
  <c r="Q54" i="20"/>
  <c r="Q21" i="20"/>
  <c r="Q744" i="20"/>
  <c r="Q303" i="20"/>
  <c r="Q53" i="20"/>
  <c r="Q516" i="20"/>
  <c r="Q745" i="20"/>
  <c r="Q219" i="20"/>
  <c r="Q52" i="20"/>
  <c r="Q427" i="20"/>
  <c r="Q746" i="20"/>
  <c r="Q302" i="20"/>
  <c r="Q51" i="20"/>
  <c r="Q534" i="20"/>
  <c r="Q747" i="20"/>
  <c r="Q220" i="20"/>
  <c r="Q50" i="20"/>
  <c r="Q23" i="20"/>
  <c r="Q748" i="20"/>
  <c r="Q301" i="20"/>
  <c r="Q49" i="20"/>
  <c r="Q496" i="20"/>
  <c r="Q749" i="20"/>
  <c r="Q221" i="20"/>
  <c r="Q48" i="20"/>
  <c r="Q426" i="20"/>
  <c r="Q750" i="20"/>
  <c r="Q300" i="20"/>
  <c r="Q47" i="20"/>
  <c r="Q462" i="20"/>
  <c r="Q751" i="20"/>
  <c r="Q222" i="20"/>
  <c r="Q46" i="20"/>
  <c r="Q24" i="20"/>
  <c r="Q752" i="20"/>
  <c r="Q299" i="20"/>
  <c r="Q45" i="20"/>
  <c r="Q480" i="20"/>
  <c r="Q753" i="20"/>
  <c r="Q223" i="20"/>
  <c r="Q44" i="20"/>
  <c r="Q425" i="20"/>
  <c r="Q754" i="20"/>
  <c r="Q298" i="20"/>
  <c r="Q43" i="20"/>
  <c r="Q535" i="20"/>
  <c r="Q755" i="20"/>
  <c r="Q224" i="20"/>
  <c r="Q42" i="20"/>
  <c r="Q26" i="20"/>
  <c r="Q756" i="20"/>
  <c r="Q297" i="20"/>
  <c r="Q41" i="20"/>
  <c r="Q489" i="20"/>
  <c r="Q757" i="20"/>
  <c r="Q225" i="20"/>
  <c r="Q990" i="20"/>
  <c r="Q424" i="20"/>
  <c r="Q758" i="20"/>
  <c r="Q296" i="20"/>
  <c r="Q461" i="20"/>
  <c r="Q226" i="20"/>
  <c r="Q759" i="20"/>
  <c r="Q983" i="20"/>
  <c r="Q760" i="20"/>
  <c r="Q987" i="20"/>
  <c r="Q761" i="20"/>
  <c r="Q985" i="20"/>
  <c r="Q762" i="20"/>
  <c r="Q28" i="20"/>
  <c r="Q295" i="20"/>
  <c r="Q763" i="20"/>
  <c r="Q764" i="20"/>
  <c r="Q517" i="20"/>
  <c r="Q227" i="20"/>
  <c r="Q765" i="20"/>
  <c r="Q989" i="20"/>
  <c r="Q423" i="20"/>
  <c r="Q294" i="20"/>
  <c r="Q962" i="20"/>
  <c r="Q766" i="20"/>
  <c r="Q536" i="20"/>
  <c r="Q961" i="20"/>
  <c r="Q767" i="20"/>
  <c r="Q228" i="20"/>
  <c r="Q938" i="20"/>
  <c r="Q31" i="20"/>
  <c r="Q293" i="20"/>
  <c r="Q768" i="20"/>
  <c r="Q503" i="20"/>
  <c r="Q936" i="20"/>
  <c r="Q229" i="20"/>
  <c r="Q769" i="20"/>
  <c r="Q422" i="20"/>
  <c r="Q935" i="20"/>
  <c r="Q292" i="20"/>
  <c r="Q770" i="20"/>
  <c r="Q460" i="20"/>
  <c r="Q934" i="20"/>
  <c r="Q230" i="20"/>
  <c r="Q771" i="20"/>
  <c r="Q33" i="20"/>
  <c r="Q933" i="20"/>
  <c r="Q291" i="20"/>
  <c r="Q772" i="20"/>
  <c r="Q479" i="20"/>
  <c r="Q932" i="20"/>
  <c r="Q231" i="20"/>
  <c r="Q773" i="20"/>
  <c r="Q421" i="20"/>
  <c r="Q931" i="20"/>
  <c r="Q774" i="20"/>
  <c r="Q290" i="20"/>
  <c r="Q930" i="20"/>
  <c r="Q537" i="20"/>
  <c r="Q232" i="20"/>
  <c r="Q929" i="20"/>
  <c r="Q35" i="20"/>
  <c r="Q289" i="20"/>
  <c r="Q928" i="20"/>
  <c r="Q775" i="20"/>
  <c r="Q508" i="20"/>
  <c r="Q233" i="20"/>
  <c r="Q776" i="20"/>
  <c r="Q926" i="20"/>
  <c r="Q420" i="20"/>
  <c r="Q288" i="20"/>
  <c r="Q925" i="20"/>
  <c r="Q777" i="20"/>
  <c r="Q924" i="20"/>
  <c r="Q778" i="20"/>
  <c r="Q923" i="20"/>
  <c r="Q779" i="20"/>
  <c r="Q922" i="20"/>
  <c r="Q780" i="20"/>
  <c r="Q459" i="20"/>
  <c r="Q336" i="20"/>
  <c r="Q36" i="20"/>
  <c r="Q920" i="20"/>
  <c r="Q977" i="20"/>
  <c r="Q287" i="20"/>
  <c r="Q919" i="20"/>
  <c r="Q976" i="20"/>
  <c r="Q918" i="20"/>
  <c r="Q518" i="20"/>
  <c r="Q338" i="20"/>
  <c r="Q917" i="20"/>
  <c r="Q975" i="20"/>
  <c r="Q916" i="20"/>
  <c r="Q419" i="20"/>
  <c r="Q286" i="20"/>
  <c r="Q915" i="20"/>
  <c r="Q969" i="20"/>
  <c r="Q538" i="20"/>
  <c r="Q340" i="20"/>
  <c r="Q968" i="20"/>
  <c r="Q112" i="20"/>
  <c r="Q285" i="20"/>
  <c r="Q497" i="20"/>
  <c r="Q912" i="20"/>
  <c r="Q966" i="20"/>
  <c r="Q343" i="20"/>
  <c r="Q418" i="20"/>
  <c r="Q964" i="20"/>
  <c r="Q910" i="20"/>
  <c r="Q284" i="20"/>
  <c r="Q458" i="20"/>
  <c r="Q909" i="20"/>
  <c r="Q234" i="20"/>
  <c r="Q346" i="20"/>
  <c r="Q235" i="20"/>
  <c r="Q906" i="20"/>
  <c r="Q236" i="20"/>
  <c r="Q113" i="20"/>
  <c r="Q283" i="20"/>
  <c r="Q237" i="20"/>
  <c r="Q904" i="20"/>
  <c r="Q238" i="20"/>
  <c r="Q903" i="20"/>
  <c r="Q239" i="20"/>
  <c r="Q902" i="20"/>
  <c r="Q478" i="20"/>
  <c r="Q901" i="20"/>
  <c r="Q348" i="20"/>
  <c r="Q417" i="20"/>
  <c r="Q282" i="20"/>
  <c r="Q240" i="20"/>
  <c r="Q539" i="20"/>
  <c r="Q349" i="20"/>
  <c r="Q241" i="20"/>
  <c r="Q898" i="20"/>
  <c r="Q114" i="20"/>
  <c r="Q281" i="20"/>
  <c r="Q897" i="20"/>
  <c r="Q242" i="20"/>
  <c r="Q896" i="20"/>
  <c r="Q243" i="20"/>
  <c r="Q488" i="20"/>
  <c r="Q350" i="20"/>
  <c r="Q244" i="20"/>
  <c r="Q894" i="20"/>
  <c r="Q416" i="20"/>
  <c r="Q280" i="20"/>
  <c r="Q893" i="20"/>
  <c r="Q457" i="20"/>
  <c r="Q353" i="20"/>
  <c r="Q892" i="20"/>
  <c r="Q115" i="20"/>
  <c r="Q279" i="20"/>
  <c r="Q519" i="20"/>
  <c r="Q245" i="20"/>
  <c r="Q354" i="20"/>
  <c r="Q415" i="20"/>
  <c r="Q246" i="20"/>
  <c r="Q889" i="20"/>
  <c r="Q278" i="20"/>
  <c r="Q540" i="20"/>
  <c r="Q888" i="20"/>
  <c r="Q333" i="20"/>
  <c r="Q355" i="20"/>
  <c r="Q117" i="20"/>
  <c r="Q334" i="20"/>
  <c r="Q277" i="20"/>
  <c r="Q493" i="20"/>
  <c r="Q335" i="20"/>
  <c r="Q885" i="20"/>
  <c r="Q356" i="20"/>
  <c r="Q337" i="20"/>
  <c r="Q884" i="20"/>
  <c r="Q339" i="20"/>
  <c r="Q414" i="20"/>
  <c r="Q276" i="20"/>
  <c r="Q341" i="20"/>
  <c r="Q882" i="20"/>
  <c r="Q456" i="20"/>
  <c r="Q357" i="20"/>
  <c r="Q881" i="20"/>
  <c r="Q342" i="20"/>
  <c r="Q119" i="20"/>
  <c r="Q275" i="20"/>
  <c r="Q344" i="20"/>
  <c r="Q879" i="20"/>
  <c r="Q477" i="20"/>
  <c r="Q359" i="20"/>
  <c r="Q878" i="20"/>
  <c r="Q413" i="20"/>
  <c r="Q877" i="20"/>
  <c r="Q345" i="20"/>
  <c r="Q876" i="20"/>
  <c r="Q274" i="20"/>
  <c r="Q541" i="20"/>
  <c r="Q875" i="20"/>
  <c r="Q347" i="20"/>
  <c r="Q360" i="20"/>
  <c r="Q120" i="20"/>
  <c r="Q273" i="20"/>
  <c r="Q873" i="20"/>
  <c r="Q509" i="20"/>
  <c r="Q351" i="20"/>
  <c r="Q361" i="20"/>
  <c r="Q412" i="20"/>
  <c r="Q352" i="20"/>
  <c r="Q871" i="20"/>
  <c r="Q272" i="20"/>
  <c r="Q455" i="20"/>
  <c r="Q870" i="20"/>
  <c r="Q362" i="20"/>
  <c r="Q121" i="20"/>
  <c r="Q271" i="20"/>
  <c r="Q358" i="20"/>
  <c r="Q520" i="20"/>
  <c r="Q363" i="20"/>
  <c r="Q867" i="20"/>
  <c r="Q364" i="20"/>
  <c r="Q866" i="20"/>
  <c r="Q411" i="20"/>
  <c r="Q368" i="20"/>
  <c r="Q270" i="20"/>
  <c r="Q865" i="20"/>
  <c r="Q542" i="20"/>
  <c r="Q365" i="20"/>
  <c r="Q864" i="20"/>
  <c r="Q122" i="20"/>
  <c r="Q370" i="20"/>
  <c r="Q269" i="20"/>
  <c r="Q863" i="20"/>
  <c r="Q374" i="20"/>
  <c r="Q862" i="20"/>
  <c r="Q501" i="20"/>
  <c r="Q861" i="20"/>
  <c r="Q557" i="20"/>
  <c r="Q860" i="20"/>
  <c r="Q366" i="20"/>
  <c r="Q410" i="20"/>
  <c r="Q859" i="20"/>
  <c r="Q268" i="20"/>
  <c r="Q559" i="20"/>
  <c r="Q858" i="20"/>
  <c r="Q454" i="20"/>
  <c r="Q367" i="20"/>
  <c r="Q857" i="20"/>
  <c r="Q561" i="20"/>
  <c r="Q124" i="20"/>
  <c r="Q267" i="20"/>
  <c r="Q566" i="20"/>
  <c r="Q476" i="20"/>
  <c r="Q369" i="20"/>
  <c r="Q567" i="20"/>
  <c r="Q409" i="20"/>
  <c r="Q854" i="20"/>
  <c r="Q568" i="20"/>
  <c r="Q853" i="20"/>
  <c r="Q570" i="20"/>
  <c r="Q852" i="20"/>
  <c r="Q573" i="20"/>
  <c r="Q266" i="20"/>
  <c r="Q543" i="20"/>
  <c r="Q371" i="20"/>
  <c r="Q850" i="20"/>
  <c r="Q578" i="20"/>
  <c r="Q126" i="20"/>
  <c r="Q265" i="20"/>
  <c r="Q487" i="20"/>
  <c r="Q848" i="20"/>
  <c r="Q579" i="20"/>
  <c r="Q847" i="20"/>
  <c r="Q372" i="20"/>
  <c r="Q408" i="20"/>
  <c r="Q580" i="20"/>
  <c r="Q264" i="20"/>
  <c r="Q845" i="20"/>
  <c r="Q453" i="20"/>
  <c r="Q844" i="20"/>
  <c r="Q373" i="20"/>
  <c r="Q843" i="20"/>
  <c r="Q127" i="20"/>
  <c r="Q263" i="20"/>
  <c r="Q842" i="20"/>
  <c r="Q521" i="20"/>
  <c r="Q581" i="20"/>
  <c r="Q841" i="20"/>
  <c r="Q837" i="20"/>
  <c r="Q582" i="20"/>
  <c r="Q375" i="20"/>
  <c r="Q583" i="20"/>
  <c r="Q835" i="20"/>
  <c r="Q584" i="20"/>
  <c r="Q407" i="20"/>
  <c r="Q834" i="20"/>
  <c r="Q585" i="20"/>
  <c r="Q262" i="20"/>
  <c r="Q833" i="20"/>
  <c r="Q586" i="20"/>
  <c r="Q832" i="20"/>
  <c r="Q544" i="20"/>
  <c r="Q831" i="20"/>
  <c r="Q376" i="20"/>
  <c r="Q830" i="20"/>
  <c r="Q587" i="20"/>
  <c r="Q829" i="20"/>
  <c r="Q130" i="20"/>
  <c r="Q828" i="20"/>
  <c r="Q261" i="20"/>
  <c r="Q827" i="20"/>
  <c r="Q588" i="20"/>
  <c r="Q504" i="20"/>
  <c r="Q377" i="20"/>
  <c r="Q406" i="20"/>
  <c r="Q825" i="20"/>
  <c r="Q260" i="20"/>
  <c r="Q452" i="20"/>
  <c r="Q824" i="20"/>
  <c r="Q589" i="20"/>
  <c r="Q823" i="20"/>
  <c r="Q378" i="20"/>
  <c r="Q822" i="20"/>
  <c r="Q132" i="20"/>
  <c r="Q590" i="20"/>
  <c r="Q259" i="20"/>
  <c r="Q821" i="20"/>
  <c r="Q475" i="20"/>
  <c r="Q591" i="20"/>
  <c r="Q379" i="20"/>
  <c r="Q820" i="20"/>
  <c r="Q405" i="20"/>
  <c r="Q592" i="20"/>
  <c r="Q258" i="20"/>
  <c r="Q819" i="20"/>
  <c r="Q545" i="20"/>
  <c r="Q593" i="20"/>
  <c r="Q380" i="20"/>
  <c r="Q818" i="20"/>
  <c r="Q134" i="20"/>
  <c r="Q594" i="20"/>
  <c r="Q257" i="20"/>
  <c r="Q817" i="20"/>
  <c r="Q510" i="20"/>
  <c r="Q595" i="20"/>
  <c r="Q381" i="20"/>
  <c r="Q816" i="20"/>
  <c r="Q404" i="20"/>
  <c r="Q596" i="20"/>
  <c r="Q256" i="20"/>
  <c r="Q815" i="20"/>
  <c r="Q451" i="20"/>
  <c r="Q597" i="20"/>
  <c r="Q382" i="20"/>
  <c r="Q814" i="20"/>
  <c r="Q135" i="20"/>
  <c r="Q598" i="20"/>
  <c r="Q255" i="20"/>
  <c r="Q813" i="20"/>
  <c r="Q522" i="20"/>
  <c r="Q599" i="20"/>
  <c r="Q383" i="20"/>
  <c r="Q812" i="20"/>
  <c r="Q403" i="20"/>
  <c r="Q600" i="20"/>
  <c r="Q254" i="20"/>
  <c r="Q811" i="20"/>
  <c r="Q546" i="20"/>
  <c r="Q601" i="20"/>
  <c r="Q384" i="20"/>
  <c r="Q810" i="20"/>
  <c r="Q140" i="20"/>
  <c r="Q602" i="20"/>
  <c r="Q253" i="20"/>
  <c r="Q809" i="20"/>
  <c r="Q499" i="20"/>
  <c r="Q603" i="20"/>
  <c r="Q385" i="20"/>
  <c r="Q808" i="20"/>
  <c r="Q402" i="20"/>
  <c r="Q604" i="20"/>
  <c r="Q252" i="20"/>
  <c r="Q807" i="20"/>
  <c r="Q450" i="20"/>
  <c r="Q605" i="20"/>
  <c r="Q558" i="20"/>
  <c r="Q806" i="20"/>
  <c r="Q141" i="20"/>
  <c r="Q606" i="20"/>
  <c r="Q251" i="20"/>
  <c r="Q805" i="20"/>
  <c r="Q474" i="20"/>
  <c r="Q607" i="20"/>
  <c r="Q560" i="20"/>
  <c r="Q804" i="20"/>
  <c r="Q401" i="20"/>
  <c r="Q608" i="20"/>
  <c r="Q250" i="20"/>
  <c r="Q803" i="20"/>
  <c r="Q547" i="20"/>
  <c r="Q609" i="20"/>
  <c r="Q562" i="20"/>
  <c r="Q802" i="20"/>
  <c r="Q143" i="20"/>
  <c r="Q614" i="20"/>
  <c r="Q249" i="20"/>
  <c r="Q801" i="20"/>
  <c r="Q486" i="20"/>
  <c r="Q616" i="20"/>
  <c r="Q563" i="20"/>
  <c r="Q800" i="20"/>
  <c r="Q400" i="20"/>
  <c r="Q621" i="20"/>
  <c r="Q248" i="20"/>
  <c r="Q799" i="20"/>
  <c r="Q449" i="20"/>
  <c r="Q623" i="20"/>
  <c r="Q564" i="20"/>
  <c r="Q798" i="20"/>
  <c r="Q144" i="20"/>
  <c r="Q624" i="20"/>
  <c r="Q247" i="20"/>
  <c r="Q797" i="20"/>
  <c r="Q523" i="20"/>
  <c r="Q643" i="20"/>
  <c r="Q399" i="20"/>
  <c r="Q796" i="20"/>
  <c r="Q548" i="20"/>
  <c r="Q651" i="20"/>
  <c r="Q192" i="20"/>
  <c r="Q795" i="20"/>
  <c r="Q191" i="20"/>
  <c r="Q652" i="20"/>
  <c r="Q190" i="20"/>
  <c r="Q794" i="20"/>
  <c r="Q146" i="20"/>
  <c r="Q657" i="20"/>
  <c r="Q492" i="20"/>
  <c r="Q793" i="20"/>
  <c r="Q565" i="20"/>
  <c r="Q658" i="20"/>
  <c r="Q569" i="20"/>
  <c r="Q792" i="20"/>
  <c r="Q186" i="20"/>
  <c r="Q659" i="20"/>
  <c r="Q571" i="20"/>
  <c r="Q791" i="20"/>
  <c r="Q398" i="20"/>
  <c r="Q826" i="20"/>
  <c r="Q184" i="20"/>
  <c r="Q790" i="20"/>
  <c r="Q448" i="20"/>
  <c r="Q838" i="20"/>
  <c r="Q572" i="20"/>
  <c r="Q789" i="20"/>
  <c r="Q148" i="20"/>
  <c r="Q839" i="20"/>
  <c r="Q180" i="20"/>
  <c r="Q788" i="20"/>
  <c r="Q574" i="20"/>
  <c r="Q840" i="20"/>
  <c r="Q575" i="20"/>
  <c r="Q787" i="20"/>
  <c r="Q473" i="20"/>
  <c r="Q846" i="20"/>
  <c r="Q397" i="20"/>
  <c r="Q786" i="20"/>
  <c r="Q576" i="20"/>
  <c r="Q849" i="20"/>
  <c r="Q549" i="20"/>
  <c r="Q785" i="20"/>
  <c r="Q174" i="20"/>
  <c r="Q851" i="20"/>
  <c r="Q149" i="20"/>
  <c r="Q784" i="20"/>
  <c r="Q172" i="20"/>
  <c r="Q855" i="20"/>
  <c r="Q577" i="20"/>
  <c r="Q783" i="20"/>
  <c r="Q511" i="20"/>
  <c r="Q856" i="20"/>
  <c r="Q396" i="20"/>
  <c r="Q782" i="20"/>
  <c r="Q447" i="20"/>
  <c r="Q868" i="20"/>
  <c r="Q610" i="20"/>
  <c r="Q781" i="20"/>
  <c r="Q611" i="20"/>
  <c r="Q869" i="20"/>
  <c r="Q612" i="20"/>
  <c r="Q613" i="20"/>
  <c r="Q872" i="20"/>
  <c r="Q688" i="20"/>
  <c r="Q615" i="20"/>
  <c r="Q164" i="20"/>
  <c r="Q874" i="20"/>
  <c r="Q686" i="20"/>
  <c r="Q880" i="20"/>
  <c r="Q685" i="20"/>
  <c r="Q151" i="20"/>
  <c r="Q617" i="20"/>
  <c r="Q162" i="20"/>
  <c r="Q524" i="20"/>
  <c r="Q683" i="20"/>
  <c r="Q619" i="20"/>
  <c r="Q395" i="20"/>
  <c r="Q682" i="20"/>
  <c r="Q883" i="20"/>
  <c r="Q159" i="20"/>
  <c r="Q550" i="20"/>
  <c r="Q155" i="20"/>
  <c r="Q622" i="20"/>
  <c r="Q156" i="20"/>
  <c r="Q495" i="20"/>
  <c r="Q886" i="20"/>
  <c r="Q678" i="20"/>
  <c r="Q626" i="20"/>
  <c r="Q154" i="20"/>
  <c r="Q677" i="20"/>
  <c r="Q887" i="20"/>
  <c r="Q394" i="20"/>
  <c r="Q627" i="20"/>
  <c r="Q446" i="20"/>
  <c r="Q675" i="20"/>
  <c r="Q890" i="20"/>
  <c r="Q674" i="20"/>
  <c r="Q891" i="20"/>
  <c r="Q673" i="20"/>
  <c r="Q158" i="20"/>
  <c r="Q628" i="20"/>
  <c r="Q472" i="20"/>
  <c r="Q393" i="20"/>
  <c r="Q551" i="20"/>
  <c r="Q147" i="20"/>
  <c r="Q670" i="20"/>
  <c r="Q895" i="20"/>
  <c r="Q669" i="20"/>
  <c r="Q899" i="20"/>
  <c r="Q160" i="20"/>
  <c r="Q145" i="20"/>
  <c r="Q667" i="20"/>
  <c r="Q900" i="20"/>
  <c r="Q485" i="20"/>
  <c r="Q392" i="20"/>
  <c r="Q445" i="20"/>
  <c r="Q161" i="20"/>
  <c r="Q142" i="20"/>
  <c r="Q525" i="20"/>
  <c r="Q391" i="20"/>
  <c r="Q663" i="20"/>
  <c r="Q629" i="20"/>
  <c r="Q638" i="20"/>
  <c r="Q639" i="20"/>
  <c r="Q661" i="20"/>
  <c r="Q641" i="20"/>
  <c r="Q137" i="20"/>
  <c r="Q136" i="20"/>
  <c r="Q646" i="20"/>
  <c r="Q552" i="20"/>
  <c r="Q649" i="20"/>
  <c r="Q163" i="20"/>
  <c r="Q650" i="20"/>
  <c r="Q505" i="20"/>
  <c r="Q129" i="20"/>
  <c r="Q655" i="20"/>
  <c r="Q654" i="20"/>
  <c r="Q653" i="20"/>
  <c r="Q128" i="20"/>
  <c r="Q390" i="20"/>
  <c r="Q905" i="20"/>
  <c r="Q907" i="20"/>
  <c r="Q908" i="20"/>
  <c r="Q656" i="20"/>
  <c r="Q660" i="20"/>
  <c r="Q444" i="20"/>
  <c r="Q648" i="20"/>
  <c r="Q647" i="20"/>
  <c r="Q662" i="20"/>
  <c r="Q166" i="20"/>
  <c r="Q645" i="20"/>
  <c r="Q911" i="20"/>
  <c r="Q644" i="20"/>
  <c r="Q913" i="20"/>
  <c r="Q123" i="20"/>
  <c r="Q642" i="20"/>
  <c r="Q471" i="20"/>
  <c r="Q389" i="20"/>
  <c r="Q640" i="20"/>
  <c r="Q553" i="20"/>
  <c r="Q167" i="20"/>
  <c r="Q512" i="20"/>
  <c r="Q664" i="20"/>
  <c r="Q637" i="20"/>
  <c r="Q914" i="20"/>
  <c r="Q636" i="20"/>
  <c r="Q921" i="20"/>
  <c r="Q635" i="20"/>
  <c r="Q634" i="20"/>
  <c r="Q927" i="20"/>
  <c r="Q633" i="20"/>
  <c r="Q937" i="20"/>
  <c r="Q632" i="20"/>
  <c r="Q939" i="20"/>
  <c r="Q631" i="20"/>
  <c r="Q940" i="20"/>
  <c r="Q630" i="20"/>
  <c r="Q941" i="20"/>
  <c r="Q118" i="20"/>
  <c r="Q388" i="20"/>
  <c r="Q665" i="20"/>
  <c r="Q443" i="20"/>
  <c r="Q168" i="20"/>
  <c r="Q666" i="20"/>
  <c r="Q942" i="20"/>
  <c r="Q625" i="20"/>
  <c r="Q526" i="20"/>
  <c r="Q387" i="20"/>
  <c r="Q554" i="20"/>
  <c r="Q111" i="20"/>
  <c r="Q668" i="20"/>
  <c r="Q943" i="20"/>
  <c r="Q110" i="20"/>
  <c r="Q944" i="20"/>
  <c r="Q620" i="20"/>
  <c r="Q671" i="20"/>
  <c r="Q109" i="20"/>
  <c r="Q672" i="20"/>
  <c r="Q618" i="20"/>
  <c r="Q945" i="20"/>
  <c r="Q200" i="20"/>
  <c r="Q676" i="20"/>
  <c r="Q198" i="20"/>
  <c r="Q40" i="20"/>
  <c r="Q173" i="20"/>
  <c r="Q946" i="20"/>
  <c r="Q500" i="20"/>
  <c r="Q194" i="20"/>
  <c r="Q386" i="20"/>
  <c r="Q38" i="20"/>
  <c r="Q679" i="20"/>
  <c r="Q37" i="20"/>
  <c r="Q442" i="20"/>
  <c r="Q680" i="20"/>
  <c r="Q947" i="20"/>
  <c r="Q187" i="20"/>
  <c r="Q332" i="20"/>
  <c r="Q34" i="20"/>
  <c r="Q185" i="20"/>
  <c r="Q681" i="20"/>
  <c r="Q470" i="20"/>
  <c r="Q32" i="20"/>
  <c r="Q182" i="20"/>
  <c r="Q948" i="20"/>
  <c r="Q176" i="20"/>
  <c r="Q555" i="20"/>
  <c r="Q331" i="20"/>
  <c r="Q179" i="20"/>
  <c r="Q178" i="20"/>
  <c r="Q29" i="20"/>
  <c r="Q684" i="20"/>
  <c r="Q27" i="20"/>
  <c r="Q175" i="20"/>
  <c r="Q484" i="20"/>
  <c r="Q949" i="20"/>
  <c r="Q950" i="20"/>
  <c r="Q171" i="20"/>
  <c r="Q170" i="20"/>
  <c r="Q951" i="20"/>
  <c r="Q169" i="20"/>
  <c r="Q25" i="20"/>
  <c r="Q177" i="20"/>
  <c r="Q687" i="20"/>
  <c r="Q441" i="20"/>
  <c r="Q108" i="20"/>
  <c r="Q165" i="20"/>
  <c r="Q952" i="20"/>
  <c r="Q330" i="20"/>
  <c r="Q689" i="20"/>
  <c r="Q527" i="20"/>
  <c r="Q953" i="20"/>
  <c r="Q107" i="20"/>
  <c r="Q157" i="20"/>
  <c r="Q181" i="20"/>
  <c r="Q690" i="20"/>
  <c r="Q556" i="20"/>
  <c r="Q153" i="20"/>
  <c r="Q152" i="20"/>
  <c r="Q106" i="20"/>
  <c r="Q150" i="20"/>
  <c r="Q329" i="20"/>
  <c r="Q954" i="20"/>
  <c r="Q691" i="20"/>
  <c r="Q491" i="20"/>
  <c r="Q955" i="20"/>
  <c r="Q956" i="20"/>
  <c r="Q957" i="20"/>
  <c r="Q105" i="20"/>
  <c r="Q183" i="20"/>
  <c r="Q139" i="20"/>
  <c r="Q138" i="20"/>
  <c r="Q958" i="20"/>
  <c r="Q959" i="20"/>
  <c r="Q692" i="20"/>
  <c r="Q440" i="20"/>
  <c r="Q104" i="20"/>
  <c r="Q133" i="20"/>
  <c r="Q328" i="20"/>
  <c r="Q131" i="20"/>
  <c r="Q693" i="20"/>
  <c r="Q960" i="20"/>
  <c r="Q469" i="20"/>
  <c r="Q963" i="20"/>
  <c r="Q103" i="20"/>
  <c r="Q188" i="20"/>
  <c r="Q125" i="20"/>
  <c r="Q694" i="20"/>
  <c r="Q979" i="20"/>
  <c r="Q102" i="20"/>
  <c r="Q327" i="20"/>
  <c r="Q965" i="20"/>
  <c r="Q695" i="20"/>
  <c r="Q513" i="20"/>
  <c r="Q116" i="20"/>
  <c r="Q101" i="20"/>
  <c r="Q189" i="20"/>
  <c r="Q696" i="20"/>
  <c r="Q967" i="20"/>
  <c r="Q439" i="20"/>
  <c r="Q100" i="20"/>
  <c r="Q326" i="20"/>
  <c r="Q697" i="20"/>
  <c r="Q528" i="20"/>
  <c r="Q970" i="20"/>
  <c r="Q39" i="20"/>
  <c r="Q99" i="20"/>
  <c r="Q193" i="20"/>
  <c r="Q698" i="20"/>
  <c r="Q971" i="20"/>
  <c r="Q978" i="20"/>
  <c r="Q98" i="20"/>
  <c r="Q972" i="20"/>
  <c r="Q325" i="20"/>
  <c r="Q30" i="20"/>
  <c r="Q699" i="20"/>
  <c r="Q502" i="20"/>
  <c r="Q97" i="20"/>
  <c r="Q195" i="20"/>
  <c r="Q973" i="20"/>
  <c r="Q974" i="20"/>
  <c r="Q980" i="20"/>
  <c r="Q700" i="20"/>
  <c r="Q438" i="20"/>
  <c r="Q981" i="20"/>
  <c r="Q22" i="20"/>
  <c r="Q982" i="20"/>
  <c r="Q96" i="20"/>
  <c r="Q20" i="20"/>
  <c r="Q324" i="20"/>
  <c r="Q19" i="20"/>
  <c r="Q701" i="20"/>
  <c r="Q984" i="20"/>
  <c r="Q468" i="20"/>
  <c r="Q16" i="20"/>
  <c r="Q95" i="20"/>
  <c r="Q196" i="20"/>
  <c r="Q702" i="20"/>
  <c r="Q2" i="20"/>
  <c r="Q986" i="20"/>
  <c r="Q94" i="20"/>
  <c r="Q12" i="20"/>
  <c r="Q988" i="20"/>
  <c r="Q323" i="20"/>
  <c r="Q703" i="20"/>
  <c r="Q10" i="20"/>
  <c r="Q991" i="20"/>
  <c r="Q483" i="20"/>
  <c r="Q992" i="20"/>
  <c r="Q8" i="20"/>
  <c r="Q7" i="20"/>
  <c r="Q93" i="20"/>
  <c r="Q6" i="20"/>
  <c r="Q993" i="20"/>
  <c r="Q197" i="20"/>
  <c r="Q704" i="20"/>
  <c r="Q705" i="20"/>
  <c r="Q3" i="20"/>
  <c r="Q836" i="20"/>
  <c r="R319" i="22"/>
  <c r="U318" i="22"/>
  <c r="T318" i="22"/>
  <c r="S318" i="22"/>
  <c r="R318" i="22"/>
  <c r="U317" i="22"/>
  <c r="T317" i="22"/>
  <c r="S317" i="22"/>
  <c r="R317" i="22"/>
  <c r="U316" i="22"/>
  <c r="T316" i="22"/>
  <c r="S316" i="22"/>
  <c r="R316" i="22"/>
  <c r="U315" i="22"/>
  <c r="T315" i="22"/>
  <c r="S315" i="22"/>
  <c r="R315" i="22"/>
  <c r="U314" i="22"/>
  <c r="T314" i="22"/>
  <c r="S314" i="22"/>
  <c r="R314" i="22"/>
  <c r="U313" i="22"/>
  <c r="T313" i="22"/>
  <c r="S313" i="22"/>
  <c r="R313" i="22"/>
  <c r="U312" i="22"/>
  <c r="T312" i="22"/>
  <c r="S312" i="22"/>
  <c r="R312" i="22"/>
  <c r="U311" i="22"/>
  <c r="T311" i="22"/>
  <c r="S311" i="22"/>
  <c r="R311" i="22"/>
  <c r="U310" i="22"/>
  <c r="T310" i="22"/>
  <c r="S310" i="22"/>
  <c r="R310" i="22"/>
  <c r="U309" i="22"/>
  <c r="T309" i="22"/>
  <c r="S309" i="22"/>
  <c r="R309" i="22"/>
  <c r="U308" i="22"/>
  <c r="T308" i="22"/>
  <c r="S308" i="22"/>
  <c r="R308" i="22"/>
  <c r="U307" i="22"/>
  <c r="T307" i="22"/>
  <c r="S307" i="22"/>
  <c r="R307" i="22"/>
  <c r="U306" i="22"/>
  <c r="T306" i="22"/>
  <c r="S306" i="22"/>
  <c r="R306" i="22"/>
  <c r="U305" i="22"/>
  <c r="T305" i="22"/>
  <c r="S305" i="22"/>
  <c r="R305" i="22"/>
  <c r="U304" i="22"/>
  <c r="T304" i="22"/>
  <c r="S304" i="22"/>
  <c r="R304" i="22"/>
  <c r="U303" i="22"/>
  <c r="T303" i="22"/>
  <c r="S303" i="22"/>
  <c r="R303" i="22"/>
  <c r="U302" i="22"/>
  <c r="T302" i="22"/>
  <c r="S302" i="22"/>
  <c r="R302" i="22"/>
  <c r="U301" i="22"/>
  <c r="T301" i="22"/>
  <c r="S301" i="22"/>
  <c r="R301" i="22"/>
  <c r="U300" i="22"/>
  <c r="T300" i="22"/>
  <c r="S300" i="22"/>
  <c r="R300" i="22"/>
  <c r="U299" i="22"/>
  <c r="T299" i="22"/>
  <c r="S299" i="22"/>
  <c r="R299" i="22"/>
  <c r="U298" i="22"/>
  <c r="T298" i="22"/>
  <c r="S298" i="22"/>
  <c r="R298" i="22"/>
  <c r="U297" i="22"/>
  <c r="T297" i="22"/>
  <c r="S297" i="22"/>
  <c r="R297" i="22"/>
  <c r="U296" i="22"/>
  <c r="T296" i="22"/>
  <c r="S296" i="22"/>
  <c r="R296" i="22"/>
  <c r="U295" i="22"/>
  <c r="T295" i="22"/>
  <c r="S295" i="22"/>
  <c r="R295" i="22"/>
  <c r="U294" i="22"/>
  <c r="T294" i="22"/>
  <c r="S294" i="22"/>
  <c r="R294" i="22"/>
  <c r="U293" i="22"/>
  <c r="T293" i="22"/>
  <c r="S293" i="22"/>
  <c r="R293" i="22"/>
  <c r="U292" i="22"/>
  <c r="T292" i="22"/>
  <c r="S292" i="22"/>
  <c r="R292" i="22"/>
  <c r="U291" i="22"/>
  <c r="T291" i="22"/>
  <c r="S291" i="22"/>
  <c r="R291" i="22"/>
  <c r="U290" i="22"/>
  <c r="T290" i="22"/>
  <c r="S290" i="22"/>
  <c r="R290" i="22"/>
  <c r="U289" i="22"/>
  <c r="T289" i="22"/>
  <c r="S289" i="22"/>
  <c r="R289" i="22"/>
  <c r="U288" i="22"/>
  <c r="T288" i="22"/>
  <c r="S288" i="22"/>
  <c r="R288" i="22"/>
  <c r="U287" i="22"/>
  <c r="T287" i="22"/>
  <c r="S287" i="22"/>
  <c r="R287" i="22"/>
  <c r="U286" i="22"/>
  <c r="T286" i="22"/>
  <c r="S286" i="22"/>
  <c r="R286" i="22"/>
  <c r="U285" i="22"/>
  <c r="T285" i="22"/>
  <c r="S285" i="22"/>
  <c r="R285" i="22"/>
  <c r="U284" i="22"/>
  <c r="T284" i="22"/>
  <c r="S284" i="22"/>
  <c r="R284" i="22"/>
  <c r="U283" i="22"/>
  <c r="T283" i="22"/>
  <c r="S283" i="22"/>
  <c r="R283" i="22"/>
  <c r="U282" i="22"/>
  <c r="T282" i="22"/>
  <c r="S282" i="22"/>
  <c r="R282" i="22"/>
  <c r="U281" i="22"/>
  <c r="T281" i="22"/>
  <c r="S281" i="22"/>
  <c r="R281" i="22"/>
  <c r="U280" i="22"/>
  <c r="T280" i="22"/>
  <c r="S280" i="22"/>
  <c r="R280" i="22"/>
  <c r="U279" i="22"/>
  <c r="T279" i="22"/>
  <c r="S279" i="22"/>
  <c r="R279" i="22"/>
  <c r="U278" i="22"/>
  <c r="T278" i="22"/>
  <c r="S278" i="22"/>
  <c r="R278" i="22"/>
  <c r="U277" i="22"/>
  <c r="T277" i="22"/>
  <c r="S277" i="22"/>
  <c r="R277" i="22"/>
  <c r="U276" i="22"/>
  <c r="T276" i="22"/>
  <c r="S276" i="22"/>
  <c r="R276" i="22"/>
  <c r="U275" i="22"/>
  <c r="T275" i="22"/>
  <c r="S275" i="22"/>
  <c r="R275" i="22"/>
  <c r="U274" i="22"/>
  <c r="T274" i="22"/>
  <c r="S274" i="22"/>
  <c r="R274" i="22"/>
  <c r="U273" i="22"/>
  <c r="T273" i="22"/>
  <c r="S273" i="22"/>
  <c r="R273" i="22"/>
  <c r="U272" i="22"/>
  <c r="T272" i="22"/>
  <c r="S272" i="22"/>
  <c r="R272" i="22"/>
  <c r="U271" i="22"/>
  <c r="T271" i="22"/>
  <c r="S271" i="22"/>
  <c r="R271" i="22"/>
  <c r="U270" i="22"/>
  <c r="T270" i="22"/>
  <c r="S270" i="22"/>
  <c r="R270" i="22"/>
  <c r="U269" i="22"/>
  <c r="T269" i="22"/>
  <c r="S269" i="22"/>
  <c r="R269" i="22"/>
  <c r="U268" i="22"/>
  <c r="T268" i="22"/>
  <c r="S268" i="22"/>
  <c r="R268" i="22"/>
  <c r="U267" i="22"/>
  <c r="T267" i="22"/>
  <c r="S267" i="22"/>
  <c r="R267" i="22"/>
  <c r="U266" i="22"/>
  <c r="T266" i="22"/>
  <c r="S266" i="22"/>
  <c r="R266" i="22"/>
  <c r="U265" i="22"/>
  <c r="T265" i="22"/>
  <c r="S265" i="22"/>
  <c r="R265" i="22"/>
  <c r="U264" i="22"/>
  <c r="T264" i="22"/>
  <c r="S264" i="22"/>
  <c r="R264" i="22"/>
  <c r="U263" i="22"/>
  <c r="T263" i="22"/>
  <c r="S263" i="22"/>
  <c r="R263" i="22"/>
  <c r="U262" i="22"/>
  <c r="T262" i="22"/>
  <c r="S262" i="22"/>
  <c r="R262" i="22"/>
  <c r="U261" i="22"/>
  <c r="T261" i="22"/>
  <c r="S261" i="22"/>
  <c r="R261" i="22"/>
  <c r="U260" i="22"/>
  <c r="T260" i="22"/>
  <c r="S260" i="22"/>
  <c r="R260" i="22"/>
  <c r="U259" i="22"/>
  <c r="T259" i="22"/>
  <c r="S259" i="22"/>
  <c r="R259" i="22"/>
  <c r="U258" i="22"/>
  <c r="T258" i="22"/>
  <c r="S258" i="22"/>
  <c r="R258" i="22"/>
  <c r="U257" i="22"/>
  <c r="T257" i="22"/>
  <c r="S257" i="22"/>
  <c r="R257" i="22"/>
  <c r="U256" i="22"/>
  <c r="T256" i="22"/>
  <c r="S256" i="22"/>
  <c r="R256" i="22"/>
  <c r="U255" i="22"/>
  <c r="T255" i="22"/>
  <c r="S255" i="22"/>
  <c r="R255" i="22"/>
  <c r="U254" i="22"/>
  <c r="T254" i="22"/>
  <c r="S254" i="22"/>
  <c r="R254" i="22"/>
  <c r="U253" i="22"/>
  <c r="T253" i="22"/>
  <c r="S253" i="22"/>
  <c r="R253" i="22"/>
  <c r="U252" i="22"/>
  <c r="T252" i="22"/>
  <c r="S252" i="22"/>
  <c r="R252" i="22"/>
  <c r="U251" i="22"/>
  <c r="T251" i="22"/>
  <c r="S251" i="22"/>
  <c r="R251" i="22"/>
  <c r="U250" i="22"/>
  <c r="T250" i="22"/>
  <c r="S250" i="22"/>
  <c r="R250" i="22"/>
  <c r="U249" i="22"/>
  <c r="T249" i="22"/>
  <c r="S249" i="22"/>
  <c r="R249" i="22"/>
  <c r="U248" i="22"/>
  <c r="T248" i="22"/>
  <c r="S248" i="22"/>
  <c r="R248" i="22"/>
  <c r="U247" i="22"/>
  <c r="T247" i="22"/>
  <c r="S247" i="22"/>
  <c r="R247" i="22"/>
  <c r="U246" i="22"/>
  <c r="T246" i="22"/>
  <c r="S246" i="22"/>
  <c r="R246" i="22"/>
  <c r="U245" i="22"/>
  <c r="T245" i="22"/>
  <c r="S245" i="22"/>
  <c r="R245" i="22"/>
  <c r="U244" i="22"/>
  <c r="T244" i="22"/>
  <c r="S244" i="22"/>
  <c r="R244" i="22"/>
  <c r="U243" i="22"/>
  <c r="T243" i="22"/>
  <c r="S243" i="22"/>
  <c r="R243" i="22"/>
  <c r="U242" i="22"/>
  <c r="T242" i="22"/>
  <c r="S242" i="22"/>
  <c r="R242" i="22"/>
  <c r="U241" i="22"/>
  <c r="T241" i="22"/>
  <c r="S241" i="22"/>
  <c r="R241" i="22"/>
  <c r="U240" i="22"/>
  <c r="T240" i="22"/>
  <c r="S240" i="22"/>
  <c r="R240" i="22"/>
  <c r="U239" i="22"/>
  <c r="T239" i="22"/>
  <c r="S239" i="22"/>
  <c r="R239" i="22"/>
  <c r="U238" i="22"/>
  <c r="T238" i="22"/>
  <c r="S238" i="22"/>
  <c r="R238" i="22"/>
  <c r="U237" i="22"/>
  <c r="T237" i="22"/>
  <c r="S237" i="22"/>
  <c r="R237" i="22"/>
  <c r="U236" i="22"/>
  <c r="T236" i="22"/>
  <c r="S236" i="22"/>
  <c r="R236" i="22"/>
  <c r="U235" i="22"/>
  <c r="T235" i="22"/>
  <c r="S235" i="22"/>
  <c r="R235" i="22"/>
  <c r="U234" i="22"/>
  <c r="T234" i="22"/>
  <c r="S234" i="22"/>
  <c r="R234" i="22"/>
  <c r="U233" i="22"/>
  <c r="T233" i="22"/>
  <c r="S233" i="22"/>
  <c r="R233" i="22"/>
  <c r="U232" i="22"/>
  <c r="T232" i="22"/>
  <c r="S232" i="22"/>
  <c r="R232" i="22"/>
  <c r="U231" i="22"/>
  <c r="T231" i="22"/>
  <c r="S231" i="22"/>
  <c r="R231" i="22"/>
  <c r="U230" i="22"/>
  <c r="T230" i="22"/>
  <c r="S230" i="22"/>
  <c r="R230" i="22"/>
  <c r="U229" i="22"/>
  <c r="T229" i="22"/>
  <c r="S229" i="22"/>
  <c r="R229" i="22"/>
  <c r="U228" i="22"/>
  <c r="T228" i="22"/>
  <c r="S228" i="22"/>
  <c r="R228" i="22"/>
  <c r="U227" i="22"/>
  <c r="T227" i="22"/>
  <c r="S227" i="22"/>
  <c r="R227" i="22"/>
  <c r="U226" i="22"/>
  <c r="T226" i="22"/>
  <c r="S226" i="22"/>
  <c r="R226" i="22"/>
  <c r="U225" i="22"/>
  <c r="T225" i="22"/>
  <c r="S225" i="22"/>
  <c r="R225" i="22"/>
  <c r="U224" i="22"/>
  <c r="T224" i="22"/>
  <c r="S224" i="22"/>
  <c r="R224" i="22"/>
  <c r="U223" i="22"/>
  <c r="T223" i="22"/>
  <c r="S223" i="22"/>
  <c r="R223" i="22"/>
  <c r="U222" i="22"/>
  <c r="T222" i="22"/>
  <c r="S222" i="22"/>
  <c r="R222" i="22"/>
  <c r="U221" i="22"/>
  <c r="T221" i="22"/>
  <c r="S221" i="22"/>
  <c r="R221" i="22"/>
  <c r="U220" i="22"/>
  <c r="T220" i="22"/>
  <c r="S220" i="22"/>
  <c r="R220" i="22"/>
  <c r="U219" i="22"/>
  <c r="T219" i="22"/>
  <c r="S219" i="22"/>
  <c r="R219" i="22"/>
  <c r="U218" i="22"/>
  <c r="T218" i="22"/>
  <c r="S218" i="22"/>
  <c r="R218" i="22"/>
  <c r="U217" i="22"/>
  <c r="T217" i="22"/>
  <c r="S217" i="22"/>
  <c r="R217" i="22"/>
  <c r="U216" i="22"/>
  <c r="T216" i="22"/>
  <c r="S216" i="22"/>
  <c r="R216" i="22"/>
  <c r="U215" i="22"/>
  <c r="T215" i="22"/>
  <c r="S215" i="22"/>
  <c r="R215" i="22"/>
  <c r="U214" i="22"/>
  <c r="T214" i="22"/>
  <c r="S214" i="22"/>
  <c r="R214" i="22"/>
  <c r="U213" i="22"/>
  <c r="T213" i="22"/>
  <c r="S213" i="22"/>
  <c r="R213" i="22"/>
  <c r="U212" i="22"/>
  <c r="T212" i="22"/>
  <c r="S212" i="22"/>
  <c r="R212" i="22"/>
  <c r="U211" i="22"/>
  <c r="T211" i="22"/>
  <c r="S211" i="22"/>
  <c r="R211" i="22"/>
  <c r="U210" i="22"/>
  <c r="T210" i="22"/>
  <c r="S210" i="22"/>
  <c r="R210" i="22"/>
  <c r="U209" i="22"/>
  <c r="T209" i="22"/>
  <c r="S209" i="22"/>
  <c r="R209" i="22"/>
  <c r="U208" i="22"/>
  <c r="T208" i="22"/>
  <c r="S208" i="22"/>
  <c r="R208" i="22"/>
  <c r="U207" i="22"/>
  <c r="T207" i="22"/>
  <c r="S207" i="22"/>
  <c r="R207" i="22"/>
  <c r="U206" i="22"/>
  <c r="T206" i="22"/>
  <c r="S206" i="22"/>
  <c r="R206" i="22"/>
  <c r="U205" i="22"/>
  <c r="T205" i="22"/>
  <c r="S205" i="22"/>
  <c r="R205" i="22"/>
  <c r="U204" i="22"/>
  <c r="T204" i="22"/>
  <c r="S204" i="22"/>
  <c r="R204" i="22"/>
  <c r="U203" i="22"/>
  <c r="T203" i="22"/>
  <c r="S203" i="22"/>
  <c r="R203" i="22"/>
  <c r="U202" i="22"/>
  <c r="T202" i="22"/>
  <c r="S202" i="22"/>
  <c r="R202" i="22"/>
  <c r="U201" i="22"/>
  <c r="T201" i="22"/>
  <c r="S201" i="22"/>
  <c r="R201" i="22"/>
  <c r="U200" i="22"/>
  <c r="T200" i="22"/>
  <c r="S200" i="22"/>
  <c r="R200" i="22"/>
  <c r="U199" i="22"/>
  <c r="T199" i="22"/>
  <c r="S199" i="22"/>
  <c r="R199" i="22"/>
  <c r="U198" i="22"/>
  <c r="T198" i="22"/>
  <c r="S198" i="22"/>
  <c r="R198" i="22"/>
  <c r="U197" i="22"/>
  <c r="T197" i="22"/>
  <c r="S197" i="22"/>
  <c r="R197" i="22"/>
  <c r="U196" i="22"/>
  <c r="T196" i="22"/>
  <c r="S196" i="22"/>
  <c r="R196" i="22"/>
  <c r="U195" i="22"/>
  <c r="T195" i="22"/>
  <c r="S195" i="22"/>
  <c r="R195" i="22"/>
  <c r="U194" i="22"/>
  <c r="T194" i="22"/>
  <c r="S194" i="22"/>
  <c r="R194" i="22"/>
  <c r="U193" i="22"/>
  <c r="T193" i="22"/>
  <c r="S193" i="22"/>
  <c r="R193" i="22"/>
  <c r="U192" i="22"/>
  <c r="T192" i="22"/>
  <c r="S192" i="22"/>
  <c r="R192" i="22"/>
  <c r="U191" i="22"/>
  <c r="T191" i="22"/>
  <c r="S191" i="22"/>
  <c r="R191" i="22"/>
  <c r="U190" i="22"/>
  <c r="T190" i="22"/>
  <c r="S190" i="22"/>
  <c r="R190" i="22"/>
  <c r="U189" i="22"/>
  <c r="T189" i="22"/>
  <c r="S189" i="22"/>
  <c r="R189" i="22"/>
  <c r="U188" i="22"/>
  <c r="T188" i="22"/>
  <c r="S188" i="22"/>
  <c r="R188" i="22"/>
  <c r="U187" i="22"/>
  <c r="T187" i="22"/>
  <c r="S187" i="22"/>
  <c r="R187" i="22"/>
  <c r="U186" i="22"/>
  <c r="T186" i="22"/>
  <c r="S186" i="22"/>
  <c r="R186" i="22"/>
  <c r="U185" i="22"/>
  <c r="T185" i="22"/>
  <c r="S185" i="22"/>
  <c r="R185" i="22"/>
  <c r="U184" i="22"/>
  <c r="T184" i="22"/>
  <c r="S184" i="22"/>
  <c r="R184" i="22"/>
  <c r="U183" i="22"/>
  <c r="T183" i="22"/>
  <c r="S183" i="22"/>
  <c r="R183" i="22"/>
  <c r="U182" i="22"/>
  <c r="T182" i="22"/>
  <c r="S182" i="22"/>
  <c r="R182" i="22"/>
  <c r="U181" i="22"/>
  <c r="T181" i="22"/>
  <c r="S181" i="22"/>
  <c r="R181" i="22"/>
  <c r="U180" i="22"/>
  <c r="T180" i="22"/>
  <c r="S180" i="22"/>
  <c r="R180" i="22"/>
  <c r="U179" i="22"/>
  <c r="T179" i="22"/>
  <c r="S179" i="22"/>
  <c r="R179" i="22"/>
  <c r="U178" i="22"/>
  <c r="T178" i="22"/>
  <c r="S178" i="22"/>
  <c r="R178" i="22"/>
  <c r="U177" i="22"/>
  <c r="T177" i="22"/>
  <c r="S177" i="22"/>
  <c r="R177" i="22"/>
  <c r="U176" i="22"/>
  <c r="T176" i="22"/>
  <c r="S176" i="22"/>
  <c r="R176" i="22"/>
  <c r="U175" i="22"/>
  <c r="T175" i="22"/>
  <c r="S175" i="22"/>
  <c r="R175" i="22"/>
  <c r="U174" i="22"/>
  <c r="T174" i="22"/>
  <c r="S174" i="22"/>
  <c r="R174" i="22"/>
  <c r="U173" i="22"/>
  <c r="T173" i="22"/>
  <c r="S173" i="22"/>
  <c r="R173" i="22"/>
  <c r="U172" i="22"/>
  <c r="T172" i="22"/>
  <c r="S172" i="22"/>
  <c r="R172" i="22"/>
  <c r="U171" i="22"/>
  <c r="T171" i="22"/>
  <c r="S171" i="22"/>
  <c r="R171" i="22"/>
  <c r="U170" i="22"/>
  <c r="T170" i="22"/>
  <c r="S170" i="22"/>
  <c r="R170" i="22"/>
  <c r="U169" i="22"/>
  <c r="T169" i="22"/>
  <c r="S169" i="22"/>
  <c r="R169" i="22"/>
  <c r="U168" i="22"/>
  <c r="T168" i="22"/>
  <c r="S168" i="22"/>
  <c r="R168" i="22"/>
  <c r="U167" i="22"/>
  <c r="T167" i="22"/>
  <c r="S167" i="22"/>
  <c r="R167" i="22"/>
  <c r="U166" i="22"/>
  <c r="T166" i="22"/>
  <c r="S166" i="22"/>
  <c r="R166" i="22"/>
  <c r="U165" i="22"/>
  <c r="T165" i="22"/>
  <c r="S165" i="22"/>
  <c r="R165" i="22"/>
  <c r="U164" i="22"/>
  <c r="T164" i="22"/>
  <c r="S164" i="22"/>
  <c r="R164" i="22"/>
  <c r="U163" i="22"/>
  <c r="T163" i="22"/>
  <c r="S163" i="22"/>
  <c r="R163" i="22"/>
  <c r="U162" i="22"/>
  <c r="T162" i="22"/>
  <c r="S162" i="22"/>
  <c r="R162" i="22"/>
  <c r="U161" i="22"/>
  <c r="T161" i="22"/>
  <c r="S161" i="22"/>
  <c r="R161" i="22"/>
  <c r="U160" i="22"/>
  <c r="T160" i="22"/>
  <c r="S160" i="22"/>
  <c r="R160" i="22"/>
  <c r="U159" i="22"/>
  <c r="T159" i="22"/>
  <c r="S159" i="22"/>
  <c r="R159" i="22"/>
  <c r="U158" i="22"/>
  <c r="T158" i="22"/>
  <c r="S158" i="22"/>
  <c r="R158" i="22"/>
  <c r="U157" i="22"/>
  <c r="T157" i="22"/>
  <c r="S157" i="22"/>
  <c r="R157" i="22"/>
  <c r="U156" i="22"/>
  <c r="S156" i="22"/>
  <c r="R156" i="22"/>
  <c r="U155" i="22"/>
  <c r="T155" i="22"/>
  <c r="S155" i="22"/>
  <c r="R155" i="22"/>
  <c r="U154" i="22"/>
  <c r="T154" i="22"/>
  <c r="S154" i="22"/>
  <c r="R154" i="22"/>
  <c r="U153" i="22"/>
  <c r="T153" i="22"/>
  <c r="S153" i="22"/>
  <c r="R153" i="22"/>
  <c r="U152" i="22"/>
  <c r="T152" i="22"/>
  <c r="S152" i="22"/>
  <c r="R152" i="22"/>
  <c r="U151" i="22"/>
  <c r="T151" i="22"/>
  <c r="S151" i="22"/>
  <c r="R151" i="22"/>
  <c r="U150" i="22"/>
  <c r="T150" i="22"/>
  <c r="S150" i="22"/>
  <c r="R150" i="22"/>
  <c r="U149" i="22"/>
  <c r="T149" i="22"/>
  <c r="S149" i="22"/>
  <c r="R149" i="22"/>
  <c r="U148" i="22"/>
  <c r="T148" i="22"/>
  <c r="S148" i="22"/>
  <c r="R148" i="22"/>
  <c r="U147" i="22"/>
  <c r="T147" i="22"/>
  <c r="S147" i="22"/>
  <c r="R147" i="22"/>
  <c r="U146" i="22"/>
  <c r="T146" i="22"/>
  <c r="S146" i="22"/>
  <c r="R146" i="22"/>
  <c r="U145" i="22"/>
  <c r="T145" i="22"/>
  <c r="S145" i="22"/>
  <c r="R145" i="22"/>
  <c r="U144" i="22"/>
  <c r="T144" i="22"/>
  <c r="S144" i="22"/>
  <c r="R144" i="22"/>
  <c r="U143" i="22"/>
  <c r="T143" i="22"/>
  <c r="S143" i="22"/>
  <c r="R143" i="22"/>
  <c r="U142" i="22"/>
  <c r="T142" i="22"/>
  <c r="S142" i="22"/>
  <c r="R142" i="22"/>
  <c r="U141" i="22"/>
  <c r="T141" i="22"/>
  <c r="S141" i="22"/>
  <c r="R141" i="22"/>
  <c r="U140" i="22"/>
  <c r="T140" i="22"/>
  <c r="S140" i="22"/>
  <c r="R140" i="22"/>
  <c r="U139" i="22"/>
  <c r="T139" i="22"/>
  <c r="S139" i="22"/>
  <c r="R139" i="22"/>
  <c r="U138" i="22"/>
  <c r="T138" i="22"/>
  <c r="S138" i="22"/>
  <c r="R138" i="22"/>
  <c r="U137" i="22"/>
  <c r="T137" i="22"/>
  <c r="S137" i="22"/>
  <c r="R137" i="22"/>
  <c r="U136" i="22"/>
  <c r="T136" i="22"/>
  <c r="S136" i="22"/>
  <c r="R136" i="22"/>
  <c r="U135" i="22"/>
  <c r="T135" i="22"/>
  <c r="S135" i="22"/>
  <c r="R135" i="22"/>
  <c r="U134" i="22"/>
  <c r="T134" i="22"/>
  <c r="S134" i="22"/>
  <c r="R134" i="22"/>
  <c r="U133" i="22"/>
  <c r="T133" i="22"/>
  <c r="S133" i="22"/>
  <c r="R133" i="22"/>
  <c r="U132" i="22"/>
  <c r="T132" i="22"/>
  <c r="S132" i="22"/>
  <c r="R132" i="22"/>
  <c r="U131" i="22"/>
  <c r="T131" i="22"/>
  <c r="S131" i="22"/>
  <c r="R131" i="22"/>
  <c r="U130" i="22"/>
  <c r="T130" i="22"/>
  <c r="S130" i="22"/>
  <c r="R130" i="22"/>
  <c r="U129" i="22"/>
  <c r="T129" i="22"/>
  <c r="S129" i="22"/>
  <c r="R129" i="22"/>
  <c r="U128" i="22"/>
  <c r="T128" i="22"/>
  <c r="S128" i="22"/>
  <c r="R128" i="22"/>
  <c r="U127" i="22"/>
  <c r="T127" i="22"/>
  <c r="S127" i="22"/>
  <c r="R127" i="22"/>
  <c r="U126" i="22"/>
  <c r="T126" i="22"/>
  <c r="S126" i="22"/>
  <c r="R126" i="22"/>
  <c r="U125" i="22"/>
  <c r="T125" i="22"/>
  <c r="S125" i="22"/>
  <c r="R125" i="22"/>
  <c r="U124" i="22"/>
  <c r="T124" i="22"/>
  <c r="S124" i="22"/>
  <c r="R124" i="22"/>
  <c r="U123" i="22"/>
  <c r="T123" i="22"/>
  <c r="S123" i="22"/>
  <c r="R123" i="22"/>
  <c r="U122" i="22"/>
  <c r="T122" i="22"/>
  <c r="S122" i="22"/>
  <c r="R122" i="22"/>
  <c r="U121" i="22"/>
  <c r="T121" i="22"/>
  <c r="S121" i="22"/>
  <c r="R121" i="22"/>
  <c r="U120" i="22"/>
  <c r="T120" i="22"/>
  <c r="S120" i="22"/>
  <c r="R120" i="22"/>
  <c r="U119" i="22"/>
  <c r="T119" i="22"/>
  <c r="S119" i="22"/>
  <c r="R119" i="22"/>
  <c r="U118" i="22"/>
  <c r="T118" i="22"/>
  <c r="S118" i="22"/>
  <c r="R118" i="22"/>
  <c r="U117" i="22"/>
  <c r="T117" i="22"/>
  <c r="S117" i="22"/>
  <c r="R117" i="22"/>
  <c r="U116" i="22"/>
  <c r="T116" i="22"/>
  <c r="S116" i="22"/>
  <c r="R116" i="22"/>
  <c r="U115" i="22"/>
  <c r="T115" i="22"/>
  <c r="S115" i="22"/>
  <c r="R115" i="22"/>
  <c r="U114" i="22"/>
  <c r="T114" i="22"/>
  <c r="S114" i="22"/>
  <c r="R114" i="22"/>
  <c r="U113" i="22"/>
  <c r="T113" i="22"/>
  <c r="S113" i="22"/>
  <c r="R113" i="22"/>
  <c r="U112" i="22"/>
  <c r="T112" i="22"/>
  <c r="S112" i="22"/>
  <c r="R112" i="22"/>
  <c r="U111" i="22"/>
  <c r="T111" i="22"/>
  <c r="S111" i="22"/>
  <c r="R111" i="22"/>
  <c r="U110" i="22"/>
  <c r="T110" i="22"/>
  <c r="S110" i="22"/>
  <c r="R110" i="22"/>
  <c r="U109" i="22"/>
  <c r="T109" i="22"/>
  <c r="S109" i="22"/>
  <c r="R109" i="22"/>
  <c r="U108" i="22"/>
  <c r="T108" i="22"/>
  <c r="S108" i="22"/>
  <c r="R108" i="22"/>
  <c r="U107" i="22"/>
  <c r="T107" i="22"/>
  <c r="S107" i="22"/>
  <c r="R107" i="22"/>
  <c r="U106" i="22"/>
  <c r="T106" i="22"/>
  <c r="S106" i="22"/>
  <c r="R106" i="22"/>
  <c r="U105" i="22"/>
  <c r="T105" i="22"/>
  <c r="S105" i="22"/>
  <c r="R105" i="22"/>
  <c r="U104" i="22"/>
  <c r="T104" i="22"/>
  <c r="S104" i="22"/>
  <c r="R104" i="22"/>
  <c r="U103" i="22"/>
  <c r="T103" i="22"/>
  <c r="S103" i="22"/>
  <c r="R103" i="22"/>
  <c r="U102" i="22"/>
  <c r="T102" i="22"/>
  <c r="S102" i="22"/>
  <c r="R102" i="22"/>
  <c r="U101" i="22"/>
  <c r="T101" i="22"/>
  <c r="S101" i="22"/>
  <c r="R101" i="22"/>
  <c r="U100" i="22"/>
  <c r="T100" i="22"/>
  <c r="S100" i="22"/>
  <c r="R100" i="22"/>
  <c r="U99" i="22"/>
  <c r="T99" i="22"/>
  <c r="S99" i="22"/>
  <c r="R99" i="22"/>
  <c r="U98" i="22"/>
  <c r="T98" i="22"/>
  <c r="S98" i="22"/>
  <c r="R98" i="22"/>
  <c r="U97" i="22"/>
  <c r="T97" i="22"/>
  <c r="S97" i="22"/>
  <c r="R97" i="22"/>
  <c r="U96" i="22"/>
  <c r="T96" i="22"/>
  <c r="S96" i="22"/>
  <c r="R96" i="22"/>
  <c r="U95" i="22"/>
  <c r="T95" i="22"/>
  <c r="S95" i="22"/>
  <c r="R95" i="22"/>
  <c r="U94" i="22"/>
  <c r="T94" i="22"/>
  <c r="S94" i="22"/>
  <c r="R94" i="22"/>
  <c r="U93" i="22"/>
  <c r="T93" i="22"/>
  <c r="S93" i="22"/>
  <c r="R93" i="22"/>
  <c r="U92" i="22"/>
  <c r="T92" i="22"/>
  <c r="S92" i="22"/>
  <c r="R92" i="22"/>
  <c r="U91" i="22"/>
  <c r="T91" i="22"/>
  <c r="S91" i="22"/>
  <c r="R91" i="22"/>
  <c r="U90" i="22"/>
  <c r="T90" i="22"/>
  <c r="S90" i="22"/>
  <c r="R90" i="22"/>
  <c r="U89" i="22"/>
  <c r="T89" i="22"/>
  <c r="S89" i="22"/>
  <c r="R89" i="22"/>
  <c r="U88" i="22"/>
  <c r="T88" i="22"/>
  <c r="S88" i="22"/>
  <c r="R88" i="22"/>
  <c r="U87" i="22"/>
  <c r="T87" i="22"/>
  <c r="S87" i="22"/>
  <c r="R87" i="22"/>
  <c r="U86" i="22"/>
  <c r="T86" i="22"/>
  <c r="S86" i="22"/>
  <c r="R86" i="22"/>
  <c r="U85" i="22"/>
  <c r="T85" i="22"/>
  <c r="S85" i="22"/>
  <c r="R85" i="22"/>
  <c r="U84" i="22"/>
  <c r="T84" i="22"/>
  <c r="S84" i="22"/>
  <c r="R84" i="22"/>
  <c r="U83" i="22"/>
  <c r="T83" i="22"/>
  <c r="S83" i="22"/>
  <c r="R83" i="22"/>
  <c r="U82" i="22"/>
  <c r="T82" i="22"/>
  <c r="S82" i="22"/>
  <c r="R82" i="22"/>
  <c r="U81" i="22"/>
  <c r="T81" i="22"/>
  <c r="S81" i="22"/>
  <c r="R81" i="22"/>
  <c r="U80" i="22"/>
  <c r="T80" i="22"/>
  <c r="S80" i="22"/>
  <c r="R80" i="22"/>
  <c r="U79" i="22"/>
  <c r="T79" i="22"/>
  <c r="S79" i="22"/>
  <c r="R79" i="22"/>
  <c r="U78" i="22"/>
  <c r="T78" i="22"/>
  <c r="S78" i="22"/>
  <c r="R78" i="22"/>
  <c r="U77" i="22"/>
  <c r="T77" i="22"/>
  <c r="S77" i="22"/>
  <c r="R77" i="22"/>
  <c r="U76" i="22"/>
  <c r="T76" i="22"/>
  <c r="S76" i="22"/>
  <c r="R76" i="22"/>
  <c r="U75" i="22"/>
  <c r="T75" i="22"/>
  <c r="S75" i="22"/>
  <c r="R75" i="22"/>
  <c r="U74" i="22"/>
  <c r="T74" i="22"/>
  <c r="S74" i="22"/>
  <c r="R74" i="22"/>
  <c r="U73" i="22"/>
  <c r="T73" i="22"/>
  <c r="S73" i="22"/>
  <c r="R73" i="22"/>
  <c r="U72" i="22"/>
  <c r="T72" i="22"/>
  <c r="S72" i="22"/>
  <c r="R72" i="22"/>
  <c r="U71" i="22"/>
  <c r="T71" i="22"/>
  <c r="S71" i="22"/>
  <c r="R71" i="22"/>
  <c r="U70" i="22"/>
  <c r="T70" i="22"/>
  <c r="S70" i="22"/>
  <c r="R70" i="22"/>
  <c r="U69" i="22"/>
  <c r="T69" i="22"/>
  <c r="S69" i="22"/>
  <c r="R69" i="22"/>
  <c r="U68" i="22"/>
  <c r="T68" i="22"/>
  <c r="S68" i="22"/>
  <c r="R68" i="22"/>
  <c r="U67" i="22"/>
  <c r="T67" i="22"/>
  <c r="S67" i="22"/>
  <c r="R67" i="22"/>
  <c r="U66" i="22"/>
  <c r="T66" i="22"/>
  <c r="S66" i="22"/>
  <c r="R66" i="22"/>
  <c r="U65" i="22"/>
  <c r="T65" i="22"/>
  <c r="S65" i="22"/>
  <c r="R65" i="22"/>
  <c r="U64" i="22"/>
  <c r="T64" i="22"/>
  <c r="S64" i="22"/>
  <c r="R64" i="22"/>
  <c r="U63" i="22"/>
  <c r="T63" i="22"/>
  <c r="S63" i="22"/>
  <c r="R63" i="22"/>
  <c r="U62" i="22"/>
  <c r="T62" i="22"/>
  <c r="S62" i="22"/>
  <c r="R62" i="22"/>
  <c r="U61" i="22"/>
  <c r="T61" i="22"/>
  <c r="S61" i="22"/>
  <c r="R61" i="22"/>
  <c r="U60" i="22"/>
  <c r="T60" i="22"/>
  <c r="S60" i="22"/>
  <c r="R60" i="22"/>
  <c r="U59" i="22"/>
  <c r="T59" i="22"/>
  <c r="S59" i="22"/>
  <c r="R59" i="22"/>
  <c r="U58" i="22"/>
  <c r="T58" i="22"/>
  <c r="S58" i="22"/>
  <c r="R58" i="22"/>
  <c r="U57" i="22"/>
  <c r="T57" i="22"/>
  <c r="S57" i="22"/>
  <c r="R57" i="22"/>
  <c r="U56" i="22"/>
  <c r="T56" i="22"/>
  <c r="S56" i="22"/>
  <c r="R56" i="22"/>
  <c r="U55" i="22"/>
  <c r="T55" i="22"/>
  <c r="S55" i="22"/>
  <c r="R55" i="22"/>
  <c r="U54" i="22"/>
  <c r="T54" i="22"/>
  <c r="S54" i="22"/>
  <c r="R54" i="22"/>
  <c r="U53" i="22"/>
  <c r="T53" i="22"/>
  <c r="S53" i="22"/>
  <c r="R53" i="22"/>
  <c r="U52" i="22"/>
  <c r="T52" i="22"/>
  <c r="S52" i="22"/>
  <c r="R52" i="22"/>
  <c r="U51" i="22"/>
  <c r="T51" i="22"/>
  <c r="S51" i="22"/>
  <c r="R51" i="22"/>
  <c r="U50" i="22"/>
  <c r="T50" i="22"/>
  <c r="S50" i="22"/>
  <c r="R50" i="22"/>
  <c r="U49" i="22"/>
  <c r="T49" i="22"/>
  <c r="S49" i="22"/>
  <c r="R49" i="22"/>
  <c r="U48" i="22"/>
  <c r="T48" i="22"/>
  <c r="S48" i="22"/>
  <c r="R48" i="22"/>
  <c r="U47" i="22"/>
  <c r="T47" i="22"/>
  <c r="S47" i="22"/>
  <c r="R47" i="22"/>
  <c r="U46" i="22"/>
  <c r="T46" i="22"/>
  <c r="S46" i="22"/>
  <c r="R46" i="22"/>
  <c r="U45" i="22"/>
  <c r="T45" i="22"/>
  <c r="S45" i="22"/>
  <c r="R45" i="22"/>
  <c r="U44" i="22"/>
  <c r="T44" i="22"/>
  <c r="S44" i="22"/>
  <c r="R44" i="22"/>
  <c r="U43" i="22"/>
  <c r="T43" i="22"/>
  <c r="S43" i="22"/>
  <c r="R43" i="22"/>
  <c r="U42" i="22"/>
  <c r="T42" i="22"/>
  <c r="S42" i="22"/>
  <c r="R42" i="22"/>
  <c r="U41" i="22"/>
  <c r="T41" i="22"/>
  <c r="S41" i="22"/>
  <c r="R41" i="22"/>
  <c r="U40" i="22"/>
  <c r="T40" i="22"/>
  <c r="S40" i="22"/>
  <c r="R40" i="22"/>
  <c r="U39" i="22"/>
  <c r="T39" i="22"/>
  <c r="S39" i="22"/>
  <c r="R39" i="22"/>
  <c r="U38" i="22"/>
  <c r="T38" i="22"/>
  <c r="S38" i="22"/>
  <c r="R38" i="22"/>
  <c r="U37" i="22"/>
  <c r="T37" i="22"/>
  <c r="S37" i="22"/>
  <c r="R37" i="22"/>
  <c r="U36" i="22"/>
  <c r="T36" i="22"/>
  <c r="S36" i="22"/>
  <c r="R36" i="22"/>
  <c r="U35" i="22"/>
  <c r="T35" i="22"/>
  <c r="S35" i="22"/>
  <c r="R35" i="22"/>
  <c r="U34" i="22"/>
  <c r="T34" i="22"/>
  <c r="S34" i="22"/>
  <c r="R34" i="22"/>
  <c r="U33" i="22"/>
  <c r="T33" i="22"/>
  <c r="S33" i="22"/>
  <c r="R33" i="22"/>
  <c r="U32" i="22"/>
  <c r="T32" i="22"/>
  <c r="S32" i="22"/>
  <c r="R32" i="22"/>
  <c r="U31" i="22"/>
  <c r="T31" i="22"/>
  <c r="S31" i="22"/>
  <c r="R31" i="22"/>
  <c r="U30" i="22"/>
  <c r="T30" i="22"/>
  <c r="S30" i="22"/>
  <c r="R30" i="22"/>
  <c r="U29" i="22"/>
  <c r="T29" i="22"/>
  <c r="S29" i="22"/>
  <c r="R29" i="22"/>
  <c r="U28" i="22"/>
  <c r="T28" i="22"/>
  <c r="S28" i="22"/>
  <c r="R28" i="22"/>
  <c r="U27" i="22"/>
  <c r="T27" i="22"/>
  <c r="S27" i="22"/>
  <c r="R27" i="22"/>
  <c r="U26" i="22"/>
  <c r="T26" i="22"/>
  <c r="S26" i="22"/>
  <c r="R26" i="22"/>
  <c r="U25" i="22"/>
  <c r="T25" i="22"/>
  <c r="S25" i="22"/>
  <c r="R25" i="22"/>
  <c r="U24" i="22"/>
  <c r="T24" i="22"/>
  <c r="S24" i="22"/>
  <c r="R24" i="22"/>
  <c r="U23" i="22"/>
  <c r="T23" i="22"/>
  <c r="S23" i="22"/>
  <c r="R23" i="22"/>
  <c r="U22" i="22"/>
  <c r="T22" i="22"/>
  <c r="S22" i="22"/>
  <c r="R22" i="22"/>
  <c r="U21" i="22"/>
  <c r="T21" i="22"/>
  <c r="S21" i="22"/>
  <c r="R21" i="22"/>
  <c r="U20" i="22"/>
  <c r="T20" i="22"/>
  <c r="S20" i="22"/>
  <c r="R20" i="22"/>
  <c r="U19" i="22"/>
  <c r="T19" i="22"/>
  <c r="S19" i="22"/>
  <c r="R19" i="22"/>
  <c r="U18" i="22"/>
  <c r="T18" i="22"/>
  <c r="S18" i="22"/>
  <c r="R18" i="22"/>
  <c r="U17" i="22"/>
  <c r="T17" i="22"/>
  <c r="S17" i="22"/>
  <c r="R17" i="22"/>
  <c r="U16" i="22"/>
  <c r="T16" i="22"/>
  <c r="S16" i="22"/>
  <c r="R16" i="22"/>
  <c r="U15" i="22"/>
  <c r="T15" i="22"/>
  <c r="S15" i="22"/>
  <c r="R15" i="22"/>
  <c r="U14" i="22"/>
  <c r="T14" i="22"/>
  <c r="S14" i="22"/>
  <c r="R14" i="22"/>
  <c r="U13" i="22"/>
  <c r="T13" i="22"/>
  <c r="S13" i="22"/>
  <c r="R13" i="22"/>
  <c r="U12" i="22"/>
  <c r="T12" i="22"/>
  <c r="S12" i="22"/>
  <c r="R12" i="22"/>
  <c r="U11" i="22"/>
  <c r="T11" i="22"/>
  <c r="S11" i="22"/>
  <c r="R11" i="22"/>
  <c r="U10" i="22"/>
  <c r="T10" i="22"/>
  <c r="S10" i="22"/>
  <c r="R10" i="22"/>
  <c r="U9" i="22"/>
  <c r="T9" i="22"/>
  <c r="S9" i="22"/>
  <c r="R9" i="22"/>
  <c r="U8" i="22"/>
  <c r="T8" i="22"/>
  <c r="S8" i="22"/>
  <c r="R8" i="22"/>
  <c r="U7" i="22"/>
  <c r="T7" i="22"/>
  <c r="S7" i="22"/>
  <c r="R7" i="22"/>
  <c r="U6" i="22"/>
  <c r="T6" i="22"/>
  <c r="S6" i="22"/>
  <c r="R6" i="22"/>
  <c r="U5" i="22"/>
  <c r="T5" i="22"/>
  <c r="S5" i="22"/>
  <c r="R5" i="22"/>
  <c r="U4" i="22"/>
  <c r="T4" i="22"/>
  <c r="S4" i="22"/>
  <c r="R4" i="22"/>
  <c r="U3" i="22"/>
  <c r="T3" i="22"/>
  <c r="S3" i="22"/>
  <c r="R3" i="22"/>
  <c r="U2" i="22"/>
  <c r="T2" i="22"/>
  <c r="S2" i="22"/>
  <c r="R2" i="22"/>
  <c r="T156" i="22"/>
  <c r="U509" i="22"/>
  <c r="T509" i="22"/>
  <c r="S509" i="22"/>
  <c r="R509" i="22"/>
  <c r="U508" i="22"/>
  <c r="T508" i="22"/>
  <c r="S508" i="22"/>
  <c r="R508" i="22"/>
  <c r="U507" i="22"/>
  <c r="T507" i="22"/>
  <c r="S507" i="22"/>
  <c r="R507" i="22"/>
  <c r="U506" i="22"/>
  <c r="T506" i="22"/>
  <c r="S506" i="22"/>
  <c r="R506" i="22"/>
  <c r="U505" i="22"/>
  <c r="T505" i="22"/>
  <c r="S505" i="22"/>
  <c r="R505" i="22"/>
  <c r="U504" i="22"/>
  <c r="T504" i="22"/>
  <c r="S504" i="22"/>
  <c r="R504" i="22"/>
  <c r="U503" i="22"/>
  <c r="T503" i="22"/>
  <c r="S503" i="22"/>
  <c r="R503" i="22"/>
  <c r="U502" i="22"/>
  <c r="T502" i="22"/>
  <c r="S502" i="22"/>
  <c r="R502" i="22"/>
  <c r="U501" i="22"/>
  <c r="T501" i="22"/>
  <c r="S501" i="22"/>
  <c r="R501" i="22"/>
  <c r="U500" i="22"/>
  <c r="T500" i="22"/>
  <c r="S500" i="22"/>
  <c r="R500" i="22"/>
  <c r="U499" i="22"/>
  <c r="T499" i="22"/>
  <c r="S499" i="22"/>
  <c r="R499" i="22"/>
  <c r="U498" i="22"/>
  <c r="T498" i="22"/>
  <c r="S498" i="22"/>
  <c r="R498" i="22"/>
  <c r="U497" i="22"/>
  <c r="T497" i="22"/>
  <c r="S497" i="22"/>
  <c r="R497" i="22"/>
  <c r="U496" i="22"/>
  <c r="T496" i="22"/>
  <c r="S496" i="22"/>
  <c r="R496" i="22"/>
  <c r="U495" i="22"/>
  <c r="T495" i="22"/>
  <c r="S495" i="22"/>
  <c r="R495" i="22"/>
  <c r="U494" i="22"/>
  <c r="T494" i="22"/>
  <c r="S494" i="22"/>
  <c r="R494" i="22"/>
  <c r="U493" i="22"/>
  <c r="T493" i="22"/>
  <c r="S493" i="22"/>
  <c r="R493" i="22"/>
  <c r="U492" i="22"/>
  <c r="T492" i="22"/>
  <c r="S492" i="22"/>
  <c r="R492" i="22"/>
  <c r="U491" i="22"/>
  <c r="T491" i="22"/>
  <c r="S491" i="22"/>
  <c r="R491" i="22"/>
  <c r="U490" i="22"/>
  <c r="T490" i="22"/>
  <c r="S490" i="22"/>
  <c r="R490" i="22"/>
  <c r="U489" i="22"/>
  <c r="T489" i="22"/>
  <c r="S489" i="22"/>
  <c r="R489" i="22"/>
  <c r="U488" i="22"/>
  <c r="T488" i="22"/>
  <c r="S488" i="22"/>
  <c r="R488" i="22"/>
  <c r="U487" i="22"/>
  <c r="T487" i="22"/>
  <c r="S487" i="22"/>
  <c r="R487" i="22"/>
  <c r="U486" i="22"/>
  <c r="T486" i="22"/>
  <c r="S486" i="22"/>
  <c r="R486" i="22"/>
  <c r="U485" i="22"/>
  <c r="T485" i="22"/>
  <c r="S485" i="22"/>
  <c r="R485" i="22"/>
  <c r="U484" i="22"/>
  <c r="T484" i="22"/>
  <c r="S484" i="22"/>
  <c r="R484" i="22"/>
  <c r="U483" i="22"/>
  <c r="T483" i="22"/>
  <c r="S483" i="22"/>
  <c r="R483" i="22"/>
  <c r="U482" i="22"/>
  <c r="T482" i="22"/>
  <c r="S482" i="22"/>
  <c r="R482" i="22"/>
  <c r="U481" i="22"/>
  <c r="T481" i="22"/>
  <c r="S481" i="22"/>
  <c r="R481" i="22"/>
  <c r="U480" i="22"/>
  <c r="T480" i="22"/>
  <c r="S480" i="22"/>
  <c r="R480" i="22"/>
  <c r="U479" i="22"/>
  <c r="T479" i="22"/>
  <c r="S479" i="22"/>
  <c r="R479" i="22"/>
  <c r="U478" i="22"/>
  <c r="T478" i="22"/>
  <c r="S478" i="22"/>
  <c r="R478" i="22"/>
  <c r="U477" i="22"/>
  <c r="T477" i="22"/>
  <c r="S477" i="22"/>
  <c r="R477" i="22"/>
  <c r="U476" i="22"/>
  <c r="T476" i="22"/>
  <c r="S476" i="22"/>
  <c r="R476" i="22"/>
  <c r="U475" i="22"/>
  <c r="T475" i="22"/>
  <c r="S475" i="22"/>
  <c r="R475" i="22"/>
  <c r="U474" i="22"/>
  <c r="T474" i="22"/>
  <c r="S474" i="22"/>
  <c r="R474" i="22"/>
  <c r="U473" i="22"/>
  <c r="T473" i="22"/>
  <c r="S473" i="22"/>
  <c r="R473" i="22"/>
  <c r="U472" i="22"/>
  <c r="T472" i="22"/>
  <c r="S472" i="22"/>
  <c r="R472" i="22"/>
  <c r="U471" i="22"/>
  <c r="T471" i="22"/>
  <c r="S471" i="22"/>
  <c r="R471" i="22"/>
  <c r="U470" i="22"/>
  <c r="T470" i="22"/>
  <c r="S470" i="22"/>
  <c r="R470" i="22"/>
  <c r="U469" i="22"/>
  <c r="T469" i="22"/>
  <c r="S469" i="22"/>
  <c r="R469" i="22"/>
  <c r="U468" i="22"/>
  <c r="T468" i="22"/>
  <c r="S468" i="22"/>
  <c r="R468" i="22"/>
  <c r="U467" i="22"/>
  <c r="T467" i="22"/>
  <c r="S467" i="22"/>
  <c r="R467" i="22"/>
  <c r="U466" i="22"/>
  <c r="T466" i="22"/>
  <c r="S466" i="22"/>
  <c r="R466" i="22"/>
  <c r="U465" i="22"/>
  <c r="T465" i="22"/>
  <c r="S465" i="22"/>
  <c r="R465" i="22"/>
  <c r="U464" i="22"/>
  <c r="T464" i="22"/>
  <c r="S464" i="22"/>
  <c r="R464" i="22"/>
  <c r="U463" i="22"/>
  <c r="T463" i="22"/>
  <c r="S463" i="22"/>
  <c r="R463" i="22"/>
  <c r="U462" i="22"/>
  <c r="T462" i="22"/>
  <c r="S462" i="22"/>
  <c r="R462" i="22"/>
  <c r="U461" i="22"/>
  <c r="T461" i="22"/>
  <c r="S461" i="22"/>
  <c r="R461" i="22"/>
  <c r="U460" i="22"/>
  <c r="T460" i="22"/>
  <c r="S460" i="22"/>
  <c r="R460" i="22"/>
  <c r="U459" i="22"/>
  <c r="T459" i="22"/>
  <c r="S459" i="22"/>
  <c r="R459" i="22"/>
  <c r="U458" i="22"/>
  <c r="T458" i="22"/>
  <c r="S458" i="22"/>
  <c r="R458" i="22"/>
  <c r="U457" i="22"/>
  <c r="T457" i="22"/>
  <c r="S457" i="22"/>
  <c r="R457" i="22"/>
  <c r="U456" i="22"/>
  <c r="T456" i="22"/>
  <c r="S456" i="22"/>
  <c r="R456" i="22"/>
  <c r="U455" i="22"/>
  <c r="T455" i="22"/>
  <c r="S455" i="22"/>
  <c r="R455" i="22"/>
  <c r="U454" i="22"/>
  <c r="T454" i="22"/>
  <c r="S454" i="22"/>
  <c r="R454" i="22"/>
  <c r="U453" i="22"/>
  <c r="T453" i="22"/>
  <c r="S453" i="22"/>
  <c r="R453" i="22"/>
  <c r="U452" i="22"/>
  <c r="T452" i="22"/>
  <c r="S452" i="22"/>
  <c r="R452" i="22"/>
  <c r="U451" i="22"/>
  <c r="T451" i="22"/>
  <c r="S451" i="22"/>
  <c r="R451" i="22"/>
  <c r="U450" i="22"/>
  <c r="T450" i="22"/>
  <c r="S450" i="22"/>
  <c r="R450" i="22"/>
  <c r="U449" i="22"/>
  <c r="T449" i="22"/>
  <c r="S449" i="22"/>
  <c r="R449" i="22"/>
  <c r="U448" i="22"/>
  <c r="T448" i="22"/>
  <c r="S448" i="22"/>
  <c r="R448" i="22"/>
  <c r="U447" i="22"/>
  <c r="T447" i="22"/>
  <c r="S447" i="22"/>
  <c r="R447" i="22"/>
  <c r="U446" i="22"/>
  <c r="T446" i="22"/>
  <c r="S446" i="22"/>
  <c r="R446" i="22"/>
  <c r="U445" i="22"/>
  <c r="T445" i="22"/>
  <c r="S445" i="22"/>
  <c r="R445" i="22"/>
  <c r="U444" i="22"/>
  <c r="T444" i="22"/>
  <c r="S444" i="22"/>
  <c r="R444" i="22"/>
  <c r="U443" i="22"/>
  <c r="T443" i="22"/>
  <c r="S443" i="22"/>
  <c r="R443" i="22"/>
  <c r="U442" i="22"/>
  <c r="T442" i="22"/>
  <c r="S442" i="22"/>
  <c r="R442" i="22"/>
  <c r="U441" i="22"/>
  <c r="T441" i="22"/>
  <c r="S441" i="22"/>
  <c r="R441" i="22"/>
  <c r="U440" i="22"/>
  <c r="T440" i="22"/>
  <c r="S440" i="22"/>
  <c r="R440" i="22"/>
  <c r="U439" i="22"/>
  <c r="T439" i="22"/>
  <c r="S439" i="22"/>
  <c r="R439" i="22"/>
  <c r="U438" i="22"/>
  <c r="T438" i="22"/>
  <c r="S438" i="22"/>
  <c r="R438" i="22"/>
  <c r="U437" i="22"/>
  <c r="T437" i="22"/>
  <c r="S437" i="22"/>
  <c r="R437" i="22"/>
  <c r="U436" i="22"/>
  <c r="T436" i="22"/>
  <c r="S436" i="22"/>
  <c r="R436" i="22"/>
  <c r="U435" i="22"/>
  <c r="T435" i="22"/>
  <c r="S435" i="22"/>
  <c r="R435" i="22"/>
  <c r="U434" i="22"/>
  <c r="T434" i="22"/>
  <c r="S434" i="22"/>
  <c r="R434" i="22"/>
  <c r="U433" i="22"/>
  <c r="T433" i="22"/>
  <c r="S433" i="22"/>
  <c r="R433" i="22"/>
  <c r="U432" i="22"/>
  <c r="T432" i="22"/>
  <c r="S432" i="22"/>
  <c r="R432" i="22"/>
  <c r="U431" i="22"/>
  <c r="T431" i="22"/>
  <c r="S431" i="22"/>
  <c r="R431" i="22"/>
  <c r="U430" i="22"/>
  <c r="T430" i="22"/>
  <c r="S430" i="22"/>
  <c r="R430" i="22"/>
  <c r="U429" i="22"/>
  <c r="T429" i="22"/>
  <c r="S429" i="22"/>
  <c r="R429" i="22"/>
  <c r="U428" i="22"/>
  <c r="T428" i="22"/>
  <c r="S428" i="22"/>
  <c r="R428" i="22"/>
  <c r="U427" i="22"/>
  <c r="T427" i="22"/>
  <c r="S427" i="22"/>
  <c r="R427" i="22"/>
  <c r="U426" i="22"/>
  <c r="T426" i="22"/>
  <c r="S426" i="22"/>
  <c r="R426" i="22"/>
  <c r="U425" i="22"/>
  <c r="T425" i="22"/>
  <c r="S425" i="22"/>
  <c r="R425" i="22"/>
  <c r="U424" i="22"/>
  <c r="T424" i="22"/>
  <c r="S424" i="22"/>
  <c r="R424" i="22"/>
  <c r="U423" i="22"/>
  <c r="T423" i="22"/>
  <c r="S423" i="22"/>
  <c r="R423" i="22"/>
  <c r="U422" i="22"/>
  <c r="T422" i="22"/>
  <c r="S422" i="22"/>
  <c r="R422" i="22"/>
  <c r="U421" i="22"/>
  <c r="T421" i="22"/>
  <c r="S421" i="22"/>
  <c r="R421" i="22"/>
  <c r="U420" i="22"/>
  <c r="T420" i="22"/>
  <c r="S420" i="22"/>
  <c r="R420" i="22"/>
  <c r="U419" i="22"/>
  <c r="T419" i="22"/>
  <c r="S419" i="22"/>
  <c r="R419" i="22"/>
  <c r="U418" i="22"/>
  <c r="T418" i="22"/>
  <c r="S418" i="22"/>
  <c r="R418" i="22"/>
  <c r="U417" i="22"/>
  <c r="T417" i="22"/>
  <c r="S417" i="22"/>
  <c r="R417" i="22"/>
  <c r="U416" i="22"/>
  <c r="T416" i="22"/>
  <c r="S416" i="22"/>
  <c r="R416" i="22"/>
  <c r="U415" i="22"/>
  <c r="T415" i="22"/>
  <c r="S415" i="22"/>
  <c r="R415" i="22"/>
  <c r="U414" i="22"/>
  <c r="T414" i="22"/>
  <c r="S414" i="22"/>
  <c r="R414" i="22"/>
  <c r="U413" i="22"/>
  <c r="T413" i="22"/>
  <c r="S413" i="22"/>
  <c r="R413" i="22"/>
  <c r="U412" i="22"/>
  <c r="T412" i="22"/>
  <c r="S412" i="22"/>
  <c r="R412" i="22"/>
  <c r="U411" i="22"/>
  <c r="T411" i="22"/>
  <c r="S411" i="22"/>
  <c r="R411" i="22"/>
  <c r="U410" i="22"/>
  <c r="T410" i="22"/>
  <c r="S410" i="22"/>
  <c r="R410" i="22"/>
  <c r="U409" i="22"/>
  <c r="T409" i="22"/>
  <c r="S409" i="22"/>
  <c r="R409" i="22"/>
  <c r="U408" i="22"/>
  <c r="T408" i="22"/>
  <c r="S408" i="22"/>
  <c r="R408" i="22"/>
  <c r="U407" i="22"/>
  <c r="T407" i="22"/>
  <c r="S407" i="22"/>
  <c r="R407" i="22"/>
  <c r="U406" i="22"/>
  <c r="T406" i="22"/>
  <c r="S406" i="22"/>
  <c r="R406" i="22"/>
  <c r="U405" i="22"/>
  <c r="T405" i="22"/>
  <c r="S405" i="22"/>
  <c r="R405" i="22"/>
  <c r="U404" i="22"/>
  <c r="T404" i="22"/>
  <c r="S404" i="22"/>
  <c r="R404" i="22"/>
  <c r="U403" i="22"/>
  <c r="T403" i="22"/>
  <c r="S403" i="22"/>
  <c r="R403" i="22"/>
  <c r="U402" i="22"/>
  <c r="T402" i="22"/>
  <c r="S402" i="22"/>
  <c r="R402" i="22"/>
  <c r="U401" i="22"/>
  <c r="T401" i="22"/>
  <c r="S401" i="22"/>
  <c r="R401" i="22"/>
  <c r="U400" i="22"/>
  <c r="T400" i="22"/>
  <c r="S400" i="22"/>
  <c r="R400" i="22"/>
  <c r="U399" i="22"/>
  <c r="T399" i="22"/>
  <c r="S399" i="22"/>
  <c r="R399" i="22"/>
  <c r="U398" i="22"/>
  <c r="T398" i="22"/>
  <c r="S398" i="22"/>
  <c r="R398" i="22"/>
  <c r="U397" i="22"/>
  <c r="T397" i="22"/>
  <c r="S397" i="22"/>
  <c r="R397" i="22"/>
  <c r="U396" i="22"/>
  <c r="T396" i="22"/>
  <c r="S396" i="22"/>
  <c r="R396" i="22"/>
  <c r="U395" i="22"/>
  <c r="T395" i="22"/>
  <c r="S395" i="22"/>
  <c r="R395" i="22"/>
  <c r="U394" i="22"/>
  <c r="T394" i="22"/>
  <c r="S394" i="22"/>
  <c r="R394" i="22"/>
  <c r="U393" i="22"/>
  <c r="T393" i="22"/>
  <c r="S393" i="22"/>
  <c r="R393" i="22"/>
  <c r="U392" i="22"/>
  <c r="T392" i="22"/>
  <c r="S392" i="22"/>
  <c r="R392" i="22"/>
  <c r="U391" i="22"/>
  <c r="T391" i="22"/>
  <c r="S391" i="22"/>
  <c r="R391" i="22"/>
  <c r="U390" i="22"/>
  <c r="T390" i="22"/>
  <c r="S390" i="22"/>
  <c r="R390" i="22"/>
  <c r="U389" i="22"/>
  <c r="T389" i="22"/>
  <c r="S389" i="22"/>
  <c r="R389" i="22"/>
  <c r="U388" i="22"/>
  <c r="T388" i="22"/>
  <c r="S388" i="22"/>
  <c r="R388" i="22"/>
  <c r="U387" i="22"/>
  <c r="T387" i="22"/>
  <c r="S387" i="22"/>
  <c r="R387" i="22"/>
  <c r="U386" i="22"/>
  <c r="T386" i="22"/>
  <c r="S386" i="22"/>
  <c r="R386" i="22"/>
  <c r="U385" i="22"/>
  <c r="T385" i="22"/>
  <c r="S385" i="22"/>
  <c r="R385" i="22"/>
  <c r="U384" i="22"/>
  <c r="T384" i="22"/>
  <c r="S384" i="22"/>
  <c r="R384" i="22"/>
  <c r="U383" i="22"/>
  <c r="T383" i="22"/>
  <c r="S383" i="22"/>
  <c r="R383" i="22"/>
  <c r="U382" i="22"/>
  <c r="T382" i="22"/>
  <c r="S382" i="22"/>
  <c r="R382" i="22"/>
  <c r="U381" i="22"/>
  <c r="T381" i="22"/>
  <c r="S381" i="22"/>
  <c r="R381" i="22"/>
  <c r="U380" i="22"/>
  <c r="T380" i="22"/>
  <c r="S380" i="22"/>
  <c r="R380" i="22"/>
  <c r="U379" i="22"/>
  <c r="T379" i="22"/>
  <c r="S379" i="22"/>
  <c r="R379" i="22"/>
  <c r="U378" i="22"/>
  <c r="T378" i="22"/>
  <c r="S378" i="22"/>
  <c r="R378" i="22"/>
  <c r="U377" i="22"/>
  <c r="T377" i="22"/>
  <c r="S377" i="22"/>
  <c r="R377" i="22"/>
  <c r="U376" i="22"/>
  <c r="T376" i="22"/>
  <c r="S376" i="22"/>
  <c r="R376" i="22"/>
  <c r="U375" i="22"/>
  <c r="T375" i="22"/>
  <c r="S375" i="22"/>
  <c r="R375" i="22"/>
  <c r="U374" i="22"/>
  <c r="T374" i="22"/>
  <c r="S374" i="22"/>
  <c r="R374" i="22"/>
  <c r="U373" i="22"/>
  <c r="T373" i="22"/>
  <c r="S373" i="22"/>
  <c r="R373" i="22"/>
  <c r="U372" i="22"/>
  <c r="T372" i="22"/>
  <c r="S372" i="22"/>
  <c r="R372" i="22"/>
  <c r="U371" i="22"/>
  <c r="T371" i="22"/>
  <c r="S371" i="22"/>
  <c r="R371" i="22"/>
  <c r="U370" i="22"/>
  <c r="T370" i="22"/>
  <c r="S370" i="22"/>
  <c r="R370" i="22"/>
  <c r="U369" i="22"/>
  <c r="T369" i="22"/>
  <c r="S369" i="22"/>
  <c r="R369" i="22"/>
  <c r="U368" i="22"/>
  <c r="T368" i="22"/>
  <c r="S368" i="22"/>
  <c r="R368" i="22"/>
  <c r="U367" i="22"/>
  <c r="T367" i="22"/>
  <c r="S367" i="22"/>
  <c r="R367" i="22"/>
  <c r="U366" i="22"/>
  <c r="T366" i="22"/>
  <c r="S366" i="22"/>
  <c r="R366" i="22"/>
  <c r="U365" i="22"/>
  <c r="T365" i="22"/>
  <c r="S365" i="22"/>
  <c r="R365" i="22"/>
  <c r="U364" i="22"/>
  <c r="T364" i="22"/>
  <c r="S364" i="22"/>
  <c r="R364" i="22"/>
  <c r="U363" i="22"/>
  <c r="T363" i="22"/>
  <c r="S363" i="22"/>
  <c r="R363" i="22"/>
  <c r="U362" i="22"/>
  <c r="T362" i="22"/>
  <c r="S362" i="22"/>
  <c r="R362" i="22"/>
  <c r="U361" i="22"/>
  <c r="T361" i="22"/>
  <c r="S361" i="22"/>
  <c r="R361" i="22"/>
  <c r="U360" i="22"/>
  <c r="T360" i="22"/>
  <c r="S360" i="22"/>
  <c r="R360" i="22"/>
  <c r="U359" i="22"/>
  <c r="T359" i="22"/>
  <c r="S359" i="22"/>
  <c r="R359" i="22"/>
  <c r="U358" i="22"/>
  <c r="T358" i="22"/>
  <c r="S358" i="22"/>
  <c r="R358" i="22"/>
  <c r="U357" i="22"/>
  <c r="T357" i="22"/>
  <c r="S357" i="22"/>
  <c r="R357" i="22"/>
  <c r="U356" i="22"/>
  <c r="T356" i="22"/>
  <c r="S356" i="22"/>
  <c r="R356" i="22"/>
  <c r="U355" i="22"/>
  <c r="T355" i="22"/>
  <c r="S355" i="22"/>
  <c r="R355" i="22"/>
  <c r="U354" i="22"/>
  <c r="T354" i="22"/>
  <c r="S354" i="22"/>
  <c r="R354" i="22"/>
  <c r="U353" i="22"/>
  <c r="T353" i="22"/>
  <c r="S353" i="22"/>
  <c r="R353" i="22"/>
  <c r="U352" i="22"/>
  <c r="T352" i="22"/>
  <c r="S352" i="22"/>
  <c r="R352" i="22"/>
  <c r="U351" i="22"/>
  <c r="T351" i="22"/>
  <c r="S351" i="22"/>
  <c r="R351" i="22"/>
  <c r="U350" i="22"/>
  <c r="T350" i="22"/>
  <c r="S350" i="22"/>
  <c r="R350" i="22"/>
  <c r="U349" i="22"/>
  <c r="T349" i="22"/>
  <c r="S349" i="22"/>
  <c r="R349" i="22"/>
  <c r="U348" i="22"/>
  <c r="T348" i="22"/>
  <c r="S348" i="22"/>
  <c r="R348" i="22"/>
  <c r="U347" i="22"/>
  <c r="T347" i="22"/>
  <c r="S347" i="22"/>
  <c r="R347" i="22"/>
  <c r="U346" i="22"/>
  <c r="T346" i="22"/>
  <c r="S346" i="22"/>
  <c r="R346" i="22"/>
  <c r="U345" i="22"/>
  <c r="T345" i="22"/>
  <c r="S345" i="22"/>
  <c r="R345" i="22"/>
  <c r="U344" i="22"/>
  <c r="T344" i="22"/>
  <c r="S344" i="22"/>
  <c r="R344" i="22"/>
  <c r="U343" i="22"/>
  <c r="T343" i="22"/>
  <c r="S343" i="22"/>
  <c r="R343" i="22"/>
  <c r="U342" i="22"/>
  <c r="T342" i="22"/>
  <c r="S342" i="22"/>
  <c r="R342" i="22"/>
  <c r="U341" i="22"/>
  <c r="T341" i="22"/>
  <c r="S341" i="22"/>
  <c r="R341" i="22"/>
  <c r="U340" i="22"/>
  <c r="T340" i="22"/>
  <c r="S340" i="22"/>
  <c r="R340" i="22"/>
  <c r="U339" i="22"/>
  <c r="T339" i="22"/>
  <c r="S339" i="22"/>
  <c r="R339" i="22"/>
  <c r="U338" i="22"/>
  <c r="T338" i="22"/>
  <c r="S338" i="22"/>
  <c r="R338" i="22"/>
  <c r="U337" i="22"/>
  <c r="T337" i="22"/>
  <c r="S337" i="22"/>
  <c r="R337" i="22"/>
  <c r="U336" i="22"/>
  <c r="T336" i="22"/>
  <c r="S336" i="22"/>
  <c r="R336" i="22"/>
  <c r="U335" i="22"/>
  <c r="T335" i="22"/>
  <c r="S335" i="22"/>
  <c r="R335" i="22"/>
  <c r="U334" i="22"/>
  <c r="T334" i="22"/>
  <c r="S334" i="22"/>
  <c r="R334" i="22"/>
  <c r="U333" i="22"/>
  <c r="T333" i="22"/>
  <c r="S333" i="22"/>
  <c r="R333" i="22"/>
  <c r="U332" i="22"/>
  <c r="T332" i="22"/>
  <c r="S332" i="22"/>
  <c r="R332" i="22"/>
  <c r="U331" i="22"/>
  <c r="T331" i="22"/>
  <c r="S331" i="22"/>
  <c r="R331" i="22"/>
  <c r="U330" i="22"/>
  <c r="T330" i="22"/>
  <c r="S330" i="22"/>
  <c r="R330" i="22"/>
  <c r="U329" i="22"/>
  <c r="T329" i="22"/>
  <c r="S329" i="22"/>
  <c r="R329" i="22"/>
  <c r="U328" i="22"/>
  <c r="T328" i="22"/>
  <c r="S328" i="22"/>
  <c r="R328" i="22"/>
  <c r="U327" i="22"/>
  <c r="T327" i="22"/>
  <c r="S327" i="22"/>
  <c r="R327" i="22"/>
  <c r="U326" i="22"/>
  <c r="T326" i="22"/>
  <c r="S326" i="22"/>
  <c r="R326" i="22"/>
  <c r="U325" i="22"/>
  <c r="T325" i="22"/>
  <c r="S325" i="22"/>
  <c r="R325" i="22"/>
  <c r="U324" i="22"/>
  <c r="T324" i="22"/>
  <c r="S324" i="22"/>
  <c r="R324" i="22"/>
  <c r="U323" i="22"/>
  <c r="T323" i="22"/>
  <c r="S323" i="22"/>
  <c r="R323" i="22"/>
  <c r="U322" i="22"/>
  <c r="T322" i="22"/>
  <c r="S322" i="22"/>
  <c r="R322" i="22"/>
  <c r="U321" i="22"/>
  <c r="T321" i="22"/>
  <c r="S321" i="22"/>
  <c r="R321" i="22"/>
  <c r="U320" i="22"/>
  <c r="T320" i="22"/>
  <c r="S320" i="22"/>
  <c r="R320" i="22"/>
  <c r="U319" i="22"/>
  <c r="T319" i="22"/>
  <c r="S319" i="22"/>
  <c r="Q397" i="22"/>
  <c r="Q213" i="22"/>
  <c r="Q463" i="22"/>
  <c r="Q144" i="22"/>
  <c r="Q58" i="22"/>
  <c r="Q429" i="22"/>
  <c r="Q311" i="22"/>
  <c r="Q267" i="22"/>
  <c r="Q212" i="22"/>
  <c r="Q57" i="22"/>
  <c r="Q143" i="22"/>
  <c r="Q346" i="22"/>
  <c r="Q374" i="22"/>
  <c r="Q457" i="22"/>
  <c r="Q56" i="22"/>
  <c r="Q484" i="22"/>
  <c r="Q142" i="22"/>
  <c r="Q211" i="22"/>
  <c r="Q266" i="22"/>
  <c r="Q55" i="22"/>
  <c r="Q310" i="22"/>
  <c r="Q396" i="22"/>
  <c r="Q141" i="22"/>
  <c r="Q345" i="22"/>
  <c r="Q54" i="22"/>
  <c r="Q210" i="22"/>
  <c r="Q414" i="22"/>
  <c r="Q265" i="22"/>
  <c r="Q140" i="22"/>
  <c r="Q53" i="22"/>
  <c r="Q373" i="22"/>
  <c r="Q309" i="22"/>
  <c r="Q209" i="22"/>
  <c r="Q440" i="22"/>
  <c r="Q52" i="22"/>
  <c r="Q139" i="22"/>
  <c r="Q486" i="22"/>
  <c r="Q264" i="22"/>
  <c r="Q344" i="22"/>
  <c r="Q51" i="22"/>
  <c r="Q208" i="22"/>
  <c r="Q138" i="22"/>
  <c r="Q428" i="22"/>
  <c r="Q308" i="22"/>
  <c r="Q50" i="22"/>
  <c r="Q395" i="22"/>
  <c r="Q263" i="22"/>
  <c r="Q137" i="22"/>
  <c r="Q207" i="22"/>
  <c r="Q49" i="22"/>
  <c r="Q372" i="22"/>
  <c r="Q449" i="22"/>
  <c r="Q343" i="22"/>
  <c r="Q136" i="22"/>
  <c r="Q48" i="22"/>
  <c r="Q307" i="22"/>
  <c r="Q206" i="22"/>
  <c r="Q262" i="22"/>
  <c r="Q413" i="22"/>
  <c r="Q47" i="22"/>
  <c r="Q135" i="22"/>
  <c r="Q471" i="22"/>
  <c r="Q467" i="22"/>
  <c r="Q205" i="22"/>
  <c r="Q46" i="22"/>
  <c r="Q371" i="22"/>
  <c r="Q134" i="22"/>
  <c r="Q261" i="22"/>
  <c r="Q306" i="22"/>
  <c r="Q45" i="22"/>
  <c r="Q342" i="22"/>
  <c r="Q204" i="22"/>
  <c r="Q133" i="22"/>
  <c r="Q394" i="22"/>
  <c r="Q44" i="22"/>
  <c r="Q439" i="22"/>
  <c r="Q260" i="22"/>
  <c r="Q427" i="22"/>
  <c r="Q132" i="22"/>
  <c r="Q43" i="22"/>
  <c r="Q203" i="22"/>
  <c r="Q305" i="22"/>
  <c r="Q412" i="22"/>
  <c r="Q341" i="22"/>
  <c r="Q42" i="22"/>
  <c r="Q131" i="22"/>
  <c r="Q259" i="22"/>
  <c r="Q202" i="22"/>
  <c r="Q370" i="22"/>
  <c r="Q41" i="22"/>
  <c r="Q456" i="22"/>
  <c r="Q130" i="22"/>
  <c r="Q304" i="22"/>
  <c r="Q393" i="22"/>
  <c r="Q40" i="22"/>
  <c r="Q201" i="22"/>
  <c r="Q258" i="22"/>
  <c r="Q129" i="22"/>
  <c r="Q462" i="22"/>
  <c r="Q39" i="22"/>
  <c r="Q340" i="22"/>
  <c r="Q448" i="22"/>
  <c r="Q200" i="22"/>
  <c r="Q128" i="22"/>
  <c r="Q38" i="22"/>
  <c r="Q303" i="22"/>
  <c r="Q257" i="22"/>
  <c r="Q369" i="22"/>
  <c r="Q474" i="22"/>
  <c r="Q37" i="22"/>
  <c r="Q127" i="22"/>
  <c r="Q199" i="22"/>
  <c r="Q411" i="22"/>
  <c r="Q339" i="22"/>
  <c r="Q36" i="22"/>
  <c r="Q256" i="22"/>
  <c r="Q126" i="22"/>
  <c r="Q302" i="22"/>
  <c r="Q198" i="22"/>
  <c r="Q35" i="22"/>
  <c r="Q392" i="22"/>
  <c r="Q426" i="22"/>
  <c r="Q125" i="22"/>
  <c r="Q368" i="22"/>
  <c r="Q34" i="22"/>
  <c r="Q255" i="22"/>
  <c r="Q197" i="22"/>
  <c r="Q438" i="22"/>
  <c r="Q124" i="22"/>
  <c r="Q33" i="22"/>
  <c r="Q301" i="22"/>
  <c r="Q338" i="22"/>
  <c r="Q480" i="22"/>
  <c r="Q196" i="22"/>
  <c r="Q32" i="22"/>
  <c r="Q123" i="22"/>
  <c r="Q254" i="22"/>
  <c r="Q483" i="22"/>
  <c r="Q391" i="22"/>
  <c r="Q31" i="22"/>
  <c r="Q300" i="22"/>
  <c r="Q122" i="22"/>
  <c r="Q195" i="22"/>
  <c r="Q367" i="22"/>
  <c r="Q30" i="22"/>
  <c r="Q253" i="22"/>
  <c r="Q337" i="22"/>
  <c r="Q121" i="22"/>
  <c r="Q410" i="22"/>
  <c r="Q29" i="22"/>
  <c r="Q194" i="22"/>
  <c r="Q455" i="22"/>
  <c r="Q299" i="22"/>
  <c r="Q120" i="22"/>
  <c r="Q28" i="22"/>
  <c r="Q252" i="22"/>
  <c r="Q425" i="22"/>
  <c r="Q193" i="22"/>
  <c r="Q447" i="22"/>
  <c r="Q27" i="22"/>
  <c r="Q119" i="22"/>
  <c r="Q336" i="22"/>
  <c r="Q366" i="22"/>
  <c r="Q251" i="22"/>
  <c r="Q26" i="22"/>
  <c r="Q192" i="22"/>
  <c r="Q118" i="22"/>
  <c r="Q298" i="22"/>
  <c r="Q390" i="22"/>
  <c r="Q25" i="22"/>
  <c r="Q437" i="22"/>
  <c r="Q409" i="22"/>
  <c r="Q117" i="22"/>
  <c r="Q191" i="22"/>
  <c r="Q24" i="22"/>
  <c r="Q250" i="22"/>
  <c r="Q335" i="22"/>
  <c r="Q297" i="22"/>
  <c r="Q116" i="22"/>
  <c r="Q23" i="22"/>
  <c r="Q476" i="22"/>
  <c r="Q190" i="22"/>
  <c r="Q365" i="22"/>
  <c r="Q249" i="22"/>
  <c r="Q22" i="22"/>
  <c r="Q115" i="22"/>
  <c r="Q461" i="22"/>
  <c r="Q389" i="22"/>
  <c r="Q189" i="22"/>
  <c r="Q21" i="22"/>
  <c r="Q296" i="22"/>
  <c r="Q114" i="22"/>
  <c r="Q334" i="22"/>
  <c r="Q248" i="22"/>
  <c r="Q20" i="22"/>
  <c r="Q424" i="22"/>
  <c r="Q188" i="22"/>
  <c r="Q113" i="22"/>
  <c r="Q466" i="22"/>
  <c r="Q19" i="22"/>
  <c r="Q364" i="22"/>
  <c r="Q295" i="22"/>
  <c r="Q247" i="22"/>
  <c r="Q112" i="22"/>
  <c r="Q18" i="22"/>
  <c r="Q187" i="22"/>
  <c r="Q408" i="22"/>
  <c r="Q333" i="22"/>
  <c r="Q470" i="22"/>
  <c r="Q17" i="22"/>
  <c r="Q111" i="22"/>
  <c r="Q388" i="22"/>
  <c r="Q186" i="22"/>
  <c r="Q246" i="22"/>
  <c r="Q16" i="22"/>
  <c r="Q294" i="22"/>
  <c r="Q110" i="22"/>
  <c r="Q436" i="22"/>
  <c r="Q363" i="22"/>
  <c r="Q15" i="22"/>
  <c r="Q185" i="22"/>
  <c r="Q332" i="22"/>
  <c r="Q109" i="22"/>
  <c r="Q245" i="22"/>
  <c r="Q14" i="22"/>
  <c r="Q446" i="22"/>
  <c r="Q293" i="22"/>
  <c r="Q184" i="22"/>
  <c r="Q108" i="22"/>
  <c r="Q13" i="22"/>
  <c r="Q423" i="22"/>
  <c r="Q407" i="22"/>
  <c r="Q244" i="22"/>
  <c r="Q387" i="22"/>
  <c r="Q12" i="22"/>
  <c r="Q107" i="22"/>
  <c r="Q183" i="22"/>
  <c r="Q331" i="22"/>
  <c r="Q292" i="22"/>
  <c r="Q11" i="22"/>
  <c r="Q362" i="22"/>
  <c r="Q106" i="22"/>
  <c r="Q243" i="22"/>
  <c r="Q182" i="22"/>
  <c r="Q10" i="22"/>
  <c r="Q454" i="22"/>
  <c r="Q478" i="22"/>
  <c r="Q105" i="22"/>
  <c r="Q473" i="22"/>
  <c r="Q9" i="22"/>
  <c r="Q291" i="22"/>
  <c r="Q181" i="22"/>
  <c r="Q242" i="22"/>
  <c r="Q104" i="22"/>
  <c r="Q8" i="22"/>
  <c r="Q330" i="22"/>
  <c r="Q435" i="22"/>
  <c r="Q361" i="22"/>
  <c r="Q180" i="22"/>
  <c r="Q7" i="22"/>
  <c r="Q103" i="22"/>
  <c r="Q386" i="22"/>
  <c r="Q241" i="22"/>
  <c r="Q290" i="22"/>
  <c r="Q6" i="22"/>
  <c r="Q406" i="22"/>
  <c r="Q102" i="22"/>
  <c r="Q179" i="22"/>
  <c r="Q329" i="22"/>
  <c r="Q5" i="22"/>
  <c r="Q422" i="22"/>
  <c r="Q240" i="22"/>
  <c r="Q101" i="22"/>
  <c r="Q460" i="22"/>
  <c r="Q4" i="22"/>
  <c r="Q178" i="22"/>
  <c r="Q289" i="22"/>
  <c r="Q360" i="22"/>
  <c r="Q100" i="22"/>
  <c r="Q3" i="22"/>
  <c r="Q445" i="22"/>
  <c r="Q239" i="22"/>
  <c r="Q177" i="22"/>
  <c r="Q328" i="22"/>
  <c r="Q2" i="22"/>
  <c r="Q488" i="22"/>
  <c r="Q489" i="22"/>
  <c r="Q490" i="22"/>
  <c r="Q491" i="22"/>
  <c r="Q492" i="22"/>
  <c r="Q493" i="22"/>
  <c r="Q494" i="22"/>
  <c r="Q495" i="22"/>
  <c r="Q496" i="22"/>
  <c r="Q497" i="22"/>
  <c r="Q498" i="22"/>
  <c r="Q499" i="22"/>
  <c r="Q500" i="22"/>
  <c r="Q510" i="22"/>
  <c r="Q501" i="22"/>
  <c r="Q502" i="22"/>
  <c r="Q503" i="22"/>
  <c r="Q504" i="22"/>
  <c r="Q505" i="22"/>
  <c r="Q506" i="22"/>
  <c r="Q507" i="22"/>
  <c r="Q508" i="22"/>
  <c r="Q509" i="22"/>
  <c r="Q511" i="22"/>
  <c r="Q512" i="22"/>
  <c r="Q513" i="22"/>
  <c r="Q516" i="22"/>
  <c r="Q521" i="22"/>
  <c r="Q524" i="22"/>
  <c r="Q527" i="22"/>
  <c r="Q534" i="22"/>
  <c r="Q535" i="22"/>
  <c r="Q538" i="22"/>
  <c r="Q539" i="22"/>
  <c r="Q550" i="22"/>
  <c r="Q551" i="22"/>
  <c r="Q554" i="22"/>
  <c r="Q563" i="22"/>
  <c r="Q514" i="22"/>
  <c r="Q515" i="22"/>
  <c r="Q520" i="22"/>
  <c r="Q525" i="22"/>
  <c r="Q529" i="22"/>
  <c r="Q530" i="22"/>
  <c r="Q531" i="22"/>
  <c r="Q532" i="22"/>
  <c r="Q536" i="22"/>
  <c r="Q541" i="22"/>
  <c r="Q542" i="22"/>
  <c r="Q543" i="22"/>
  <c r="Q544" i="22"/>
  <c r="Q99" i="22"/>
  <c r="Q545" i="22"/>
  <c r="Q546" i="22"/>
  <c r="Q549" i="22"/>
  <c r="Q555" i="22"/>
  <c r="Q556" i="22"/>
  <c r="Q557" i="22"/>
  <c r="Q561" i="22"/>
  <c r="Q562" i="22"/>
  <c r="Q566" i="22"/>
  <c r="Q570" i="22"/>
  <c r="Q572" i="22"/>
  <c r="Q573" i="22"/>
  <c r="Q575" i="22"/>
  <c r="Q577" i="22"/>
  <c r="Q578" i="22"/>
  <c r="Q580" i="22"/>
  <c r="Q581" i="22"/>
  <c r="Q583" i="22"/>
  <c r="Q585" i="22"/>
  <c r="Q586" i="22"/>
  <c r="Q587" i="22"/>
  <c r="Q590" i="22"/>
  <c r="Q592" i="22"/>
  <c r="Q593" i="22"/>
  <c r="Q595" i="22"/>
  <c r="Q598" i="22"/>
  <c r="Q385" i="22"/>
  <c r="Q288" i="22"/>
  <c r="Q481" i="22"/>
  <c r="Q176" i="22"/>
  <c r="Q98" i="22"/>
  <c r="Q238" i="22"/>
  <c r="Q405" i="22"/>
  <c r="Q359" i="22"/>
  <c r="Q327" i="22"/>
  <c r="Q97" i="22"/>
  <c r="Q175" i="22"/>
  <c r="Q287" i="22"/>
  <c r="Q237" i="22"/>
  <c r="Q453" i="22"/>
  <c r="Q96" i="22"/>
  <c r="Q421" i="22"/>
  <c r="Q174" i="22"/>
  <c r="Q384" i="22"/>
  <c r="Q434" i="22"/>
  <c r="Q95" i="22"/>
  <c r="Q236" i="22"/>
  <c r="Q286" i="22"/>
  <c r="Q173" i="22"/>
  <c r="Q326" i="22"/>
  <c r="Q94" i="22"/>
  <c r="Q358" i="22"/>
  <c r="Q465" i="22"/>
  <c r="Q235" i="22"/>
  <c r="Q172" i="22"/>
  <c r="Q93" i="22"/>
  <c r="Q404" i="22"/>
  <c r="Q285" i="22"/>
  <c r="Q482" i="22"/>
  <c r="Q325" i="22"/>
  <c r="Q92" i="22"/>
  <c r="Q171" i="22"/>
  <c r="Q234" i="22"/>
  <c r="Q383" i="22"/>
  <c r="Q357" i="22"/>
  <c r="Q91" i="22"/>
  <c r="Q284" i="22"/>
  <c r="Q170" i="22"/>
  <c r="Q444" i="22"/>
  <c r="Q233" i="22"/>
  <c r="Q90" i="22"/>
  <c r="Q420" i="22"/>
  <c r="Q324" i="22"/>
  <c r="Q169" i="22"/>
  <c r="Q469" i="22"/>
  <c r="Q89" i="22"/>
  <c r="Q283" i="22"/>
  <c r="Q232" i="22"/>
  <c r="Q403" i="22"/>
  <c r="Q168" i="22"/>
  <c r="Q88" i="22"/>
  <c r="Q356" i="22"/>
  <c r="Q382" i="22"/>
  <c r="Q323" i="22"/>
  <c r="Q231" i="22"/>
  <c r="Q87" i="22"/>
  <c r="Q167" i="22"/>
  <c r="Q282" i="22"/>
  <c r="Q433" i="22"/>
  <c r="Q459" i="22"/>
  <c r="Q86" i="22"/>
  <c r="Q452" i="22"/>
  <c r="Q166" i="22"/>
  <c r="Q230" i="22"/>
  <c r="Q355" i="22"/>
  <c r="Q85" i="22"/>
  <c r="Q281" i="22"/>
  <c r="Q322" i="22"/>
  <c r="Q165" i="22"/>
  <c r="Q419" i="22"/>
  <c r="Q84" i="22"/>
  <c r="Q229" i="22"/>
  <c r="Q381" i="22"/>
  <c r="Q402" i="22"/>
  <c r="Q164" i="22"/>
  <c r="Q83" i="22"/>
  <c r="Q280" i="22"/>
  <c r="Q485" i="22"/>
  <c r="Q228" i="22"/>
  <c r="Q321" i="22"/>
  <c r="Q82" i="22"/>
  <c r="Q163" i="22"/>
  <c r="Q354" i="22"/>
  <c r="Q443" i="22"/>
  <c r="Q279" i="22"/>
  <c r="Q81" i="22"/>
  <c r="Q227" i="22"/>
  <c r="Q162" i="22"/>
  <c r="Q432" i="22"/>
  <c r="Q380" i="22"/>
  <c r="Q80" i="22"/>
  <c r="Q320" i="22"/>
  <c r="Q475" i="22"/>
  <c r="Q161" i="22"/>
  <c r="Q226" i="22"/>
  <c r="Q79" i="22"/>
  <c r="Q278" i="22"/>
  <c r="Q353" i="22"/>
  <c r="Q401" i="22"/>
  <c r="Q160" i="22"/>
  <c r="Q78" i="22"/>
  <c r="Q418" i="22"/>
  <c r="Q225" i="22"/>
  <c r="Q319" i="22"/>
  <c r="Q277" i="22"/>
  <c r="Q77" i="22"/>
  <c r="Q159" i="22"/>
  <c r="Q464" i="22"/>
  <c r="Q379" i="22"/>
  <c r="Q224" i="22"/>
  <c r="Q76" i="22"/>
  <c r="Q352" i="22"/>
  <c r="Q158" i="22"/>
  <c r="Q472" i="22"/>
  <c r="Q276" i="22"/>
  <c r="Q75" i="22"/>
  <c r="Q318" i="22"/>
  <c r="Q223" i="22"/>
  <c r="Q157" i="22"/>
  <c r="Q451" i="22"/>
  <c r="Q74" i="22"/>
  <c r="Q487" i="22"/>
  <c r="Q400" i="22"/>
  <c r="Q431" i="22"/>
  <c r="Q156" i="22"/>
  <c r="Q73" i="22"/>
  <c r="Q275" i="22"/>
  <c r="Q222" i="22"/>
  <c r="Q351" i="22"/>
  <c r="Q317" i="22"/>
  <c r="Q72" i="22"/>
  <c r="Q155" i="22"/>
  <c r="Q378" i="22"/>
  <c r="Q417" i="22"/>
  <c r="Q221" i="22"/>
  <c r="Q71" i="22"/>
  <c r="Q274" i="22"/>
  <c r="Q154" i="22"/>
  <c r="Q442" i="22"/>
  <c r="Q458" i="22"/>
  <c r="Q70" i="22"/>
  <c r="Q316" i="22"/>
  <c r="Q220" i="22"/>
  <c r="Q153" i="22"/>
  <c r="Q350" i="22"/>
  <c r="Q69" i="22"/>
  <c r="Q273" i="22"/>
  <c r="Q399" i="22"/>
  <c r="Q377" i="22"/>
  <c r="Q152" i="22"/>
  <c r="Q68" i="22"/>
  <c r="Q219" i="22"/>
  <c r="Q479" i="22"/>
  <c r="Q315" i="22"/>
  <c r="Q272" i="22"/>
  <c r="Q67" i="22"/>
  <c r="Q151" i="22"/>
  <c r="Q468" i="22"/>
  <c r="Q218" i="22"/>
  <c r="Q349" i="22"/>
  <c r="Q66" i="22"/>
  <c r="Q416" i="22"/>
  <c r="Q150" i="22"/>
  <c r="Q430" i="22"/>
  <c r="Q271" i="22"/>
  <c r="Q65" i="22"/>
  <c r="Q217" i="22"/>
  <c r="Q314" i="22"/>
  <c r="Q149" i="22"/>
  <c r="Q376" i="22"/>
  <c r="Q64" i="22"/>
  <c r="Q398" i="22"/>
  <c r="Q348" i="22"/>
  <c r="Q216" i="22"/>
  <c r="Q148" i="22"/>
  <c r="Q63" i="22"/>
  <c r="Q270" i="22"/>
  <c r="Q477" i="22"/>
  <c r="Q313" i="22"/>
  <c r="Q441" i="22"/>
  <c r="Q62" i="22"/>
  <c r="Q147" i="22"/>
  <c r="Q215" i="22"/>
  <c r="Q450" i="22"/>
  <c r="Q269" i="22"/>
  <c r="Q61" i="22"/>
  <c r="Q375" i="22"/>
  <c r="Q146" i="22"/>
  <c r="Q347" i="22"/>
  <c r="Q214" i="22"/>
  <c r="Q60" i="22"/>
  <c r="Q312" i="22"/>
  <c r="Q415" i="22"/>
  <c r="Q145" i="22"/>
  <c r="Q268" i="22"/>
  <c r="Q59" i="22"/>
  <c r="Q600" i="22"/>
  <c r="Q599" i="22"/>
  <c r="Q597" i="22"/>
  <c r="Q596" i="22"/>
  <c r="Q594" i="22"/>
  <c r="Q591" i="22"/>
  <c r="Q589" i="22"/>
  <c r="Q588" i="22"/>
  <c r="Q584" i="22"/>
  <c r="Q582" i="22"/>
  <c r="Q579" i="22"/>
  <c r="Q576" i="22"/>
  <c r="Q574" i="22"/>
  <c r="Q571" i="22"/>
  <c r="Q569" i="22"/>
  <c r="Q568" i="22"/>
  <c r="Q567" i="22"/>
  <c r="Q565" i="22"/>
  <c r="Q564" i="22"/>
  <c r="Q560" i="22"/>
  <c r="Q559" i="22"/>
  <c r="Q558" i="22"/>
  <c r="Q553" i="22"/>
  <c r="Q552" i="22"/>
  <c r="Q548" i="22"/>
  <c r="Q547" i="22"/>
  <c r="Q540" i="22"/>
  <c r="Q537" i="22"/>
  <c r="Q533" i="22"/>
  <c r="Q528" i="22"/>
  <c r="Q526" i="22"/>
  <c r="Q523" i="22"/>
  <c r="Q522" i="22"/>
  <c r="Q519" i="22"/>
  <c r="Q518" i="22"/>
  <c r="Q517" i="22"/>
  <c r="V753" i="19"/>
  <c r="U753" i="19"/>
  <c r="T753" i="19"/>
  <c r="S753" i="19"/>
  <c r="V752" i="19"/>
  <c r="U752" i="19"/>
  <c r="T752" i="19"/>
  <c r="S752" i="19"/>
  <c r="V751" i="19"/>
  <c r="U751" i="19"/>
  <c r="T751" i="19"/>
  <c r="S751" i="19"/>
  <c r="V750" i="19"/>
  <c r="U750" i="19"/>
  <c r="T750" i="19"/>
  <c r="S750" i="19"/>
  <c r="V749" i="19"/>
  <c r="U749" i="19"/>
  <c r="T749" i="19"/>
  <c r="S749" i="19"/>
  <c r="V748" i="19"/>
  <c r="U748" i="19"/>
  <c r="T748" i="19"/>
  <c r="S748" i="19"/>
  <c r="V747" i="19"/>
  <c r="U747" i="19"/>
  <c r="T747" i="19"/>
  <c r="S747" i="19"/>
  <c r="V746" i="19"/>
  <c r="U746" i="19"/>
  <c r="T746" i="19"/>
  <c r="S746" i="19"/>
  <c r="V745" i="19"/>
  <c r="U745" i="19"/>
  <c r="T745" i="19"/>
  <c r="S745" i="19"/>
  <c r="V744" i="19"/>
  <c r="U744" i="19"/>
  <c r="T744" i="19"/>
  <c r="S744" i="19"/>
  <c r="V743" i="19"/>
  <c r="U743" i="19"/>
  <c r="T743" i="19"/>
  <c r="S743" i="19"/>
  <c r="V742" i="19"/>
  <c r="U742" i="19"/>
  <c r="T742" i="19"/>
  <c r="S742" i="19"/>
  <c r="V741" i="19"/>
  <c r="U741" i="19"/>
  <c r="T741" i="19"/>
  <c r="S741" i="19"/>
  <c r="V740" i="19"/>
  <c r="U740" i="19"/>
  <c r="T740" i="19"/>
  <c r="S740" i="19"/>
  <c r="V739" i="19"/>
  <c r="U739" i="19"/>
  <c r="T739" i="19"/>
  <c r="S739" i="19"/>
  <c r="V738" i="19"/>
  <c r="U738" i="19"/>
  <c r="T738" i="19"/>
  <c r="S738" i="19"/>
  <c r="V737" i="19"/>
  <c r="U737" i="19"/>
  <c r="T737" i="19"/>
  <c r="S737" i="19"/>
  <c r="V736" i="19"/>
  <c r="U736" i="19"/>
  <c r="T736" i="19"/>
  <c r="S736" i="19"/>
  <c r="V735" i="19"/>
  <c r="U735" i="19"/>
  <c r="T735" i="19"/>
  <c r="S735" i="19"/>
  <c r="V734" i="19"/>
  <c r="U734" i="19"/>
  <c r="T734" i="19"/>
  <c r="S734" i="19"/>
  <c r="V733" i="19"/>
  <c r="U733" i="19"/>
  <c r="T733" i="19"/>
  <c r="S733" i="19"/>
  <c r="V732" i="19"/>
  <c r="U732" i="19"/>
  <c r="T732" i="19"/>
  <c r="S732" i="19"/>
  <c r="V731" i="19"/>
  <c r="U731" i="19"/>
  <c r="T731" i="19"/>
  <c r="S731" i="19"/>
  <c r="V730" i="19"/>
  <c r="U730" i="19"/>
  <c r="T730" i="19"/>
  <c r="S730" i="19"/>
  <c r="V729" i="19"/>
  <c r="U729" i="19"/>
  <c r="T729" i="19"/>
  <c r="S729" i="19"/>
  <c r="V728" i="19"/>
  <c r="U728" i="19"/>
  <c r="T728" i="19"/>
  <c r="S728" i="19"/>
  <c r="V727" i="19"/>
  <c r="U727" i="19"/>
  <c r="T727" i="19"/>
  <c r="S727" i="19"/>
  <c r="V726" i="19"/>
  <c r="U726" i="19"/>
  <c r="T726" i="19"/>
  <c r="S726" i="19"/>
  <c r="V725" i="19"/>
  <c r="U725" i="19"/>
  <c r="T725" i="19"/>
  <c r="S725" i="19"/>
  <c r="V724" i="19"/>
  <c r="U724" i="19"/>
  <c r="T724" i="19"/>
  <c r="S724" i="19"/>
  <c r="V723" i="19"/>
  <c r="U723" i="19"/>
  <c r="T723" i="19"/>
  <c r="S723" i="19"/>
  <c r="V722" i="19"/>
  <c r="U722" i="19"/>
  <c r="T722" i="19"/>
  <c r="S722" i="19"/>
  <c r="V721" i="19"/>
  <c r="U721" i="19"/>
  <c r="T721" i="19"/>
  <c r="S721" i="19"/>
  <c r="V720" i="19"/>
  <c r="U720" i="19"/>
  <c r="T720" i="19"/>
  <c r="S720" i="19"/>
  <c r="V719" i="19"/>
  <c r="U719" i="19"/>
  <c r="T719" i="19"/>
  <c r="S719" i="19"/>
  <c r="V718" i="19"/>
  <c r="U718" i="19"/>
  <c r="T718" i="19"/>
  <c r="S718" i="19"/>
  <c r="V717" i="19"/>
  <c r="U717" i="19"/>
  <c r="T717" i="19"/>
  <c r="S717" i="19"/>
  <c r="V716" i="19"/>
  <c r="U716" i="19"/>
  <c r="T716" i="19"/>
  <c r="S716" i="19"/>
  <c r="V715" i="19"/>
  <c r="U715" i="19"/>
  <c r="T715" i="19"/>
  <c r="S715" i="19"/>
  <c r="V714" i="19"/>
  <c r="U714" i="19"/>
  <c r="T714" i="19"/>
  <c r="S714" i="19"/>
  <c r="V713" i="19"/>
  <c r="U713" i="19"/>
  <c r="T713" i="19"/>
  <c r="S713" i="19"/>
  <c r="V712" i="19"/>
  <c r="U712" i="19"/>
  <c r="T712" i="19"/>
  <c r="S712" i="19"/>
  <c r="V711" i="19"/>
  <c r="U711" i="19"/>
  <c r="T711" i="19"/>
  <c r="S711" i="19"/>
  <c r="V710" i="19"/>
  <c r="U710" i="19"/>
  <c r="T710" i="19"/>
  <c r="S710" i="19"/>
  <c r="V709" i="19"/>
  <c r="U709" i="19"/>
  <c r="T709" i="19"/>
  <c r="S709" i="19"/>
  <c r="V708" i="19"/>
  <c r="U708" i="19"/>
  <c r="T708" i="19"/>
  <c r="S708" i="19"/>
  <c r="V707" i="19"/>
  <c r="U707" i="19"/>
  <c r="T707" i="19"/>
  <c r="S707" i="19"/>
  <c r="V706" i="19"/>
  <c r="U706" i="19"/>
  <c r="T706" i="19"/>
  <c r="S706" i="19"/>
  <c r="V705" i="19"/>
  <c r="U705" i="19"/>
  <c r="T705" i="19"/>
  <c r="S705" i="19"/>
  <c r="V704" i="19"/>
  <c r="U704" i="19"/>
  <c r="T704" i="19"/>
  <c r="S704" i="19"/>
  <c r="V703" i="19"/>
  <c r="U703" i="19"/>
  <c r="T703" i="19"/>
  <c r="S703" i="19"/>
  <c r="V702" i="19"/>
  <c r="U702" i="19"/>
  <c r="T702" i="19"/>
  <c r="S702" i="19"/>
  <c r="V701" i="19"/>
  <c r="U701" i="19"/>
  <c r="T701" i="19"/>
  <c r="S701" i="19"/>
  <c r="V700" i="19"/>
  <c r="U700" i="19"/>
  <c r="T700" i="19"/>
  <c r="S700" i="19"/>
  <c r="V699" i="19"/>
  <c r="U699" i="19"/>
  <c r="T699" i="19"/>
  <c r="S699" i="19"/>
  <c r="V698" i="19"/>
  <c r="U698" i="19"/>
  <c r="T698" i="19"/>
  <c r="S698" i="19"/>
  <c r="V697" i="19"/>
  <c r="U697" i="19"/>
  <c r="T697" i="19"/>
  <c r="S697" i="19"/>
  <c r="V696" i="19"/>
  <c r="U696" i="19"/>
  <c r="T696" i="19"/>
  <c r="S696" i="19"/>
  <c r="V695" i="19"/>
  <c r="U695" i="19"/>
  <c r="T695" i="19"/>
  <c r="S695" i="19"/>
  <c r="V694" i="19"/>
  <c r="U694" i="19"/>
  <c r="T694" i="19"/>
  <c r="S694" i="19"/>
  <c r="V693" i="19"/>
  <c r="U693" i="19"/>
  <c r="T693" i="19"/>
  <c r="S693" i="19"/>
  <c r="V692" i="19"/>
  <c r="U692" i="19"/>
  <c r="T692" i="19"/>
  <c r="S692" i="19"/>
  <c r="V691" i="19"/>
  <c r="U691" i="19"/>
  <c r="T691" i="19"/>
  <c r="S691" i="19"/>
  <c r="V690" i="19"/>
  <c r="U690" i="19"/>
  <c r="T690" i="19"/>
  <c r="S690" i="19"/>
  <c r="V689" i="19"/>
  <c r="U689" i="19"/>
  <c r="T689" i="19"/>
  <c r="S689" i="19"/>
  <c r="V688" i="19"/>
  <c r="U688" i="19"/>
  <c r="T688" i="19"/>
  <c r="S688" i="19"/>
  <c r="V687" i="19"/>
  <c r="U687" i="19"/>
  <c r="T687" i="19"/>
  <c r="S687" i="19"/>
  <c r="V686" i="19"/>
  <c r="U686" i="19"/>
  <c r="T686" i="19"/>
  <c r="S686" i="19"/>
  <c r="V685" i="19"/>
  <c r="U685" i="19"/>
  <c r="T685" i="19"/>
  <c r="S685" i="19"/>
  <c r="V684" i="19"/>
  <c r="U684" i="19"/>
  <c r="T684" i="19"/>
  <c r="S684" i="19"/>
  <c r="V683" i="19"/>
  <c r="U683" i="19"/>
  <c r="T683" i="19"/>
  <c r="S683" i="19"/>
  <c r="V682" i="19"/>
  <c r="U682" i="19"/>
  <c r="T682" i="19"/>
  <c r="S682" i="19"/>
  <c r="V681" i="19"/>
  <c r="U681" i="19"/>
  <c r="T681" i="19"/>
  <c r="S681" i="19"/>
  <c r="V680" i="19"/>
  <c r="U680" i="19"/>
  <c r="T680" i="19"/>
  <c r="S680" i="19"/>
  <c r="V679" i="19"/>
  <c r="U679" i="19"/>
  <c r="T679" i="19"/>
  <c r="S679" i="19"/>
  <c r="V678" i="19"/>
  <c r="U678" i="19"/>
  <c r="T678" i="19"/>
  <c r="S678" i="19"/>
  <c r="V677" i="19"/>
  <c r="U677" i="19"/>
  <c r="T677" i="19"/>
  <c r="S677" i="19"/>
  <c r="V676" i="19"/>
  <c r="U676" i="19"/>
  <c r="T676" i="19"/>
  <c r="S676" i="19"/>
  <c r="V675" i="19"/>
  <c r="U675" i="19"/>
  <c r="T675" i="19"/>
  <c r="S675" i="19"/>
  <c r="V674" i="19"/>
  <c r="U674" i="19"/>
  <c r="T674" i="19"/>
  <c r="S674" i="19"/>
  <c r="V673" i="19"/>
  <c r="U673" i="19"/>
  <c r="T673" i="19"/>
  <c r="S673" i="19"/>
  <c r="V672" i="19"/>
  <c r="U672" i="19"/>
  <c r="T672" i="19"/>
  <c r="S672" i="19"/>
  <c r="V671" i="19"/>
  <c r="U671" i="19"/>
  <c r="T671" i="19"/>
  <c r="S671" i="19"/>
  <c r="V670" i="19"/>
  <c r="U670" i="19"/>
  <c r="T670" i="19"/>
  <c r="S670" i="19"/>
  <c r="V669" i="19"/>
  <c r="U669" i="19"/>
  <c r="T669" i="19"/>
  <c r="S669" i="19"/>
  <c r="V668" i="19"/>
  <c r="U668" i="19"/>
  <c r="T668" i="19"/>
  <c r="S668" i="19"/>
  <c r="V667" i="19"/>
  <c r="U667" i="19"/>
  <c r="T667" i="19"/>
  <c r="S667" i="19"/>
  <c r="V666" i="19"/>
  <c r="U666" i="19"/>
  <c r="T666" i="19"/>
  <c r="S666" i="19"/>
  <c r="V665" i="19"/>
  <c r="U665" i="19"/>
  <c r="T665" i="19"/>
  <c r="S665" i="19"/>
  <c r="V664" i="19"/>
  <c r="U664" i="19"/>
  <c r="T664" i="19"/>
  <c r="S664" i="19"/>
  <c r="V663" i="19"/>
  <c r="U663" i="19"/>
  <c r="T663" i="19"/>
  <c r="S663" i="19"/>
  <c r="V662" i="19"/>
  <c r="U662" i="19"/>
  <c r="T662" i="19"/>
  <c r="S662" i="19"/>
  <c r="V661" i="19"/>
  <c r="U661" i="19"/>
  <c r="T661" i="19"/>
  <c r="S661" i="19"/>
  <c r="V660" i="19"/>
  <c r="U660" i="19"/>
  <c r="T660" i="19"/>
  <c r="S660" i="19"/>
  <c r="V659" i="19"/>
  <c r="U659" i="19"/>
  <c r="T659" i="19"/>
  <c r="S659" i="19"/>
  <c r="V658" i="19"/>
  <c r="U658" i="19"/>
  <c r="T658" i="19"/>
  <c r="S658" i="19"/>
  <c r="V657" i="19"/>
  <c r="U657" i="19"/>
  <c r="T657" i="19"/>
  <c r="S657" i="19"/>
  <c r="V656" i="19"/>
  <c r="U656" i="19"/>
  <c r="T656" i="19"/>
  <c r="S656" i="19"/>
  <c r="V655" i="19"/>
  <c r="U655" i="19"/>
  <c r="T655" i="19"/>
  <c r="S655" i="19"/>
  <c r="V654" i="19"/>
  <c r="U654" i="19"/>
  <c r="T654" i="19"/>
  <c r="S654" i="19"/>
  <c r="V653" i="19"/>
  <c r="U653" i="19"/>
  <c r="T653" i="19"/>
  <c r="S653" i="19"/>
  <c r="V652" i="19"/>
  <c r="U652" i="19"/>
  <c r="T652" i="19"/>
  <c r="S652" i="19"/>
  <c r="V651" i="19"/>
  <c r="U651" i="19"/>
  <c r="T651" i="19"/>
  <c r="S651" i="19"/>
  <c r="V650" i="19"/>
  <c r="U650" i="19"/>
  <c r="T650" i="19"/>
  <c r="S650" i="19"/>
  <c r="V649" i="19"/>
  <c r="U649" i="19"/>
  <c r="T649" i="19"/>
  <c r="S649" i="19"/>
  <c r="V648" i="19"/>
  <c r="U648" i="19"/>
  <c r="T648" i="19"/>
  <c r="S648" i="19"/>
  <c r="V647" i="19"/>
  <c r="U647" i="19"/>
  <c r="T647" i="19"/>
  <c r="S647" i="19"/>
  <c r="V646" i="19"/>
  <c r="U646" i="19"/>
  <c r="T646" i="19"/>
  <c r="S646" i="19"/>
  <c r="V645" i="19"/>
  <c r="U645" i="19"/>
  <c r="T645" i="19"/>
  <c r="S645" i="19"/>
  <c r="V644" i="19"/>
  <c r="U644" i="19"/>
  <c r="T644" i="19"/>
  <c r="S644" i="19"/>
  <c r="V643" i="19"/>
  <c r="U643" i="19"/>
  <c r="T643" i="19"/>
  <c r="S643" i="19"/>
  <c r="V642" i="19"/>
  <c r="U642" i="19"/>
  <c r="T642" i="19"/>
  <c r="S642" i="19"/>
  <c r="V641" i="19"/>
  <c r="U641" i="19"/>
  <c r="T641" i="19"/>
  <c r="S641" i="19"/>
  <c r="V640" i="19"/>
  <c r="U640" i="19"/>
  <c r="T640" i="19"/>
  <c r="S640" i="19"/>
  <c r="V639" i="19"/>
  <c r="U639" i="19"/>
  <c r="T639" i="19"/>
  <c r="S639" i="19"/>
  <c r="V638" i="19"/>
  <c r="U638" i="19"/>
  <c r="T638" i="19"/>
  <c r="S638" i="19"/>
  <c r="V637" i="19"/>
  <c r="U637" i="19"/>
  <c r="T637" i="19"/>
  <c r="S637" i="19"/>
  <c r="V636" i="19"/>
  <c r="U636" i="19"/>
  <c r="T636" i="19"/>
  <c r="S636" i="19"/>
  <c r="V635" i="19"/>
  <c r="U635" i="19"/>
  <c r="T635" i="19"/>
  <c r="S635" i="19"/>
  <c r="V634" i="19"/>
  <c r="U634" i="19"/>
  <c r="T634" i="19"/>
  <c r="S634" i="19"/>
  <c r="V633" i="19"/>
  <c r="U633" i="19"/>
  <c r="T633" i="19"/>
  <c r="S633" i="19"/>
  <c r="V632" i="19"/>
  <c r="U632" i="19"/>
  <c r="T632" i="19"/>
  <c r="S632" i="19"/>
  <c r="V631" i="19"/>
  <c r="U631" i="19"/>
  <c r="T631" i="19"/>
  <c r="S631" i="19"/>
  <c r="V630" i="19"/>
  <c r="U630" i="19"/>
  <c r="T630" i="19"/>
  <c r="S630" i="19"/>
  <c r="V629" i="19"/>
  <c r="U629" i="19"/>
  <c r="T629" i="19"/>
  <c r="S629" i="19"/>
  <c r="V628" i="19"/>
  <c r="U628" i="19"/>
  <c r="T628" i="19"/>
  <c r="S628" i="19"/>
  <c r="V627" i="19"/>
  <c r="U627" i="19"/>
  <c r="T627" i="19"/>
  <c r="S627" i="19"/>
  <c r="V626" i="19"/>
  <c r="U626" i="19"/>
  <c r="T626" i="19"/>
  <c r="S626" i="19"/>
  <c r="V625" i="19"/>
  <c r="U625" i="19"/>
  <c r="T625" i="19"/>
  <c r="S625" i="19"/>
  <c r="V624" i="19"/>
  <c r="U624" i="19"/>
  <c r="T624" i="19"/>
  <c r="S624" i="19"/>
  <c r="V623" i="19"/>
  <c r="U623" i="19"/>
  <c r="T623" i="19"/>
  <c r="S623" i="19"/>
  <c r="V622" i="19"/>
  <c r="U622" i="19"/>
  <c r="T622" i="19"/>
  <c r="S622" i="19"/>
  <c r="V621" i="19"/>
  <c r="U621" i="19"/>
  <c r="T621" i="19"/>
  <c r="S621" i="19"/>
  <c r="V620" i="19"/>
  <c r="U620" i="19"/>
  <c r="T620" i="19"/>
  <c r="S620" i="19"/>
  <c r="V619" i="19"/>
  <c r="U619" i="19"/>
  <c r="T619" i="19"/>
  <c r="S619" i="19"/>
  <c r="V618" i="19"/>
  <c r="U618" i="19"/>
  <c r="T618" i="19"/>
  <c r="S618" i="19"/>
  <c r="V617" i="19"/>
  <c r="U617" i="19"/>
  <c r="T617" i="19"/>
  <c r="S617" i="19"/>
  <c r="V616" i="19"/>
  <c r="U616" i="19"/>
  <c r="T616" i="19"/>
  <c r="S616" i="19"/>
  <c r="V615" i="19"/>
  <c r="U615" i="19"/>
  <c r="T615" i="19"/>
  <c r="S615" i="19"/>
  <c r="V614" i="19"/>
  <c r="U614" i="19"/>
  <c r="T614" i="19"/>
  <c r="S614" i="19"/>
  <c r="V613" i="19"/>
  <c r="U613" i="19"/>
  <c r="T613" i="19"/>
  <c r="S613" i="19"/>
  <c r="V612" i="19"/>
  <c r="U612" i="19"/>
  <c r="T612" i="19"/>
  <c r="S612" i="19"/>
  <c r="V611" i="19"/>
  <c r="U611" i="19"/>
  <c r="T611" i="19"/>
  <c r="T466" i="19"/>
  <c r="T465" i="19"/>
  <c r="U464" i="19"/>
  <c r="U463" i="19"/>
  <c r="S463" i="19"/>
  <c r="V462" i="19"/>
  <c r="U462" i="19"/>
  <c r="S462" i="19"/>
  <c r="V461" i="19"/>
  <c r="T461" i="19"/>
  <c r="U460" i="19"/>
  <c r="S460" i="19"/>
  <c r="V459" i="19"/>
  <c r="T459" i="19"/>
  <c r="U458" i="19"/>
  <c r="S458" i="19"/>
  <c r="V457" i="19"/>
  <c r="T457" i="19"/>
  <c r="S457" i="19"/>
  <c r="V456" i="19"/>
  <c r="T456" i="19"/>
  <c r="U455" i="19"/>
  <c r="S455" i="19"/>
  <c r="V454" i="19"/>
  <c r="T454" i="19"/>
  <c r="U453" i="19"/>
  <c r="S453" i="19"/>
  <c r="V452" i="19"/>
  <c r="T452" i="19"/>
  <c r="T451" i="19"/>
  <c r="U450" i="19"/>
  <c r="S449" i="19"/>
  <c r="V448" i="19"/>
  <c r="S448" i="19"/>
  <c r="U447" i="19"/>
  <c r="S447" i="19"/>
  <c r="V446" i="19"/>
  <c r="S446" i="19"/>
  <c r="V445" i="19"/>
  <c r="T445" i="19"/>
  <c r="U444" i="19"/>
  <c r="U443" i="19"/>
  <c r="S443" i="19"/>
  <c r="U442" i="19"/>
  <c r="S442" i="19"/>
  <c r="V441" i="19"/>
  <c r="T441" i="19"/>
  <c r="U440" i="19"/>
  <c r="S440" i="19"/>
  <c r="V439" i="19"/>
  <c r="T439" i="19"/>
  <c r="U438" i="19"/>
  <c r="S438" i="19"/>
  <c r="V437" i="19"/>
  <c r="T437" i="19"/>
  <c r="U436" i="19"/>
  <c r="S436" i="19"/>
  <c r="V435" i="19"/>
  <c r="T435" i="19"/>
  <c r="U434" i="19"/>
  <c r="S434" i="19"/>
  <c r="V433" i="19"/>
  <c r="T433" i="19"/>
  <c r="V432" i="19"/>
  <c r="T432" i="19"/>
  <c r="S109" i="19"/>
  <c r="T106" i="19"/>
  <c r="T105" i="19"/>
  <c r="V104" i="19"/>
  <c r="V103" i="19"/>
  <c r="T102" i="19"/>
  <c r="V101" i="19"/>
  <c r="S101" i="19"/>
  <c r="U100" i="19"/>
  <c r="T99" i="19"/>
  <c r="V98" i="19"/>
  <c r="T98" i="19"/>
  <c r="U97" i="19"/>
  <c r="T96" i="19"/>
  <c r="V95" i="19"/>
  <c r="T95" i="19"/>
  <c r="T93" i="19"/>
  <c r="V92" i="19"/>
  <c r="S92" i="19"/>
  <c r="U91" i="19"/>
  <c r="S91" i="19"/>
  <c r="V90" i="19"/>
  <c r="T90" i="19"/>
  <c r="U89" i="19"/>
  <c r="S89" i="19"/>
  <c r="V88" i="19"/>
  <c r="U88" i="19"/>
  <c r="S88" i="19"/>
  <c r="V87" i="19"/>
  <c r="T87" i="19"/>
  <c r="U86" i="19"/>
  <c r="S86" i="19"/>
  <c r="T85" i="19"/>
  <c r="S79" i="19"/>
  <c r="S78" i="19"/>
  <c r="T77" i="19"/>
  <c r="V76" i="19"/>
  <c r="S76" i="19"/>
  <c r="U75" i="19"/>
  <c r="T74" i="19"/>
  <c r="S611" i="19"/>
  <c r="V610" i="19"/>
  <c r="U610" i="19"/>
  <c r="T610" i="19"/>
  <c r="S610" i="19"/>
  <c r="V609" i="19"/>
  <c r="U609" i="19"/>
  <c r="T609" i="19"/>
  <c r="S609" i="19"/>
  <c r="V608" i="19"/>
  <c r="U608" i="19"/>
  <c r="T608" i="19"/>
  <c r="S608" i="19"/>
  <c r="V607" i="19"/>
  <c r="U607" i="19"/>
  <c r="T607" i="19"/>
  <c r="S607" i="19"/>
  <c r="V606" i="19"/>
  <c r="U606" i="19"/>
  <c r="T606" i="19"/>
  <c r="S606" i="19"/>
  <c r="V605" i="19"/>
  <c r="U605" i="19"/>
  <c r="T605" i="19"/>
  <c r="S605" i="19"/>
  <c r="V604" i="19"/>
  <c r="U604" i="19"/>
  <c r="T604" i="19"/>
  <c r="S604" i="19"/>
  <c r="V603" i="19"/>
  <c r="U603" i="19"/>
  <c r="T603" i="19"/>
  <c r="S603" i="19"/>
  <c r="V602" i="19"/>
  <c r="U602" i="19"/>
  <c r="T602" i="19"/>
  <c r="S602" i="19"/>
  <c r="V601" i="19"/>
  <c r="U601" i="19"/>
  <c r="T601" i="19"/>
  <c r="S601" i="19"/>
  <c r="V600" i="19"/>
  <c r="U600" i="19"/>
  <c r="T600" i="19"/>
  <c r="S600" i="19"/>
  <c r="V599" i="19"/>
  <c r="U599" i="19"/>
  <c r="T599" i="19"/>
  <c r="S599" i="19"/>
  <c r="V598" i="19"/>
  <c r="U598" i="19"/>
  <c r="T598" i="19"/>
  <c r="S598" i="19"/>
  <c r="V597" i="19"/>
  <c r="U597" i="19"/>
  <c r="T597" i="19"/>
  <c r="S597" i="19"/>
  <c r="V596" i="19"/>
  <c r="U596" i="19"/>
  <c r="T596" i="19"/>
  <c r="S596" i="19"/>
  <c r="V595" i="19"/>
  <c r="U595" i="19"/>
  <c r="T595" i="19"/>
  <c r="S595" i="19"/>
  <c r="V594" i="19"/>
  <c r="U594" i="19"/>
  <c r="T594" i="19"/>
  <c r="S594" i="19"/>
  <c r="V593" i="19"/>
  <c r="U593" i="19"/>
  <c r="T593" i="19"/>
  <c r="S593" i="19"/>
  <c r="V592" i="19"/>
  <c r="U592" i="19"/>
  <c r="T592" i="19"/>
  <c r="S592" i="19"/>
  <c r="V591" i="19"/>
  <c r="U591" i="19"/>
  <c r="T591" i="19"/>
  <c r="S591" i="19"/>
  <c r="V590" i="19"/>
  <c r="U590" i="19"/>
  <c r="T590" i="19"/>
  <c r="S590" i="19"/>
  <c r="V589" i="19"/>
  <c r="U589" i="19"/>
  <c r="T589" i="19"/>
  <c r="S589" i="19"/>
  <c r="V588" i="19"/>
  <c r="U588" i="19"/>
  <c r="T588" i="19"/>
  <c r="S588" i="19"/>
  <c r="V587" i="19"/>
  <c r="U587" i="19"/>
  <c r="T587" i="19"/>
  <c r="S587" i="19"/>
  <c r="V586" i="19"/>
  <c r="U586" i="19"/>
  <c r="T586" i="19"/>
  <c r="S586" i="19"/>
  <c r="V585" i="19"/>
  <c r="U585" i="19"/>
  <c r="T585" i="19"/>
  <c r="S585" i="19"/>
  <c r="V584" i="19"/>
  <c r="U584" i="19"/>
  <c r="T584" i="19"/>
  <c r="S584" i="19"/>
  <c r="V583" i="19"/>
  <c r="U583" i="19"/>
  <c r="T583" i="19"/>
  <c r="S583" i="19"/>
  <c r="V582" i="19"/>
  <c r="U582" i="19"/>
  <c r="T582" i="19"/>
  <c r="S582" i="19"/>
  <c r="V581" i="19"/>
  <c r="U581" i="19"/>
  <c r="T581" i="19"/>
  <c r="S581" i="19"/>
  <c r="V580" i="19"/>
  <c r="U580" i="19"/>
  <c r="T580" i="19"/>
  <c r="S580" i="19"/>
  <c r="V579" i="19"/>
  <c r="U579" i="19"/>
  <c r="T579" i="19"/>
  <c r="S579" i="19"/>
  <c r="V578" i="19"/>
  <c r="U578" i="19"/>
  <c r="T578" i="19"/>
  <c r="S578" i="19"/>
  <c r="V577" i="19"/>
  <c r="U577" i="19"/>
  <c r="T577" i="19"/>
  <c r="S577" i="19"/>
  <c r="V576" i="19"/>
  <c r="U576" i="19"/>
  <c r="T576" i="19"/>
  <c r="S576" i="19"/>
  <c r="V575" i="19"/>
  <c r="U575" i="19"/>
  <c r="T575" i="19"/>
  <c r="S575" i="19"/>
  <c r="V574" i="19"/>
  <c r="U574" i="19"/>
  <c r="T574" i="19"/>
  <c r="S574" i="19"/>
  <c r="V573" i="19"/>
  <c r="U573" i="19"/>
  <c r="T573" i="19"/>
  <c r="S573" i="19"/>
  <c r="V572" i="19"/>
  <c r="U572" i="19"/>
  <c r="T572" i="19"/>
  <c r="S572" i="19"/>
  <c r="V571" i="19"/>
  <c r="U571" i="19"/>
  <c r="T571" i="19"/>
  <c r="S571" i="19"/>
  <c r="V570" i="19"/>
  <c r="U570" i="19"/>
  <c r="T570" i="19"/>
  <c r="S570" i="19"/>
  <c r="V569" i="19"/>
  <c r="U569" i="19"/>
  <c r="T569" i="19"/>
  <c r="S569" i="19"/>
  <c r="V568" i="19"/>
  <c r="U568" i="19"/>
  <c r="T568" i="19"/>
  <c r="S568" i="19"/>
  <c r="V567" i="19"/>
  <c r="U567" i="19"/>
  <c r="T567" i="19"/>
  <c r="S567" i="19"/>
  <c r="V566" i="19"/>
  <c r="U566" i="19"/>
  <c r="T566" i="19"/>
  <c r="S566" i="19"/>
  <c r="V565" i="19"/>
  <c r="U565" i="19"/>
  <c r="T565" i="19"/>
  <c r="S565" i="19"/>
  <c r="V564" i="19"/>
  <c r="U564" i="19"/>
  <c r="T564" i="19"/>
  <c r="S564" i="19"/>
  <c r="V563" i="19"/>
  <c r="U563" i="19"/>
  <c r="T563" i="19"/>
  <c r="S563" i="19"/>
  <c r="V562" i="19"/>
  <c r="U562" i="19"/>
  <c r="T562" i="19"/>
  <c r="S562" i="19"/>
  <c r="V561" i="19"/>
  <c r="U561" i="19"/>
  <c r="T561" i="19"/>
  <c r="S561" i="19"/>
  <c r="V560" i="19"/>
  <c r="U560" i="19"/>
  <c r="T560" i="19"/>
  <c r="S560" i="19"/>
  <c r="V559" i="19"/>
  <c r="U559" i="19"/>
  <c r="T559" i="19"/>
  <c r="S559" i="19"/>
  <c r="V558" i="19"/>
  <c r="U558" i="19"/>
  <c r="T558" i="19"/>
  <c r="S558" i="19"/>
  <c r="V557" i="19"/>
  <c r="U557" i="19"/>
  <c r="T557" i="19"/>
  <c r="S557" i="19"/>
  <c r="V556" i="19"/>
  <c r="U556" i="19"/>
  <c r="T556" i="19"/>
  <c r="S556" i="19"/>
  <c r="V555" i="19"/>
  <c r="U555" i="19"/>
  <c r="T555" i="19"/>
  <c r="S555" i="19"/>
  <c r="V554" i="19"/>
  <c r="U554" i="19"/>
  <c r="T554" i="19"/>
  <c r="S554" i="19"/>
  <c r="V553" i="19"/>
  <c r="U553" i="19"/>
  <c r="T553" i="19"/>
  <c r="S553" i="19"/>
  <c r="V552" i="19"/>
  <c r="U552" i="19"/>
  <c r="T552" i="19"/>
  <c r="S552" i="19"/>
  <c r="V551" i="19"/>
  <c r="U551" i="19"/>
  <c r="T551" i="19"/>
  <c r="S551" i="19"/>
  <c r="V550" i="19"/>
  <c r="U550" i="19"/>
  <c r="T550" i="19"/>
  <c r="S550" i="19"/>
  <c r="V549" i="19"/>
  <c r="U549" i="19"/>
  <c r="T549" i="19"/>
  <c r="S549" i="19"/>
  <c r="V548" i="19"/>
  <c r="U548" i="19"/>
  <c r="T548" i="19"/>
  <c r="S548" i="19"/>
  <c r="V547" i="19"/>
  <c r="U547" i="19"/>
  <c r="T547" i="19"/>
  <c r="S547" i="19"/>
  <c r="V546" i="19"/>
  <c r="U546" i="19"/>
  <c r="T546" i="19"/>
  <c r="S546" i="19"/>
  <c r="V545" i="19"/>
  <c r="U545" i="19"/>
  <c r="T545" i="19"/>
  <c r="S545" i="19"/>
  <c r="V544" i="19"/>
  <c r="U544" i="19"/>
  <c r="T544" i="19"/>
  <c r="S544" i="19"/>
  <c r="V543" i="19"/>
  <c r="U543" i="19"/>
  <c r="T543" i="19"/>
  <c r="S543" i="19"/>
  <c r="V542" i="19"/>
  <c r="U542" i="19"/>
  <c r="T542" i="19"/>
  <c r="S542" i="19"/>
  <c r="V541" i="19"/>
  <c r="U541" i="19"/>
  <c r="T541" i="19"/>
  <c r="S541" i="19"/>
  <c r="V540" i="19"/>
  <c r="U540" i="19"/>
  <c r="T540" i="19"/>
  <c r="S540" i="19"/>
  <c r="V539" i="19"/>
  <c r="U539" i="19"/>
  <c r="T539" i="19"/>
  <c r="S539" i="19"/>
  <c r="V538" i="19"/>
  <c r="U538" i="19"/>
  <c r="T538" i="19"/>
  <c r="S538" i="19"/>
  <c r="V537" i="19"/>
  <c r="U537" i="19"/>
  <c r="T537" i="19"/>
  <c r="S537" i="19"/>
  <c r="V536" i="19"/>
  <c r="U536" i="19"/>
  <c r="T536" i="19"/>
  <c r="S536" i="19"/>
  <c r="V535" i="19"/>
  <c r="U535" i="19"/>
  <c r="T535" i="19"/>
  <c r="S535" i="19"/>
  <c r="V534" i="19"/>
  <c r="U534" i="19"/>
  <c r="T534" i="19"/>
  <c r="S534" i="19"/>
  <c r="V533" i="19"/>
  <c r="U533" i="19"/>
  <c r="T533" i="19"/>
  <c r="S533" i="19"/>
  <c r="V532" i="19"/>
  <c r="U532" i="19"/>
  <c r="T532" i="19"/>
  <c r="S532" i="19"/>
  <c r="V531" i="19"/>
  <c r="U531" i="19"/>
  <c r="T531" i="19"/>
  <c r="S531" i="19"/>
  <c r="V530" i="19"/>
  <c r="U530" i="19"/>
  <c r="T530" i="19"/>
  <c r="S530" i="19"/>
  <c r="V529" i="19"/>
  <c r="U529" i="19"/>
  <c r="T529" i="19"/>
  <c r="S529" i="19"/>
  <c r="V528" i="19"/>
  <c r="U528" i="19"/>
  <c r="T528" i="19"/>
  <c r="S528" i="19"/>
  <c r="V527" i="19"/>
  <c r="U527" i="19"/>
  <c r="T527" i="19"/>
  <c r="S527" i="19"/>
  <c r="V526" i="19"/>
  <c r="U526" i="19"/>
  <c r="T526" i="19"/>
  <c r="S526" i="19"/>
  <c r="V525" i="19"/>
  <c r="U525" i="19"/>
  <c r="T525" i="19"/>
  <c r="S525" i="19"/>
  <c r="V524" i="19"/>
  <c r="U524" i="19"/>
  <c r="T524" i="19"/>
  <c r="S524" i="19"/>
  <c r="V523" i="19"/>
  <c r="U523" i="19"/>
  <c r="T523" i="19"/>
  <c r="S523" i="19"/>
  <c r="V522" i="19"/>
  <c r="U522" i="19"/>
  <c r="T522" i="19"/>
  <c r="S522" i="19"/>
  <c r="V521" i="19"/>
  <c r="U521" i="19"/>
  <c r="T521" i="19"/>
  <c r="S521" i="19"/>
  <c r="V520" i="19"/>
  <c r="U520" i="19"/>
  <c r="T520" i="19"/>
  <c r="S520" i="19"/>
  <c r="V519" i="19"/>
  <c r="U519" i="19"/>
  <c r="T519" i="19"/>
  <c r="S519" i="19"/>
  <c r="V518" i="19"/>
  <c r="U518" i="19"/>
  <c r="T518" i="19"/>
  <c r="S518" i="19"/>
  <c r="V517" i="19"/>
  <c r="U517" i="19"/>
  <c r="T517" i="19"/>
  <c r="S517" i="19"/>
  <c r="V516" i="19"/>
  <c r="U516" i="19"/>
  <c r="T516" i="19"/>
  <c r="S516" i="19"/>
  <c r="V515" i="19"/>
  <c r="U515" i="19"/>
  <c r="T515" i="19"/>
  <c r="S515" i="19"/>
  <c r="V514" i="19"/>
  <c r="U514" i="19"/>
  <c r="T514" i="19"/>
  <c r="S514" i="19"/>
  <c r="V513" i="19"/>
  <c r="U513" i="19"/>
  <c r="T513" i="19"/>
  <c r="S513" i="19"/>
  <c r="V512" i="19"/>
  <c r="U512" i="19"/>
  <c r="T512" i="19"/>
  <c r="S512" i="19"/>
  <c r="V511" i="19"/>
  <c r="U511" i="19"/>
  <c r="T511" i="19"/>
  <c r="S511" i="19"/>
  <c r="V510" i="19"/>
  <c r="U510" i="19"/>
  <c r="T510" i="19"/>
  <c r="S510" i="19"/>
  <c r="V509" i="19"/>
  <c r="U509" i="19"/>
  <c r="T509" i="19"/>
  <c r="S509" i="19"/>
  <c r="V508" i="19"/>
  <c r="U508" i="19"/>
  <c r="T508" i="19"/>
  <c r="S508" i="19"/>
  <c r="V507" i="19"/>
  <c r="U507" i="19"/>
  <c r="T507" i="19"/>
  <c r="S507" i="19"/>
  <c r="V506" i="19"/>
  <c r="U506" i="19"/>
  <c r="T506" i="19"/>
  <c r="S506" i="19"/>
  <c r="V505" i="19"/>
  <c r="U505" i="19"/>
  <c r="T505" i="19"/>
  <c r="S505" i="19"/>
  <c r="V504" i="19"/>
  <c r="U504" i="19"/>
  <c r="T504" i="19"/>
  <c r="S504" i="19"/>
  <c r="V503" i="19"/>
  <c r="U503" i="19"/>
  <c r="T503" i="19"/>
  <c r="S503" i="19"/>
  <c r="V502" i="19"/>
  <c r="U502" i="19"/>
  <c r="T502" i="19"/>
  <c r="S502" i="19"/>
  <c r="V501" i="19"/>
  <c r="U501" i="19"/>
  <c r="T501" i="19"/>
  <c r="S501" i="19"/>
  <c r="V500" i="19"/>
  <c r="U500" i="19"/>
  <c r="T500" i="19"/>
  <c r="S500" i="19"/>
  <c r="V499" i="19"/>
  <c r="U499" i="19"/>
  <c r="T499" i="19"/>
  <c r="S499" i="19"/>
  <c r="V498" i="19"/>
  <c r="U498" i="19"/>
  <c r="T498" i="19"/>
  <c r="S498" i="19"/>
  <c r="V497" i="19"/>
  <c r="U497" i="19"/>
  <c r="T497" i="19"/>
  <c r="S497" i="19"/>
  <c r="V496" i="19"/>
  <c r="U496" i="19"/>
  <c r="T496" i="19"/>
  <c r="S496" i="19"/>
  <c r="V495" i="19"/>
  <c r="U495" i="19"/>
  <c r="T495" i="19"/>
  <c r="S495" i="19"/>
  <c r="V494" i="19"/>
  <c r="U494" i="19"/>
  <c r="T494" i="19"/>
  <c r="S494" i="19"/>
  <c r="V493" i="19"/>
  <c r="U493" i="19"/>
  <c r="T493" i="19"/>
  <c r="S493" i="19"/>
  <c r="V492" i="19"/>
  <c r="U492" i="19"/>
  <c r="T492" i="19"/>
  <c r="S492" i="19"/>
  <c r="V491" i="19"/>
  <c r="U491" i="19"/>
  <c r="T491" i="19"/>
  <c r="S491" i="19"/>
  <c r="V490" i="19"/>
  <c r="U490" i="19"/>
  <c r="T490" i="19"/>
  <c r="S490" i="19"/>
  <c r="V489" i="19"/>
  <c r="U489" i="19"/>
  <c r="T489" i="19"/>
  <c r="S489" i="19"/>
  <c r="V488" i="19"/>
  <c r="U488" i="19"/>
  <c r="T488" i="19"/>
  <c r="S488" i="19"/>
  <c r="V487" i="19"/>
  <c r="U487" i="19"/>
  <c r="T487" i="19"/>
  <c r="S487" i="19"/>
  <c r="V486" i="19"/>
  <c r="U486" i="19"/>
  <c r="T486" i="19"/>
  <c r="S486" i="19"/>
  <c r="V485" i="19"/>
  <c r="U485" i="19"/>
  <c r="T485" i="19"/>
  <c r="S485" i="19"/>
  <c r="V484" i="19"/>
  <c r="U484" i="19"/>
  <c r="T484" i="19"/>
  <c r="S484" i="19"/>
  <c r="V483" i="19"/>
  <c r="U483" i="19"/>
  <c r="T483" i="19"/>
  <c r="S483" i="19"/>
  <c r="V482" i="19"/>
  <c r="U482" i="19"/>
  <c r="T482" i="19"/>
  <c r="S482" i="19"/>
  <c r="V481" i="19"/>
  <c r="U481" i="19"/>
  <c r="T481" i="19"/>
  <c r="S481" i="19"/>
  <c r="V480" i="19"/>
  <c r="U480" i="19"/>
  <c r="T480" i="19"/>
  <c r="S480" i="19"/>
  <c r="V479" i="19"/>
  <c r="U479" i="19"/>
  <c r="T479" i="19"/>
  <c r="S479" i="19"/>
  <c r="V478" i="19"/>
  <c r="U478" i="19"/>
  <c r="T478" i="19"/>
  <c r="S478" i="19"/>
  <c r="V477" i="19"/>
  <c r="U477" i="19"/>
  <c r="T477" i="19"/>
  <c r="S477" i="19"/>
  <c r="V476" i="19"/>
  <c r="U476" i="19"/>
  <c r="T476" i="19"/>
  <c r="S476" i="19"/>
  <c r="V475" i="19"/>
  <c r="U475" i="19"/>
  <c r="T475" i="19"/>
  <c r="S475" i="19"/>
  <c r="V474" i="19"/>
  <c r="U474" i="19"/>
  <c r="T474" i="19"/>
  <c r="S474" i="19"/>
  <c r="V473" i="19"/>
  <c r="U473" i="19"/>
  <c r="T473" i="19"/>
  <c r="S473" i="19"/>
  <c r="V472" i="19"/>
  <c r="U472" i="19"/>
  <c r="T472" i="19"/>
  <c r="S472" i="19"/>
  <c r="V471" i="19"/>
  <c r="U471" i="19"/>
  <c r="T471" i="19"/>
  <c r="S471" i="19"/>
  <c r="V470" i="19"/>
  <c r="U470" i="19"/>
  <c r="T470" i="19"/>
  <c r="S470" i="19"/>
  <c r="V469" i="19"/>
  <c r="U469" i="19"/>
  <c r="T469" i="19"/>
  <c r="S469" i="19"/>
  <c r="V468" i="19"/>
  <c r="U468" i="19"/>
  <c r="T468" i="19"/>
  <c r="S468" i="19"/>
  <c r="V467" i="19"/>
  <c r="U467" i="19"/>
  <c r="T467" i="19"/>
  <c r="S467" i="19"/>
  <c r="V466" i="19"/>
  <c r="U466" i="19"/>
  <c r="S466" i="19"/>
  <c r="V465" i="19"/>
  <c r="U465" i="19"/>
  <c r="S465" i="19"/>
  <c r="V464" i="19"/>
  <c r="T464" i="19"/>
  <c r="S464" i="19"/>
  <c r="V463" i="19"/>
  <c r="T463" i="19"/>
  <c r="T462" i="19"/>
  <c r="U461" i="19"/>
  <c r="S461" i="19"/>
  <c r="V460" i="19"/>
  <c r="T460" i="19"/>
  <c r="U459" i="19"/>
  <c r="S459" i="19"/>
  <c r="V458" i="19"/>
  <c r="T458" i="19"/>
  <c r="U457" i="19"/>
  <c r="U456" i="19"/>
  <c r="S456" i="19"/>
  <c r="V455" i="19"/>
  <c r="T455" i="19"/>
  <c r="U454" i="19"/>
  <c r="S454" i="19"/>
  <c r="V453" i="19"/>
  <c r="T453" i="19"/>
  <c r="U452" i="19"/>
  <c r="S452" i="19"/>
  <c r="V451" i="19"/>
  <c r="U451" i="19"/>
  <c r="S451" i="19"/>
  <c r="V450" i="19"/>
  <c r="T450" i="19"/>
  <c r="S450" i="19"/>
  <c r="V449" i="19"/>
  <c r="U449" i="19"/>
  <c r="T449" i="19"/>
  <c r="U448" i="19"/>
  <c r="T448" i="19"/>
  <c r="V447" i="19"/>
  <c r="T447" i="19"/>
  <c r="U446" i="19"/>
  <c r="T446" i="19"/>
  <c r="U445" i="19"/>
  <c r="S445" i="19"/>
  <c r="V444" i="19"/>
  <c r="T444" i="19"/>
  <c r="S444" i="19"/>
  <c r="V443" i="19"/>
  <c r="T443" i="19"/>
  <c r="V442" i="19"/>
  <c r="T442" i="19"/>
  <c r="U441" i="19"/>
  <c r="S441" i="19"/>
  <c r="V440" i="19"/>
  <c r="T440" i="19"/>
  <c r="U439" i="19"/>
  <c r="S439" i="19"/>
  <c r="V438" i="19"/>
  <c r="T438" i="19"/>
  <c r="U437" i="19"/>
  <c r="S437" i="19"/>
  <c r="V436" i="19"/>
  <c r="T436" i="19"/>
  <c r="U435" i="19"/>
  <c r="S435" i="19"/>
  <c r="V434" i="19"/>
  <c r="T434" i="19"/>
  <c r="U433" i="19"/>
  <c r="S433" i="19"/>
  <c r="U432" i="19"/>
  <c r="S432" i="19"/>
  <c r="U109" i="19"/>
  <c r="V108" i="19"/>
  <c r="T108" i="19"/>
  <c r="V107" i="19"/>
  <c r="T107" i="19"/>
  <c r="V106" i="19"/>
  <c r="S106" i="19"/>
  <c r="V105" i="19"/>
  <c r="S105" i="19"/>
  <c r="T104" i="19"/>
  <c r="S104" i="19"/>
  <c r="U103" i="19"/>
  <c r="S103" i="19"/>
  <c r="U102" i="19"/>
  <c r="S102" i="19"/>
  <c r="U101" i="19"/>
  <c r="T101" i="19"/>
  <c r="V100" i="19"/>
  <c r="S100" i="19"/>
  <c r="U99" i="19"/>
  <c r="S98" i="19"/>
  <c r="V97" i="19"/>
  <c r="T97" i="19"/>
  <c r="V96" i="19"/>
  <c r="S95" i="19"/>
  <c r="U94" i="19"/>
  <c r="S94" i="19"/>
  <c r="U93" i="19"/>
  <c r="T92" i="19"/>
  <c r="V91" i="19"/>
  <c r="U84" i="19"/>
  <c r="T83" i="19"/>
  <c r="T82" i="19"/>
  <c r="S82" i="19"/>
  <c r="V81" i="19"/>
  <c r="T81" i="19"/>
  <c r="U80" i="19"/>
  <c r="S80" i="19"/>
  <c r="V79" i="19"/>
  <c r="T79" i="19"/>
  <c r="U78" i="19"/>
  <c r="U77" i="19"/>
  <c r="S77" i="19"/>
  <c r="U76" i="19"/>
  <c r="T75" i="19"/>
  <c r="V74" i="19"/>
  <c r="V431" i="19"/>
  <c r="U431" i="19"/>
  <c r="T431" i="19"/>
  <c r="S431" i="19"/>
  <c r="V430" i="19"/>
  <c r="U430" i="19"/>
  <c r="T430" i="19"/>
  <c r="S430" i="19"/>
  <c r="V429" i="19"/>
  <c r="U429" i="19"/>
  <c r="T429" i="19"/>
  <c r="S429" i="19"/>
  <c r="V428" i="19"/>
  <c r="U428" i="19"/>
  <c r="T428" i="19"/>
  <c r="S428" i="19"/>
  <c r="V427" i="19"/>
  <c r="U427" i="19"/>
  <c r="T427" i="19"/>
  <c r="S427" i="19"/>
  <c r="V426" i="19"/>
  <c r="U426" i="19"/>
  <c r="T426" i="19"/>
  <c r="S426" i="19"/>
  <c r="V425" i="19"/>
  <c r="U425" i="19"/>
  <c r="T425" i="19"/>
  <c r="S425" i="19"/>
  <c r="V424" i="19"/>
  <c r="U424" i="19"/>
  <c r="T424" i="19"/>
  <c r="S424" i="19"/>
  <c r="V423" i="19"/>
  <c r="U423" i="19"/>
  <c r="T423" i="19"/>
  <c r="S423" i="19"/>
  <c r="V422" i="19"/>
  <c r="U422" i="19"/>
  <c r="T422" i="19"/>
  <c r="S422" i="19"/>
  <c r="V421" i="19"/>
  <c r="U421" i="19"/>
  <c r="T421" i="19"/>
  <c r="S421" i="19"/>
  <c r="V420" i="19"/>
  <c r="U420" i="19"/>
  <c r="T420" i="19"/>
  <c r="S420" i="19"/>
  <c r="V419" i="19"/>
  <c r="U419" i="19"/>
  <c r="T419" i="19"/>
  <c r="S419" i="19"/>
  <c r="V418" i="19"/>
  <c r="U418" i="19"/>
  <c r="T418" i="19"/>
  <c r="S418" i="19"/>
  <c r="V417" i="19"/>
  <c r="U417" i="19"/>
  <c r="T417" i="19"/>
  <c r="S417" i="19"/>
  <c r="V416" i="19"/>
  <c r="U416" i="19"/>
  <c r="T416" i="19"/>
  <c r="S416" i="19"/>
  <c r="V415" i="19"/>
  <c r="U415" i="19"/>
  <c r="T415" i="19"/>
  <c r="S415" i="19"/>
  <c r="V414" i="19"/>
  <c r="U414" i="19"/>
  <c r="T414" i="19"/>
  <c r="S414" i="19"/>
  <c r="V413" i="19"/>
  <c r="U413" i="19"/>
  <c r="T413" i="19"/>
  <c r="S413" i="19"/>
  <c r="V412" i="19"/>
  <c r="U412" i="19"/>
  <c r="T412" i="19"/>
  <c r="S412" i="19"/>
  <c r="V411" i="19"/>
  <c r="U411" i="19"/>
  <c r="T411" i="19"/>
  <c r="S411" i="19"/>
  <c r="V410" i="19"/>
  <c r="U410" i="19"/>
  <c r="T410" i="19"/>
  <c r="S410" i="19"/>
  <c r="V409" i="19"/>
  <c r="U409" i="19"/>
  <c r="T409" i="19"/>
  <c r="S409" i="19"/>
  <c r="V408" i="19"/>
  <c r="U408" i="19"/>
  <c r="T408" i="19"/>
  <c r="S408" i="19"/>
  <c r="V407" i="19"/>
  <c r="U407" i="19"/>
  <c r="T407" i="19"/>
  <c r="S407" i="19"/>
  <c r="V406" i="19"/>
  <c r="U406" i="19"/>
  <c r="T406" i="19"/>
  <c r="S406" i="19"/>
  <c r="V405" i="19"/>
  <c r="U405" i="19"/>
  <c r="T405" i="19"/>
  <c r="S405" i="19"/>
  <c r="V404" i="19"/>
  <c r="U404" i="19"/>
  <c r="T404" i="19"/>
  <c r="S404" i="19"/>
  <c r="V403" i="19"/>
  <c r="U403" i="19"/>
  <c r="T403" i="19"/>
  <c r="S403" i="19"/>
  <c r="V402" i="19"/>
  <c r="U402" i="19"/>
  <c r="T402" i="19"/>
  <c r="S402" i="19"/>
  <c r="V401" i="19"/>
  <c r="U401" i="19"/>
  <c r="T401" i="19"/>
  <c r="S401" i="19"/>
  <c r="V400" i="19"/>
  <c r="U400" i="19"/>
  <c r="T400" i="19"/>
  <c r="S400" i="19"/>
  <c r="V399" i="19"/>
  <c r="U399" i="19"/>
  <c r="T399" i="19"/>
  <c r="S399" i="19"/>
  <c r="V398" i="19"/>
  <c r="U398" i="19"/>
  <c r="T398" i="19"/>
  <c r="S398" i="19"/>
  <c r="V397" i="19"/>
  <c r="U397" i="19"/>
  <c r="T397" i="19"/>
  <c r="S397" i="19"/>
  <c r="V396" i="19"/>
  <c r="U396" i="19"/>
  <c r="T396" i="19"/>
  <c r="S396" i="19"/>
  <c r="V395" i="19"/>
  <c r="U395" i="19"/>
  <c r="T395" i="19"/>
  <c r="S395" i="19"/>
  <c r="V394" i="19"/>
  <c r="U394" i="19"/>
  <c r="T394" i="19"/>
  <c r="S394" i="19"/>
  <c r="V393" i="19"/>
  <c r="U393" i="19"/>
  <c r="T393" i="19"/>
  <c r="S393" i="19"/>
  <c r="V392" i="19"/>
  <c r="U392" i="19"/>
  <c r="T392" i="19"/>
  <c r="S392" i="19"/>
  <c r="V391" i="19"/>
  <c r="U391" i="19"/>
  <c r="T391" i="19"/>
  <c r="S391" i="19"/>
  <c r="V390" i="19"/>
  <c r="U390" i="19"/>
  <c r="T390" i="19"/>
  <c r="S390" i="19"/>
  <c r="V389" i="19"/>
  <c r="U389" i="19"/>
  <c r="T389" i="19"/>
  <c r="S389" i="19"/>
  <c r="V388" i="19"/>
  <c r="U388" i="19"/>
  <c r="T388" i="19"/>
  <c r="S388" i="19"/>
  <c r="V387" i="19"/>
  <c r="U387" i="19"/>
  <c r="T387" i="19"/>
  <c r="S387" i="19"/>
  <c r="V386" i="19"/>
  <c r="U386" i="19"/>
  <c r="T386" i="19"/>
  <c r="S386" i="19"/>
  <c r="V385" i="19"/>
  <c r="U385" i="19"/>
  <c r="T385" i="19"/>
  <c r="S385" i="19"/>
  <c r="V384" i="19"/>
  <c r="U384" i="19"/>
  <c r="T384" i="19"/>
  <c r="S384" i="19"/>
  <c r="V383" i="19"/>
  <c r="U383" i="19"/>
  <c r="T383" i="19"/>
  <c r="S383" i="19"/>
  <c r="V382" i="19"/>
  <c r="U382" i="19"/>
  <c r="T382" i="19"/>
  <c r="S382" i="19"/>
  <c r="V381" i="19"/>
  <c r="U381" i="19"/>
  <c r="T381" i="19"/>
  <c r="S381" i="19"/>
  <c r="V380" i="19"/>
  <c r="U380" i="19"/>
  <c r="T380" i="19"/>
  <c r="S380" i="19"/>
  <c r="V379" i="19"/>
  <c r="U379" i="19"/>
  <c r="T379" i="19"/>
  <c r="S379" i="19"/>
  <c r="V378" i="19"/>
  <c r="U378" i="19"/>
  <c r="T378" i="19"/>
  <c r="S378" i="19"/>
  <c r="V377" i="19"/>
  <c r="U377" i="19"/>
  <c r="T377" i="19"/>
  <c r="S377" i="19"/>
  <c r="V376" i="19"/>
  <c r="U376" i="19"/>
  <c r="T376" i="19"/>
  <c r="S376" i="19"/>
  <c r="V375" i="19"/>
  <c r="U375" i="19"/>
  <c r="T375" i="19"/>
  <c r="S375" i="19"/>
  <c r="V374" i="19"/>
  <c r="U374" i="19"/>
  <c r="T374" i="19"/>
  <c r="S374" i="19"/>
  <c r="V373" i="19"/>
  <c r="U373" i="19"/>
  <c r="T373" i="19"/>
  <c r="S373" i="19"/>
  <c r="V372" i="19"/>
  <c r="U372" i="19"/>
  <c r="T372" i="19"/>
  <c r="S372" i="19"/>
  <c r="V371" i="19"/>
  <c r="U371" i="19"/>
  <c r="T371" i="19"/>
  <c r="S371" i="19"/>
  <c r="V370" i="19"/>
  <c r="U370" i="19"/>
  <c r="T370" i="19"/>
  <c r="S370" i="19"/>
  <c r="V369" i="19"/>
  <c r="U369" i="19"/>
  <c r="T369" i="19"/>
  <c r="S369" i="19"/>
  <c r="V368" i="19"/>
  <c r="U368" i="19"/>
  <c r="T368" i="19"/>
  <c r="S368" i="19"/>
  <c r="V367" i="19"/>
  <c r="U367" i="19"/>
  <c r="T367" i="19"/>
  <c r="S367" i="19"/>
  <c r="V366" i="19"/>
  <c r="U366" i="19"/>
  <c r="T366" i="19"/>
  <c r="S366" i="19"/>
  <c r="V365" i="19"/>
  <c r="U365" i="19"/>
  <c r="T365" i="19"/>
  <c r="S365" i="19"/>
  <c r="V364" i="19"/>
  <c r="U364" i="19"/>
  <c r="T364" i="19"/>
  <c r="S364" i="19"/>
  <c r="V363" i="19"/>
  <c r="U363" i="19"/>
  <c r="T363" i="19"/>
  <c r="S363" i="19"/>
  <c r="V362" i="19"/>
  <c r="U362" i="19"/>
  <c r="T362" i="19"/>
  <c r="S362" i="19"/>
  <c r="V361" i="19"/>
  <c r="U361" i="19"/>
  <c r="T361" i="19"/>
  <c r="S361" i="19"/>
  <c r="V360" i="19"/>
  <c r="U360" i="19"/>
  <c r="T360" i="19"/>
  <c r="S360" i="19"/>
  <c r="V359" i="19"/>
  <c r="U359" i="19"/>
  <c r="T359" i="19"/>
  <c r="S359" i="19"/>
  <c r="V358" i="19"/>
  <c r="U358" i="19"/>
  <c r="T358" i="19"/>
  <c r="S358" i="19"/>
  <c r="V357" i="19"/>
  <c r="U357" i="19"/>
  <c r="T357" i="19"/>
  <c r="S357" i="19"/>
  <c r="V356" i="19"/>
  <c r="U356" i="19"/>
  <c r="T356" i="19"/>
  <c r="S356" i="19"/>
  <c r="V355" i="19"/>
  <c r="U355" i="19"/>
  <c r="T355" i="19"/>
  <c r="S355" i="19"/>
  <c r="V354" i="19"/>
  <c r="U354" i="19"/>
  <c r="T354" i="19"/>
  <c r="S354" i="19"/>
  <c r="V353" i="19"/>
  <c r="U353" i="19"/>
  <c r="T353" i="19"/>
  <c r="S353" i="19"/>
  <c r="V352" i="19"/>
  <c r="U352" i="19"/>
  <c r="T352" i="19"/>
  <c r="S352" i="19"/>
  <c r="V351" i="19"/>
  <c r="U351" i="19"/>
  <c r="T351" i="19"/>
  <c r="S351" i="19"/>
  <c r="V350" i="19"/>
  <c r="U350" i="19"/>
  <c r="T350" i="19"/>
  <c r="S350" i="19"/>
  <c r="V349" i="19"/>
  <c r="U349" i="19"/>
  <c r="T349" i="19"/>
  <c r="S349" i="19"/>
  <c r="V348" i="19"/>
  <c r="U348" i="19"/>
  <c r="T348" i="19"/>
  <c r="S348" i="19"/>
  <c r="V347" i="19"/>
  <c r="U347" i="19"/>
  <c r="T347" i="19"/>
  <c r="S347" i="19"/>
  <c r="V346" i="19"/>
  <c r="U346" i="19"/>
  <c r="T346" i="19"/>
  <c r="S346" i="19"/>
  <c r="V345" i="19"/>
  <c r="U345" i="19"/>
  <c r="T345" i="19"/>
  <c r="S345" i="19"/>
  <c r="V344" i="19"/>
  <c r="U344" i="19"/>
  <c r="T344" i="19"/>
  <c r="S344" i="19"/>
  <c r="V343" i="19"/>
  <c r="U343" i="19"/>
  <c r="T343" i="19"/>
  <c r="S343" i="19"/>
  <c r="V342" i="19"/>
  <c r="U342" i="19"/>
  <c r="T342" i="19"/>
  <c r="S342" i="19"/>
  <c r="V341" i="19"/>
  <c r="U341" i="19"/>
  <c r="T341" i="19"/>
  <c r="S341" i="19"/>
  <c r="V340" i="19"/>
  <c r="U340" i="19"/>
  <c r="T340" i="19"/>
  <c r="S340" i="19"/>
  <c r="V339" i="19"/>
  <c r="U339" i="19"/>
  <c r="T339" i="19"/>
  <c r="S339" i="19"/>
  <c r="V338" i="19"/>
  <c r="U338" i="19"/>
  <c r="T338" i="19"/>
  <c r="S338" i="19"/>
  <c r="V337" i="19"/>
  <c r="U337" i="19"/>
  <c r="T337" i="19"/>
  <c r="S337" i="19"/>
  <c r="V336" i="19"/>
  <c r="U336" i="19"/>
  <c r="T336" i="19"/>
  <c r="S336" i="19"/>
  <c r="V335" i="19"/>
  <c r="U335" i="19"/>
  <c r="T335" i="19"/>
  <c r="S335" i="19"/>
  <c r="V334" i="19"/>
  <c r="U334" i="19"/>
  <c r="T334" i="19"/>
  <c r="S334" i="19"/>
  <c r="V333" i="19"/>
  <c r="U333" i="19"/>
  <c r="T333" i="19"/>
  <c r="S333" i="19"/>
  <c r="V332" i="19"/>
  <c r="U332" i="19"/>
  <c r="T332" i="19"/>
  <c r="S332" i="19"/>
  <c r="V331" i="19"/>
  <c r="U331" i="19"/>
  <c r="T331" i="19"/>
  <c r="S331" i="19"/>
  <c r="V330" i="19"/>
  <c r="U330" i="19"/>
  <c r="T330" i="19"/>
  <c r="S330" i="19"/>
  <c r="V329" i="19"/>
  <c r="U329" i="19"/>
  <c r="T329" i="19"/>
  <c r="S329" i="19"/>
  <c r="V328" i="19"/>
  <c r="U328" i="19"/>
  <c r="T328" i="19"/>
  <c r="S328" i="19"/>
  <c r="V327" i="19"/>
  <c r="U327" i="19"/>
  <c r="T327" i="19"/>
  <c r="S327" i="19"/>
  <c r="V326" i="19"/>
  <c r="U326" i="19"/>
  <c r="T326" i="19"/>
  <c r="S326" i="19"/>
  <c r="V325" i="19"/>
  <c r="U325" i="19"/>
  <c r="T325" i="19"/>
  <c r="S325" i="19"/>
  <c r="V324" i="19"/>
  <c r="U324" i="19"/>
  <c r="T324" i="19"/>
  <c r="S324" i="19"/>
  <c r="V323" i="19"/>
  <c r="U323" i="19"/>
  <c r="T323" i="19"/>
  <c r="S323" i="19"/>
  <c r="V322" i="19"/>
  <c r="U322" i="19"/>
  <c r="T322" i="19"/>
  <c r="S322" i="19"/>
  <c r="V321" i="19"/>
  <c r="U321" i="19"/>
  <c r="T321" i="19"/>
  <c r="S321" i="19"/>
  <c r="V320" i="19"/>
  <c r="U320" i="19"/>
  <c r="T320" i="19"/>
  <c r="S320" i="19"/>
  <c r="V319" i="19"/>
  <c r="U319" i="19"/>
  <c r="T319" i="19"/>
  <c r="S319" i="19"/>
  <c r="V318" i="19"/>
  <c r="U318" i="19"/>
  <c r="T318" i="19"/>
  <c r="S318" i="19"/>
  <c r="V317" i="19"/>
  <c r="U317" i="19"/>
  <c r="T317" i="19"/>
  <c r="S317" i="19"/>
  <c r="V316" i="19"/>
  <c r="U316" i="19"/>
  <c r="T316" i="19"/>
  <c r="S316" i="19"/>
  <c r="V315" i="19"/>
  <c r="U315" i="19"/>
  <c r="T315" i="19"/>
  <c r="S315" i="19"/>
  <c r="V314" i="19"/>
  <c r="U314" i="19"/>
  <c r="T314" i="19"/>
  <c r="S314" i="19"/>
  <c r="V313" i="19"/>
  <c r="U313" i="19"/>
  <c r="T313" i="19"/>
  <c r="S313" i="19"/>
  <c r="V312" i="19"/>
  <c r="U312" i="19"/>
  <c r="T312" i="19"/>
  <c r="S312" i="19"/>
  <c r="V311" i="19"/>
  <c r="U311" i="19"/>
  <c r="T311" i="19"/>
  <c r="S311" i="19"/>
  <c r="V310" i="19"/>
  <c r="U310" i="19"/>
  <c r="T310" i="19"/>
  <c r="S310" i="19"/>
  <c r="V309" i="19"/>
  <c r="U309" i="19"/>
  <c r="T309" i="19"/>
  <c r="S309" i="19"/>
  <c r="V308" i="19"/>
  <c r="U308" i="19"/>
  <c r="T308" i="19"/>
  <c r="S308" i="19"/>
  <c r="V307" i="19"/>
  <c r="U307" i="19"/>
  <c r="T307" i="19"/>
  <c r="S307" i="19"/>
  <c r="V306" i="19"/>
  <c r="U306" i="19"/>
  <c r="T306" i="19"/>
  <c r="S306" i="19"/>
  <c r="V305" i="19"/>
  <c r="U305" i="19"/>
  <c r="T305" i="19"/>
  <c r="S305" i="19"/>
  <c r="V304" i="19"/>
  <c r="U304" i="19"/>
  <c r="T304" i="19"/>
  <c r="S304" i="19"/>
  <c r="V303" i="19"/>
  <c r="U303" i="19"/>
  <c r="T303" i="19"/>
  <c r="S303" i="19"/>
  <c r="V302" i="19"/>
  <c r="U302" i="19"/>
  <c r="T302" i="19"/>
  <c r="S302" i="19"/>
  <c r="V301" i="19"/>
  <c r="U301" i="19"/>
  <c r="T301" i="19"/>
  <c r="S301" i="19"/>
  <c r="V300" i="19"/>
  <c r="U300" i="19"/>
  <c r="T300" i="19"/>
  <c r="S300" i="19"/>
  <c r="V299" i="19"/>
  <c r="U299" i="19"/>
  <c r="T299" i="19"/>
  <c r="S299" i="19"/>
  <c r="V298" i="19"/>
  <c r="U298" i="19"/>
  <c r="T298" i="19"/>
  <c r="S298" i="19"/>
  <c r="V297" i="19"/>
  <c r="U297" i="19"/>
  <c r="T297" i="19"/>
  <c r="S297" i="19"/>
  <c r="V296" i="19"/>
  <c r="U296" i="19"/>
  <c r="T296" i="19"/>
  <c r="S296" i="19"/>
  <c r="V295" i="19"/>
  <c r="U295" i="19"/>
  <c r="T295" i="19"/>
  <c r="S295" i="19"/>
  <c r="V294" i="19"/>
  <c r="U294" i="19"/>
  <c r="T294" i="19"/>
  <c r="S294" i="19"/>
  <c r="V293" i="19"/>
  <c r="U293" i="19"/>
  <c r="T293" i="19"/>
  <c r="S293" i="19"/>
  <c r="V292" i="19"/>
  <c r="U292" i="19"/>
  <c r="T292" i="19"/>
  <c r="S292" i="19"/>
  <c r="V291" i="19"/>
  <c r="U291" i="19"/>
  <c r="T291" i="19"/>
  <c r="S291" i="19"/>
  <c r="V290" i="19"/>
  <c r="U290" i="19"/>
  <c r="T290" i="19"/>
  <c r="S290" i="19"/>
  <c r="V289" i="19"/>
  <c r="U289" i="19"/>
  <c r="T289" i="19"/>
  <c r="S289" i="19"/>
  <c r="V288" i="19"/>
  <c r="U288" i="19"/>
  <c r="T288" i="19"/>
  <c r="S288" i="19"/>
  <c r="V287" i="19"/>
  <c r="U287" i="19"/>
  <c r="T287" i="19"/>
  <c r="S287" i="19"/>
  <c r="V286" i="19"/>
  <c r="U286" i="19"/>
  <c r="T286" i="19"/>
  <c r="S286" i="19"/>
  <c r="V285" i="19"/>
  <c r="U285" i="19"/>
  <c r="T285" i="19"/>
  <c r="S285" i="19"/>
  <c r="V284" i="19"/>
  <c r="U284" i="19"/>
  <c r="T284" i="19"/>
  <c r="S284" i="19"/>
  <c r="V283" i="19"/>
  <c r="U283" i="19"/>
  <c r="T283" i="19"/>
  <c r="S283" i="19"/>
  <c r="V282" i="19"/>
  <c r="U282" i="19"/>
  <c r="T282" i="19"/>
  <c r="S282" i="19"/>
  <c r="V281" i="19"/>
  <c r="U281" i="19"/>
  <c r="T281" i="19"/>
  <c r="S281" i="19"/>
  <c r="V280" i="19"/>
  <c r="U280" i="19"/>
  <c r="T280" i="19"/>
  <c r="S280" i="19"/>
  <c r="V279" i="19"/>
  <c r="U279" i="19"/>
  <c r="T279" i="19"/>
  <c r="S279" i="19"/>
  <c r="V278" i="19"/>
  <c r="U278" i="19"/>
  <c r="T278" i="19"/>
  <c r="S278" i="19"/>
  <c r="V277" i="19"/>
  <c r="U277" i="19"/>
  <c r="T277" i="19"/>
  <c r="S277" i="19"/>
  <c r="V276" i="19"/>
  <c r="U276" i="19"/>
  <c r="T276" i="19"/>
  <c r="S276" i="19"/>
  <c r="V275" i="19"/>
  <c r="U275" i="19"/>
  <c r="T275" i="19"/>
  <c r="S275" i="19"/>
  <c r="V274" i="19"/>
  <c r="U274" i="19"/>
  <c r="T274" i="19"/>
  <c r="S274" i="19"/>
  <c r="V273" i="19"/>
  <c r="U273" i="19"/>
  <c r="T273" i="19"/>
  <c r="S273" i="19"/>
  <c r="V272" i="19"/>
  <c r="U272" i="19"/>
  <c r="T272" i="19"/>
  <c r="S272" i="19"/>
  <c r="V271" i="19"/>
  <c r="U271" i="19"/>
  <c r="T271" i="19"/>
  <c r="S271" i="19"/>
  <c r="V270" i="19"/>
  <c r="U270" i="19"/>
  <c r="T270" i="19"/>
  <c r="S270" i="19"/>
  <c r="V269" i="19"/>
  <c r="U269" i="19"/>
  <c r="T269" i="19"/>
  <c r="S269" i="19"/>
  <c r="V268" i="19"/>
  <c r="U268" i="19"/>
  <c r="T268" i="19"/>
  <c r="S268" i="19"/>
  <c r="V267" i="19"/>
  <c r="U267" i="19"/>
  <c r="T267" i="19"/>
  <c r="S267" i="19"/>
  <c r="V266" i="19"/>
  <c r="U266" i="19"/>
  <c r="T266" i="19"/>
  <c r="S266" i="19"/>
  <c r="V265" i="19"/>
  <c r="U265" i="19"/>
  <c r="T265" i="19"/>
  <c r="S265" i="19"/>
  <c r="V264" i="19"/>
  <c r="U264" i="19"/>
  <c r="T264" i="19"/>
  <c r="S264" i="19"/>
  <c r="V263" i="19"/>
  <c r="U263" i="19"/>
  <c r="T263" i="19"/>
  <c r="S263" i="19"/>
  <c r="V262" i="19"/>
  <c r="U262" i="19"/>
  <c r="T262" i="19"/>
  <c r="S262" i="19"/>
  <c r="V261" i="19"/>
  <c r="U261" i="19"/>
  <c r="T261" i="19"/>
  <c r="S261" i="19"/>
  <c r="V260" i="19"/>
  <c r="U260" i="19"/>
  <c r="T260" i="19"/>
  <c r="S260" i="19"/>
  <c r="V259" i="19"/>
  <c r="U259" i="19"/>
  <c r="T259" i="19"/>
  <c r="S259" i="19"/>
  <c r="V258" i="19"/>
  <c r="U258" i="19"/>
  <c r="T258" i="19"/>
  <c r="S258" i="19"/>
  <c r="V257" i="19"/>
  <c r="U257" i="19"/>
  <c r="T257" i="19"/>
  <c r="S257" i="19"/>
  <c r="V256" i="19"/>
  <c r="U256" i="19"/>
  <c r="T256" i="19"/>
  <c r="S256" i="19"/>
  <c r="V255" i="19"/>
  <c r="U255" i="19"/>
  <c r="T255" i="19"/>
  <c r="S255" i="19"/>
  <c r="V254" i="19"/>
  <c r="U254" i="19"/>
  <c r="T254" i="19"/>
  <c r="S254" i="19"/>
  <c r="V253" i="19"/>
  <c r="U253" i="19"/>
  <c r="T253" i="19"/>
  <c r="S253" i="19"/>
  <c r="S116" i="19"/>
  <c r="V115" i="19"/>
  <c r="U115" i="19"/>
  <c r="T115" i="19"/>
  <c r="S115" i="19"/>
  <c r="V114" i="19"/>
  <c r="U114" i="19"/>
  <c r="T114" i="19"/>
  <c r="S114" i="19"/>
  <c r="V113" i="19"/>
  <c r="U113" i="19"/>
  <c r="T113" i="19"/>
  <c r="S113" i="19"/>
  <c r="V112" i="19"/>
  <c r="U112" i="19"/>
  <c r="T112" i="19"/>
  <c r="S112" i="19"/>
  <c r="V111" i="19"/>
  <c r="U111" i="19"/>
  <c r="T111" i="19"/>
  <c r="S111" i="19"/>
  <c r="V110" i="19"/>
  <c r="U110" i="19"/>
  <c r="T110" i="19"/>
  <c r="S110" i="19"/>
  <c r="V109" i="19"/>
  <c r="T109" i="19"/>
  <c r="U108" i="19"/>
  <c r="S108" i="19"/>
  <c r="U107" i="19"/>
  <c r="S107" i="19"/>
  <c r="U106" i="19"/>
  <c r="U105" i="19"/>
  <c r="U104" i="19"/>
  <c r="T103" i="19"/>
  <c r="V102" i="19"/>
  <c r="T100" i="19"/>
  <c r="V99" i="19"/>
  <c r="S99" i="19"/>
  <c r="U98" i="19"/>
  <c r="S97" i="19"/>
  <c r="U96" i="19"/>
  <c r="S96" i="19"/>
  <c r="U95" i="19"/>
  <c r="V94" i="19"/>
  <c r="T94" i="19"/>
  <c r="V93" i="19"/>
  <c r="S93" i="19"/>
  <c r="U92" i="19"/>
  <c r="T91" i="19"/>
  <c r="U90" i="19"/>
  <c r="S90" i="19"/>
  <c r="V89" i="19"/>
  <c r="T89" i="19"/>
  <c r="T88" i="19"/>
  <c r="U87" i="19"/>
  <c r="S87" i="19"/>
  <c r="V86" i="19"/>
  <c r="T86" i="19"/>
  <c r="V85" i="19"/>
  <c r="U85" i="19"/>
  <c r="S85" i="19"/>
  <c r="V84" i="19"/>
  <c r="T84" i="19"/>
  <c r="S84" i="19"/>
  <c r="V83" i="19"/>
  <c r="U83" i="19"/>
  <c r="S83" i="19"/>
  <c r="V82" i="19"/>
  <c r="U82" i="19"/>
  <c r="U81" i="19"/>
  <c r="S81" i="19"/>
  <c r="V80" i="19"/>
  <c r="T80" i="19"/>
  <c r="U79" i="19"/>
  <c r="V78" i="19"/>
  <c r="T78" i="19"/>
  <c r="V77" i="19"/>
  <c r="T76" i="19"/>
  <c r="V75" i="19"/>
  <c r="S75" i="19"/>
  <c r="U74" i="19"/>
  <c r="S74" i="19"/>
  <c r="V73" i="19"/>
  <c r="V252" i="19"/>
  <c r="U252" i="19"/>
  <c r="T252" i="19"/>
  <c r="S252" i="19"/>
  <c r="V251" i="19"/>
  <c r="U251" i="19"/>
  <c r="T251" i="19"/>
  <c r="S251" i="19"/>
  <c r="V250" i="19"/>
  <c r="U250" i="19"/>
  <c r="T250" i="19"/>
  <c r="S250" i="19"/>
  <c r="V249" i="19"/>
  <c r="U249" i="19"/>
  <c r="T249" i="19"/>
  <c r="S249" i="19"/>
  <c r="V248" i="19"/>
  <c r="U248" i="19"/>
  <c r="T248" i="19"/>
  <c r="S248" i="19"/>
  <c r="V247" i="19"/>
  <c r="U247" i="19"/>
  <c r="T247" i="19"/>
  <c r="S247" i="19"/>
  <c r="V246" i="19"/>
  <c r="U246" i="19"/>
  <c r="T246" i="19"/>
  <c r="S246" i="19"/>
  <c r="V245" i="19"/>
  <c r="U245" i="19"/>
  <c r="T245" i="19"/>
  <c r="S245" i="19"/>
  <c r="V244" i="19"/>
  <c r="U244" i="19"/>
  <c r="T244" i="19"/>
  <c r="S244" i="19"/>
  <c r="V243" i="19"/>
  <c r="U243" i="19"/>
  <c r="T243" i="19"/>
  <c r="S243" i="19"/>
  <c r="V242" i="19"/>
  <c r="U242" i="19"/>
  <c r="T242" i="19"/>
  <c r="S242" i="19"/>
  <c r="V241" i="19"/>
  <c r="U241" i="19"/>
  <c r="T241" i="19"/>
  <c r="S241" i="19"/>
  <c r="V240" i="19"/>
  <c r="U240" i="19"/>
  <c r="T240" i="19"/>
  <c r="S240" i="19"/>
  <c r="V239" i="19"/>
  <c r="U239" i="19"/>
  <c r="T239" i="19"/>
  <c r="S239" i="19"/>
  <c r="V238" i="19"/>
  <c r="U238" i="19"/>
  <c r="T238" i="19"/>
  <c r="S238" i="19"/>
  <c r="V237" i="19"/>
  <c r="U237" i="19"/>
  <c r="T237" i="19"/>
  <c r="S237" i="19"/>
  <c r="V236" i="19"/>
  <c r="U236" i="19"/>
  <c r="T236" i="19"/>
  <c r="S236" i="19"/>
  <c r="V235" i="19"/>
  <c r="U235" i="19"/>
  <c r="T235" i="19"/>
  <c r="S235" i="19"/>
  <c r="V234" i="19"/>
  <c r="U234" i="19"/>
  <c r="T234" i="19"/>
  <c r="S234" i="19"/>
  <c r="V233" i="19"/>
  <c r="U233" i="19"/>
  <c r="T233" i="19"/>
  <c r="S233" i="19"/>
  <c r="V232" i="19"/>
  <c r="U232" i="19"/>
  <c r="T232" i="19"/>
  <c r="S232" i="19"/>
  <c r="V231" i="19"/>
  <c r="U231" i="19"/>
  <c r="T231" i="19"/>
  <c r="S231" i="19"/>
  <c r="V230" i="19"/>
  <c r="U230" i="19"/>
  <c r="T230" i="19"/>
  <c r="S230" i="19"/>
  <c r="V229" i="19"/>
  <c r="U229" i="19"/>
  <c r="T229" i="19"/>
  <c r="S229" i="19"/>
  <c r="V228" i="19"/>
  <c r="U228" i="19"/>
  <c r="T228" i="19"/>
  <c r="S228" i="19"/>
  <c r="V227" i="19"/>
  <c r="U227" i="19"/>
  <c r="T227" i="19"/>
  <c r="S227" i="19"/>
  <c r="V226" i="19"/>
  <c r="U226" i="19"/>
  <c r="T226" i="19"/>
  <c r="S226" i="19"/>
  <c r="V225" i="19"/>
  <c r="U225" i="19"/>
  <c r="T225" i="19"/>
  <c r="S225" i="19"/>
  <c r="V224" i="19"/>
  <c r="U224" i="19"/>
  <c r="T224" i="19"/>
  <c r="S224" i="19"/>
  <c r="V223" i="19"/>
  <c r="U223" i="19"/>
  <c r="T223" i="19"/>
  <c r="S223" i="19"/>
  <c r="V222" i="19"/>
  <c r="U222" i="19"/>
  <c r="T222" i="19"/>
  <c r="S222" i="19"/>
  <c r="V221" i="19"/>
  <c r="U221" i="19"/>
  <c r="T221" i="19"/>
  <c r="S221" i="19"/>
  <c r="V220" i="19"/>
  <c r="U220" i="19"/>
  <c r="T220" i="19"/>
  <c r="S220" i="19"/>
  <c r="V219" i="19"/>
  <c r="U219" i="19"/>
  <c r="T219" i="19"/>
  <c r="S219" i="19"/>
  <c r="V218" i="19"/>
  <c r="U218" i="19"/>
  <c r="T218" i="19"/>
  <c r="S218" i="19"/>
  <c r="V217" i="19"/>
  <c r="U217" i="19"/>
  <c r="T217" i="19"/>
  <c r="S217" i="19"/>
  <c r="V216" i="19"/>
  <c r="U216" i="19"/>
  <c r="T216" i="19"/>
  <c r="S216" i="19"/>
  <c r="V215" i="19"/>
  <c r="U215" i="19"/>
  <c r="T215" i="19"/>
  <c r="S215" i="19"/>
  <c r="V214" i="19"/>
  <c r="U214" i="19"/>
  <c r="T214" i="19"/>
  <c r="S214" i="19"/>
  <c r="V213" i="19"/>
  <c r="U213" i="19"/>
  <c r="T213" i="19"/>
  <c r="S213" i="19"/>
  <c r="V212" i="19"/>
  <c r="U212" i="19"/>
  <c r="T212" i="19"/>
  <c r="S212" i="19"/>
  <c r="V211" i="19"/>
  <c r="U211" i="19"/>
  <c r="T211" i="19"/>
  <c r="S211" i="19"/>
  <c r="V210" i="19"/>
  <c r="U210" i="19"/>
  <c r="T210" i="19"/>
  <c r="S210" i="19"/>
  <c r="V209" i="19"/>
  <c r="U209" i="19"/>
  <c r="T209" i="19"/>
  <c r="S209" i="19"/>
  <c r="V208" i="19"/>
  <c r="U208" i="19"/>
  <c r="T208" i="19"/>
  <c r="S208" i="19"/>
  <c r="V207" i="19"/>
  <c r="U207" i="19"/>
  <c r="T207" i="19"/>
  <c r="S207" i="19"/>
  <c r="V206" i="19"/>
  <c r="U206" i="19"/>
  <c r="T206" i="19"/>
  <c r="S206" i="19"/>
  <c r="V205" i="19"/>
  <c r="U205" i="19"/>
  <c r="T205" i="19"/>
  <c r="S205" i="19"/>
  <c r="V204" i="19"/>
  <c r="U204" i="19"/>
  <c r="T204" i="19"/>
  <c r="S204" i="19"/>
  <c r="V203" i="19"/>
  <c r="U203" i="19"/>
  <c r="T203" i="19"/>
  <c r="S203" i="19"/>
  <c r="V202" i="19"/>
  <c r="U202" i="19"/>
  <c r="T202" i="19"/>
  <c r="S202" i="19"/>
  <c r="V201" i="19"/>
  <c r="U201" i="19"/>
  <c r="T201" i="19"/>
  <c r="S201" i="19"/>
  <c r="V200" i="19"/>
  <c r="U200" i="19"/>
  <c r="T200" i="19"/>
  <c r="S200" i="19"/>
  <c r="V199" i="19"/>
  <c r="U199" i="19"/>
  <c r="T199" i="19"/>
  <c r="S199" i="19"/>
  <c r="V198" i="19"/>
  <c r="U198" i="19"/>
  <c r="T198" i="19"/>
  <c r="S198" i="19"/>
  <c r="V197" i="19"/>
  <c r="U197" i="19"/>
  <c r="T197" i="19"/>
  <c r="S197" i="19"/>
  <c r="V196" i="19"/>
  <c r="U196" i="19"/>
  <c r="T196" i="19"/>
  <c r="S196" i="19"/>
  <c r="V195" i="19"/>
  <c r="U195" i="19"/>
  <c r="T195" i="19"/>
  <c r="S195" i="19"/>
  <c r="V194" i="19"/>
  <c r="U194" i="19"/>
  <c r="T194" i="19"/>
  <c r="S194" i="19"/>
  <c r="V193" i="19"/>
  <c r="U193" i="19"/>
  <c r="T193" i="19"/>
  <c r="S193" i="19"/>
  <c r="V192" i="19"/>
  <c r="U192" i="19"/>
  <c r="T192" i="19"/>
  <c r="S192" i="19"/>
  <c r="V191" i="19"/>
  <c r="U191" i="19"/>
  <c r="T191" i="19"/>
  <c r="S191" i="19"/>
  <c r="V190" i="19"/>
  <c r="U190" i="19"/>
  <c r="T190" i="19"/>
  <c r="S190" i="19"/>
  <c r="V189" i="19"/>
  <c r="U189" i="19"/>
  <c r="T189" i="19"/>
  <c r="S189" i="19"/>
  <c r="V188" i="19"/>
  <c r="U188" i="19"/>
  <c r="T188" i="19"/>
  <c r="S188" i="19"/>
  <c r="V187" i="19"/>
  <c r="U187" i="19"/>
  <c r="T187" i="19"/>
  <c r="S187" i="19"/>
  <c r="V186" i="19"/>
  <c r="U186" i="19"/>
  <c r="T186" i="19"/>
  <c r="S186" i="19"/>
  <c r="V185" i="19"/>
  <c r="U185" i="19"/>
  <c r="T185" i="19"/>
  <c r="S185" i="19"/>
  <c r="V184" i="19"/>
  <c r="U184" i="19"/>
  <c r="T184" i="19"/>
  <c r="S184" i="19"/>
  <c r="V183" i="19"/>
  <c r="U183" i="19"/>
  <c r="T183" i="19"/>
  <c r="S183" i="19"/>
  <c r="V182" i="19"/>
  <c r="U182" i="19"/>
  <c r="T182" i="19"/>
  <c r="S182" i="19"/>
  <c r="V181" i="19"/>
  <c r="U181" i="19"/>
  <c r="T181" i="19"/>
  <c r="S181" i="19"/>
  <c r="V180" i="19"/>
  <c r="U180" i="19"/>
  <c r="T180" i="19"/>
  <c r="S180" i="19"/>
  <c r="V179" i="19"/>
  <c r="U179" i="19"/>
  <c r="T179" i="19"/>
  <c r="S179" i="19"/>
  <c r="V178" i="19"/>
  <c r="U178" i="19"/>
  <c r="T178" i="19"/>
  <c r="S178" i="19"/>
  <c r="V177" i="19"/>
  <c r="U177" i="19"/>
  <c r="T177" i="19"/>
  <c r="S177" i="19"/>
  <c r="V176" i="19"/>
  <c r="U176" i="19"/>
  <c r="T176" i="19"/>
  <c r="S176" i="19"/>
  <c r="V175" i="19"/>
  <c r="U175" i="19"/>
  <c r="T175" i="19"/>
  <c r="S175" i="19"/>
  <c r="V174" i="19"/>
  <c r="U174" i="19"/>
  <c r="T174" i="19"/>
  <c r="S174" i="19"/>
  <c r="V173" i="19"/>
  <c r="U173" i="19"/>
  <c r="T173" i="19"/>
  <c r="S173" i="19"/>
  <c r="V172" i="19"/>
  <c r="U172" i="19"/>
  <c r="T172" i="19"/>
  <c r="S172" i="19"/>
  <c r="V171" i="19"/>
  <c r="U171" i="19"/>
  <c r="T171" i="19"/>
  <c r="S171" i="19"/>
  <c r="V170" i="19"/>
  <c r="U170" i="19"/>
  <c r="T170" i="19"/>
  <c r="S170" i="19"/>
  <c r="V169" i="19"/>
  <c r="U169" i="19"/>
  <c r="T169" i="19"/>
  <c r="S169" i="19"/>
  <c r="V168" i="19"/>
  <c r="U168" i="19"/>
  <c r="T168" i="19"/>
  <c r="S168" i="19"/>
  <c r="V167" i="19"/>
  <c r="U167" i="19"/>
  <c r="T167" i="19"/>
  <c r="S167" i="19"/>
  <c r="V166" i="19"/>
  <c r="U166" i="19"/>
  <c r="T166" i="19"/>
  <c r="S166" i="19"/>
  <c r="V165" i="19"/>
  <c r="U165" i="19"/>
  <c r="T165" i="19"/>
  <c r="S165" i="19"/>
  <c r="V164" i="19"/>
  <c r="U164" i="19"/>
  <c r="T164" i="19"/>
  <c r="S164" i="19"/>
  <c r="V163" i="19"/>
  <c r="U163" i="19"/>
  <c r="T163" i="19"/>
  <c r="S163" i="19"/>
  <c r="V162" i="19"/>
  <c r="U162" i="19"/>
  <c r="T162" i="19"/>
  <c r="S162" i="19"/>
  <c r="V161" i="19"/>
  <c r="U161" i="19"/>
  <c r="T161" i="19"/>
  <c r="S161" i="19"/>
  <c r="V160" i="19"/>
  <c r="U160" i="19"/>
  <c r="T160" i="19"/>
  <c r="S160" i="19"/>
  <c r="V159" i="19"/>
  <c r="U159" i="19"/>
  <c r="T159" i="19"/>
  <c r="S159" i="19"/>
  <c r="V158" i="19"/>
  <c r="U158" i="19"/>
  <c r="T158" i="19"/>
  <c r="S158" i="19"/>
  <c r="V157" i="19"/>
  <c r="U157" i="19"/>
  <c r="T157" i="19"/>
  <c r="S157" i="19"/>
  <c r="V156" i="19"/>
  <c r="U156" i="19"/>
  <c r="T156" i="19"/>
  <c r="S156" i="19"/>
  <c r="V155" i="19"/>
  <c r="U155" i="19"/>
  <c r="T155" i="19"/>
  <c r="S155" i="19"/>
  <c r="V154" i="19"/>
  <c r="U154" i="19"/>
  <c r="T154" i="19"/>
  <c r="S154" i="19"/>
  <c r="V153" i="19"/>
  <c r="U153" i="19"/>
  <c r="T153" i="19"/>
  <c r="S153" i="19"/>
  <c r="V152" i="19"/>
  <c r="U152" i="19"/>
  <c r="T152" i="19"/>
  <c r="S152" i="19"/>
  <c r="V151" i="19"/>
  <c r="U151" i="19"/>
  <c r="T151" i="19"/>
  <c r="S151" i="19"/>
  <c r="V150" i="19"/>
  <c r="U150" i="19"/>
  <c r="T150" i="19"/>
  <c r="S150" i="19"/>
  <c r="V149" i="19"/>
  <c r="U149" i="19"/>
  <c r="T149" i="19"/>
  <c r="S149" i="19"/>
  <c r="V148" i="19"/>
  <c r="U148" i="19"/>
  <c r="T148" i="19"/>
  <c r="S148" i="19"/>
  <c r="V147" i="19"/>
  <c r="U147" i="19"/>
  <c r="T147" i="19"/>
  <c r="S147" i="19"/>
  <c r="V146" i="19"/>
  <c r="U146" i="19"/>
  <c r="T146" i="19"/>
  <c r="S146" i="19"/>
  <c r="V145" i="19"/>
  <c r="U145" i="19"/>
  <c r="T145" i="19"/>
  <c r="S145" i="19"/>
  <c r="V144" i="19"/>
  <c r="U144" i="19"/>
  <c r="T144" i="19"/>
  <c r="S144" i="19"/>
  <c r="V143" i="19"/>
  <c r="U143" i="19"/>
  <c r="T143" i="19"/>
  <c r="S143" i="19"/>
  <c r="V142" i="19"/>
  <c r="U142" i="19"/>
  <c r="T142" i="19"/>
  <c r="S142" i="19"/>
  <c r="V141" i="19"/>
  <c r="U141" i="19"/>
  <c r="T141" i="19"/>
  <c r="S141" i="19"/>
  <c r="V140" i="19"/>
  <c r="U140" i="19"/>
  <c r="T140" i="19"/>
  <c r="S140" i="19"/>
  <c r="V139" i="19"/>
  <c r="U139" i="19"/>
  <c r="T139" i="19"/>
  <c r="S139" i="19"/>
  <c r="V138" i="19"/>
  <c r="U138" i="19"/>
  <c r="T138" i="19"/>
  <c r="S138" i="19"/>
  <c r="V137" i="19"/>
  <c r="U137" i="19"/>
  <c r="T137" i="19"/>
  <c r="S137" i="19"/>
  <c r="V136" i="19"/>
  <c r="U136" i="19"/>
  <c r="T136" i="19"/>
  <c r="S136" i="19"/>
  <c r="V135" i="19"/>
  <c r="U135" i="19"/>
  <c r="T135" i="19"/>
  <c r="S135" i="19"/>
  <c r="V134" i="19"/>
  <c r="U134" i="19"/>
  <c r="T134" i="19"/>
  <c r="S134" i="19"/>
  <c r="V133" i="19"/>
  <c r="U133" i="19"/>
  <c r="T133" i="19"/>
  <c r="S133" i="19"/>
  <c r="V132" i="19"/>
  <c r="U132" i="19"/>
  <c r="T132" i="19"/>
  <c r="S132" i="19"/>
  <c r="V131" i="19"/>
  <c r="U131" i="19"/>
  <c r="T131" i="19"/>
  <c r="S131" i="19"/>
  <c r="V130" i="19"/>
  <c r="U130" i="19"/>
  <c r="T130" i="19"/>
  <c r="S130" i="19"/>
  <c r="V129" i="19"/>
  <c r="U129" i="19"/>
  <c r="T129" i="19"/>
  <c r="S129" i="19"/>
  <c r="V128" i="19"/>
  <c r="U128" i="19"/>
  <c r="T128" i="19"/>
  <c r="S128" i="19"/>
  <c r="V127" i="19"/>
  <c r="U127" i="19"/>
  <c r="T127" i="19"/>
  <c r="S127" i="19"/>
  <c r="V126" i="19"/>
  <c r="U126" i="19"/>
  <c r="T126" i="19"/>
  <c r="S126" i="19"/>
  <c r="V125" i="19"/>
  <c r="U125" i="19"/>
  <c r="T125" i="19"/>
  <c r="S125" i="19"/>
  <c r="V124" i="19"/>
  <c r="U124" i="19"/>
  <c r="T124" i="19"/>
  <c r="S124" i="19"/>
  <c r="V123" i="19"/>
  <c r="U123" i="19"/>
  <c r="T123" i="19"/>
  <c r="S123" i="19"/>
  <c r="V122" i="19"/>
  <c r="U122" i="19"/>
  <c r="T122" i="19"/>
  <c r="S122" i="19"/>
  <c r="V121" i="19"/>
  <c r="U121" i="19"/>
  <c r="T121" i="19"/>
  <c r="S121" i="19"/>
  <c r="V120" i="19"/>
  <c r="U120" i="19"/>
  <c r="T120" i="19"/>
  <c r="S120" i="19"/>
  <c r="V119" i="19"/>
  <c r="U119" i="19"/>
  <c r="T119" i="19"/>
  <c r="S119" i="19"/>
  <c r="V118" i="19"/>
  <c r="U118" i="19"/>
  <c r="T118" i="19"/>
  <c r="S118" i="19"/>
  <c r="V117" i="19"/>
  <c r="U117" i="19"/>
  <c r="T117" i="19"/>
  <c r="S117" i="19"/>
  <c r="V116" i="19"/>
  <c r="U116" i="19"/>
  <c r="T116" i="19"/>
  <c r="U73" i="19"/>
  <c r="T73" i="19"/>
  <c r="S73" i="19"/>
  <c r="V72" i="19"/>
  <c r="U72" i="19"/>
  <c r="T72" i="19"/>
  <c r="S72" i="19"/>
  <c r="V71" i="19"/>
  <c r="U71" i="19"/>
  <c r="T71" i="19"/>
  <c r="S71" i="19"/>
  <c r="V70" i="19"/>
  <c r="U70" i="19"/>
  <c r="T70" i="19"/>
  <c r="S70" i="19"/>
  <c r="V69" i="19"/>
  <c r="U69" i="19"/>
  <c r="T69" i="19"/>
  <c r="S69" i="19"/>
  <c r="V68" i="19"/>
  <c r="U68" i="19"/>
  <c r="T68" i="19"/>
  <c r="S68" i="19"/>
  <c r="V67" i="19"/>
  <c r="U67" i="19"/>
  <c r="T67" i="19"/>
  <c r="S67" i="19"/>
  <c r="V66" i="19"/>
  <c r="U66" i="19"/>
  <c r="T66" i="19"/>
  <c r="S66" i="19"/>
  <c r="V65" i="19"/>
  <c r="U65" i="19"/>
  <c r="T65" i="19"/>
  <c r="S65" i="19"/>
  <c r="V64" i="19"/>
  <c r="U64" i="19"/>
  <c r="T64" i="19"/>
  <c r="S64" i="19"/>
  <c r="V63" i="19"/>
  <c r="U63" i="19"/>
  <c r="T63" i="19"/>
  <c r="S63" i="19"/>
  <c r="V62" i="19"/>
  <c r="U62" i="19"/>
  <c r="T62" i="19"/>
  <c r="S62" i="19"/>
  <c r="V61" i="19"/>
  <c r="U61" i="19"/>
  <c r="T61" i="19"/>
  <c r="S61" i="19"/>
  <c r="V60" i="19"/>
  <c r="U60" i="19"/>
  <c r="T60" i="19"/>
  <c r="S60" i="19"/>
  <c r="V59" i="19"/>
  <c r="U59" i="19"/>
  <c r="T59" i="19"/>
  <c r="S59" i="19"/>
  <c r="V58" i="19"/>
  <c r="U58" i="19"/>
  <c r="T58" i="19"/>
  <c r="S58" i="19"/>
  <c r="V57" i="19"/>
  <c r="U57" i="19"/>
  <c r="T57" i="19"/>
  <c r="S57" i="19"/>
  <c r="V56" i="19"/>
  <c r="U56" i="19"/>
  <c r="T56" i="19"/>
  <c r="S56" i="19"/>
  <c r="V55" i="19"/>
  <c r="U55" i="19"/>
  <c r="T55" i="19"/>
  <c r="S55" i="19"/>
  <c r="V54" i="19"/>
  <c r="U54" i="19"/>
  <c r="T54" i="19"/>
  <c r="S54" i="19"/>
  <c r="V53" i="19"/>
  <c r="U53" i="19"/>
  <c r="T53" i="19"/>
  <c r="S53" i="19"/>
  <c r="V52" i="19"/>
  <c r="U52" i="19"/>
  <c r="T52" i="19"/>
  <c r="S52" i="19"/>
  <c r="V51" i="19"/>
  <c r="U51" i="19"/>
  <c r="T51" i="19"/>
  <c r="S51" i="19"/>
  <c r="V50" i="19"/>
  <c r="U50" i="19"/>
  <c r="T50" i="19"/>
  <c r="S50" i="19"/>
  <c r="V49" i="19"/>
  <c r="U49" i="19"/>
  <c r="T49" i="19"/>
  <c r="S49" i="19"/>
  <c r="V48" i="19"/>
  <c r="U48" i="19"/>
  <c r="T48" i="19"/>
  <c r="S48" i="19"/>
  <c r="V47" i="19"/>
  <c r="U47" i="19"/>
  <c r="T47" i="19"/>
  <c r="S47" i="19"/>
  <c r="V46" i="19"/>
  <c r="U46" i="19"/>
  <c r="T46" i="19"/>
  <c r="S46" i="19"/>
  <c r="V45" i="19"/>
  <c r="U45" i="19"/>
  <c r="T45" i="19"/>
  <c r="S45" i="19"/>
  <c r="V44" i="19"/>
  <c r="U44" i="19"/>
  <c r="T44" i="19"/>
  <c r="S44" i="19"/>
  <c r="V43" i="19"/>
  <c r="U43" i="19"/>
  <c r="T43" i="19"/>
  <c r="S43" i="19"/>
  <c r="V42" i="19"/>
  <c r="U42" i="19"/>
  <c r="T42" i="19"/>
  <c r="S42" i="19"/>
  <c r="V41" i="19"/>
  <c r="U41" i="19"/>
  <c r="T41" i="19"/>
  <c r="S41" i="19"/>
  <c r="V40" i="19"/>
  <c r="U40" i="19"/>
  <c r="T40" i="19"/>
  <c r="S40" i="19"/>
  <c r="V39" i="19"/>
  <c r="U39" i="19"/>
  <c r="T39" i="19"/>
  <c r="S39" i="19"/>
  <c r="V38" i="19"/>
  <c r="U38" i="19"/>
  <c r="T38" i="19"/>
  <c r="S38" i="19"/>
  <c r="V37" i="19"/>
  <c r="U37" i="19"/>
  <c r="T37" i="19"/>
  <c r="S37" i="19"/>
  <c r="V36" i="19"/>
  <c r="U36" i="19"/>
  <c r="T36" i="19"/>
  <c r="S36" i="19"/>
  <c r="V35" i="19"/>
  <c r="U35" i="19"/>
  <c r="T35" i="19"/>
  <c r="S35" i="19"/>
  <c r="V34" i="19"/>
  <c r="U34" i="19"/>
  <c r="T34" i="19"/>
  <c r="S34" i="19"/>
  <c r="V33" i="19"/>
  <c r="U33" i="19"/>
  <c r="T33" i="19"/>
  <c r="S33" i="19"/>
  <c r="V32" i="19"/>
  <c r="U32" i="19"/>
  <c r="T32" i="19"/>
  <c r="S32" i="19"/>
  <c r="V31" i="19"/>
  <c r="U31" i="19"/>
  <c r="T31" i="19"/>
  <c r="S31" i="19"/>
  <c r="V30" i="19"/>
  <c r="U30" i="19"/>
  <c r="T30" i="19"/>
  <c r="S30" i="19"/>
  <c r="V29" i="19"/>
  <c r="U29" i="19"/>
  <c r="T29" i="19"/>
  <c r="S29" i="19"/>
  <c r="V28" i="19"/>
  <c r="U28" i="19"/>
  <c r="T28" i="19"/>
  <c r="S28" i="19"/>
  <c r="V27" i="19"/>
  <c r="U27" i="19"/>
  <c r="T27" i="19"/>
  <c r="S27" i="19"/>
  <c r="V26" i="19"/>
  <c r="U26" i="19"/>
  <c r="T26" i="19"/>
  <c r="S26" i="19"/>
  <c r="V25" i="19"/>
  <c r="U25" i="19"/>
  <c r="T25" i="19"/>
  <c r="S25" i="19"/>
  <c r="V24" i="19"/>
  <c r="U24" i="19"/>
  <c r="T24" i="19"/>
  <c r="S24" i="19"/>
  <c r="V23" i="19"/>
  <c r="U23" i="19"/>
  <c r="T23" i="19"/>
  <c r="S23" i="19"/>
  <c r="V22" i="19"/>
  <c r="U22" i="19"/>
  <c r="T22" i="19"/>
  <c r="S22" i="19"/>
  <c r="V21" i="19"/>
  <c r="U21" i="19"/>
  <c r="T21" i="19"/>
  <c r="S21" i="19"/>
  <c r="V20" i="19"/>
  <c r="U20" i="19"/>
  <c r="T20" i="19"/>
  <c r="S20" i="19"/>
  <c r="V19" i="19"/>
  <c r="U19" i="19"/>
  <c r="T19" i="19"/>
  <c r="S19" i="19"/>
  <c r="V18" i="19"/>
  <c r="U18" i="19"/>
  <c r="T18" i="19"/>
  <c r="S18" i="19"/>
  <c r="V17" i="19"/>
  <c r="U17" i="19"/>
  <c r="T17" i="19"/>
  <c r="S17" i="19"/>
  <c r="V16" i="19"/>
  <c r="U16" i="19"/>
  <c r="T16" i="19"/>
  <c r="S16" i="19"/>
  <c r="V15" i="19"/>
  <c r="U15" i="19"/>
  <c r="T15" i="19"/>
  <c r="S15" i="19"/>
  <c r="V14" i="19"/>
  <c r="U14" i="19"/>
  <c r="T14" i="19"/>
  <c r="S14" i="19"/>
  <c r="V13" i="19"/>
  <c r="U13" i="19"/>
  <c r="T13" i="19"/>
  <c r="S13" i="19"/>
  <c r="V12" i="19"/>
  <c r="U12" i="19"/>
  <c r="T12" i="19"/>
  <c r="S12" i="19"/>
  <c r="V11" i="19"/>
  <c r="U11" i="19"/>
  <c r="T11" i="19"/>
  <c r="S11" i="19"/>
  <c r="V10" i="19"/>
  <c r="U10" i="19"/>
  <c r="T10" i="19"/>
  <c r="S10" i="19"/>
  <c r="V9" i="19"/>
  <c r="U9" i="19"/>
  <c r="T9" i="19"/>
  <c r="S9" i="19"/>
  <c r="V8" i="19"/>
  <c r="U8" i="19"/>
  <c r="T8" i="19"/>
  <c r="S8" i="19"/>
  <c r="V7" i="19"/>
  <c r="U7" i="19"/>
  <c r="T7" i="19"/>
  <c r="S7" i="19"/>
  <c r="V6" i="19"/>
  <c r="U6" i="19"/>
  <c r="T6" i="19"/>
  <c r="S6" i="19"/>
  <c r="V5" i="19"/>
  <c r="U5" i="19"/>
  <c r="T5" i="19"/>
  <c r="S5" i="19"/>
  <c r="V4" i="19"/>
  <c r="U4" i="19"/>
  <c r="T4" i="19"/>
  <c r="S4" i="19"/>
  <c r="V3" i="19"/>
  <c r="U3" i="19"/>
  <c r="T3" i="19"/>
  <c r="S3" i="19"/>
  <c r="V2" i="19"/>
  <c r="U2" i="19"/>
  <c r="T2" i="19"/>
  <c r="S2" i="19"/>
  <c r="T969" i="19"/>
  <c r="S969" i="19"/>
  <c r="V968" i="19"/>
  <c r="U968" i="19"/>
  <c r="T968" i="19"/>
  <c r="S968" i="19"/>
  <c r="V967" i="19"/>
  <c r="U967" i="19"/>
  <c r="T967" i="19"/>
  <c r="S967" i="19"/>
  <c r="V966" i="19"/>
  <c r="U966" i="19"/>
  <c r="T966" i="19"/>
  <c r="S966" i="19"/>
  <c r="V965" i="19"/>
  <c r="U965" i="19"/>
  <c r="T965" i="19"/>
  <c r="S965" i="19"/>
  <c r="V964" i="19"/>
  <c r="U964" i="19"/>
  <c r="T964" i="19"/>
  <c r="S964" i="19"/>
  <c r="V963" i="19"/>
  <c r="U963" i="19"/>
  <c r="T963" i="19"/>
  <c r="S963" i="19"/>
  <c r="V962" i="19"/>
  <c r="U962" i="19"/>
  <c r="T962" i="19"/>
  <c r="S962" i="19"/>
  <c r="V961" i="19"/>
  <c r="U961" i="19"/>
  <c r="T961" i="19"/>
  <c r="S961" i="19"/>
  <c r="V960" i="19"/>
  <c r="U960" i="19"/>
  <c r="T960" i="19"/>
  <c r="S960" i="19"/>
  <c r="V959" i="19"/>
  <c r="U959" i="19"/>
  <c r="T959" i="19"/>
  <c r="S959" i="19"/>
  <c r="V958" i="19"/>
  <c r="U958" i="19"/>
  <c r="T958" i="19"/>
  <c r="S958" i="19"/>
  <c r="V957" i="19"/>
  <c r="U957" i="19"/>
  <c r="T957" i="19"/>
  <c r="S957" i="19"/>
  <c r="V956" i="19"/>
  <c r="U956" i="19"/>
  <c r="T956" i="19"/>
  <c r="S956" i="19"/>
  <c r="V955" i="19"/>
  <c r="U955" i="19"/>
  <c r="T955" i="19"/>
  <c r="S955" i="19"/>
  <c r="V954" i="19"/>
  <c r="U954" i="19"/>
  <c r="T954" i="19"/>
  <c r="S954" i="19"/>
  <c r="V953" i="19"/>
  <c r="U953" i="19"/>
  <c r="T953" i="19"/>
  <c r="S953" i="19"/>
  <c r="V952" i="19"/>
  <c r="U952" i="19"/>
  <c r="T952" i="19"/>
  <c r="S952" i="19"/>
  <c r="V951" i="19"/>
  <c r="U951" i="19"/>
  <c r="T951" i="19"/>
  <c r="S951" i="19"/>
  <c r="V950" i="19"/>
  <c r="U950" i="19"/>
  <c r="T950" i="19"/>
  <c r="S950" i="19"/>
  <c r="V949" i="19"/>
  <c r="U949" i="19"/>
  <c r="T949" i="19"/>
  <c r="S949" i="19"/>
  <c r="V948" i="19"/>
  <c r="U948" i="19"/>
  <c r="T948" i="19"/>
  <c r="S948" i="19"/>
  <c r="V947" i="19"/>
  <c r="U947" i="19"/>
  <c r="T947" i="19"/>
  <c r="S947" i="19"/>
  <c r="V946" i="19"/>
  <c r="U946" i="19"/>
  <c r="T946" i="19"/>
  <c r="S946" i="19"/>
  <c r="V945" i="19"/>
  <c r="U945" i="19"/>
  <c r="T945" i="19"/>
  <c r="S945" i="19"/>
  <c r="V944" i="19"/>
  <c r="U944" i="19"/>
  <c r="T944" i="19"/>
  <c r="S944" i="19"/>
  <c r="V943" i="19"/>
  <c r="U943" i="19"/>
  <c r="T943" i="19"/>
  <c r="S943" i="19"/>
  <c r="V942" i="19"/>
  <c r="U942" i="19"/>
  <c r="T942" i="19"/>
  <c r="S942" i="19"/>
  <c r="V941" i="19"/>
  <c r="U941" i="19"/>
  <c r="T941" i="19"/>
  <c r="S941" i="19"/>
  <c r="V940" i="19"/>
  <c r="U940" i="19"/>
  <c r="T940" i="19"/>
  <c r="S940" i="19"/>
  <c r="V939" i="19"/>
  <c r="U939" i="19"/>
  <c r="T939" i="19"/>
  <c r="S939" i="19"/>
  <c r="V938" i="19"/>
  <c r="U938" i="19"/>
  <c r="T938" i="19"/>
  <c r="S938" i="19"/>
  <c r="V937" i="19"/>
  <c r="U937" i="19"/>
  <c r="T937" i="19"/>
  <c r="S937" i="19"/>
  <c r="V936" i="19"/>
  <c r="U936" i="19"/>
  <c r="T936" i="19"/>
  <c r="S936" i="19"/>
  <c r="V935" i="19"/>
  <c r="U935" i="19"/>
  <c r="T935" i="19"/>
  <c r="S935" i="19"/>
  <c r="V934" i="19"/>
  <c r="U934" i="19"/>
  <c r="T934" i="19"/>
  <c r="S934" i="19"/>
  <c r="V933" i="19"/>
  <c r="U933" i="19"/>
  <c r="T933" i="19"/>
  <c r="S933" i="19"/>
  <c r="V932" i="19"/>
  <c r="U932" i="19"/>
  <c r="T932" i="19"/>
  <c r="S932" i="19"/>
  <c r="V931" i="19"/>
  <c r="U931" i="19"/>
  <c r="T931" i="19"/>
  <c r="S931" i="19"/>
  <c r="V930" i="19"/>
  <c r="U930" i="19"/>
  <c r="T930" i="19"/>
  <c r="S930" i="19"/>
  <c r="V929" i="19"/>
  <c r="U929" i="19"/>
  <c r="T929" i="19"/>
  <c r="S929" i="19"/>
  <c r="V928" i="19"/>
  <c r="U928" i="19"/>
  <c r="T928" i="19"/>
  <c r="S928" i="19"/>
  <c r="V927" i="19"/>
  <c r="U927" i="19"/>
  <c r="T927" i="19"/>
  <c r="S927" i="19"/>
  <c r="V926" i="19"/>
  <c r="U926" i="19"/>
  <c r="T926" i="19"/>
  <c r="S926" i="19"/>
  <c r="V925" i="19"/>
  <c r="U925" i="19"/>
  <c r="T925" i="19"/>
  <c r="S925" i="19"/>
  <c r="V924" i="19"/>
  <c r="U924" i="19"/>
  <c r="T924" i="19"/>
  <c r="S924" i="19"/>
  <c r="V923" i="19"/>
  <c r="U923" i="19"/>
  <c r="T923" i="19"/>
  <c r="S923" i="19"/>
  <c r="V922" i="19"/>
  <c r="U922" i="19"/>
  <c r="T922" i="19"/>
  <c r="S922" i="19"/>
  <c r="V921" i="19"/>
  <c r="U921" i="19"/>
  <c r="T921" i="19"/>
  <c r="S921" i="19"/>
  <c r="V920" i="19"/>
  <c r="U920" i="19"/>
  <c r="T920" i="19"/>
  <c r="S920" i="19"/>
  <c r="V919" i="19"/>
  <c r="U919" i="19"/>
  <c r="T919" i="19"/>
  <c r="S919" i="19"/>
  <c r="V918" i="19"/>
  <c r="U918" i="19"/>
  <c r="T918" i="19"/>
  <c r="S918" i="19"/>
  <c r="V917" i="19"/>
  <c r="U917" i="19"/>
  <c r="T917" i="19"/>
  <c r="S917" i="19"/>
  <c r="V916" i="19"/>
  <c r="U916" i="19"/>
  <c r="T916" i="19"/>
  <c r="S916" i="19"/>
  <c r="V915" i="19"/>
  <c r="U915" i="19"/>
  <c r="T915" i="19"/>
  <c r="S915" i="19"/>
  <c r="V914" i="19"/>
  <c r="U914" i="19"/>
  <c r="T914" i="19"/>
  <c r="S914" i="19"/>
  <c r="V913" i="19"/>
  <c r="U913" i="19"/>
  <c r="T913" i="19"/>
  <c r="S913" i="19"/>
  <c r="V912" i="19"/>
  <c r="U912" i="19"/>
  <c r="T912" i="19"/>
  <c r="S912" i="19"/>
  <c r="V911" i="19"/>
  <c r="U911" i="19"/>
  <c r="T911" i="19"/>
  <c r="S911" i="19"/>
  <c r="V910" i="19"/>
  <c r="U910" i="19"/>
  <c r="T910" i="19"/>
  <c r="S910" i="19"/>
  <c r="V909" i="19"/>
  <c r="U909" i="19"/>
  <c r="T909" i="19"/>
  <c r="S909" i="19"/>
  <c r="V908" i="19"/>
  <c r="U908" i="19"/>
  <c r="T908" i="19"/>
  <c r="S908" i="19"/>
  <c r="V907" i="19"/>
  <c r="U907" i="19"/>
  <c r="T907" i="19"/>
  <c r="S907" i="19"/>
  <c r="V906" i="19"/>
  <c r="U906" i="19"/>
  <c r="T906" i="19"/>
  <c r="S906" i="19"/>
  <c r="V905" i="19"/>
  <c r="U905" i="19"/>
  <c r="T905" i="19"/>
  <c r="S905" i="19"/>
  <c r="V904" i="19"/>
  <c r="U904" i="19"/>
  <c r="T904" i="19"/>
  <c r="S904" i="19"/>
  <c r="V903" i="19"/>
  <c r="U903" i="19"/>
  <c r="T903" i="19"/>
  <c r="S903" i="19"/>
  <c r="V902" i="19"/>
  <c r="U902" i="19"/>
  <c r="T902" i="19"/>
  <c r="S902" i="19"/>
  <c r="V901" i="19"/>
  <c r="U901" i="19"/>
  <c r="T901" i="19"/>
  <c r="S901" i="19"/>
  <c r="V900" i="19"/>
  <c r="U900" i="19"/>
  <c r="T900" i="19"/>
  <c r="S900" i="19"/>
  <c r="V899" i="19"/>
  <c r="U899" i="19"/>
  <c r="T899" i="19"/>
  <c r="S899" i="19"/>
  <c r="V898" i="19"/>
  <c r="U898" i="19"/>
  <c r="T898" i="19"/>
  <c r="S898" i="19"/>
  <c r="V897" i="19"/>
  <c r="U897" i="19"/>
  <c r="T897" i="19"/>
  <c r="S897" i="19"/>
  <c r="V896" i="19"/>
  <c r="U896" i="19"/>
  <c r="T896" i="19"/>
  <c r="S896" i="19"/>
  <c r="V895" i="19"/>
  <c r="U895" i="19"/>
  <c r="T895" i="19"/>
  <c r="S895" i="19"/>
  <c r="V894" i="19"/>
  <c r="U894" i="19"/>
  <c r="T894" i="19"/>
  <c r="S894" i="19"/>
  <c r="V893" i="19"/>
  <c r="U893" i="19"/>
  <c r="T893" i="19"/>
  <c r="S893" i="19"/>
  <c r="V892" i="19"/>
  <c r="U892" i="19"/>
  <c r="T892" i="19"/>
  <c r="S892" i="19"/>
  <c r="V891" i="19"/>
  <c r="U891" i="19"/>
  <c r="T891" i="19"/>
  <c r="S891" i="19"/>
  <c r="V890" i="19"/>
  <c r="U890" i="19"/>
  <c r="T890" i="19"/>
  <c r="S890" i="19"/>
  <c r="V889" i="19"/>
  <c r="U889" i="19"/>
  <c r="T889" i="19"/>
  <c r="S889" i="19"/>
  <c r="V888" i="19"/>
  <c r="U888" i="19"/>
  <c r="T888" i="19"/>
  <c r="S888" i="19"/>
  <c r="V887" i="19"/>
  <c r="U887" i="19"/>
  <c r="T887" i="19"/>
  <c r="S887" i="19"/>
  <c r="V886" i="19"/>
  <c r="U886" i="19"/>
  <c r="T886" i="19"/>
  <c r="S886" i="19"/>
  <c r="V885" i="19"/>
  <c r="U885" i="19"/>
  <c r="T885" i="19"/>
  <c r="S885" i="19"/>
  <c r="V884" i="19"/>
  <c r="U884" i="19"/>
  <c r="T884" i="19"/>
  <c r="S884" i="19"/>
  <c r="V883" i="19"/>
  <c r="U883" i="19"/>
  <c r="T883" i="19"/>
  <c r="S883" i="19"/>
  <c r="V882" i="19"/>
  <c r="U882" i="19"/>
  <c r="T882" i="19"/>
  <c r="S882" i="19"/>
  <c r="V881" i="19"/>
  <c r="U881" i="19"/>
  <c r="T881" i="19"/>
  <c r="S881" i="19"/>
  <c r="V880" i="19"/>
  <c r="U880" i="19"/>
  <c r="T880" i="19"/>
  <c r="S880" i="19"/>
  <c r="V879" i="19"/>
  <c r="U879" i="19"/>
  <c r="T879" i="19"/>
  <c r="S879" i="19"/>
  <c r="V878" i="19"/>
  <c r="U878" i="19"/>
  <c r="T878" i="19"/>
  <c r="S878" i="19"/>
  <c r="V877" i="19"/>
  <c r="U877" i="19"/>
  <c r="T877" i="19"/>
  <c r="S877" i="19"/>
  <c r="V876" i="19"/>
  <c r="U876" i="19"/>
  <c r="T876" i="19"/>
  <c r="S876" i="19"/>
  <c r="V875" i="19"/>
  <c r="U875" i="19"/>
  <c r="T875" i="19"/>
  <c r="S875" i="19"/>
  <c r="V874" i="19"/>
  <c r="U874" i="19"/>
  <c r="T874" i="19"/>
  <c r="S874" i="19"/>
  <c r="V873" i="19"/>
  <c r="U873" i="19"/>
  <c r="T873" i="19"/>
  <c r="S873" i="19"/>
  <c r="V872" i="19"/>
  <c r="U872" i="19"/>
  <c r="T872" i="19"/>
  <c r="S872" i="19"/>
  <c r="V871" i="19"/>
  <c r="U871" i="19"/>
  <c r="T871" i="19"/>
  <c r="S871" i="19"/>
  <c r="V870" i="19"/>
  <c r="U870" i="19"/>
  <c r="T870" i="19"/>
  <c r="S870" i="19"/>
  <c r="V869" i="19"/>
  <c r="U869" i="19"/>
  <c r="T869" i="19"/>
  <c r="S869" i="19"/>
  <c r="V868" i="19"/>
  <c r="U868" i="19"/>
  <c r="T868" i="19"/>
  <c r="S868" i="19"/>
  <c r="V867" i="19"/>
  <c r="U867" i="19"/>
  <c r="T867" i="19"/>
  <c r="S867" i="19"/>
  <c r="V866" i="19"/>
  <c r="U866" i="19"/>
  <c r="T866" i="19"/>
  <c r="S866" i="19"/>
  <c r="V865" i="19"/>
  <c r="U865" i="19"/>
  <c r="T865" i="19"/>
  <c r="S865" i="19"/>
  <c r="V864" i="19"/>
  <c r="U864" i="19"/>
  <c r="T864" i="19"/>
  <c r="S864" i="19"/>
  <c r="V863" i="19"/>
  <c r="U863" i="19"/>
  <c r="T863" i="19"/>
  <c r="S863" i="19"/>
  <c r="V862" i="19"/>
  <c r="U862" i="19"/>
  <c r="T862" i="19"/>
  <c r="S862" i="19"/>
  <c r="V861" i="19"/>
  <c r="U861" i="19"/>
  <c r="T861" i="19"/>
  <c r="S861" i="19"/>
  <c r="V860" i="19"/>
  <c r="U860" i="19"/>
  <c r="T860" i="19"/>
  <c r="S860" i="19"/>
  <c r="V859" i="19"/>
  <c r="U859" i="19"/>
  <c r="T859" i="19"/>
  <c r="S859" i="19"/>
  <c r="V858" i="19"/>
  <c r="U858" i="19"/>
  <c r="T858" i="19"/>
  <c r="S858" i="19"/>
  <c r="V857" i="19"/>
  <c r="U857" i="19"/>
  <c r="T857" i="19"/>
  <c r="S857" i="19"/>
  <c r="V856" i="19"/>
  <c r="U856" i="19"/>
  <c r="T856" i="19"/>
  <c r="S856" i="19"/>
  <c r="V855" i="19"/>
  <c r="U855" i="19"/>
  <c r="T855" i="19"/>
  <c r="S855" i="19"/>
  <c r="V854" i="19"/>
  <c r="U854" i="19"/>
  <c r="T854" i="19"/>
  <c r="S854" i="19"/>
  <c r="V853" i="19"/>
  <c r="U853" i="19"/>
  <c r="T853" i="19"/>
  <c r="S853" i="19"/>
  <c r="V852" i="19"/>
  <c r="U852" i="19"/>
  <c r="T852" i="19"/>
  <c r="S852" i="19"/>
  <c r="V851" i="19"/>
  <c r="U851" i="19"/>
  <c r="T851" i="19"/>
  <c r="S851" i="19"/>
  <c r="V850" i="19"/>
  <c r="U850" i="19"/>
  <c r="T850" i="19"/>
  <c r="S850" i="19"/>
  <c r="V849" i="19"/>
  <c r="U849" i="19"/>
  <c r="T849" i="19"/>
  <c r="S849" i="19"/>
  <c r="V848" i="19"/>
  <c r="U848" i="19"/>
  <c r="T848" i="19"/>
  <c r="S848" i="19"/>
  <c r="V847" i="19"/>
  <c r="U847" i="19"/>
  <c r="T847" i="19"/>
  <c r="S847" i="19"/>
  <c r="V846" i="19"/>
  <c r="U846" i="19"/>
  <c r="T846" i="19"/>
  <c r="S846" i="19"/>
  <c r="V845" i="19"/>
  <c r="U845" i="19"/>
  <c r="T845" i="19"/>
  <c r="S845" i="19"/>
  <c r="V844" i="19"/>
  <c r="U844" i="19"/>
  <c r="T844" i="19"/>
  <c r="S844" i="19"/>
  <c r="V843" i="19"/>
  <c r="U843" i="19"/>
  <c r="T843" i="19"/>
  <c r="S843" i="19"/>
  <c r="V842" i="19"/>
  <c r="U842" i="19"/>
  <c r="T842" i="19"/>
  <c r="S842" i="19"/>
  <c r="V841" i="19"/>
  <c r="U841" i="19"/>
  <c r="T841" i="19"/>
  <c r="S841" i="19"/>
  <c r="V840" i="19"/>
  <c r="U840" i="19"/>
  <c r="T840" i="19"/>
  <c r="S840" i="19"/>
  <c r="V839" i="19"/>
  <c r="U839" i="19"/>
  <c r="T839" i="19"/>
  <c r="S839" i="19"/>
  <c r="V838" i="19"/>
  <c r="U838" i="19"/>
  <c r="T838" i="19"/>
  <c r="S838" i="19"/>
  <c r="V837" i="19"/>
  <c r="U837" i="19"/>
  <c r="T837" i="19"/>
  <c r="S837" i="19"/>
  <c r="V836" i="19"/>
  <c r="U836" i="19"/>
  <c r="T836" i="19"/>
  <c r="S836" i="19"/>
  <c r="V835" i="19"/>
  <c r="U835" i="19"/>
  <c r="T835" i="19"/>
  <c r="S835" i="19"/>
  <c r="V834" i="19"/>
  <c r="U834" i="19"/>
  <c r="T834" i="19"/>
  <c r="S834" i="19"/>
  <c r="V833" i="19"/>
  <c r="U833" i="19"/>
  <c r="T833" i="19"/>
  <c r="S833" i="19"/>
  <c r="V832" i="19"/>
  <c r="U832" i="19"/>
  <c r="T832" i="19"/>
  <c r="S832" i="19"/>
  <c r="V831" i="19"/>
  <c r="U831" i="19"/>
  <c r="T831" i="19"/>
  <c r="S831" i="19"/>
  <c r="V830" i="19"/>
  <c r="U830" i="19"/>
  <c r="T830" i="19"/>
  <c r="S830" i="19"/>
  <c r="V829" i="19"/>
  <c r="U829" i="19"/>
  <c r="T829" i="19"/>
  <c r="S829" i="19"/>
  <c r="V828" i="19"/>
  <c r="U828" i="19"/>
  <c r="T828" i="19"/>
  <c r="S828" i="19"/>
  <c r="V827" i="19"/>
  <c r="U827" i="19"/>
  <c r="T827" i="19"/>
  <c r="S827" i="19"/>
  <c r="V826" i="19"/>
  <c r="U826" i="19"/>
  <c r="T826" i="19"/>
  <c r="S826" i="19"/>
  <c r="V825" i="19"/>
  <c r="U825" i="19"/>
  <c r="T825" i="19"/>
  <c r="S825" i="19"/>
  <c r="V824" i="19"/>
  <c r="U824" i="19"/>
  <c r="T824" i="19"/>
  <c r="S824" i="19"/>
  <c r="V823" i="19"/>
  <c r="U823" i="19"/>
  <c r="T823" i="19"/>
  <c r="S823" i="19"/>
  <c r="V822" i="19"/>
  <c r="U822" i="19"/>
  <c r="T822" i="19"/>
  <c r="S822" i="19"/>
  <c r="V821" i="19"/>
  <c r="U821" i="19"/>
  <c r="T821" i="19"/>
  <c r="S821" i="19"/>
  <c r="V820" i="19"/>
  <c r="U820" i="19"/>
  <c r="T820" i="19"/>
  <c r="S820" i="19"/>
  <c r="V819" i="19"/>
  <c r="U819" i="19"/>
  <c r="T819" i="19"/>
  <c r="S819" i="19"/>
  <c r="V818" i="19"/>
  <c r="U818" i="19"/>
  <c r="T818" i="19"/>
  <c r="S818" i="19"/>
  <c r="V817" i="19"/>
  <c r="U817" i="19"/>
  <c r="T817" i="19"/>
  <c r="S817" i="19"/>
  <c r="V816" i="19"/>
  <c r="U816" i="19"/>
  <c r="T816" i="19"/>
  <c r="S816" i="19"/>
  <c r="V815" i="19"/>
  <c r="U815" i="19"/>
  <c r="T815" i="19"/>
  <c r="S815" i="19"/>
  <c r="V814" i="19"/>
  <c r="U814" i="19"/>
  <c r="T814" i="19"/>
  <c r="S814" i="19"/>
  <c r="V813" i="19"/>
  <c r="U813" i="19"/>
  <c r="T813" i="19"/>
  <c r="S813" i="19"/>
  <c r="V812" i="19"/>
  <c r="U812" i="19"/>
  <c r="T812" i="19"/>
  <c r="S812" i="19"/>
  <c r="V811" i="19"/>
  <c r="U811" i="19"/>
  <c r="T811" i="19"/>
  <c r="S811" i="19"/>
  <c r="V810" i="19"/>
  <c r="U810" i="19"/>
  <c r="T810" i="19"/>
  <c r="S810" i="19"/>
  <c r="V809" i="19"/>
  <c r="U809" i="19"/>
  <c r="T809" i="19"/>
  <c r="S809" i="19"/>
  <c r="V808" i="19"/>
  <c r="U808" i="19"/>
  <c r="T808" i="19"/>
  <c r="S808" i="19"/>
  <c r="V807" i="19"/>
  <c r="U807" i="19"/>
  <c r="T807" i="19"/>
  <c r="S807" i="19"/>
  <c r="V806" i="19"/>
  <c r="U806" i="19"/>
  <c r="T806" i="19"/>
  <c r="S806" i="19"/>
  <c r="V805" i="19"/>
  <c r="U805" i="19"/>
  <c r="T805" i="19"/>
  <c r="S805" i="19"/>
  <c r="V804" i="19"/>
  <c r="U804" i="19"/>
  <c r="T804" i="19"/>
  <c r="S804" i="19"/>
  <c r="V803" i="19"/>
  <c r="U803" i="19"/>
  <c r="T803" i="19"/>
  <c r="S803" i="19"/>
  <c r="V802" i="19"/>
  <c r="U802" i="19"/>
  <c r="T802" i="19"/>
  <c r="S802" i="19"/>
  <c r="V801" i="19"/>
  <c r="U801" i="19"/>
  <c r="T801" i="19"/>
  <c r="S801" i="19"/>
  <c r="V800" i="19"/>
  <c r="U800" i="19"/>
  <c r="T800" i="19"/>
  <c r="S800" i="19"/>
  <c r="V799" i="19"/>
  <c r="U799" i="19"/>
  <c r="T799" i="19"/>
  <c r="S799" i="19"/>
  <c r="V798" i="19"/>
  <c r="U798" i="19"/>
  <c r="T798" i="19"/>
  <c r="S798" i="19"/>
  <c r="V797" i="19"/>
  <c r="U797" i="19"/>
  <c r="T797" i="19"/>
  <c r="S797" i="19"/>
  <c r="V796" i="19"/>
  <c r="U796" i="19"/>
  <c r="T796" i="19"/>
  <c r="S796" i="19"/>
  <c r="V795" i="19"/>
  <c r="U795" i="19"/>
  <c r="T795" i="19"/>
  <c r="S795" i="19"/>
  <c r="V794" i="19"/>
  <c r="U794" i="19"/>
  <c r="T794" i="19"/>
  <c r="S794" i="19"/>
  <c r="V793" i="19"/>
  <c r="U793" i="19"/>
  <c r="T793" i="19"/>
  <c r="S793" i="19"/>
  <c r="V792" i="19"/>
  <c r="U792" i="19"/>
  <c r="T792" i="19"/>
  <c r="S792" i="19"/>
  <c r="V791" i="19"/>
  <c r="U791" i="19"/>
  <c r="T791" i="19"/>
  <c r="S791" i="19"/>
  <c r="V790" i="19"/>
  <c r="U790" i="19"/>
  <c r="T790" i="19"/>
  <c r="S790" i="19"/>
  <c r="V789" i="19"/>
  <c r="U789" i="19"/>
  <c r="T789" i="19"/>
  <c r="S789" i="19"/>
  <c r="V788" i="19"/>
  <c r="U788" i="19"/>
  <c r="T788" i="19"/>
  <c r="S788" i="19"/>
  <c r="V787" i="19"/>
  <c r="U787" i="19"/>
  <c r="T787" i="19"/>
  <c r="S787" i="19"/>
  <c r="V786" i="19"/>
  <c r="U786" i="19"/>
  <c r="T786" i="19"/>
  <c r="S786" i="19"/>
  <c r="V785" i="19"/>
  <c r="U785" i="19"/>
  <c r="T785" i="19"/>
  <c r="S785" i="19"/>
  <c r="V784" i="19"/>
  <c r="U784" i="19"/>
  <c r="T784" i="19"/>
  <c r="S784" i="19"/>
  <c r="V783" i="19"/>
  <c r="U783" i="19"/>
  <c r="T783" i="19"/>
  <c r="S783" i="19"/>
  <c r="V782" i="19"/>
  <c r="U782" i="19"/>
  <c r="T782" i="19"/>
  <c r="S782" i="19"/>
  <c r="V781" i="19"/>
  <c r="U781" i="19"/>
  <c r="T781" i="19"/>
  <c r="S781" i="19"/>
  <c r="V780" i="19"/>
  <c r="U780" i="19"/>
  <c r="T780" i="19"/>
  <c r="S780" i="19"/>
  <c r="V779" i="19"/>
  <c r="U779" i="19"/>
  <c r="T779" i="19"/>
  <c r="S779" i="19"/>
  <c r="V778" i="19"/>
  <c r="U778" i="19"/>
  <c r="T778" i="19"/>
  <c r="S778" i="19"/>
  <c r="V777" i="19"/>
  <c r="U777" i="19"/>
  <c r="T777" i="19"/>
  <c r="S777" i="19"/>
  <c r="V776" i="19"/>
  <c r="U776" i="19"/>
  <c r="T776" i="19"/>
  <c r="S776" i="19"/>
  <c r="V775" i="19"/>
  <c r="U775" i="19"/>
  <c r="T775" i="19"/>
  <c r="S775" i="19"/>
  <c r="V774" i="19"/>
  <c r="U774" i="19"/>
  <c r="T774" i="19"/>
  <c r="S774" i="19"/>
  <c r="V773" i="19"/>
  <c r="U773" i="19"/>
  <c r="T773" i="19"/>
  <c r="S773" i="19"/>
  <c r="V772" i="19"/>
  <c r="U772" i="19"/>
  <c r="T772" i="19"/>
  <c r="S772" i="19"/>
  <c r="V771" i="19"/>
  <c r="U771" i="19"/>
  <c r="T771" i="19"/>
  <c r="S771" i="19"/>
  <c r="V770" i="19"/>
  <c r="U770" i="19"/>
  <c r="T770" i="19"/>
  <c r="S770" i="19"/>
  <c r="V769" i="19"/>
  <c r="U769" i="19"/>
  <c r="T769" i="19"/>
  <c r="S769" i="19"/>
  <c r="V768" i="19"/>
  <c r="U768" i="19"/>
  <c r="T768" i="19"/>
  <c r="S768" i="19"/>
  <c r="V767" i="19"/>
  <c r="U767" i="19"/>
  <c r="T767" i="19"/>
  <c r="S767" i="19"/>
  <c r="V766" i="19"/>
  <c r="U766" i="19"/>
  <c r="T766" i="19"/>
  <c r="S766" i="19"/>
  <c r="V765" i="19"/>
  <c r="U765" i="19"/>
  <c r="T765" i="19"/>
  <c r="S765" i="19"/>
  <c r="V764" i="19"/>
  <c r="U764" i="19"/>
  <c r="T764" i="19"/>
  <c r="S764" i="19"/>
  <c r="V763" i="19"/>
  <c r="U763" i="19"/>
  <c r="T763" i="19"/>
  <c r="S763" i="19"/>
  <c r="V762" i="19"/>
  <c r="U762" i="19"/>
  <c r="T762" i="19"/>
  <c r="S762" i="19"/>
  <c r="V761" i="19"/>
  <c r="U761" i="19"/>
  <c r="T761" i="19"/>
  <c r="S761" i="19"/>
  <c r="V760" i="19"/>
  <c r="U760" i="19"/>
  <c r="T760" i="19"/>
  <c r="S760" i="19"/>
  <c r="V759" i="19"/>
  <c r="U759" i="19"/>
  <c r="T759" i="19"/>
  <c r="S759" i="19"/>
  <c r="V758" i="19"/>
  <c r="U758" i="19"/>
  <c r="T758" i="19"/>
  <c r="S758" i="19"/>
  <c r="V757" i="19"/>
  <c r="U757" i="19"/>
  <c r="T757" i="19"/>
  <c r="S757" i="19"/>
  <c r="V756" i="19"/>
  <c r="U756" i="19"/>
  <c r="T756" i="19"/>
  <c r="S756" i="19"/>
  <c r="V755" i="19"/>
  <c r="U755" i="19"/>
  <c r="T755" i="19"/>
  <c r="S755" i="19"/>
  <c r="V754" i="19"/>
  <c r="U754" i="19"/>
  <c r="T754" i="19"/>
  <c r="S754" i="19"/>
  <c r="R102" i="19"/>
  <c r="R101" i="19"/>
  <c r="R817" i="19"/>
  <c r="R522" i="19"/>
  <c r="R31" i="19"/>
  <c r="R100" i="19"/>
  <c r="R884" i="19"/>
  <c r="R98" i="19"/>
  <c r="R395" i="19"/>
  <c r="R30" i="19"/>
  <c r="R898" i="19"/>
  <c r="R670" i="19"/>
  <c r="R521" i="19"/>
  <c r="R782" i="19"/>
  <c r="R29" i="19"/>
  <c r="R394" i="19"/>
  <c r="R97" i="19"/>
  <c r="R732" i="19"/>
  <c r="R844" i="19"/>
  <c r="R28" i="19"/>
  <c r="R92" i="19"/>
  <c r="R520" i="19"/>
  <c r="R91" i="19"/>
  <c r="R393" i="19"/>
  <c r="R27" i="19"/>
  <c r="R866" i="19"/>
  <c r="R95" i="19"/>
  <c r="R94" i="19"/>
  <c r="R89" i="19"/>
  <c r="R26" i="19"/>
  <c r="R669" i="19"/>
  <c r="R88" i="19"/>
  <c r="R392" i="19"/>
  <c r="R519" i="19"/>
  <c r="R25" i="19"/>
  <c r="R816" i="19"/>
  <c r="R945" i="19"/>
  <c r="R731" i="19"/>
  <c r="R391" i="19"/>
  <c r="R24" i="19"/>
  <c r="R781" i="19"/>
  <c r="R518" i="19"/>
  <c r="R668" i="19"/>
  <c r="R909" i="19"/>
  <c r="R23" i="19"/>
  <c r="R390" i="19"/>
  <c r="R90" i="19"/>
  <c r="R918" i="19"/>
  <c r="R517" i="19"/>
  <c r="R22" i="19"/>
  <c r="R843" i="19"/>
  <c r="R82" i="19"/>
  <c r="R389" i="19"/>
  <c r="R730" i="19"/>
  <c r="R21" i="19"/>
  <c r="R667" i="19"/>
  <c r="R815" i="19"/>
  <c r="R80" i="19"/>
  <c r="R516" i="19"/>
  <c r="R20" i="19"/>
  <c r="R388" i="19"/>
  <c r="R780" i="19"/>
  <c r="R883" i="19"/>
  <c r="R77" i="19"/>
  <c r="R19" i="19"/>
  <c r="R87" i="19"/>
  <c r="R865" i="19"/>
  <c r="R387" i="19"/>
  <c r="R515" i="19"/>
  <c r="R18" i="19"/>
  <c r="R666" i="19"/>
  <c r="R86" i="19"/>
  <c r="R263" i="19"/>
  <c r="R411" i="19"/>
  <c r="R17" i="19"/>
  <c r="R56" i="19"/>
  <c r="R739" i="19"/>
  <c r="R534" i="19"/>
  <c r="R869" i="19"/>
  <c r="R16" i="19"/>
  <c r="R262" i="19"/>
  <c r="R55" i="19"/>
  <c r="R678" i="19"/>
  <c r="R410" i="19"/>
  <c r="R15" i="19"/>
  <c r="R886" i="19"/>
  <c r="R787" i="19"/>
  <c r="R54" i="19"/>
  <c r="R261" i="19"/>
  <c r="R14" i="19"/>
  <c r="R533" i="19"/>
  <c r="R932" i="19"/>
  <c r="R409" i="19"/>
  <c r="R53" i="19"/>
  <c r="R13" i="19"/>
  <c r="R445" i="19"/>
  <c r="R260" i="19"/>
  <c r="R729" i="19"/>
  <c r="R386" i="19"/>
  <c r="R12" i="19"/>
  <c r="R931" i="19"/>
  <c r="R514" i="19"/>
  <c r="R252" i="19"/>
  <c r="R897" i="19"/>
  <c r="R11" i="19"/>
  <c r="R779" i="19"/>
  <c r="R385" i="19"/>
  <c r="R665" i="19"/>
  <c r="R251" i="19"/>
  <c r="R10" i="19"/>
  <c r="R814" i="19"/>
  <c r="R513" i="19"/>
  <c r="R728" i="19"/>
  <c r="R384" i="19"/>
  <c r="R9" i="19"/>
  <c r="R250" i="19"/>
  <c r="R75" i="19"/>
  <c r="R842" i="19"/>
  <c r="R74" i="19"/>
  <c r="R8" i="19"/>
  <c r="R512" i="19"/>
  <c r="R249" i="19"/>
  <c r="R383" i="19"/>
  <c r="R925" i="19"/>
  <c r="R7" i="19"/>
  <c r="R611" i="19"/>
  <c r="R664" i="19"/>
  <c r="R248" i="19"/>
  <c r="R952" i="19"/>
  <c r="R6" i="19"/>
  <c r="R382" i="19"/>
  <c r="R511" i="19"/>
  <c r="R778" i="19"/>
  <c r="R247" i="19"/>
  <c r="R5" i="19"/>
  <c r="R727" i="19"/>
  <c r="R610" i="19"/>
  <c r="R381" i="19"/>
  <c r="R864" i="19"/>
  <c r="R4" i="19"/>
  <c r="R246" i="19"/>
  <c r="R510" i="19"/>
  <c r="R663" i="19"/>
  <c r="R813" i="19"/>
  <c r="R3" i="19"/>
  <c r="R380" i="19"/>
  <c r="R245" i="19"/>
  <c r="R882" i="19"/>
  <c r="R609" i="19"/>
  <c r="R2" i="19"/>
  <c r="R738" i="19"/>
  <c r="R444" i="19"/>
  <c r="R52" i="19"/>
  <c r="R532" i="19"/>
  <c r="R408" i="19"/>
  <c r="R259" i="19"/>
  <c r="R677" i="19"/>
  <c r="R51" i="19"/>
  <c r="R847" i="19"/>
  <c r="R820" i="19"/>
  <c r="R940" i="19"/>
  <c r="R258" i="19"/>
  <c r="R50" i="19"/>
  <c r="R407" i="19"/>
  <c r="R531" i="19"/>
  <c r="R786" i="19"/>
  <c r="R676" i="19"/>
  <c r="R49" i="19"/>
  <c r="R257" i="19"/>
  <c r="R441" i="19"/>
  <c r="R406" i="19"/>
  <c r="R737" i="19"/>
  <c r="R48" i="19"/>
  <c r="R530" i="19"/>
  <c r="R256" i="19"/>
  <c r="R919" i="19"/>
  <c r="R868" i="19"/>
  <c r="R47" i="19"/>
  <c r="R405" i="19"/>
  <c r="R899" i="19"/>
  <c r="R255" i="19"/>
  <c r="R439" i="19"/>
  <c r="R46" i="19"/>
  <c r="R529" i="19"/>
  <c r="R675" i="19"/>
  <c r="R404" i="19"/>
  <c r="R254" i="19"/>
  <c r="R45" i="19"/>
  <c r="R819" i="19"/>
  <c r="R736" i="19"/>
  <c r="R785" i="19"/>
  <c r="R528" i="19"/>
  <c r="R44" i="19"/>
  <c r="R253" i="19"/>
  <c r="R403" i="19"/>
  <c r="R116" i="19"/>
  <c r="R437" i="19"/>
  <c r="R43" i="19"/>
  <c r="R846" i="19"/>
  <c r="R674" i="19"/>
  <c r="R885" i="19"/>
  <c r="R115" i="19"/>
  <c r="R42" i="19"/>
  <c r="R402" i="19"/>
  <c r="R527" i="19"/>
  <c r="R910" i="19"/>
  <c r="R435" i="19"/>
  <c r="R41" i="19"/>
  <c r="R114" i="19"/>
  <c r="R735" i="19"/>
  <c r="R955" i="19"/>
  <c r="R926" i="19"/>
  <c r="R40" i="19"/>
  <c r="R526" i="19"/>
  <c r="R113" i="19"/>
  <c r="R673" i="19"/>
  <c r="R784" i="19"/>
  <c r="R39" i="19"/>
  <c r="R400" i="19"/>
  <c r="R818" i="19"/>
  <c r="R112" i="19"/>
  <c r="R867" i="19"/>
  <c r="R38" i="19"/>
  <c r="R525" i="19"/>
  <c r="R734" i="19"/>
  <c r="R399" i="19"/>
  <c r="R111" i="19"/>
  <c r="R37" i="19"/>
  <c r="R108" i="19"/>
  <c r="R107" i="19"/>
  <c r="R672" i="19"/>
  <c r="R524" i="19"/>
  <c r="R36" i="19"/>
  <c r="R110" i="19"/>
  <c r="R398" i="19"/>
  <c r="R845" i="19"/>
  <c r="R109" i="19"/>
  <c r="R35" i="19"/>
  <c r="R947" i="19"/>
  <c r="R783" i="19"/>
  <c r="R103" i="19"/>
  <c r="R397" i="19"/>
  <c r="R34" i="19"/>
  <c r="R523" i="19"/>
  <c r="R106" i="19"/>
  <c r="R936" i="19"/>
  <c r="R105" i="19"/>
  <c r="R33" i="19"/>
  <c r="R671" i="19"/>
  <c r="R104" i="19"/>
  <c r="R733" i="19"/>
  <c r="R396" i="19"/>
  <c r="R32" i="19"/>
  <c r="R956" i="19"/>
  <c r="R957" i="19"/>
  <c r="R958" i="19"/>
  <c r="R959" i="19"/>
  <c r="R960" i="19"/>
  <c r="R961" i="19"/>
  <c r="R962" i="19"/>
  <c r="R963" i="19"/>
  <c r="R964" i="19"/>
  <c r="R965" i="19"/>
  <c r="R966" i="19"/>
  <c r="R967" i="19"/>
  <c r="R968" i="19"/>
  <c r="R969" i="19"/>
  <c r="R136" i="19"/>
  <c r="R509" i="19"/>
  <c r="R841" i="19"/>
  <c r="R244" i="19"/>
  <c r="R379" i="19"/>
  <c r="R726" i="19"/>
  <c r="R662" i="19"/>
  <c r="R777" i="19"/>
  <c r="R243" i="19"/>
  <c r="R508" i="19"/>
  <c r="R378" i="19"/>
  <c r="R608" i="19"/>
  <c r="R908" i="19"/>
  <c r="R242" i="19"/>
  <c r="R954" i="19"/>
  <c r="R812" i="19"/>
  <c r="R377" i="19"/>
  <c r="R507" i="19"/>
  <c r="R241" i="19"/>
  <c r="R661" i="19"/>
  <c r="R607" i="19"/>
  <c r="R725" i="19"/>
  <c r="R376" i="19"/>
  <c r="R240" i="19"/>
  <c r="R896" i="19"/>
  <c r="R506" i="19"/>
  <c r="R776" i="19"/>
  <c r="R863" i="19"/>
  <c r="R239" i="19"/>
  <c r="R375" i="19"/>
  <c r="R606" i="19"/>
  <c r="R660" i="19"/>
  <c r="R505" i="19"/>
  <c r="R238" i="19"/>
  <c r="R840" i="19"/>
  <c r="R374" i="19"/>
  <c r="R724" i="19"/>
  <c r="R917" i="19"/>
  <c r="R237" i="19"/>
  <c r="R605" i="19"/>
  <c r="R504" i="19"/>
  <c r="R373" i="19"/>
  <c r="R811" i="19"/>
  <c r="R236" i="19"/>
  <c r="R659" i="19"/>
  <c r="R775" i="19"/>
  <c r="R881" i="19"/>
  <c r="R372" i="19"/>
  <c r="R235" i="19"/>
  <c r="R503" i="19"/>
  <c r="R604" i="19"/>
  <c r="R723" i="19"/>
  <c r="R939" i="19"/>
  <c r="R234" i="19"/>
  <c r="R371" i="19"/>
  <c r="R658" i="19"/>
  <c r="R502" i="19"/>
  <c r="R935" i="19"/>
  <c r="R233" i="19"/>
  <c r="R603" i="19"/>
  <c r="R370" i="19"/>
  <c r="R839" i="19"/>
  <c r="R774" i="19"/>
  <c r="R232" i="19"/>
  <c r="R501" i="19"/>
  <c r="R722" i="19"/>
  <c r="R369" i="19"/>
  <c r="R657" i="19"/>
  <c r="R231" i="19"/>
  <c r="R602" i="19"/>
  <c r="R810" i="19"/>
  <c r="R500" i="19"/>
  <c r="R368" i="19"/>
  <c r="R230" i="19"/>
  <c r="R862" i="19"/>
  <c r="R907" i="19"/>
  <c r="R895" i="19"/>
  <c r="R601" i="19"/>
  <c r="R229" i="19"/>
  <c r="R367" i="19"/>
  <c r="R499" i="19"/>
  <c r="R656" i="19"/>
  <c r="R721" i="19"/>
  <c r="R228" i="19"/>
  <c r="R773" i="19"/>
  <c r="R366" i="19"/>
  <c r="R880" i="19"/>
  <c r="R498" i="19"/>
  <c r="R227" i="19"/>
  <c r="R600" i="19"/>
  <c r="R809" i="19"/>
  <c r="R365" i="19"/>
  <c r="R655" i="19"/>
  <c r="R226" i="19"/>
  <c r="R838" i="19"/>
  <c r="R497" i="19"/>
  <c r="R720" i="19"/>
  <c r="R364" i="19"/>
  <c r="R225" i="19"/>
  <c r="R599" i="19"/>
  <c r="R924" i="19"/>
  <c r="R772" i="19"/>
  <c r="R496" i="19"/>
  <c r="R224" i="19"/>
  <c r="R363" i="19"/>
  <c r="R654" i="19"/>
  <c r="R861" i="19"/>
  <c r="R598" i="19"/>
  <c r="R223" i="19"/>
  <c r="R930" i="19"/>
  <c r="R362" i="19"/>
  <c r="R495" i="19"/>
  <c r="R719" i="19"/>
  <c r="R222" i="19"/>
  <c r="R808" i="19"/>
  <c r="R653" i="19"/>
  <c r="R361" i="19"/>
  <c r="R597" i="19"/>
  <c r="R221" i="19"/>
  <c r="R494" i="19"/>
  <c r="R916" i="19"/>
  <c r="R771" i="19"/>
  <c r="R360" i="19"/>
  <c r="R220" i="19"/>
  <c r="R837" i="19"/>
  <c r="R718" i="19"/>
  <c r="R493" i="19"/>
  <c r="R596" i="19"/>
  <c r="R219" i="19"/>
  <c r="R359" i="19"/>
  <c r="R652" i="19"/>
  <c r="R942" i="19"/>
  <c r="R879" i="19"/>
  <c r="R218" i="19"/>
  <c r="R492" i="19"/>
  <c r="R358" i="19"/>
  <c r="R807" i="19"/>
  <c r="R595" i="19"/>
  <c r="R217" i="19"/>
  <c r="R770" i="19"/>
  <c r="R651" i="19"/>
  <c r="R357" i="19"/>
  <c r="R491" i="19"/>
  <c r="R216" i="19"/>
  <c r="R717" i="19"/>
  <c r="R860" i="19"/>
  <c r="R594" i="19"/>
  <c r="R356" i="19"/>
  <c r="R215" i="19"/>
  <c r="R894" i="19"/>
  <c r="R490" i="19"/>
  <c r="R836" i="19"/>
  <c r="R650" i="19"/>
  <c r="R214" i="19"/>
  <c r="R355" i="19"/>
  <c r="R906" i="19"/>
  <c r="R593" i="19"/>
  <c r="R489" i="19"/>
  <c r="R213" i="19"/>
  <c r="R716" i="19"/>
  <c r="R354" i="19"/>
  <c r="R769" i="19"/>
  <c r="R806" i="19"/>
  <c r="R212" i="19"/>
  <c r="R649" i="19"/>
  <c r="R488" i="19"/>
  <c r="R353" i="19"/>
  <c r="R592" i="19"/>
  <c r="R211" i="19"/>
  <c r="R948" i="19"/>
  <c r="R951" i="19"/>
  <c r="R715" i="19"/>
  <c r="R352" i="19"/>
  <c r="R210" i="19"/>
  <c r="R487" i="19"/>
  <c r="R859" i="19"/>
  <c r="R591" i="19"/>
  <c r="R648" i="19"/>
  <c r="R209" i="19"/>
  <c r="R351" i="19"/>
  <c r="R768" i="19"/>
  <c r="R486" i="19"/>
  <c r="R835" i="19"/>
  <c r="R208" i="19"/>
  <c r="R805" i="19"/>
  <c r="R350" i="19"/>
  <c r="R590" i="19"/>
  <c r="R714" i="19"/>
  <c r="R207" i="19"/>
  <c r="R485" i="19"/>
  <c r="R647" i="19"/>
  <c r="R349" i="19"/>
  <c r="R878" i="19"/>
  <c r="R206" i="19"/>
  <c r="R923" i="19"/>
  <c r="R589" i="19"/>
  <c r="R484" i="19"/>
  <c r="R348" i="19"/>
  <c r="R205" i="19"/>
  <c r="R767" i="19"/>
  <c r="R893" i="19"/>
  <c r="R646" i="19"/>
  <c r="R713" i="19"/>
  <c r="R204" i="19"/>
  <c r="R347" i="19"/>
  <c r="R483" i="19"/>
  <c r="R588" i="19"/>
  <c r="R915" i="19"/>
  <c r="R203" i="19"/>
  <c r="R804" i="19"/>
  <c r="R346" i="19"/>
  <c r="R834" i="19"/>
  <c r="R482" i="19"/>
  <c r="R202" i="19"/>
  <c r="R645" i="19"/>
  <c r="R587" i="19"/>
  <c r="R345" i="19"/>
  <c r="R766" i="19"/>
  <c r="R201" i="19"/>
  <c r="R712" i="19"/>
  <c r="R481" i="19"/>
  <c r="R858" i="19"/>
  <c r="R344" i="19"/>
  <c r="R200" i="19"/>
  <c r="R905" i="19"/>
  <c r="R586" i="19"/>
  <c r="R644" i="19"/>
  <c r="R480" i="19"/>
  <c r="R199" i="19"/>
  <c r="R343" i="19"/>
  <c r="R877" i="19"/>
  <c r="R803" i="19"/>
  <c r="R711" i="19"/>
  <c r="R198" i="19"/>
  <c r="R585" i="19"/>
  <c r="R342" i="19"/>
  <c r="R479" i="19"/>
  <c r="R765" i="19"/>
  <c r="R197" i="19"/>
  <c r="R643" i="19"/>
  <c r="R944" i="19"/>
  <c r="R341" i="19"/>
  <c r="R833" i="19"/>
  <c r="R196" i="19"/>
  <c r="R478" i="19"/>
  <c r="R584" i="19"/>
  <c r="R929" i="19"/>
  <c r="R340" i="19"/>
  <c r="R195" i="19"/>
  <c r="R710" i="19"/>
  <c r="R642" i="19"/>
  <c r="R477" i="19"/>
  <c r="R857" i="19"/>
  <c r="R194" i="19"/>
  <c r="R339" i="19"/>
  <c r="R583" i="19"/>
  <c r="R764" i="19"/>
  <c r="R802" i="19"/>
  <c r="R193" i="19"/>
  <c r="R476" i="19"/>
  <c r="R338" i="19"/>
  <c r="R892" i="19"/>
  <c r="R641" i="19"/>
  <c r="R192" i="19"/>
  <c r="R582" i="19"/>
  <c r="R709" i="19"/>
  <c r="R337" i="19"/>
  <c r="R475" i="19"/>
  <c r="R191" i="19"/>
  <c r="R934" i="19"/>
  <c r="R832" i="19"/>
  <c r="R763" i="19"/>
  <c r="R336" i="19"/>
  <c r="R190" i="19"/>
  <c r="R581" i="19"/>
  <c r="R474" i="19"/>
  <c r="R640" i="19"/>
  <c r="R876" i="19"/>
  <c r="R189" i="19"/>
  <c r="R335" i="19"/>
  <c r="R708" i="19"/>
  <c r="R801" i="19"/>
  <c r="R473" i="19"/>
  <c r="R188" i="19"/>
  <c r="R580" i="19"/>
  <c r="R334" i="19"/>
  <c r="R938" i="19"/>
  <c r="R639" i="19"/>
  <c r="R187" i="19"/>
  <c r="R856" i="19"/>
  <c r="R472" i="19"/>
  <c r="R333" i="19"/>
  <c r="R762" i="19"/>
  <c r="R186" i="19"/>
  <c r="R579" i="19"/>
  <c r="R707" i="19"/>
  <c r="R904" i="19"/>
  <c r="R332" i="19"/>
  <c r="R185" i="19"/>
  <c r="R471" i="19"/>
  <c r="R638" i="19"/>
  <c r="R831" i="19"/>
  <c r="R578" i="19"/>
  <c r="R184" i="19"/>
  <c r="R331" i="19"/>
  <c r="R800" i="19"/>
  <c r="R470" i="19"/>
  <c r="R914" i="19"/>
  <c r="R183" i="19"/>
  <c r="R706" i="19"/>
  <c r="R330" i="19"/>
  <c r="R637" i="19"/>
  <c r="R577" i="19"/>
  <c r="R182" i="19"/>
  <c r="R469" i="19"/>
  <c r="R761" i="19"/>
  <c r="R329" i="19"/>
  <c r="R891" i="19"/>
  <c r="R181" i="19"/>
  <c r="R875" i="19"/>
  <c r="R855" i="19"/>
  <c r="R468" i="19"/>
  <c r="R328" i="19"/>
  <c r="R180" i="19"/>
  <c r="R576" i="19"/>
  <c r="R636" i="19"/>
  <c r="R705" i="19"/>
  <c r="R799" i="19"/>
  <c r="R179" i="19"/>
  <c r="R327" i="19"/>
  <c r="R467" i="19"/>
  <c r="R760" i="19"/>
  <c r="R575" i="19"/>
  <c r="R178" i="19"/>
  <c r="R830" i="19"/>
  <c r="R326" i="19"/>
  <c r="R466" i="19"/>
  <c r="R635" i="19"/>
  <c r="R177" i="19"/>
  <c r="R922" i="19"/>
  <c r="R704" i="19"/>
  <c r="R325" i="19"/>
  <c r="R574" i="19"/>
  <c r="R176" i="19"/>
  <c r="R946" i="19"/>
  <c r="R941" i="19"/>
  <c r="R634" i="19"/>
  <c r="R324" i="19"/>
  <c r="R175" i="19"/>
  <c r="R759" i="19"/>
  <c r="R463" i="19"/>
  <c r="R573" i="19"/>
  <c r="R462" i="19"/>
  <c r="R174" i="19"/>
  <c r="R323" i="19"/>
  <c r="R798" i="19"/>
  <c r="R703" i="19"/>
  <c r="R903" i="19"/>
  <c r="R173" i="19"/>
  <c r="R633" i="19"/>
  <c r="R322" i="19"/>
  <c r="R460" i="19"/>
  <c r="R572" i="19"/>
  <c r="R172" i="19"/>
  <c r="R829" i="19"/>
  <c r="R854" i="19"/>
  <c r="R321" i="19"/>
  <c r="R758" i="19"/>
  <c r="R171" i="19"/>
  <c r="R458" i="19"/>
  <c r="R702" i="19"/>
  <c r="R457" i="19"/>
  <c r="R320" i="19"/>
  <c r="R170" i="19"/>
  <c r="R571" i="19"/>
  <c r="R632" i="19"/>
  <c r="R874" i="19"/>
  <c r="R797" i="19"/>
  <c r="R169" i="19"/>
  <c r="R319" i="19"/>
  <c r="R455" i="19"/>
  <c r="R890" i="19"/>
  <c r="R570" i="19"/>
  <c r="R168" i="19"/>
  <c r="R928" i="19"/>
  <c r="R318" i="19"/>
  <c r="R631" i="19"/>
  <c r="R453" i="19"/>
  <c r="R167" i="19"/>
  <c r="R701" i="19"/>
  <c r="R757" i="19"/>
  <c r="R317" i="19"/>
  <c r="R569" i="19"/>
  <c r="R166" i="19"/>
  <c r="R828" i="19"/>
  <c r="R913" i="19"/>
  <c r="R630" i="19"/>
  <c r="R316" i="19"/>
  <c r="R165" i="19"/>
  <c r="R796" i="19"/>
  <c r="R568" i="19"/>
  <c r="R700" i="19"/>
  <c r="R853" i="19"/>
  <c r="R164" i="19"/>
  <c r="R315" i="19"/>
  <c r="R756" i="19"/>
  <c r="R449" i="19"/>
  <c r="R629" i="19"/>
  <c r="R163" i="19"/>
  <c r="R567" i="19"/>
  <c r="R314" i="19"/>
  <c r="R448" i="19"/>
  <c r="R949" i="19"/>
  <c r="R162" i="19"/>
  <c r="R873" i="19"/>
  <c r="R447" i="19"/>
  <c r="R313" i="19"/>
  <c r="R699" i="19"/>
  <c r="R161" i="19"/>
  <c r="R827" i="19"/>
  <c r="R446" i="19"/>
  <c r="R566" i="19"/>
  <c r="R312" i="19"/>
  <c r="R160" i="19"/>
  <c r="R628" i="19"/>
  <c r="R795" i="19"/>
  <c r="R755" i="19"/>
  <c r="R921" i="19"/>
  <c r="R159" i="19"/>
  <c r="R311" i="19"/>
  <c r="R565" i="19"/>
  <c r="R698" i="19"/>
  <c r="R443" i="19"/>
  <c r="R158" i="19"/>
  <c r="R627" i="19"/>
  <c r="R310" i="19"/>
  <c r="R889" i="19"/>
  <c r="R442" i="19"/>
  <c r="R157" i="19"/>
  <c r="R852" i="19"/>
  <c r="R564" i="19"/>
  <c r="R309" i="19"/>
  <c r="R902" i="19"/>
  <c r="R156" i="19"/>
  <c r="R754" i="19"/>
  <c r="R440" i="19"/>
  <c r="R626" i="19"/>
  <c r="R308" i="19"/>
  <c r="R155" i="19"/>
  <c r="R697" i="19"/>
  <c r="R563" i="19"/>
  <c r="R794" i="19"/>
  <c r="R438" i="19"/>
  <c r="R154" i="19"/>
  <c r="R307" i="19"/>
  <c r="R826" i="19"/>
  <c r="R933" i="19"/>
  <c r="R625" i="19"/>
  <c r="R153" i="19"/>
  <c r="R562" i="19"/>
  <c r="R306" i="19"/>
  <c r="R436" i="19"/>
  <c r="R872" i="19"/>
  <c r="R152" i="19"/>
  <c r="R696" i="19"/>
  <c r="R753" i="19"/>
  <c r="R305" i="19"/>
  <c r="R950" i="19"/>
  <c r="R151" i="19"/>
  <c r="R434" i="19"/>
  <c r="R561" i="19"/>
  <c r="R624" i="19"/>
  <c r="R304" i="19"/>
  <c r="R150" i="19"/>
  <c r="R433" i="19"/>
  <c r="R793" i="19"/>
  <c r="R851" i="19"/>
  <c r="R695" i="19"/>
  <c r="R149" i="19"/>
  <c r="R303" i="19"/>
  <c r="R560" i="19"/>
  <c r="R825" i="19"/>
  <c r="R623" i="19"/>
  <c r="R148" i="19"/>
  <c r="R752" i="19"/>
  <c r="R302" i="19"/>
  <c r="R912" i="19"/>
  <c r="R559" i="19"/>
  <c r="R147" i="19"/>
  <c r="R888" i="19"/>
  <c r="R694" i="19"/>
  <c r="R301" i="19"/>
  <c r="R622" i="19"/>
  <c r="R146" i="19"/>
  <c r="R792" i="19"/>
  <c r="R558" i="19"/>
  <c r="R937" i="19"/>
  <c r="R300" i="19"/>
  <c r="R145" i="19"/>
  <c r="R751" i="19"/>
  <c r="R871" i="19"/>
  <c r="R621" i="19"/>
  <c r="R557" i="19"/>
  <c r="R144" i="19"/>
  <c r="R299" i="19"/>
  <c r="R693" i="19"/>
  <c r="R824" i="19"/>
  <c r="R850" i="19"/>
  <c r="R143" i="19"/>
  <c r="R99" i="19"/>
  <c r="R298" i="19"/>
  <c r="R791" i="19"/>
  <c r="R556" i="19"/>
  <c r="R142" i="19"/>
  <c r="R620" i="19"/>
  <c r="R750" i="19"/>
  <c r="R297" i="19"/>
  <c r="R96" i="19"/>
  <c r="R141" i="19"/>
  <c r="R692" i="19"/>
  <c r="R901" i="19"/>
  <c r="R555" i="19"/>
  <c r="R296" i="19"/>
  <c r="R140" i="19"/>
  <c r="R927" i="19"/>
  <c r="R93" i="19"/>
  <c r="R619" i="19"/>
  <c r="R139" i="19"/>
  <c r="R295" i="19"/>
  <c r="R85" i="19"/>
  <c r="R84" i="19"/>
  <c r="R138" i="19"/>
  <c r="R554" i="19"/>
  <c r="R294" i="19"/>
  <c r="R83" i="19"/>
  <c r="R691" i="19"/>
  <c r="R137" i="19"/>
  <c r="R749" i="19"/>
  <c r="R618" i="19"/>
  <c r="R293" i="19"/>
  <c r="R401" i="19"/>
  <c r="R81" i="19"/>
  <c r="R553" i="19"/>
  <c r="R292" i="19"/>
  <c r="R135" i="19"/>
  <c r="R690" i="19"/>
  <c r="R79" i="19"/>
  <c r="R617" i="19"/>
  <c r="R134" i="19"/>
  <c r="R291" i="19"/>
  <c r="R78" i="19"/>
  <c r="R552" i="19"/>
  <c r="R133" i="19"/>
  <c r="R748" i="19"/>
  <c r="R290" i="19"/>
  <c r="R76" i="19"/>
  <c r="R132" i="19"/>
  <c r="R432" i="19"/>
  <c r="R289" i="19"/>
  <c r="R551" i="19"/>
  <c r="R131" i="19"/>
  <c r="R616" i="19"/>
  <c r="R689" i="19"/>
  <c r="R288" i="19"/>
  <c r="R130" i="19"/>
  <c r="R431" i="19"/>
  <c r="R550" i="19"/>
  <c r="R747" i="19"/>
  <c r="R129" i="19"/>
  <c r="R287" i="19"/>
  <c r="R615" i="19"/>
  <c r="R430" i="19"/>
  <c r="R128" i="19"/>
  <c r="R688" i="19"/>
  <c r="R286" i="19"/>
  <c r="R549" i="19"/>
  <c r="R127" i="19"/>
  <c r="R429" i="19"/>
  <c r="R285" i="19"/>
  <c r="R614" i="19"/>
  <c r="R126" i="19"/>
  <c r="R548" i="19"/>
  <c r="R428" i="19"/>
  <c r="R284" i="19"/>
  <c r="R125" i="19"/>
  <c r="R746" i="19"/>
  <c r="R687" i="19"/>
  <c r="R613" i="19"/>
  <c r="R124" i="19"/>
  <c r="R283" i="19"/>
  <c r="R427" i="19"/>
  <c r="R547" i="19"/>
  <c r="R123" i="19"/>
  <c r="R282" i="19"/>
  <c r="R426" i="19"/>
  <c r="R122" i="19"/>
  <c r="R686" i="19"/>
  <c r="R546" i="19"/>
  <c r="R281" i="19"/>
  <c r="R612" i="19"/>
  <c r="R121" i="19"/>
  <c r="R745" i="19"/>
  <c r="R425" i="19"/>
  <c r="R280" i="19"/>
  <c r="R120" i="19"/>
  <c r="R545" i="19"/>
  <c r="R424" i="19"/>
  <c r="R119" i="19"/>
  <c r="R279" i="19"/>
  <c r="R685" i="19"/>
  <c r="R465" i="19"/>
  <c r="R118" i="19"/>
  <c r="R544" i="19"/>
  <c r="R278" i="19"/>
  <c r="R423" i="19"/>
  <c r="R464" i="19"/>
  <c r="R117" i="19"/>
  <c r="R744" i="19"/>
  <c r="R277" i="19"/>
  <c r="R422" i="19"/>
  <c r="R543" i="19"/>
  <c r="R73" i="19"/>
  <c r="R684" i="19"/>
  <c r="R276" i="19"/>
  <c r="R72" i="19"/>
  <c r="R421" i="19"/>
  <c r="R743" i="19"/>
  <c r="R275" i="19"/>
  <c r="R542" i="19"/>
  <c r="R71" i="19"/>
  <c r="R461" i="19"/>
  <c r="R420" i="19"/>
  <c r="R274" i="19"/>
  <c r="R70" i="19"/>
  <c r="R683" i="19"/>
  <c r="R920" i="19"/>
  <c r="R541" i="19"/>
  <c r="R823" i="19"/>
  <c r="R69" i="19"/>
  <c r="R273" i="19"/>
  <c r="R419" i="19"/>
  <c r="R459" i="19"/>
  <c r="R790" i="19"/>
  <c r="R68" i="19"/>
  <c r="R742" i="19"/>
  <c r="R272" i="19"/>
  <c r="R540" i="19"/>
  <c r="R418" i="19"/>
  <c r="R67" i="19"/>
  <c r="R682" i="19"/>
  <c r="R887" i="19"/>
  <c r="R271" i="19"/>
  <c r="R849" i="19"/>
  <c r="R66" i="19"/>
  <c r="R870" i="19"/>
  <c r="R417" i="19"/>
  <c r="R539" i="19"/>
  <c r="R270" i="19"/>
  <c r="R65" i="19"/>
  <c r="R953" i="19"/>
  <c r="R456" i="19"/>
  <c r="R681" i="19"/>
  <c r="R416" i="19"/>
  <c r="R64" i="19"/>
  <c r="R269" i="19"/>
  <c r="R741" i="19"/>
  <c r="R538" i="19"/>
  <c r="R789" i="19"/>
  <c r="R63" i="19"/>
  <c r="R822" i="19"/>
  <c r="R268" i="19"/>
  <c r="R415" i="19"/>
  <c r="R454" i="19"/>
  <c r="R62" i="19"/>
  <c r="R911" i="19"/>
  <c r="R537" i="19"/>
  <c r="R267" i="19"/>
  <c r="R680" i="19"/>
  <c r="R61" i="19"/>
  <c r="R414" i="19"/>
  <c r="R900" i="19"/>
  <c r="R740" i="19"/>
  <c r="R266" i="19"/>
  <c r="R60" i="19"/>
  <c r="R452" i="19"/>
  <c r="R536" i="19"/>
  <c r="R413" i="19"/>
  <c r="R848" i="19"/>
  <c r="R59" i="19"/>
  <c r="R265" i="19"/>
  <c r="R451" i="19"/>
  <c r="R788" i="19"/>
  <c r="R450" i="19"/>
  <c r="R58" i="19"/>
  <c r="R412" i="19"/>
  <c r="R264" i="19"/>
  <c r="R535" i="19"/>
  <c r="R679" i="19"/>
  <c r="R57" i="19"/>
  <c r="R943" i="19"/>
  <c r="R821" i="19"/>
  <c r="X21" i="14"/>
  <c r="W21" i="14"/>
  <c r="V21" i="14"/>
  <c r="Y21" i="14"/>
  <c r="Y20" i="14"/>
  <c r="X20" i="14"/>
  <c r="W20" i="14"/>
  <c r="V20" i="14"/>
  <c r="Y19" i="14"/>
  <c r="X19" i="14"/>
  <c r="W19" i="14"/>
  <c r="V19" i="14"/>
  <c r="Y18" i="14"/>
  <c r="X18" i="14"/>
  <c r="W18" i="14"/>
  <c r="V18" i="14"/>
  <c r="Y17" i="14"/>
  <c r="X17" i="14"/>
  <c r="W17" i="14"/>
  <c r="V17" i="14"/>
  <c r="Y16" i="14"/>
  <c r="X16" i="14"/>
  <c r="W16" i="14"/>
  <c r="V16" i="14"/>
  <c r="V15" i="14"/>
  <c r="Y15" i="14"/>
  <c r="X15" i="14"/>
  <c r="W15" i="14"/>
  <c r="W14" i="14"/>
  <c r="V14" i="14"/>
  <c r="X14" i="14"/>
  <c r="Y14" i="14"/>
  <c r="V13" i="14"/>
  <c r="Y13" i="14"/>
  <c r="X13" i="14"/>
  <c r="W13" i="14"/>
  <c r="Y12" i="14"/>
  <c r="X12" i="14"/>
  <c r="W12" i="14"/>
  <c r="V12" i="14"/>
  <c r="V11" i="14"/>
  <c r="W11" i="14"/>
  <c r="X11" i="14"/>
  <c r="Y11" i="14"/>
  <c r="Y10" i="14"/>
  <c r="W10" i="14"/>
  <c r="V10" i="14"/>
  <c r="X10" i="14"/>
  <c r="W9" i="14"/>
  <c r="V9" i="14"/>
  <c r="X9" i="14"/>
  <c r="Y9" i="14"/>
  <c r="Y8" i="14"/>
  <c r="X8" i="14"/>
  <c r="W8" i="14"/>
  <c r="V8" i="14"/>
  <c r="Y7" i="14"/>
  <c r="V7" i="14"/>
  <c r="W7" i="14"/>
  <c r="X7" i="14"/>
  <c r="Y6" i="14"/>
  <c r="X6" i="14"/>
  <c r="V6" i="14"/>
  <c r="W6" i="14"/>
  <c r="V5" i="14"/>
  <c r="Y5" i="14"/>
  <c r="X5" i="14"/>
  <c r="W5" i="14"/>
  <c r="X4" i="14"/>
  <c r="Y4" i="14"/>
  <c r="V4" i="14"/>
  <c r="W4" i="14"/>
  <c r="Y3" i="14"/>
  <c r="X3" i="14"/>
  <c r="W3" i="14"/>
  <c r="V3" i="14"/>
  <c r="W2" i="14"/>
  <c r="X2" i="14"/>
  <c r="Y2" i="14"/>
  <c r="V2" i="14"/>
  <c r="A5" i="11"/>
  <c r="A4" i="15"/>
  <c r="A3" i="14"/>
  <c r="A4" i="10"/>
  <c r="A6" i="11" l="1"/>
  <c r="A5" i="15"/>
  <c r="A5" i="10"/>
  <c r="A4" i="14"/>
  <c r="A7" i="11" l="1"/>
  <c r="A6" i="15"/>
  <c r="A6" i="10"/>
  <c r="A5" i="14"/>
  <c r="A8" i="11" l="1"/>
  <c r="A7" i="15"/>
  <c r="A7" i="10"/>
  <c r="A6" i="14"/>
  <c r="A9" i="11" l="1"/>
  <c r="A8" i="15"/>
  <c r="A8" i="10"/>
  <c r="A7" i="14"/>
  <c r="A10" i="11" l="1"/>
  <c r="A9" i="15"/>
  <c r="A9" i="10"/>
  <c r="A8" i="14"/>
  <c r="A11" i="11" l="1"/>
  <c r="A10" i="15"/>
  <c r="A10" i="10"/>
  <c r="A9" i="14"/>
  <c r="A12" i="11" l="1"/>
  <c r="A11" i="15"/>
  <c r="A11" i="10"/>
  <c r="A10" i="14"/>
  <c r="A13" i="11" l="1"/>
  <c r="A12" i="15"/>
  <c r="A12" i="10"/>
  <c r="A11" i="14"/>
  <c r="A14" i="11" l="1"/>
  <c r="A13" i="15"/>
  <c r="A13" i="10"/>
  <c r="A12" i="14"/>
  <c r="A15" i="11" l="1"/>
  <c r="A14" i="15"/>
  <c r="A14" i="10"/>
  <c r="A13" i="14"/>
  <c r="A16" i="11" l="1"/>
  <c r="A15" i="15"/>
  <c r="A15" i="10"/>
  <c r="A14" i="14"/>
  <c r="A17" i="11" l="1"/>
  <c r="A16" i="15"/>
  <c r="A16" i="10"/>
  <c r="A15" i="14"/>
  <c r="A18" i="11" l="1"/>
  <c r="A17" i="15"/>
  <c r="A17" i="10"/>
  <c r="A16" i="14"/>
  <c r="A19" i="11" l="1"/>
  <c r="A18" i="15"/>
  <c r="A18" i="10"/>
  <c r="A17" i="14"/>
  <c r="A20" i="11" l="1"/>
  <c r="A19" i="15"/>
  <c r="A19" i="10"/>
  <c r="A18" i="14"/>
  <c r="A21" i="11" l="1"/>
  <c r="A20" i="15"/>
  <c r="A20" i="10"/>
  <c r="A19" i="14"/>
  <c r="A22" i="11" l="1"/>
  <c r="A21" i="15"/>
  <c r="A21" i="10"/>
  <c r="A20" i="14"/>
  <c r="A23" i="11" l="1"/>
  <c r="A22" i="15"/>
  <c r="A22" i="10"/>
  <c r="A22" i="14" s="1"/>
  <c r="A21" i="14"/>
  <c r="A24" i="11" l="1"/>
  <c r="A23" i="15"/>
  <c r="A25" i="11" l="1"/>
  <c r="A24" i="15"/>
  <c r="A26" i="11" l="1"/>
  <c r="A25" i="15"/>
  <c r="A27" i="11" l="1"/>
  <c r="A26" i="15"/>
  <c r="A28" i="11" l="1"/>
  <c r="A27" i="15"/>
  <c r="A29" i="11" l="1"/>
  <c r="A28" i="15"/>
  <c r="A30" i="11" l="1"/>
  <c r="A29" i="15"/>
  <c r="A31" i="11" l="1"/>
  <c r="A31" i="15" s="1"/>
  <c r="A30"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shapeId="0" xr:uid="{00000000-0006-0000-0100-000001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shapeId="0" xr:uid="{00000000-0006-0000-0100-000002000000}">
      <text>
        <r>
          <rPr>
            <sz val="11"/>
            <color theme="1"/>
            <rFont val="Aptos Narrow"/>
            <family val="2"/>
            <scheme val="minor"/>
          </rPr>
          <t>Usuario desconocido:
15-05</t>
        </r>
      </text>
    </comment>
    <comment ref="E18" authorId="2" shapeId="0" xr:uid="{00000000-0006-0000-0100-000003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shapeId="0" xr:uid="{00000000-0006-0000-0100-000004000000}">
      <text>
        <r>
          <rPr>
            <sz val="11"/>
            <color theme="1"/>
            <rFont val="Aptos Narrow"/>
            <family val="2"/>
            <scheme val="minor"/>
          </rPr>
          <t>Usuario desconocido:
15-05</t>
        </r>
      </text>
    </comment>
    <comment ref="E19" authorId="3" shapeId="0" xr:uid="{00000000-0006-0000-0100-000005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shapeId="0" xr:uid="{00000000-0006-0000-0100-000006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shapeId="0" xr:uid="{00000000-0006-0000-0100-000007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shapeId="0" xr:uid="{00000000-0006-0000-0100-000008000000}">
      <text>
        <r>
          <rPr>
            <sz val="11"/>
            <color theme="1"/>
            <rFont val="Aptos Narrow"/>
            <family val="2"/>
            <scheme val="minor"/>
          </rPr>
          <t>Usuario desconocido:
14-may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tc={7E8D7FCC-49A0-4E05-B3D9-A030207166B8}</author>
    <author>tc={D3A0CC08-C2D9-45E4-BCCA-9E8F56518034}</author>
    <author>tc={88973129-DE01-4849-80F6-A05D7CED341B}</author>
  </authors>
  <commentList>
    <comment ref="S10" authorId="0" shapeId="0" xr:uid="{00000000-0006-0000-0300-000001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shapeId="0" xr:uid="{00000000-0006-0000-0300-000002000000}">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shapeId="0" xr:uid="{00000000-0006-0000-0300-000003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<sst xmlns="http://schemas.openxmlformats.org/spreadsheetml/2006/main" count="20934" uniqueCount="1777">
  <si>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</si>
  <si>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</si>
  <si>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</si>
  <si>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</si>
  <si>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</si>
  <si>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</si>
  <si>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</si>
  <si>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</si>
  <si>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</si>
  <si>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</si>
  <si>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</si>
  <si>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</si>
  <si>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</si>
  <si>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</si>
  <si>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</si>
  <si>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</si>
  <si>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</si>
  <si>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</si>
  <si>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</si>
  <si>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</si>
  <si>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</si>
  <si>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</si>
  <si>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</si>
  <si>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</si>
  <si>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</si>
  <si>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</si>
  <si>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</si>
  <si>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</si>
  <si>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</si>
  <si>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</si>
  <si>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</si>
  <si>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</si>
  <si>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</si>
  <si>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</si>
  <si>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</si>
  <si>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</si>
  <si>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</si>
  <si>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</si>
  <si>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</si>
  <si>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</si>
  <si>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</si>
  <si>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</si>
  <si>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</si>
  <si>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</si>
  <si>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</si>
  <si>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</si>
  <si>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</si>
  <si>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</si>
  <si>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</si>
  <si>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</si>
  <si>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</si>
  <si>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</si>
  <si>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</si>
  <si>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</si>
  <si>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</si>
  <si>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</si>
  <si>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</si>
  <si>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</si>
  <si>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</si>
  <si>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</si>
  <si>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</si>
  <si>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</si>
  <si>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</si>
  <si>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</si>
  <si>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</si>
  <si>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</si>
  <si>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</si>
  <si>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</si>
  <si>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</si>
  <si>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</si>
  <si>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</si>
  <si>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</si>
  <si>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</si>
  <si>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</si>
  <si>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</si>
  <si>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</si>
  <si>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</si>
  <si>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</si>
  <si>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</si>
  <si>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</si>
  <si>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</si>
  <si>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</si>
  <si>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</si>
  <si>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</si>
  <si>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</si>
  <si>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</si>
  <si>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</si>
  <si>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</si>
  <si>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</si>
  <si>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</si>
  <si>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</si>
  <si>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</si>
  <si>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</si>
  <si>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</si>
  <si>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</si>
  <si>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</si>
  <si>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</si>
  <si>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</si>
  <si>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</si>
  <si>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</si>
  <si>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</si>
  <si>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</si>
  <si>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</si>
  <si>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</si>
  <si>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</si>
  <si>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</si>
  <si>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</si>
  <si>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</si>
  <si>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</si>
  <si>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</si>
  <si>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</si>
  <si>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</si>
  <si>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</si>
  <si>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</si>
  <si>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</si>
  <si>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</si>
  <si>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</si>
  <si>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</si>
  <si>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</si>
  <si>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</si>
  <si>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</si>
  <si>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</si>
  <si>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</si>
  <si>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</si>
  <si>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</si>
  <si>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</si>
  <si>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</si>
  <si>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</si>
  <si>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</si>
  <si>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</si>
  <si>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</si>
  <si>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</si>
  <si>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</si>
  <si>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</si>
  <si>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</si>
  <si>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</si>
  <si>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</si>
  <si>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</si>
  <si>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</si>
  <si>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</si>
  <si>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</si>
  <si>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</si>
  <si>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</si>
  <si>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</si>
  <si>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</si>
  <si>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</si>
  <si>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</si>
  <si>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</si>
  <si>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</si>
  <si>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</si>
  <si>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</si>
  <si>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</si>
  <si>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</si>
  <si>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</si>
  <si>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</si>
  <si>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</si>
  <si>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</si>
  <si>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</si>
  <si>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</si>
  <si>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</si>
  <si>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</si>
  <si>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</si>
  <si>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</si>
  <si>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</si>
  <si>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</si>
  <si>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</si>
  <si>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</si>
  <si>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</si>
  <si>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</si>
  <si>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</si>
  <si>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</si>
  <si>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</si>
  <si>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</si>
  <si>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</si>
  <si>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</si>
  <si>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</si>
  <si>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</si>
  <si>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</si>
  <si>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</si>
  <si>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</si>
  <si>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</si>
  <si>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</si>
  <si>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</si>
  <si>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</si>
  <si>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</si>
  <si>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</si>
  <si>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</si>
  <si>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</si>
  <si>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</si>
  <si>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</si>
  <si>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</si>
  <si>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</si>
  <si>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</si>
  <si>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</si>
  <si>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</si>
  <si>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</si>
  <si>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</si>
  <si>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</si>
  <si>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</si>
  <si>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</si>
  <si>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</si>
  <si>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</si>
  <si>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</si>
  <si>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</si>
  <si>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</si>
  <si>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</si>
  <si>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</si>
  <si>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</si>
  <si>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</si>
  <si>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</si>
  <si>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</si>
  <si>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</si>
  <si>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</si>
  <si>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</si>
  <si>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</si>
  <si>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</si>
  <si>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</si>
  <si>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</si>
  <si>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</si>
  <si>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</si>
  <si>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</si>
  <si>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</si>
  <si>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</si>
  <si>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</si>
  <si>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</si>
  <si>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</si>
  <si>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</si>
  <si>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</si>
  <si>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</si>
  <si>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</si>
  <si>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</si>
  <si>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</si>
  <si>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</si>
  <si>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</si>
  <si>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</si>
  <si>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</si>
  <si>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</si>
  <si>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</si>
  <si>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</si>
  <si>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</si>
  <si>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</si>
  <si>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</si>
  <si>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</si>
  <si>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</si>
  <si>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</si>
  <si>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</si>
  <si>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</si>
  <si>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</si>
  <si>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</si>
  <si>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</si>
  <si>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</si>
  <si>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</si>
  <si>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</si>
  <si>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</si>
  <si>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</si>
  <si>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</si>
  <si>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</si>
  <si>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</si>
  <si>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</si>
  <si>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</si>
  <si>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</si>
  <si>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</si>
  <si>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</si>
  <si>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</si>
  <si>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</si>
  <si>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</si>
  <si>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</si>
  <si>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</si>
  <si>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</si>
  <si>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</si>
  <si>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</si>
  <si>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</si>
  <si>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</si>
  <si>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</si>
  <si>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</si>
  <si>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</si>
  <si>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</si>
  <si>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</si>
  <si>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</si>
  <si>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</si>
  <si>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</si>
  <si>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</si>
  <si>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</si>
  <si>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</si>
  <si>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</si>
  <si>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</si>
  <si>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</si>
  <si>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</si>
  <si>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</si>
  <si>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</si>
  <si>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</si>
  <si>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</si>
  <si>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</si>
  <si>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</si>
  <si>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</si>
  <si>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</si>
  <si>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</si>
  <si>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</si>
  <si>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</si>
  <si>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</si>
  <si>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</si>
  <si>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</si>
  <si>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</si>
  <si>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</si>
  <si>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</si>
  <si>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</si>
  <si>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</si>
  <si>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</si>
  <si>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</si>
  <si>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</si>
  <si>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</si>
  <si>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</si>
  <si>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</si>
  <si>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</si>
  <si>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</si>
  <si>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</si>
  <si>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</si>
  <si>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</si>
  <si>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</si>
  <si>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</si>
  <si>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</si>
  <si>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</si>
  <si>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</si>
  <si>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</si>
  <si>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</si>
  <si>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</si>
  <si>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</si>
  <si>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</si>
  <si>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</si>
  <si>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</si>
  <si>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</si>
  <si>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</si>
  <si>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</si>
  <si>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</si>
  <si>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</si>
  <si>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</si>
  <si>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</si>
  <si>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</si>
  <si>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</si>
  <si>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</si>
  <si>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</si>
  <si>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</si>
  <si>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</si>
  <si>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</si>
  <si>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</si>
  <si>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</si>
  <si>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</si>
  <si>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</si>
  <si>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</si>
  <si>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</si>
  <si>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</si>
  <si>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</si>
  <si>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</si>
  <si>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</si>
  <si>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</si>
  <si>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</si>
  <si>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</si>
  <si>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</si>
  <si>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</si>
  <si>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</si>
  <si>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</si>
  <si>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</si>
  <si>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</si>
  <si>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</si>
  <si>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</si>
  <si>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</si>
  <si>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</si>
  <si>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</si>
  <si>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</si>
  <si>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</si>
  <si>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</si>
  <si>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</si>
  <si>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</si>
  <si>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</si>
  <si>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</si>
  <si>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</si>
  <si>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</si>
  <si>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</si>
  <si>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</si>
  <si>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</si>
  <si>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</si>
  <si>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</si>
  <si>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</si>
  <si>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</si>
  <si>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</si>
  <si>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</si>
  <si>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</si>
  <si>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</si>
  <si>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</si>
  <si>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</si>
  <si>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</si>
  <si>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</si>
  <si>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</si>
  <si>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</si>
  <si>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</si>
  <si>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</si>
  <si>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</si>
  <si>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</si>
  <si>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</si>
  <si>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</si>
  <si>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</si>
  <si>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</si>
  <si>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</si>
  <si>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</si>
  <si>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</si>
  <si>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</si>
  <si>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</si>
  <si>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</si>
  <si>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</si>
  <si>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</si>
  <si>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</si>
  <si>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</si>
  <si>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</si>
  <si>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</si>
  <si>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</si>
  <si>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</si>
  <si>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</si>
  <si>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</si>
  <si>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</si>
  <si>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</si>
  <si>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</si>
  <si>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</si>
  <si>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</si>
  <si>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</si>
  <si>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</si>
  <si>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</si>
  <si>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</si>
  <si>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</si>
  <si>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</si>
  <si>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</si>
  <si>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</si>
  <si>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</si>
  <si>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</si>
  <si>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</si>
  <si>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</si>
  <si>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</si>
  <si>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</si>
  <si>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</si>
  <si>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</si>
  <si>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</si>
  <si>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</si>
  <si>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</si>
  <si>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</si>
  <si>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</si>
  <si>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</si>
  <si>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</si>
  <si>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</si>
  <si>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</si>
  <si>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</si>
  <si>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</si>
  <si>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</si>
  <si>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</si>
  <si>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</si>
  <si>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</si>
  <si>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</si>
  <si>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</si>
  <si>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</si>
  <si>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</si>
  <si>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</si>
  <si>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</si>
  <si>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</si>
  <si>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</si>
  <si>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</si>
  <si>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</si>
  <si>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</si>
  <si>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</si>
  <si>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</si>
  <si>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</si>
  <si>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</si>
  <si>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</si>
  <si>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</si>
  <si>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</si>
  <si>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</si>
  <si>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</si>
  <si>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</si>
  <si>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</si>
  <si>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</si>
  <si>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</si>
  <si>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</si>
  <si>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</si>
  <si>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</si>
  <si>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</si>
  <si>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</si>
  <si>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</si>
  <si>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</si>
  <si>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</si>
  <si>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</si>
  <si>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</si>
  <si>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</si>
  <si>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</si>
  <si>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</si>
  <si>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</si>
  <si>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</si>
  <si>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</si>
  <si>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</si>
  <si>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</si>
  <si>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</si>
  <si>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</si>
  <si>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</si>
  <si>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</si>
  <si>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</si>
  <si>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</si>
  <si>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</si>
  <si>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</si>
  <si>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</si>
  <si>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</si>
  <si>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</si>
  <si>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</si>
  <si>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</si>
  <si>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</si>
  <si>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</si>
  <si>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</si>
  <si>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</si>
  <si>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</si>
  <si>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</si>
  <si>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</si>
  <si>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</si>
  <si>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</si>
  <si>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</si>
  <si>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</si>
  <si>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</si>
  <si>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</si>
  <si>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</si>
  <si>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</si>
  <si>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</si>
  <si>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</si>
  <si>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</si>
  <si>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</si>
  <si>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</si>
  <si>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</si>
  <si>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</si>
  <si>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</si>
  <si>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</si>
  <si>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</si>
  <si>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</si>
  <si>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</si>
  <si>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</si>
  <si>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</si>
  <si>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</si>
  <si>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</si>
  <si>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</si>
  <si>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</si>
  <si>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</si>
  <si>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</si>
  <si>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</si>
  <si>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</si>
  <si>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</si>
  <si>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</si>
  <si>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</si>
  <si>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</si>
  <si>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</si>
  <si>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</si>
  <si>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</si>
  <si>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</si>
  <si>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</si>
  <si>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</si>
  <si>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</si>
  <si>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</si>
  <si>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</si>
  <si>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</si>
  <si>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</si>
  <si>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</si>
  <si>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</si>
  <si>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</si>
  <si>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</si>
  <si>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</si>
  <si>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</si>
  <si>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</si>
  <si>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</si>
  <si>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</si>
  <si>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</si>
  <si>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</si>
  <si>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</si>
  <si>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</si>
  <si>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</si>
  <si>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</si>
  <si>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</si>
  <si>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</si>
  <si>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</si>
  <si>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</si>
  <si>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</si>
  <si>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</si>
  <si>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</si>
  <si>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</si>
  <si>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</si>
  <si>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</si>
  <si>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</si>
  <si>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</si>
  <si>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</si>
  <si>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</si>
  <si>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</si>
  <si>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</si>
  <si>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</si>
  <si>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</si>
  <si>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</si>
  <si>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</si>
  <si>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</si>
  <si>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</si>
  <si>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</si>
  <si>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</si>
  <si>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</si>
  <si>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</si>
  <si>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</si>
  <si>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</si>
  <si>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</si>
  <si>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</si>
  <si>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</si>
  <si>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</si>
  <si>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</si>
  <si>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</si>
  <si>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</si>
  <si>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</si>
  <si>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</si>
  <si>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</si>
  <si>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</si>
  <si>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</si>
  <si>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</si>
  <si>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</si>
  <si>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</si>
  <si>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</si>
  <si>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</si>
  <si>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</si>
  <si>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</si>
  <si>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</si>
  <si>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</si>
  <si>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</si>
  <si>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</si>
  <si>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</si>
  <si>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</si>
  <si>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</si>
  <si>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</si>
  <si>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</si>
  <si>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</si>
  <si>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</si>
  <si>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</si>
  <si>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</si>
  <si>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</si>
  <si>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</si>
  <si>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</si>
  <si>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</si>
  <si>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</si>
  <si>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</si>
  <si>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</si>
  <si>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</si>
  <si>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</si>
  <si>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</si>
  <si>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</si>
  <si>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</si>
  <si>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</si>
  <si>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</si>
  <si>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</si>
  <si>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</si>
  <si>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</si>
  <si>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</si>
  <si>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</si>
  <si>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</si>
  <si>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</si>
  <si>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</si>
  <si>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</si>
  <si>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</si>
  <si>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</si>
  <si>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</si>
  <si>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</si>
  <si>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</si>
  <si>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</si>
  <si>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</si>
  <si>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</si>
  <si>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</si>
  <si>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</si>
  <si>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</si>
  <si>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</si>
  <si>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</si>
  <si>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</si>
  <si>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</si>
  <si>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</si>
  <si>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</si>
  <si>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</si>
  <si>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</si>
  <si>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</si>
  <si>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</si>
  <si>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</si>
  <si>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</si>
  <si>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</si>
  <si>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</si>
  <si>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</si>
  <si>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</si>
  <si>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</si>
  <si>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</si>
  <si>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</si>
  <si>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</si>
  <si>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</si>
  <si>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</si>
  <si>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</si>
  <si>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</si>
  <si>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</si>
  <si>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</si>
  <si>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</si>
  <si>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</si>
  <si>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</si>
  <si>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</si>
  <si>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</si>
  <si>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</si>
  <si>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</si>
  <si>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</si>
  <si>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</si>
  <si>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</si>
  <si>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</si>
  <si>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</si>
  <si>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</si>
  <si>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</si>
  <si>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</si>
  <si>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</si>
  <si>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</si>
  <si>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</si>
  <si>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</si>
  <si>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</si>
  <si>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</si>
  <si>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</si>
  <si>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</si>
  <si>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</si>
  <si>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</si>
  <si>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</si>
  <si>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</si>
  <si>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</si>
  <si>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</si>
  <si>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</si>
  <si>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</si>
  <si>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</si>
  <si>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</si>
  <si>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</si>
  <si>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</si>
  <si>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</si>
  <si>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</si>
  <si>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</si>
  <si>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</si>
  <si>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</si>
  <si>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</si>
  <si>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</si>
  <si>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</si>
  <si>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</si>
  <si>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</si>
  <si>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</si>
  <si>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</si>
  <si>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</si>
  <si>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</si>
  <si>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</si>
  <si>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</si>
  <si>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</si>
  <si>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</si>
  <si>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</si>
  <si>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</si>
  <si>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</si>
  <si>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</si>
  <si>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</si>
  <si>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</si>
  <si>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</si>
  <si>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</si>
  <si>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</si>
  <si>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</si>
  <si>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</si>
  <si>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</si>
  <si>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</si>
  <si>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</si>
  <si>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</si>
  <si>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</si>
  <si>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</si>
  <si>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</si>
  <si>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</si>
  <si>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</si>
  <si>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</si>
  <si>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</si>
  <si>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</si>
  <si>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</si>
  <si>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</si>
  <si>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</si>
  <si>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</si>
  <si>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</si>
  <si>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</si>
  <si>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</si>
  <si>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</si>
  <si>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</si>
  <si>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</si>
  <si>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</si>
  <si>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</si>
  <si>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</si>
  <si>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</si>
  <si>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</si>
  <si>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</si>
  <si>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</si>
  <si>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</si>
  <si>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</si>
  <si>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</si>
  <si>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</si>
  <si>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</si>
  <si>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</si>
  <si>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</si>
  <si>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</si>
  <si>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</si>
  <si>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</si>
  <si>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</si>
  <si>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</si>
  <si>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</si>
  <si>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</si>
  <si>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</si>
  <si>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</si>
  <si>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</si>
  <si>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</si>
  <si>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</si>
  <si>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</si>
  <si>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</si>
  <si>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</si>
  <si>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</si>
  <si>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</si>
  <si>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</si>
  <si>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</si>
  <si>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</si>
  <si>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</si>
  <si>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</si>
  <si>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</si>
  <si>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</si>
  <si>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</si>
  <si>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</si>
  <si>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</si>
  <si>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</si>
  <si>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</si>
  <si>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</si>
  <si>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</si>
  <si>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</si>
  <si>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</si>
  <si>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</si>
  <si>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</si>
  <si>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</si>
  <si>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</si>
  <si>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</si>
  <si>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</si>
  <si>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</si>
  <si>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</si>
  <si>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</si>
  <si>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</si>
  <si>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</si>
  <si>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</si>
  <si>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</si>
  <si>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</si>
  <si>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</si>
  <si>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</si>
  <si>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</si>
  <si>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</si>
  <si>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</si>
  <si>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</si>
  <si>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</si>
  <si>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</si>
  <si>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</si>
  <si>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</si>
  <si>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</si>
  <si>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</si>
  <si>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</si>
  <si>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</si>
  <si>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</si>
  <si>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</si>
  <si>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</si>
  <si>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</si>
  <si>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</si>
  <si>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</si>
  <si>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</si>
  <si>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</si>
  <si>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</si>
  <si>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</si>
  <si>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</si>
  <si>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</si>
  <si>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</si>
  <si>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</si>
  <si>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</si>
  <si>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</si>
  <si>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</si>
  <si>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</si>
  <si>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</si>
  <si>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</si>
  <si>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</si>
  <si>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</si>
  <si>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</si>
  <si>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</si>
  <si>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</si>
  <si>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</si>
  <si>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</si>
  <si>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</si>
  <si>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</si>
  <si>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</si>
  <si>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</si>
  <si>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</si>
  <si>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</si>
  <si>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</si>
  <si>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</si>
  <si>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</si>
  <si>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</si>
  <si>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</si>
  <si>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</si>
  <si>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</si>
  <si>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</si>
  <si>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</si>
  <si>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</si>
  <si>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</si>
  <si>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</si>
  <si>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</si>
  <si>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</si>
  <si>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</si>
  <si>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</si>
  <si>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</si>
  <si>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</si>
  <si>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</si>
  <si>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</si>
  <si>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</si>
  <si>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</si>
  <si>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</si>
  <si>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</si>
  <si>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</si>
  <si>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</si>
  <si>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</si>
  <si>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</si>
  <si>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</si>
  <si>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</si>
  <si>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</si>
  <si>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</si>
  <si>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</si>
  <si>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</si>
  <si>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</si>
  <si>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</si>
  <si>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</si>
  <si>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</si>
  <si>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</si>
  <si>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</si>
  <si>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</si>
  <si>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</si>
  <si>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</si>
  <si>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</si>
  <si>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</si>
  <si>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</si>
  <si>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</si>
  <si>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</si>
  <si>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</si>
  <si>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</si>
  <si>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</si>
  <si>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</si>
  <si>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</si>
  <si>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</si>
  <si>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</si>
  <si>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</si>
  <si>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</si>
  <si>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</si>
  <si>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</si>
  <si>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</si>
  <si>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</si>
  <si>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</si>
  <si>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</si>
  <si>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</si>
  <si>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</si>
  <si>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</si>
  <si>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</si>
  <si>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</si>
  <si>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</si>
  <si>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</si>
  <si>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</si>
  <si>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</si>
  <si>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</si>
  <si>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</si>
  <si>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</si>
  <si>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</si>
  <si>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</si>
  <si>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</si>
  <si>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</si>
  <si>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</si>
  <si>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</si>
  <si>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</si>
  <si>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</si>
  <si>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</si>
  <si>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</si>
  <si>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</si>
  <si>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</si>
  <si>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</si>
  <si>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</si>
  <si>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</si>
  <si>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</si>
  <si>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</si>
  <si>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</si>
  <si>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</si>
  <si>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</si>
  <si>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</si>
  <si>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</si>
  <si>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</si>
  <si>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</si>
  <si>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</si>
  <si>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</si>
  <si>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</si>
  <si>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</si>
  <si>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</si>
  <si>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</si>
  <si>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</si>
  <si>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</si>
  <si>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</si>
  <si>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</si>
  <si>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</si>
  <si>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</si>
  <si>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</si>
  <si>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</si>
  <si>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</si>
  <si>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</si>
  <si>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</si>
  <si>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</si>
  <si>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</si>
  <si>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</si>
  <si>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</si>
  <si>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</si>
  <si>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</si>
  <si>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</si>
  <si>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</si>
  <si>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</si>
  <si>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</si>
  <si>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</si>
  <si>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</si>
  <si>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</si>
  <si>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</si>
  <si>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</si>
  <si>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</si>
  <si>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</si>
  <si>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</si>
  <si>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</si>
  <si>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</si>
  <si>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</si>
  <si>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</si>
  <si>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</si>
  <si>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</si>
  <si>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</si>
  <si>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</si>
  <si>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</si>
  <si>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</si>
  <si>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</si>
  <si>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</si>
  <si>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</si>
  <si>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</si>
  <si>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</si>
  <si>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</si>
  <si>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</si>
  <si>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</si>
  <si>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</si>
  <si>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</si>
  <si>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</si>
  <si>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</si>
  <si>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</si>
  <si>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</si>
  <si>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</si>
  <si>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</si>
  <si>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</si>
  <si>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</si>
  <si>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</si>
  <si>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</si>
  <si>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</si>
  <si>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</si>
  <si>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</si>
  <si>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</si>
  <si>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</si>
  <si>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</si>
  <si>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</si>
  <si>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</si>
  <si>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</si>
  <si>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</si>
  <si>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</si>
  <si>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</si>
  <si>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</si>
  <si>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</si>
  <si>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</si>
  <si>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</si>
  <si>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</si>
  <si>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</si>
  <si>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</si>
  <si>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</si>
  <si>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</si>
  <si>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</si>
  <si>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</si>
  <si>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</si>
  <si>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</si>
  <si>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</si>
  <si>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</si>
  <si>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</si>
  <si>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</si>
  <si>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</si>
  <si>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</si>
  <si>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</si>
  <si>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</si>
  <si>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</si>
  <si>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</si>
  <si>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</si>
  <si>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</si>
  <si>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</si>
  <si>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</si>
  <si>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</si>
  <si>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</si>
  <si>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</si>
  <si>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</si>
  <si>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</si>
  <si>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</si>
  <si>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</si>
  <si>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</si>
  <si>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</si>
  <si>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</si>
  <si>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</si>
  <si>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</si>
  <si>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</si>
  <si>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</si>
  <si>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</si>
  <si>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</si>
  <si>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</si>
  <si>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</si>
  <si>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</si>
  <si>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</si>
  <si>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</si>
  <si>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</si>
  <si>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</si>
  <si>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</si>
  <si>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</si>
  <si>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</si>
  <si>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</si>
  <si>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</si>
  <si>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</si>
  <si>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</si>
  <si>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</si>
  <si>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</si>
  <si>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</si>
  <si>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</si>
  <si>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</si>
  <si>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</si>
  <si>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</si>
  <si>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</si>
  <si>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</si>
  <si>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</si>
  <si>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</si>
  <si>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</si>
  <si>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</si>
  <si>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</si>
  <si>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</si>
  <si>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</si>
  <si>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</si>
  <si>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</si>
  <si>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</si>
  <si>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</si>
  <si>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</si>
  <si>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</si>
  <si>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</si>
  <si>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</si>
  <si>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</si>
  <si>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</si>
  <si>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</si>
  <si>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</si>
  <si>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</si>
  <si>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</si>
  <si>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</si>
  <si>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</si>
  <si>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</si>
  <si>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</si>
  <si>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</si>
  <si>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</si>
  <si>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</si>
  <si>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</si>
  <si>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</si>
  <si>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</si>
  <si>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</si>
  <si>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</si>
  <si>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</si>
  <si>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</si>
  <si>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</si>
  <si>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</si>
  <si>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</si>
  <si>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</si>
  <si>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</si>
  <si>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</si>
  <si>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</si>
  <si>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</si>
  <si>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</si>
  <si>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</si>
  <si>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</si>
  <si>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</si>
  <si>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</si>
  <si>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</si>
  <si>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</si>
  <si>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</si>
  <si>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</si>
  <si>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</si>
  <si>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</si>
  <si>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</si>
  <si>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</si>
  <si>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</si>
  <si>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</si>
  <si>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</si>
  <si>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</si>
  <si>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</si>
  <si>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</si>
  <si>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</si>
  <si>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</si>
  <si>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</si>
  <si>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</si>
  <si>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</si>
  <si>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</si>
  <si>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</si>
  <si>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</si>
  <si>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</si>
  <si>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</si>
  <si>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</si>
  <si>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</si>
  <si>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</si>
  <si>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</si>
  <si>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</si>
  <si>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</si>
  <si>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</si>
  <si>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</si>
  <si>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</si>
  <si>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</si>
  <si>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</si>
  <si>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</si>
  <si>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</si>
  <si>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</si>
  <si>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</si>
  <si>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</si>
  <si>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</si>
  <si>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</si>
  <si>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</si>
  <si>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</si>
  <si>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</si>
  <si>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</si>
  <si>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</si>
  <si>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</si>
  <si>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</si>
  <si>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</si>
  <si>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</si>
  <si>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</si>
  <si>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</si>
  <si>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</si>
  <si>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</si>
  <si>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</si>
  <si>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</si>
  <si>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</si>
  <si>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</si>
  <si>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</si>
  <si>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</si>
  <si>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</si>
  <si>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</si>
  <si>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</si>
  <si>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</si>
  <si>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</si>
  <si>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</si>
  <si>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</si>
  <si>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</si>
  <si>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</si>
  <si>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</si>
  <si>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</si>
  <si>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</si>
  <si>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</si>
  <si>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</si>
  <si>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</si>
  <si>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</si>
  <si>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</si>
  <si>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</si>
  <si>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</si>
  <si>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</si>
  <si>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</si>
  <si>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</si>
  <si>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</si>
  <si>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</si>
  <si>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</si>
  <si>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</si>
  <si>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</si>
  <si>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</si>
  <si>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</si>
  <si>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</si>
  <si>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</si>
  <si>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</si>
  <si>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</si>
  <si>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</si>
  <si>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</si>
  <si>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</si>
  <si>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</si>
  <si>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</si>
  <si>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</si>
  <si>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</si>
  <si>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</si>
  <si>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</si>
  <si>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</si>
  <si>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</si>
  <si>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</si>
  <si>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</si>
  <si>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</si>
  <si>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</si>
  <si>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</si>
  <si>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</si>
  <si>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</si>
  <si>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</si>
  <si>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</si>
  <si>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</si>
  <si>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</si>
  <si>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</si>
  <si>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</si>
  <si>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</si>
  <si>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</si>
  <si>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</si>
  <si>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</si>
  <si>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</si>
  <si>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</si>
  <si>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</si>
  <si>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</si>
  <si>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</si>
  <si>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</si>
  <si>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</si>
  <si>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</si>
  <si>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</si>
  <si>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</si>
  <si>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</si>
  <si>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</si>
  <si>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</si>
  <si>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</si>
  <si>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</si>
  <si>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</si>
  <si>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</si>
  <si>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</si>
  <si>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</si>
  <si>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</si>
  <si>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</si>
  <si>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</si>
  <si>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</si>
  <si>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</si>
  <si>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</si>
  <si>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</si>
  <si>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</si>
  <si>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</si>
  <si>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</si>
  <si>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</si>
  <si>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</si>
  <si>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</si>
  <si>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</si>
  <si>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</si>
  <si>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</si>
  <si>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</si>
  <si>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</si>
  <si>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</si>
  <si>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</si>
  <si>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</si>
  <si>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</si>
  <si>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</si>
  <si>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</si>
  <si>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</si>
  <si>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</si>
  <si>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</si>
  <si>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</si>
  <si>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</si>
  <si>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</si>
  <si>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</si>
  <si>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</si>
  <si>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</si>
  <si>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</si>
  <si>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</si>
  <si>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</si>
  <si>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</si>
  <si>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</si>
  <si>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</si>
  <si>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</si>
  <si>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</si>
  <si>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</si>
  <si>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</si>
  <si>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</si>
  <si>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</si>
  <si>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</si>
  <si>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</si>
  <si>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</si>
  <si>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</si>
  <si>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</si>
  <si>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</si>
  <si>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</si>
  <si>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</si>
  <si>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</si>
  <si>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</si>
  <si>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</si>
  <si>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</si>
  <si>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</si>
  <si>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</si>
  <si>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</si>
  <si>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</si>
  <si>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</si>
  <si>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</si>
  <si>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</si>
  <si>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</si>
  <si>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</si>
  <si>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</si>
  <si>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</si>
  <si>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</si>
  <si>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</si>
  <si>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</si>
  <si>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</si>
  <si>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</si>
  <si>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</si>
  <si>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</si>
  <si>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</si>
  <si>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</si>
  <si>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</si>
  <si>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</si>
  <si>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</si>
  <si>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</si>
  <si>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</si>
  <si>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</si>
  <si>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</si>
  <si>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</si>
  <si>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</si>
  <si>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</si>
  <si>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</si>
  <si>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</si>
  <si>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</si>
  <si>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</si>
  <si>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</si>
  <si>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</si>
  <si>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</si>
  <si>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</si>
  <si>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</si>
  <si>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</si>
  <si>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</si>
  <si>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</si>
  <si>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</si>
  <si>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</si>
  <si>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</si>
  <si>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</si>
  <si>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</si>
  <si>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</si>
  <si>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</si>
  <si>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</si>
  <si>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</si>
  <si>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</si>
  <si>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</si>
  <si>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</si>
  <si>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</si>
  <si>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</si>
  <si>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</si>
  <si>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</si>
  <si>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</si>
  <si>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</si>
  <si>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</si>
  <si>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</si>
  <si>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</si>
  <si>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</si>
  <si>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</si>
  <si>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</si>
  <si>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</si>
  <si>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</si>
  <si>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</si>
  <si>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</si>
  <si>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</si>
  <si>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</si>
  <si>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</si>
  <si>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</si>
  <si>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</si>
  <si>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</si>
  <si>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</si>
  <si>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</si>
  <si>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</si>
  <si>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</si>
  <si>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</si>
  <si>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</si>
  <si>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</si>
  <si>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</si>
  <si>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</si>
  <si>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</si>
  <si>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</si>
  <si>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</si>
  <si>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</si>
  <si>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</si>
  <si>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</si>
  <si>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</si>
  <si>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</si>
  <si>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</si>
  <si>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</si>
  <si>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</si>
  <si>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</si>
  <si>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</si>
  <si>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</si>
  <si>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</si>
  <si>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</si>
  <si>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</si>
  <si>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</si>
  <si>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</si>
  <si>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</si>
  <si>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</si>
  <si>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</si>
  <si>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</si>
  <si>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</si>
  <si>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</si>
  <si>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</si>
  <si>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</si>
  <si>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</si>
  <si>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</si>
  <si>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</si>
  <si>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</si>
  <si>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</si>
  <si>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</si>
  <si>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</si>
  <si>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</si>
  <si>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</si>
  <si>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</si>
  <si>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</si>
  <si>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</si>
  <si>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</si>
  <si>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</si>
  <si>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</si>
  <si>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</si>
  <si>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</si>
  <si>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</si>
  <si>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</si>
  <si>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</si>
  <si>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</si>
  <si>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</si>
  <si>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</si>
  <si>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</si>
  <si>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</si>
  <si>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</si>
  <si>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</si>
  <si>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</si>
  <si>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</si>
  <si>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</si>
  <si>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</si>
  <si>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</si>
  <si>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</si>
  <si>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</si>
  <si>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</si>
  <si>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</si>
  <si>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</si>
  <si>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</si>
  <si>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</si>
  <si>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</si>
  <si>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</si>
  <si>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</si>
  <si>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</si>
  <si>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</si>
  <si>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</si>
  <si>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</si>
  <si>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</si>
  <si>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</si>
  <si>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</si>
  <si>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</si>
  <si>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</si>
  <si>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</si>
  <si>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</si>
  <si>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</si>
  <si>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</si>
  <si>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</si>
  <si>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</si>
  <si>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</si>
  <si>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</si>
  <si>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</si>
  <si>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</si>
  <si>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</si>
  <si>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</si>
  <si>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</si>
  <si>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</si>
  <si>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</si>
  <si>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</si>
  <si>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</si>
  <si>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</si>
  <si>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</si>
  <si>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</si>
  <si>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</si>
  <si>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</si>
  <si>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</si>
  <si>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</si>
  <si>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</si>
  <si>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</si>
  <si>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</si>
  <si>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</si>
  <si>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</si>
  <si>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</si>
  <si>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</si>
  <si>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</si>
  <si>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</si>
  <si>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</si>
  <si>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</si>
  <si>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</si>
  <si>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</si>
  <si>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</si>
  <si>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</si>
  <si>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</si>
  <si>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</si>
  <si>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</si>
  <si>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</si>
  <si>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</si>
  <si>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</si>
  <si>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</si>
  <si>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</si>
  <si>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</si>
  <si>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</si>
  <si>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</si>
  <si>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</si>
  <si>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</si>
  <si>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</si>
  <si>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</si>
  <si>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</si>
  <si>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</si>
  <si>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</si>
  <si>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</si>
  <si>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</si>
  <si>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</si>
  <si>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</si>
  <si>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</si>
  <si>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</si>
  <si>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</si>
  <si>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</si>
  <si>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</si>
  <si>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</si>
  <si>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</si>
  <si>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</si>
  <si>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</si>
  <si>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</si>
  <si>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</si>
  <si>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</si>
  <si>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</si>
  <si>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</si>
  <si>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</si>
  <si>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</si>
  <si>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</si>
  <si>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</si>
  <si>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</si>
  <si>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</si>
  <si>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</si>
  <si>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</si>
  <si>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</si>
  <si>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</si>
  <si>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</si>
  <si>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</si>
  <si>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</si>
  <si>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</si>
  <si>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</si>
  <si>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</si>
  <si>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</si>
  <si>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</si>
  <si>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</si>
  <si>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</si>
  <si>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</si>
  <si>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</si>
  <si>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</si>
  <si>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</si>
  <si>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</si>
  <si>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</si>
  <si>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</si>
  <si>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</si>
  <si>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</si>
  <si>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</si>
  <si>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</si>
  <si>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</si>
  <si>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</si>
  <si>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</si>
  <si>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</si>
  <si>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</si>
  <si>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</si>
  <si>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</si>
  <si>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</si>
  <si>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</si>
  <si>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</si>
  <si>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</si>
  <si>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</si>
  <si>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</si>
  <si>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</si>
  <si>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</si>
  <si>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</si>
  <si>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</si>
  <si>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</si>
  <si>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</si>
  <si>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</si>
  <si>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</si>
  <si>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</si>
  <si>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</si>
  <si>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931455311</t>
  </si>
  <si>
    <t>926142599</t>
  </si>
  <si>
    <t>Gerald Joseph Kholer Palomino</t>
  </si>
  <si>
    <t>Alexandra Corazon Medina Colonia</t>
  </si>
  <si>
    <t xml:space="preserve">
JORGE LUIS UPIACHIHUA HIDALGO</t>
  </si>
  <si>
    <t>Unidad de Protección Especial</t>
  </si>
  <si>
    <t>Amazon Legal Service - Abogado</t>
  </si>
  <si>
    <t>966 625 516</t>
  </si>
  <si>
    <t>994 651173</t>
  </si>
  <si>
    <t>963 300 318</t>
  </si>
  <si>
    <t>947 446 443</t>
  </si>
  <si>
    <t>971 331 295</t>
  </si>
  <si>
    <t>Manuel Ventura</t>
  </si>
  <si>
    <t>Analí Andrade</t>
  </si>
  <si>
    <t>Jaime Idrogo</t>
  </si>
  <si>
    <t>Yris Silva</t>
  </si>
  <si>
    <t>Mary Gambini</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</si>
  <si>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</si>
  <si>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</si>
  <si>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</si>
  <si>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</si>
  <si>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</si>
  <si>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</si>
  <si>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</si>
  <si>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</si>
  <si>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</si>
  <si>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</si>
  <si>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</si>
  <si>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</si>
  <si>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</si>
  <si>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</si>
  <si>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</si>
  <si>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</si>
  <si>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</si>
  <si>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Servicio de Atención Rural</t>
  </si>
  <si>
    <t>945 854 416</t>
  </si>
  <si>
    <t>934 039 125</t>
  </si>
  <si>
    <t>957 731 365</t>
  </si>
  <si>
    <t>961 505 990</t>
  </si>
  <si>
    <t>921 043 396
marilindagambini09@gmail.com</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</si>
  <si>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</si>
  <si>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</si>
  <si>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</si>
  <si>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</si>
  <si>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</si>
  <si>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</si>
  <si>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</si>
  <si>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</si>
  <si>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</si>
  <si>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</si>
  <si>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</si>
  <si>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</si>
  <si>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</si>
  <si>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</si>
  <si>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</si>
  <si>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</si>
  <si>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</si>
  <si>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Carolina Arredondo</t>
  </si>
  <si>
    <t>MENDOZA BARRANTES MERICIA</t>
  </si>
  <si>
    <t>JULCA CHUGNAS MARINO ASTERIO</t>
  </si>
  <si>
    <t>CHAVEZ SANTA CRUZ YIMI ALEXANDER</t>
  </si>
  <si>
    <t>Lourdes Huanca Atencio</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</si>
  <si>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</si>
  <si>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</si>
  <si>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</si>
  <si>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</si>
  <si>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</si>
  <si>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965 875 868</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</si>
  <si>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</si>
  <si>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</si>
  <si>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</si>
  <si>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</si>
  <si>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</si>
  <si>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</si>
  <si>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</si>
  <si>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</si>
  <si>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Municipalidad Provincial de Coronel Portillo</t>
  </si>
  <si>
    <t>Rosa del Carmen Hurtado Chota</t>
  </si>
  <si>
    <t>Caritas - Proyecto Luchando Contra la Violencia a orillas del río Itaya</t>
  </si>
  <si>
    <t>945 316 119</t>
  </si>
  <si>
    <t>Abel Chiroque Becerra</t>
  </si>
  <si>
    <t>965 673 326/Asistente: Helly Medina Cel. +51 947 004 120</t>
  </si>
  <si>
    <t>Virna Quinteros Cavalcanti</t>
  </si>
  <si>
    <t>989 071 371</t>
  </si>
  <si>
    <t>Eutropía Delgado Castro</t>
  </si>
  <si>
    <t>Ana María Reyes Carranza</t>
  </si>
  <si>
    <t>Lily Tomas</t>
  </si>
  <si>
    <t>Fernando Merino</t>
  </si>
  <si>
    <t>Esther Costa</t>
  </si>
  <si>
    <t>Instituto de Medicina Legal</t>
  </si>
  <si>
    <t>rroncal@kallpa.org.pe
edelgado@kallpa.org.pe
999 880 557</t>
  </si>
  <si>
    <t>975 970 756</t>
  </si>
  <si>
    <t>999 429 442</t>
  </si>
  <si>
    <t>957 451 832</t>
  </si>
  <si>
    <t>974 985 663</t>
  </si>
  <si>
    <t>921 749 627</t>
  </si>
  <si>
    <t>Solicitan ingresar documento por Mesa de Partes</t>
  </si>
  <si>
    <t>Ya fue entrevistado, ver fila 376</t>
  </si>
  <si>
    <t>0</t>
  </si>
  <si>
    <t>Realizada incompleta</t>
  </si>
  <si>
    <t>Wilson Hernández Breña</t>
  </si>
  <si>
    <t>GRADE</t>
  </si>
  <si>
    <t>Fin principal no relacionado con temas del estudio</t>
  </si>
  <si>
    <t>whernandez@grade.org.pe</t>
  </si>
  <si>
    <t>ONG: Movimiento Manuela Ramos</t>
  </si>
  <si>
    <t>Percy Paredes</t>
  </si>
  <si>
    <t>Rosa Elizabeth Gallardo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</si>
</sst>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8601"/>
        <bgColor indexed="64"/>
      </patternFill>
    </fill>
    <fill>
      <patternFill patternType="solid">
        <fgColor theme="4" tint="-0.24994659260841701"/>
        <bgColor indexed="64"/>
      </patternFill>
    </fill>
  </fills>
  <borders count="1">
    <border>
      <left/>
      <right/>
      <top/>
      <bottom/>
      <diagonal/>
    </border>
  </borders>
  <cellStyleXfs count="3">
    <xf numFmtId="0" fontId="0" fillId="0" borderId="0"/>
    <xf numFmtId="0" fontId="3" fillId="0" borderId="0" applyNumberFormat="0" applyFill="0" applyBorder="0" applyAlignment="0" applyProtection="0"/>
    <xf numFmtId="0" fontId="3" fillId="0" borderId="0" applyNumberFormat="0" applyFill="0" applyBorder="0" applyAlignment="0" applyProtection="0"/>
  </cellStyleXfs>
  <cellXfs count="26">
    <xf numFmtId="0" fontId="0" fillId="0" borderId="0" xfId="0"/>
    <xf numFmtId="0" fontId="1" fillId="0" borderId="0" xfId="0" applyFont="1"/>
    <xf numFmtId="14" fontId="1" fillId="0" borderId="0" xfId="0" applyNumberFormat="1" applyFont="1"/>
    <xf numFmtId="0" fontId="2" fillId="2" borderId="0" xfId="0" applyFont="1" applyFill="1"/>
    <xf numFmtId="15" fontId="2" fillId="2" borderId="0" xfId="0" applyNumberFormat="1" applyFont="1" applyFill="1"/>
    <xf numFmtId="0" fontId="1" fillId="0" borderId="0" xfId="0" applyFont="1" applyAlignment="1">
      <alignment horizontal="left"/>
    </xf>
    <xf numFmtId="0" fontId="3" fillId="0" borderId="0" xfId="1"/>
    <xf numFmtId="0" fontId="2" fillId="3" borderId="0" xfId="0" applyFont="1" applyFill="1"/>
    <xf numFmtId="0" fontId="3" fillId="0" borderId="0" xfId="1" applyFill="1" applyAlignment="1">
      <alignment horizontal="left"/>
    </xf>
    <xf numFmtId="0" fontId="4" fillId="0" borderId="0" xfId="0" applyFont="1"/>
    <xf numFmtId="0" fontId="1" fillId="0" borderId="0" xfId="0" applyFont="1" applyAlignment="1">
      <alignment horizontal="right"/>
    </xf>
    <xf numFmtId="0" fontId="5" fillId="0" borderId="0" xfId="0" applyFont="1" applyAlignment="1">
      <alignment vertical="center"/>
    </xf>
    <xf numFmtId="0" fontId="5" fillId="0" borderId="0" xfId="0" applyFont="1" applyAlignment="1">
      <alignment horizontal="center" vertical="center"/>
    </xf>
    <xf numFmtId="0" fontId="5" fillId="0" borderId="0" xfId="0" applyFont="1" applyAlignment="1">
      <alignment horizontal="left" vertical="center"/>
    </xf>
    <xf numFmtId="0" fontId="2" fillId="2" borderId="0" xfId="0" applyFont="1" applyFill="1" applyAlignment="1">
      <alignment horizontal="center"/>
    </xf>
    <xf numFmtId="0" fontId="1" fillId="0" borderId="0" xfId="0" applyFont="1" applyAlignment="1">
      <alignment horizontal="center"/>
    </xf>
    <xf numFmtId="14" fontId="0" fillId="0" borderId="0" xfId="0" applyNumberFormat="1"/>
    <xf numFmtId="14" fontId="2" fillId="2" borderId="0" xfId="0" applyNumberFormat="1" applyFont="1" applyFill="1" applyAlignment="1">
      <alignment horizontal="center"/>
    </xf>
    <xf numFmtId="14" fontId="2" fillId="2" borderId="0" xfId="0" applyNumberFormat="1" applyFont="1" applyFill="1"/>
    <xf numFmtId="0" fontId="0" fillId="0" borderId="0" xfId="0" applyAlignment="1">
      <alignment horizontal="center" vertical="center"/>
    </xf>
    <xf numFmtId="0" fontId="0" fillId="0" borderId="0" xfId="0" quotePrefix="1" applyAlignment="1">
      <alignment horizontal="center" vertical="center"/>
    </xf>
    <xf numFmtId="0" fontId="0" fillId="0" borderId="0" xfId="0" applyAlignment="1">
      <alignment horizontal="center"/>
    </xf>
    <xf numFmtId="0" fontId="2" fillId="2" borderId="0" xfId="0" applyFont="1" applyFill="1" applyAlignment="1">
      <alignment horizontal="left"/>
    </xf>
    <xf numFmtId="0" fontId="0" fillId="0" borderId="0" xfId="0" applyAlignment="1">
      <alignment horizontal="left"/>
    </xf>
    <xf numFmtId="0" fontId="13" fillId="0" borderId="0" xfId="0" applyFont="1" applyAlignment="1">
      <alignment vertical="center"/>
    </xf>
    <xf numFmtId="0" fontId="0" fillId="0" borderId="0" xfId="0" quotePrefix="1"/>
  </cellXfs>
  <cellStyles count="3">
    <cellStyle name="Hipervínculo" xfId="1" builtinId="8"/>
    <cellStyle name="Hyperlink" xfId="2" xr:uid="{00000000-0005-0000-0000-000001000000}"/>
    <cellStyle name="Normal" xfId="0" builtinId="0"/>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instagram.com/adrianaleoncantella/?hl=es" TargetMode="External"/><Relationship Id="rId117" Type="http://schemas.openxmlformats.org/officeDocument/2006/relationships/hyperlink" Target="mailto:lourdeshuanca@yahoo.es%0a51(1)%20424-1611" TargetMode="External"/><Relationship Id="rId21" Type="http://schemas.openxmlformats.org/officeDocument/2006/relationships/hyperlink" Target="https://www.linkedin.com/in/juana-avellaneda-c-b29b70b5/" TargetMode="External"/><Relationship Id="rId42" Type="http://schemas.openxmlformats.org/officeDocument/2006/relationships/hyperlink" Target="mailto:sintabues.org@gmail.com" TargetMode="External"/><Relationship Id="rId47" Type="http://schemas.openxmlformats.org/officeDocument/2006/relationships/hyperlink" Target="mailto:servicedesk@pj.gob.pe" TargetMode="External"/><Relationship Id="rId63" Type="http://schemas.openxmlformats.org/officeDocument/2006/relationships/hyperlink" Target="https://www.linkedin.com/in/catasubirana/" TargetMode="External"/><Relationship Id="rId68" Type="http://schemas.openxmlformats.org/officeDocument/2006/relationships/hyperlink" Target="mailto:susana.trazamos@hotmail.com%0a" TargetMode="External"/><Relationship Id="rId84" Type="http://schemas.openxmlformats.org/officeDocument/2006/relationships/hyperlink" Target="mailto:nora.dd73@gmail.com" TargetMode="External"/><Relationship Id="rId89" Type="http://schemas.openxmlformats.org/officeDocument/2006/relationships/hyperlink" Target="mailto:dreayac@gmail.com%0a(066)%20311395" TargetMode="External"/><Relationship Id="rId112" Type="http://schemas.openxmlformats.org/officeDocument/2006/relationships/hyperlink" Target="mailto:bcama@pj.gob.pe%0a914025498" TargetMode="External"/><Relationship Id="rId16" Type="http://schemas.openxmlformats.org/officeDocument/2006/relationships/hyperlink" Target="https://www.instagram.com/pasosfirmes_peru/%20%20asociacionpasosfirmes@gmail.com" TargetMode="External"/><Relationship Id="rId107" Type="http://schemas.openxmlformats.org/officeDocument/2006/relationships/hyperlink" Target="mailto:mtorrico@pj.gob.pe%0a914024867" TargetMode="External"/><Relationship Id="rId11" Type="http://schemas.openxmlformats.org/officeDocument/2006/relationships/hyperlink" Target="mailto:info@appv.pe" TargetMode="External"/><Relationship Id="rId32" Type="http://schemas.openxmlformats.org/officeDocument/2006/relationships/hyperlink" Target="mailto:arebaza@mpfn.gob.pe" TargetMode="External"/><Relationship Id="rId37" Type="http://schemas.openxmlformats.org/officeDocument/2006/relationships/hyperlink" Target="mailto:mesadepartesdigital@mimp.gob.pe" TargetMode="External"/><Relationship Id="rId53" Type="http://schemas.openxmlformats.org/officeDocument/2006/relationships/hyperlink" Target="mailto:peru.office@unfpa.org%20/%20(+511)%20226%201026" TargetMode="External"/><Relationship Id="rId58" Type="http://schemas.openxmlformats.org/officeDocument/2006/relationships/hyperlink" Target="mailto:orpio-baseregional_aidesep@hotmail.com%20/%20(065)%20227345" TargetMode="External"/><Relationship Id="rId74" Type="http://schemas.openxmlformats.org/officeDocument/2006/relationships/hyperlink" Target="mailto:mavila@proetica.org.pe" TargetMode="External"/><Relationship Id="rId79" Type="http://schemas.openxmlformats.org/officeDocument/2006/relationships/hyperlink" Target="mailto:caballero@unfpa.org.pe" TargetMode="External"/><Relationship Id="rId102" Type="http://schemas.openxmlformats.org/officeDocument/2006/relationships/hyperlink" Target="https://www.linkedin.com/in/gisella-milagros-godier-del-castillo-ba20b05b/" TargetMode="External"/><Relationship Id="rId5" Type="http://schemas.openxmlformats.org/officeDocument/2006/relationships/hyperlink" Target="mailto:cenann.cep@iglesiacatolica.org.pe" TargetMode="External"/><Relationship Id="rId90" Type="http://schemas.openxmlformats.org/officeDocument/2006/relationships/hyperlink" Target="mailto:jortiza@pj.gob.pe%0a(066)%20490066" TargetMode="External"/><Relationship Id="rId95" Type="http://schemas.openxmlformats.org/officeDocument/2006/relationships/hyperlink" Target="mailto:wilfredocaillahua1984@gmail.com%0a999%20024%20608" TargetMode="External"/><Relationship Id="rId22" Type="http://schemas.openxmlformats.org/officeDocument/2006/relationships/hyperlink" Target="https://www.linkedin.com/in/paola-ugaz-8b352a52/?originalSubdomain=pe" TargetMode="External"/><Relationship Id="rId27" Type="http://schemas.openxmlformats.org/officeDocument/2006/relationships/hyperlink" Target="mailto:pverano@gruporpp.com.pe" TargetMode="External"/><Relationship Id="rId43" Type="http://schemas.openxmlformats.org/officeDocument/2006/relationships/hyperlink" Target="mailto:psotelo@mimp.gob.pe" TargetMode="External"/><Relationship Id="rId48" Type="http://schemas.openxmlformats.org/officeDocument/2006/relationships/hyperlink" Target="mailto:redmicaelas.pe@gmail.com/" TargetMode="External"/><Relationship Id="rId64" Type="http://schemas.openxmlformats.org/officeDocument/2006/relationships/hyperlink" Target="mailto:prensa@contranoticia.pe" TargetMode="External"/><Relationship Id="rId69" Type="http://schemas.openxmlformats.org/officeDocument/2006/relationships/hyperlink" Target="mailto:presidencia@amep.org.pe" TargetMode="External"/><Relationship Id="rId113" Type="http://schemas.openxmlformats.org/officeDocument/2006/relationships/hyperlink" Target="mailto:rquispey@pj.gob.pe%0a914025402" TargetMode="External"/><Relationship Id="rId118" Type="http://schemas.openxmlformats.org/officeDocument/2006/relationships/hyperlink" Target="mailto:cepesju@cepesju.org%0a+51%20(1)%20471%2035%2087%0a+51%20999%20952%20504" TargetMode="External"/><Relationship Id="rId80" Type="http://schemas.openxmlformats.org/officeDocument/2006/relationships/hyperlink" Target="mailto:consultoriolegal@accionporigualdad.com" TargetMode="External"/><Relationship Id="rId85" Type="http://schemas.openxmlformats.org/officeDocument/2006/relationships/hyperlink" Target="mailto:kcorimanya@regionloreto.gob.pe" TargetMode="External"/><Relationship Id="rId12" Type="http://schemas.openxmlformats.org/officeDocument/2006/relationships/hyperlink" Target="mailto:myc@demus.org.pe" TargetMode="External"/><Relationship Id="rId17" Type="http://schemas.openxmlformats.org/officeDocument/2006/relationships/hyperlink" Target="https://www.linkedin.com/in/sofiacarrillozegarra/" TargetMode="External"/><Relationship Id="rId33" Type="http://schemas.openxmlformats.org/officeDocument/2006/relationships/hyperlink" Target="mailto:servicedesk@pj.gob.pe." TargetMode="External"/><Relationship Id="rId38" Type="http://schemas.openxmlformats.org/officeDocument/2006/relationships/hyperlink" Target="mailto:car.barcoiris@gmail.com%20%20cel%20949605237" TargetMode="External"/><Relationship Id="rId59" Type="http://schemas.openxmlformats.org/officeDocument/2006/relationships/hyperlink" Target="mailto:orauo347@gmail.com" TargetMode="External"/><Relationship Id="rId103" Type="http://schemas.openxmlformats.org/officeDocument/2006/relationships/hyperlink" Target="mailto:lmendoza@migraciones.gob.pe(01)%20200%201000%20/%20Anexo%201250" TargetMode="External"/><Relationship Id="rId108" Type="http://schemas.openxmlformats.org/officeDocument/2006/relationships/hyperlink" Target="mailto:esalazarp@pj.gob.pe%0a914025484" TargetMode="External"/><Relationship Id="rId54" Type="http://schemas.openxmlformats.org/officeDocument/2006/relationships/hyperlink" Target="mailto:registry.pe@undp.org" TargetMode="External"/><Relationship Id="rId70" Type="http://schemas.openxmlformats.org/officeDocument/2006/relationships/hyperlink" Target="mailto:Kanttuperu@yahoo.es" TargetMode="External"/><Relationship Id="rId75" Type="http://schemas.openxmlformats.org/officeDocument/2006/relationships/hyperlink" Target="mailto:rednacionalpj@gmail.com%20" TargetMode="External"/><Relationship Id="rId91" Type="http://schemas.openxmlformats.org/officeDocument/2006/relationships/hyperlink" Target="mailto:pjfs.ayacucho@mpfn.gob.pe%0a(066)314450" TargetMode="External"/><Relationship Id="rId96" Type="http://schemas.openxmlformats.org/officeDocument/2006/relationships/hyperlink" Target="mailto:fredy_301@hotmail.com%0a927292606" TargetMode="External"/><Relationship Id="rId1" Type="http://schemas.openxmlformats.org/officeDocument/2006/relationships/hyperlink" Target="https://www.linkedin.com/in/elena-portilla-odlianitskaya/" TargetMode="External"/><Relationship Id="rId6" Type="http://schemas.openxmlformats.org/officeDocument/2006/relationships/hyperlink" Target="https://www.linkedin.com/in/eliana-revollar-a%C3%B1a%C3%B1os-18b46b225/?originalSubdomain=pe" TargetMode="External"/><Relationship Id="rId23" Type="http://schemas.openxmlformats.org/officeDocument/2006/relationships/hyperlink" Target="https://www.linkedin.com/in/gianfranco-huaman/" TargetMode="External"/><Relationship Id="rId28" Type="http://schemas.openxmlformats.org/officeDocument/2006/relationships/hyperlink" Target="https://www.linkedin.com/in/roc%C3%ADo-romero-benites-457031115/" TargetMode="External"/><Relationship Id="rId49" Type="http://schemas.openxmlformats.org/officeDocument/2006/relationships/hyperlink" Target="mailto:mesadepartes.fpedv.maynas@gmail.com" TargetMode="External"/><Relationship Id="rId114" Type="http://schemas.openxmlformats.org/officeDocument/2006/relationships/hyperlink" Target="mailto:sefajardo@pj.gob.pe%0a914025587" TargetMode="External"/><Relationship Id="rId119" Type="http://schemas.openxmlformats.org/officeDocument/2006/relationships/hyperlink" Target="mailto:cepesju@cepesju.org%0a+51%20(1)%20471%2035%2087%0a+51%20999%20952%20504" TargetMode="External"/><Relationship Id="rId10" Type="http://schemas.openxmlformats.org/officeDocument/2006/relationships/hyperlink" Target="mailto:consejodemujeresawajunwampis@gmail.com" TargetMode="External"/><Relationship Id="rId31" Type="http://schemas.openxmlformats.org/officeDocument/2006/relationships/hyperlink" Target="mailto:ariana.lira@comercio.com.pe" TargetMode="External"/><Relationship Id="rId44" Type="http://schemas.openxmlformats.org/officeDocument/2006/relationships/hyperlink" Target="mailto:wayrawarmikuna@gmail.com%20" TargetMode="External"/><Relationship Id="rId52" Type="http://schemas.openxmlformats.org/officeDocument/2006/relationships/hyperlink" Target="mailto:kvelasco@pucp.edu.pe" TargetMode="External"/><Relationship Id="rId60" Type="http://schemas.openxmlformats.org/officeDocument/2006/relationships/hyperlink" Target="mailto:convocaperiodismo@convoca.pe" TargetMode="External"/><Relationship Id="rId65" Type="http://schemas.openxmlformats.org/officeDocument/2006/relationships/hyperlink" Target="mailto:feconau1@gmail.com%0a(061)%20625262" TargetMode="External"/><Relationship Id="rId73" Type="http://schemas.openxmlformats.org/officeDocument/2006/relationships/hyperlink" Target="mailto:k.allca@pucp.edu.pe" TargetMode="External"/><Relationship Id="rId78" Type="http://schemas.openxmlformats.org/officeDocument/2006/relationships/hyperlink" Target="mailto:miguel.levano@oxfam.org" TargetMode="External"/><Relationship Id="rId81" Type="http://schemas.openxmlformats.org/officeDocument/2006/relationships/hyperlink" Target="mailto:metacalidaddevida@hotmail.com%0a(066)%20302683" TargetMode="External"/><Relationship Id="rId86" Type="http://schemas.openxmlformats.org/officeDocument/2006/relationships/hyperlink" Target="mailto:inimab@muniventanilla.gob.pe%0a(01)%209040387" TargetMode="External"/><Relationship Id="rId94" Type="http://schemas.openxmlformats.org/officeDocument/2006/relationships/hyperlink" Target="mailto:930480207pomalopezpatricia@hotmail.com" TargetMode="External"/><Relationship Id="rId99" Type="http://schemas.openxmlformats.org/officeDocument/2006/relationships/hyperlink" Target="mailto:alcaldia@munipadreabad.gob.pe" TargetMode="External"/><Relationship Id="rId101" Type="http://schemas.openxmlformats.org/officeDocument/2006/relationships/hyperlink" Target="mailto:hlima@pj.gob.pe" TargetMode="External"/><Relationship Id="rId4" Type="http://schemas.openxmlformats.org/officeDocument/2006/relationships/hyperlink" Target="https://www.linkedin.com/in/flavia-martinez-tarazona-6b67b714a/" TargetMode="External"/><Relationship Id="rId9" Type="http://schemas.openxmlformats.org/officeDocument/2006/relationships/hyperlink" Target="mailto:memebun@fordesarequipa.org" TargetMode="External"/><Relationship Id="rId13" Type="http://schemas.openxmlformats.org/officeDocument/2006/relationships/hyperlink" Target="mailto:ccabanillas@pj.gob.pe" TargetMode="External"/><Relationship Id="rId18" Type="http://schemas.openxmlformats.org/officeDocument/2006/relationships/hyperlink" Target="https://www.linkedin.com/in/lorena-alvarez-46b9a795/" TargetMode="External"/><Relationship Id="rId39" Type="http://schemas.openxmlformats.org/officeDocument/2006/relationships/hyperlink" Target="mailto:cvilela@jne.gob.pe" TargetMode="External"/><Relationship Id="rId109" Type="http://schemas.openxmlformats.org/officeDocument/2006/relationships/hyperlink" Target="mailto:cnaupap@pj.gob.pe%0a914025235" TargetMode="External"/><Relationship Id="rId34" Type="http://schemas.openxmlformats.org/officeDocument/2006/relationships/hyperlink" Target="mailto:servicedesk@pj.gob.pe." TargetMode="External"/><Relationship Id="rId50" Type="http://schemas.openxmlformats.org/officeDocument/2006/relationships/hyperlink" Target="mailto:mesadepartes.fpedv.maynas@gmail.com" TargetMode="External"/><Relationship Id="rId55" Type="http://schemas.openxmlformats.org/officeDocument/2006/relationships/hyperlink" Target="mailto:unodc-peru@un.org" TargetMode="External"/><Relationship Id="rId76" Type="http://schemas.openxmlformats.org/officeDocument/2006/relationships/hyperlink" Target="mailto:taepunmsm@gmail.com" TargetMode="External"/><Relationship Id="rId97" Type="http://schemas.openxmlformats.org/officeDocument/2006/relationships/hyperlink" Target="mailto:mpvasquez@cultura.gob.pe(01)%20714%200102%20/%20Anexo%207061" TargetMode="External"/><Relationship Id="rId104" Type="http://schemas.openxmlformats.org/officeDocument/2006/relationships/hyperlink" Target="mailto:kcochachi@pj.gob.pe%0a914025481" TargetMode="External"/><Relationship Id="rId7" Type="http://schemas.openxmlformats.org/officeDocument/2006/relationships/hyperlink" Target="mailto:echagua@pj.gob.pe" TargetMode="External"/><Relationship Id="rId71" Type="http://schemas.openxmlformats.org/officeDocument/2006/relationships/hyperlink" Target="mailto:cavera@minedu.gob.pe" TargetMode="External"/><Relationship Id="rId92" Type="http://schemas.openxmlformats.org/officeDocument/2006/relationships/hyperlink" Target="mailto:wvega@defensoria.gob.pe%0a(066)%20311256" TargetMode="External"/><Relationship Id="rId2" Type="http://schemas.openxmlformats.org/officeDocument/2006/relationships/hyperlink" Target="https://www.linkedin.com/in/alejandra-saffon-26761671/?originalSubdomain=co/%20928974196" TargetMode="External"/><Relationship Id="rId29" Type="http://schemas.openxmlformats.org/officeDocument/2006/relationships/hyperlink" Target="mailto:pedroluisramos91@gmail.com" TargetMode="External"/><Relationship Id="rId24" Type="http://schemas.openxmlformats.org/officeDocument/2006/relationships/hyperlink" Target="https://x.com/gloriaziegler" TargetMode="External"/><Relationship Id="rId40" Type="http://schemas.openxmlformats.org/officeDocument/2006/relationships/hyperlink" Target="mailto:rjoyo@pj.gob.pe" TargetMode="External"/><Relationship Id="rId45" Type="http://schemas.openxmlformats.org/officeDocument/2006/relationships/hyperlink" Target="mailto:direccionejecutiva@tarpurisunchis.org" TargetMode="External"/><Relationship Id="rId66" Type="http://schemas.openxmlformats.org/officeDocument/2006/relationships/hyperlink" Target="mailto:fenamad@fenamad.com.pe%0a%0a(082)%20572499" TargetMode="External"/><Relationship Id="rId87" Type="http://schemas.openxmlformats.org/officeDocument/2006/relationships/hyperlink" Target="mailto:lagama@aurora.gob.pe%0a(066)%20314963" TargetMode="External"/><Relationship Id="rId110" Type="http://schemas.openxmlformats.org/officeDocument/2006/relationships/hyperlink" Target="mailto:ncabreral@pj.gob.pe%0a914025168" TargetMode="External"/><Relationship Id="rId115" Type="http://schemas.openxmlformats.org/officeDocument/2006/relationships/hyperlink" Target="mailto:hvalverdee@pj.gob.pe%0a914025352" TargetMode="External"/><Relationship Id="rId61" Type="http://schemas.openxmlformats.org/officeDocument/2006/relationships/hyperlink" Target="https://www.linkedin.com/in/est%C3%A9fany-luj%C3%A1n-quispe-a874b765/" TargetMode="External"/><Relationship Id="rId82" Type="http://schemas.openxmlformats.org/officeDocument/2006/relationships/hyperlink" Target="mailto:metacalidaddevida@hotmail.com%0a(066)%20302683" TargetMode="External"/><Relationship Id="rId19" Type="http://schemas.openxmlformats.org/officeDocument/2006/relationships/hyperlink" Target="https://x.com/fabiolatorres?lang=es" TargetMode="External"/><Relationship Id="rId14" Type="http://schemas.openxmlformats.org/officeDocument/2006/relationships/hyperlink" Target="mailto:divpna.ciecomas@policia.gob.pe" TargetMode="External"/><Relationship Id="rId30" Type="http://schemas.openxmlformats.org/officeDocument/2006/relationships/hyperlink" Target="https://x.com/Pam_mdf/%20pamela.hb2007@gmail.com%20pamela.huerta@almargen-media.com" TargetMode="External"/><Relationship Id="rId35" Type="http://schemas.openxmlformats.org/officeDocument/2006/relationships/hyperlink" Target="https://sgd.minjus.gob.pe/sgd-virtual/public/ciudadano/ciudadanoMain.xhtml" TargetMode="External"/><Relationship Id="rId56" Type="http://schemas.openxmlformats.org/officeDocument/2006/relationships/hyperlink" Target="mailto:oce.peru@aecid.es%20/%20(+51-1)%20202%207000" TargetMode="External"/><Relationship Id="rId77" Type="http://schemas.openxmlformats.org/officeDocument/2006/relationships/hyperlink" Target="mailto:carmen.espinoza@manuela.org.p" TargetMode="External"/><Relationship Id="rId100" Type="http://schemas.openxmlformats.org/officeDocument/2006/relationships/hyperlink" Target="mailto:kchamoly@defensoria.gob.pe%0a061%20578633%0a061%20577934" TargetMode="External"/><Relationship Id="rId105" Type="http://schemas.openxmlformats.org/officeDocument/2006/relationships/hyperlink" Target="mailto:cnajarr@pj.gob.pe%0a914025420" TargetMode="External"/><Relationship Id="rId8" Type="http://schemas.openxmlformats.org/officeDocument/2006/relationships/hyperlink" Target="mailto:alfroja.pe@gmail.com" TargetMode="External"/><Relationship Id="rId51" Type="http://schemas.openxmlformats.org/officeDocument/2006/relationships/hyperlink" Target="mailto:rcs-peru@un.org%20/%20(+51-1)%20625%209000" TargetMode="External"/><Relationship Id="rId72" Type="http://schemas.openxmlformats.org/officeDocument/2006/relationships/hyperlink" Target="mailto:marielenarm@gmail.com" TargetMode="External"/><Relationship Id="rId93" Type="http://schemas.openxmlformats.org/officeDocument/2006/relationships/hyperlink" Target="mailto:oficodcc.unidcc.ayacucho@policia.gob.pe%0a066-%20316769" TargetMode="External"/><Relationship Id="rId98" Type="http://schemas.openxmlformats.org/officeDocument/2006/relationships/hyperlink" Target="mailto:alcaldia@municportillo.gob.pe061%20575241%20/%20Anexo%20102061%20591412" TargetMode="External"/><Relationship Id="rId3" Type="http://schemas.openxmlformats.org/officeDocument/2006/relationships/hyperlink" Target="https://www.facebook.com/ongmujeresuniendoesfuerzos" TargetMode="External"/><Relationship Id="rId25" Type="http://schemas.openxmlformats.org/officeDocument/2006/relationships/hyperlink" Target="https://x.com/fiomontano" TargetMode="External"/><Relationship Id="rId46" Type="http://schemas.openxmlformats.org/officeDocument/2006/relationships/hyperlink" Target="mailto:servicedesk@pj.gob.pe." TargetMode="External"/><Relationship Id="rId67" Type="http://schemas.openxmlformats.org/officeDocument/2006/relationships/hyperlink" Target="mailto:chavez@dvv-international.edu.pe" TargetMode="External"/><Relationship Id="rId116" Type="http://schemas.openxmlformats.org/officeDocument/2006/relationships/hyperlink" Target="mailto:elopezj@pj.gob.pe%0a914025306" TargetMode="External"/><Relationship Id="rId20" Type="http://schemas.openxmlformats.org/officeDocument/2006/relationships/hyperlink" Target="https://www.linkedin.com/in/claudiacisneros/" TargetMode="External"/><Relationship Id="rId41" Type="http://schemas.openxmlformats.org/officeDocument/2006/relationships/hyperlink" Target="mailto:alanyasantacruz@loscachorros.nl" TargetMode="External"/><Relationship Id="rId62" Type="http://schemas.openxmlformats.org/officeDocument/2006/relationships/hyperlink" Target="https://www.linkedin.com/in/catasubirana/" TargetMode="External"/><Relationship Id="rId83" Type="http://schemas.openxmlformats.org/officeDocument/2006/relationships/hyperlink" Target="mailto:gerencia.desarrollosocial@regionucayali.gob.pe" TargetMode="External"/><Relationship Id="rId88" Type="http://schemas.openxmlformats.org/officeDocument/2006/relationships/hyperlink" Target="mailto:jtinco@saludayacucho.gob.pe%0a(01)%205192000" TargetMode="External"/><Relationship Id="rId111" Type="http://schemas.openxmlformats.org/officeDocument/2006/relationships/hyperlink" Target="mailto:rquispes@pj.gob.pe%0a914025532" TargetMode="External"/><Relationship Id="rId15" Type="http://schemas.openxmlformats.org/officeDocument/2006/relationships/hyperlink" Target="mailto:mesaucayali@mesadeconcertacion.org.pe" TargetMode="External"/><Relationship Id="rId36" Type="http://schemas.openxmlformats.org/officeDocument/2006/relationships/hyperlink" Target="mailto:alejandra.alayza@oxfam.org%0a'+51%20984753054%20" TargetMode="External"/><Relationship Id="rId57" Type="http://schemas.openxmlformats.org/officeDocument/2006/relationships/hyperlink" Target="mailto:tmunoznajar@elcomercio.pe" TargetMode="External"/><Relationship Id="rId106" Type="http://schemas.openxmlformats.org/officeDocument/2006/relationships/hyperlink" Target="mailto:hleont@pj.gob.pe%0a914025408"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mailto:aisanjuanb@gmail.com" TargetMode="External"/><Relationship Id="rId13" Type="http://schemas.openxmlformats.org/officeDocument/2006/relationships/hyperlink" Target="mailto:madresmigrantesextranjerasperu@gmail.com" TargetMode="External"/><Relationship Id="rId18" Type="http://schemas.openxmlformats.org/officeDocument/2006/relationships/hyperlink" Target="mailto:coord.peru@apurimac.it" TargetMode="External"/><Relationship Id="rId26" Type="http://schemas.openxmlformats.org/officeDocument/2006/relationships/hyperlink" Target="mailto:car.sricardo@inabif.gob.pe" TargetMode="External"/><Relationship Id="rId3" Type="http://schemas.openxmlformats.org/officeDocument/2006/relationships/hyperlink" Target="https://www.linkedin.com/in/intikilla-eutrop%C3%ADa-delgado-castro-9a585934/" TargetMode="External"/><Relationship Id="rId21" Type="http://schemas.openxmlformats.org/officeDocument/2006/relationships/hyperlink" Target="mailto:lizmelendez@flora.org.pe%0a" TargetMode="External"/><Relationship Id="rId7" Type="http://schemas.openxmlformats.org/officeDocument/2006/relationships/hyperlink" Target="mailto:vpomalaya@mpfn.gob.pe;%20victoriapomalaya@gmail.com" TargetMode="External"/><Relationship Id="rId12" Type="http://schemas.openxmlformats.org/officeDocument/2006/relationships/hyperlink" Target="mailto:redinterquorum@gmail.com" TargetMode="External"/><Relationship Id="rId17" Type="http://schemas.openxmlformats.org/officeDocument/2006/relationships/hyperlink" Target="mailto:illontop@minjus.gob.pe,%20milagrosllontopv@gmail.com" TargetMode="External"/><Relationship Id="rId25" Type="http://schemas.openxmlformats.org/officeDocument/2006/relationships/hyperlink" Target="mailto:susana.trazamos@hotmail.com%0a" TargetMode="External"/><Relationship Id="rId2" Type="http://schemas.openxmlformats.org/officeDocument/2006/relationships/hyperlink" Target="mailto:info@appv.pe" TargetMode="External"/><Relationship Id="rId16" Type="http://schemas.openxmlformats.org/officeDocument/2006/relationships/hyperlink" Target="mailto:hellen.ku@aurora.gob.pe" TargetMode="External"/><Relationship Id="rId20" Type="http://schemas.openxmlformats.org/officeDocument/2006/relationships/hyperlink" Target="mailto:gianina@quintaola.org" TargetMode="External"/><Relationship Id="rId29" Type="http://schemas.openxmlformats.org/officeDocument/2006/relationships/vmlDrawing" Target="../drawings/vmlDrawing1.vml"/><Relationship Id="rId1" Type="http://schemas.openxmlformats.org/officeDocument/2006/relationships/hyperlink" Target="https://www.linkedin.com/in/sofia-blamey-andrusco-7520096b/?locale=fr_FR" TargetMode="External"/><Relationship Id="rId6" Type="http://schemas.openxmlformats.org/officeDocument/2006/relationships/hyperlink" Target="https://sistemas.mininter.gob.pe/mesadepartesdigital/" TargetMode="External"/><Relationship Id="rId11" Type="http://schemas.openxmlformats.org/officeDocument/2006/relationships/hyperlink" Target="mailto:magaly.blas.b@upch.pe" TargetMode="External"/><Relationship Id="rId24" Type="http://schemas.openxmlformats.org/officeDocument/2006/relationships/hyperlink" Target="mailto:chavez@dvv-international.edu.pe" TargetMode="External"/><Relationship Id="rId5" Type="http://schemas.openxmlformats.org/officeDocument/2006/relationships/hyperlink" Target="mailto:zoila.cabanillas@waminam.gob.pe%0a994581446" TargetMode="External"/><Relationship Id="rId15" Type="http://schemas.openxmlformats.org/officeDocument/2006/relationships/hyperlink" Target="mailto:familiasunidasporjusticia@gmail.com" TargetMode="External"/><Relationship Id="rId23" Type="http://schemas.openxmlformats.org/officeDocument/2006/relationships/hyperlink" Target="mailto:susana.osorio@savethechildren.org" TargetMode="External"/><Relationship Id="rId28" Type="http://schemas.openxmlformats.org/officeDocument/2006/relationships/hyperlink" Target="mailto:msaravia@proetica.org.pe" TargetMode="External"/><Relationship Id="rId10" Type="http://schemas.openxmlformats.org/officeDocument/2006/relationships/hyperlink" Target="mailto:lourdes.febres@accionporlosninos.org.pe" TargetMode="External"/><Relationship Id="rId19" Type="http://schemas.openxmlformats.org/officeDocument/2006/relationships/hyperlink" Target="mailto:car.gracia@inabif.gob.pe" TargetMode="External"/><Relationship Id="rId31" Type="http://schemas.microsoft.com/office/2017/10/relationships/threadedComment" Target="../threadedComments/threadedComment1.xml"/><Relationship Id="rId4" Type="http://schemas.openxmlformats.org/officeDocument/2006/relationships/hyperlink" Target="https://www.linkedin.com/in/rosario-cosar-5b3538119/" TargetMode="External"/><Relationship Id="rId9" Type="http://schemas.openxmlformats.org/officeDocument/2006/relationships/hyperlink" Target="mailto:car.sricardo@inabif.gob.pe" TargetMode="External"/><Relationship Id="rId14" Type="http://schemas.openxmlformats.org/officeDocument/2006/relationships/hyperlink" Target="mailto:arlettecontreras@agendamujer.com" TargetMode="External"/><Relationship Id="rId22" Type="http://schemas.openxmlformats.org/officeDocument/2006/relationships/hyperlink" Target="mailto:mariapia.molero@unwomen.org" TargetMode="External"/><Relationship Id="rId27" Type="http://schemas.openxmlformats.org/officeDocument/2006/relationships/hyperlink" Target="mailto:Antonella.Rojas@savethechildren.org;%20diana.rodriguez@savethechildren.org" TargetMode="External"/><Relationship Id="rId30"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mailto:arebaza@mpfn.gob.pe" TargetMode="Externa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hyperlink" Target="mailto:kolivera@aurora.gob.pe"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46"/>
  <sheetViews>
    <sheetView tabSelected="1" zoomScale="73" zoomScaleNormal="67" workbookViewId="0">
      <selection activeCell="B5" sqref="B5:AD545"/>
    </sheetView>
  </sheetViews>
  <sheetFormatPr baseColWidth="10" defaultColWidth="10.81640625" defaultRowHeight="14" x14ac:dyDescent="0.35"/>
  <cols>
    <col min="1" max="1" width="10.81640625" style="11"/>
    <col min="2" max="2" width="14.453125" style="24" customWidth="1"/>
    <col min="3" max="3" width="13.453125" style="12" customWidth="1"/>
    <col min="4" max="4" width="27.453125" style="11" customWidth="1"/>
    <col min="5" max="5" width="36.453125" style="11" customWidth="1"/>
    <col min="6" max="6" width="28.453125" style="12" customWidth="1"/>
    <col min="7" max="8" width="27.1796875" style="12" customWidth="1"/>
    <col min="9" max="9" width="20.81640625" style="12" customWidth="1"/>
    <col min="10" max="11" width="36.453125" style="12" customWidth="1"/>
    <col min="12" max="12" width="22.1796875" style="12" customWidth="1"/>
    <col min="13" max="13" width="21.81640625" style="12" customWidth="1"/>
    <col min="14" max="14" width="25.54296875" style="13" customWidth="1"/>
    <col min="15" max="15" width="23.453125" style="11" customWidth="1"/>
    <col min="16" max="16" width="40.54296875" style="11" customWidth="1"/>
    <col min="17" max="17" width="21.1796875" style="11" customWidth="1"/>
    <col min="18" max="18" width="11.453125" style="11" customWidth="1"/>
    <col min="19" max="19" width="10.1796875" style="11" customWidth="1"/>
    <col min="20" max="20" width="13.453125" style="11" customWidth="1"/>
    <col min="21" max="21" width="18" style="11" customWidth="1"/>
    <col min="22" max="24" width="14.453125" style="11" customWidth="1"/>
    <col min="25" max="27" width="15" style="11" customWidth="1"/>
    <col min="28" max="29" width="18.453125" style="11" customWidth="1"/>
    <col min="30" max="30" width="13.81640625" style="11" customWidth="1"/>
    <col min="31" max="16384" width="10.81640625" style="11"/>
  </cols>
  <sheetData>
    <row r="1" spans="2:31" x14ac:dyDescent="0.35">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spans="2:31" x14ac:dyDescent="0.35">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spans="2:31" x14ac:dyDescent="0.35">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spans="2:31" x14ac:dyDescent="0.35">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spans="2:31" x14ac:dyDescent="0.35">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spans="2:31" x14ac:dyDescent="0.35">
      <c r="B6" s="24" t="s">
        <v>49</v>
      </c>
      <c r="C6" s="12">
        <v>1</v>
      </c>
      <c r="D6" s="11" t="s">
        <v>244</v>
      </c>
      <c r="E6" s="11" t="s">
        <v>245</v>
      </c>
      <c r="F6" s="12" t="s">
        <v>332</v>
      </c>
      <c r="G6" s="12" t="s">
        <v>246</v>
      </c>
      <c r="H6" s="12" t="s">
        <v>246</v>
      </c>
      <c r="I6" s="12" t="s">
        <v>82</v>
      </c>
      <c r="J6" s="12" t="s">
        <v>1009</v>
      </c>
      <c r="K6" s="12" t="s">
        <v>118</v>
      </c>
      <c r="L6" s="12" t="s">
        <v>247</v>
      </c>
      <c r="N6" s="13" t="s">
        <v>248</v>
      </c>
      <c r="O6" s="11" t="s">
        <v>118</v>
      </c>
      <c r="P6" s="11" t="s">
        <v>249</v>
      </c>
      <c r="Q6" s="11" t="s">
        <v>125</v>
      </c>
      <c r="R6" s="11" t="s">
        <v>150</v>
      </c>
      <c r="T6" s="11" t="s">
        <v>125</v>
      </c>
      <c r="U6" s="11" t="s">
        <v>1014</v>
      </c>
      <c r="V6" s="11">
        <v>46120</v>
      </c>
      <c r="W6" s="11">
        <v>46184</v>
      </c>
      <c r="Y6" s="11">
        <v>46188</v>
      </c>
      <c r="Z6" s="11">
        <v>46188</v>
      </c>
      <c r="AA6" s="11">
        <v>46188</v>
      </c>
      <c r="AB6" s="11" t="s">
        <v>30</v>
      </c>
      <c r="AC6" s="11">
        <v>84</v>
      </c>
      <c r="AD6" s="11" t="s">
        <v>1276</v>
      </c>
      <c r="AE6" s="11" t="s">
        <v>993</v>
      </c>
    </row>
    <row r="7" spans="2:31" x14ac:dyDescent="0.35">
      <c r="B7" s="24" t="s">
        <v>49</v>
      </c>
      <c r="C7" s="12">
        <v>2</v>
      </c>
      <c r="D7" s="11" t="s">
        <v>250</v>
      </c>
      <c r="E7" s="11" t="s">
        <v>245</v>
      </c>
      <c r="F7" s="12" t="s">
        <v>49</v>
      </c>
      <c r="G7" s="12" t="s">
        <v>246</v>
      </c>
      <c r="H7" s="12" t="s">
        <v>246</v>
      </c>
      <c r="I7" s="12" t="s">
        <v>82</v>
      </c>
      <c r="J7" s="12" t="s">
        <v>1009</v>
      </c>
      <c r="K7" s="12" t="s">
        <v>118</v>
      </c>
      <c r="L7" s="12" t="s">
        <v>247</v>
      </c>
      <c r="N7" s="13" t="s">
        <v>248</v>
      </c>
      <c r="O7" s="11" t="s">
        <v>118</v>
      </c>
      <c r="P7" s="11" t="s">
        <v>249</v>
      </c>
      <c r="Q7" s="11" t="s">
        <v>125</v>
      </c>
      <c r="R7" s="11" t="s">
        <v>150</v>
      </c>
      <c r="T7" s="11" t="s">
        <v>126</v>
      </c>
      <c r="U7" s="11" t="s">
        <v>1277</v>
      </c>
      <c r="AD7" s="11" t="s">
        <v>1278</v>
      </c>
      <c r="AE7" s="11" t="s">
        <v>993</v>
      </c>
    </row>
    <row r="8" spans="2:31" x14ac:dyDescent="0.35">
      <c r="B8" s="24" t="s">
        <v>49</v>
      </c>
      <c r="C8" s="12">
        <v>3</v>
      </c>
      <c r="D8" s="11" t="s">
        <v>251</v>
      </c>
      <c r="E8" s="11" t="s">
        <v>252</v>
      </c>
      <c r="F8" s="12" t="s">
        <v>49</v>
      </c>
      <c r="G8" s="12" t="s">
        <v>246</v>
      </c>
      <c r="H8" s="12" t="s">
        <v>246</v>
      </c>
      <c r="I8" s="12" t="s">
        <v>82</v>
      </c>
      <c r="J8" s="12" t="s">
        <v>1009</v>
      </c>
      <c r="K8" s="12" t="s">
        <v>118</v>
      </c>
      <c r="L8" s="12" t="s">
        <v>247</v>
      </c>
      <c r="N8" s="13" t="s">
        <v>253</v>
      </c>
      <c r="O8" s="11" t="s">
        <v>118</v>
      </c>
      <c r="P8" s="11" t="s">
        <v>249</v>
      </c>
      <c r="Q8" s="11" t="s">
        <v>125</v>
      </c>
      <c r="R8" s="11" t="s">
        <v>150</v>
      </c>
      <c r="S8" s="11" t="s">
        <v>125</v>
      </c>
      <c r="T8" s="11" t="s">
        <v>125</v>
      </c>
      <c r="U8" s="11" t="s">
        <v>38</v>
      </c>
      <c r="V8" s="11">
        <v>46147</v>
      </c>
      <c r="W8" s="11">
        <v>46184</v>
      </c>
      <c r="AD8" s="11" t="s">
        <v>1279</v>
      </c>
      <c r="AE8" s="11" t="s">
        <v>993</v>
      </c>
    </row>
    <row r="9" spans="2:31" x14ac:dyDescent="0.35">
      <c r="B9" s="24" t="s">
        <v>49</v>
      </c>
      <c r="C9" s="12">
        <v>4</v>
      </c>
      <c r="D9" s="11" t="s">
        <v>254</v>
      </c>
      <c r="E9" s="11" t="s">
        <v>255</v>
      </c>
      <c r="F9" s="12" t="s">
        <v>49</v>
      </c>
      <c r="G9" s="12" t="s">
        <v>246</v>
      </c>
      <c r="H9" s="12" t="s">
        <v>246</v>
      </c>
      <c r="I9" s="12" t="s">
        <v>82</v>
      </c>
      <c r="J9" s="12" t="s">
        <v>1009</v>
      </c>
      <c r="K9" s="12" t="s">
        <v>118</v>
      </c>
      <c r="L9" s="12" t="s">
        <v>247</v>
      </c>
      <c r="N9" s="13" t="s">
        <v>1280</v>
      </c>
      <c r="O9" s="11" t="s">
        <v>118</v>
      </c>
      <c r="P9" s="11" t="s">
        <v>249</v>
      </c>
      <c r="Q9" s="11" t="s">
        <v>125</v>
      </c>
      <c r="R9" s="11" t="s">
        <v>150</v>
      </c>
      <c r="T9" s="11" t="s">
        <v>126</v>
      </c>
      <c r="U9" s="11" t="s">
        <v>992</v>
      </c>
      <c r="V9" s="11">
        <v>46100</v>
      </c>
      <c r="AD9" s="11" t="s">
        <v>972</v>
      </c>
      <c r="AE9" s="11" t="s">
        <v>1768</v>
      </c>
    </row>
    <row r="10" spans="2:31" x14ac:dyDescent="0.35">
      <c r="B10" s="24" t="s">
        <v>49</v>
      </c>
      <c r="C10" s="12">
        <v>5</v>
      </c>
      <c r="D10" s="11" t="s">
        <v>257</v>
      </c>
      <c r="E10" s="11" t="s">
        <v>255</v>
      </c>
      <c r="F10" s="12" t="s">
        <v>49</v>
      </c>
      <c r="G10" s="12" t="s">
        <v>246</v>
      </c>
      <c r="H10" s="12" t="s">
        <v>246</v>
      </c>
      <c r="I10" s="12" t="s">
        <v>82</v>
      </c>
      <c r="J10" s="12" t="s">
        <v>1009</v>
      </c>
      <c r="K10" s="12" t="s">
        <v>118</v>
      </c>
      <c r="L10" s="12" t="s">
        <v>247</v>
      </c>
      <c r="N10" s="13" t="s">
        <v>256</v>
      </c>
      <c r="O10" s="11" t="s">
        <v>118</v>
      </c>
      <c r="P10" s="11" t="s">
        <v>249</v>
      </c>
      <c r="Q10" s="11" t="s">
        <v>125</v>
      </c>
      <c r="R10" s="11" t="s">
        <v>150</v>
      </c>
      <c r="T10" s="11" t="s">
        <v>125</v>
      </c>
      <c r="U10" s="11" t="s">
        <v>38</v>
      </c>
      <c r="V10" s="11">
        <v>46100</v>
      </c>
      <c r="AD10" s="11" t="s">
        <v>972</v>
      </c>
      <c r="AE10" s="11" t="s">
        <v>993</v>
      </c>
    </row>
    <row r="11" spans="2:31" x14ac:dyDescent="0.35">
      <c r="B11" s="24" t="s">
        <v>49</v>
      </c>
      <c r="C11" s="12">
        <v>6</v>
      </c>
      <c r="D11" s="11" t="s">
        <v>260</v>
      </c>
      <c r="E11" s="11" t="s">
        <v>261</v>
      </c>
      <c r="F11" s="12" t="s">
        <v>49</v>
      </c>
      <c r="G11" s="12" t="s">
        <v>246</v>
      </c>
      <c r="H11" s="12" t="s">
        <v>246</v>
      </c>
      <c r="I11" s="12" t="s">
        <v>82</v>
      </c>
      <c r="J11" s="12" t="s">
        <v>1009</v>
      </c>
      <c r="K11" s="12" t="s">
        <v>118</v>
      </c>
      <c r="L11" s="12" t="s">
        <v>247</v>
      </c>
      <c r="N11" s="13" t="s">
        <v>262</v>
      </c>
      <c r="O11" s="11" t="s">
        <v>118</v>
      </c>
      <c r="P11" s="11" t="s">
        <v>249</v>
      </c>
      <c r="Q11" s="11" t="s">
        <v>125</v>
      </c>
      <c r="R11" s="11" t="s">
        <v>150</v>
      </c>
      <c r="T11" s="11" t="s">
        <v>125</v>
      </c>
      <c r="U11" s="11" t="s">
        <v>1014</v>
      </c>
      <c r="V11" s="11">
        <v>46100</v>
      </c>
      <c r="W11" s="11">
        <v>46104</v>
      </c>
      <c r="Z11" s="11">
        <v>46150</v>
      </c>
      <c r="AA11" s="11">
        <v>46150</v>
      </c>
      <c r="AB11" s="11" t="s">
        <v>30</v>
      </c>
      <c r="AC11" s="11">
        <v>45</v>
      </c>
      <c r="AE11" s="11" t="s">
        <v>993</v>
      </c>
    </row>
    <row r="12" spans="2:31" x14ac:dyDescent="0.35">
      <c r="B12" s="24" t="s">
        <v>49</v>
      </c>
      <c r="C12" s="12">
        <v>7</v>
      </c>
      <c r="D12" s="11" t="s">
        <v>263</v>
      </c>
      <c r="E12" s="11" t="s">
        <v>261</v>
      </c>
      <c r="F12" s="12" t="s">
        <v>49</v>
      </c>
      <c r="G12" s="12" t="s">
        <v>246</v>
      </c>
      <c r="H12" s="12" t="s">
        <v>246</v>
      </c>
      <c r="I12" s="12" t="s">
        <v>82</v>
      </c>
      <c r="J12" s="12" t="s">
        <v>1009</v>
      </c>
      <c r="K12" s="12" t="s">
        <v>118</v>
      </c>
      <c r="L12" s="12" t="s">
        <v>247</v>
      </c>
      <c r="N12" s="13" t="s">
        <v>262</v>
      </c>
      <c r="O12" s="11" t="s">
        <v>118</v>
      </c>
      <c r="P12" s="11" t="s">
        <v>249</v>
      </c>
      <c r="Q12" s="11" t="s">
        <v>125</v>
      </c>
      <c r="R12" s="11" t="s">
        <v>150</v>
      </c>
      <c r="T12" s="11" t="s">
        <v>126</v>
      </c>
      <c r="U12" s="11" t="s">
        <v>992</v>
      </c>
      <c r="V12" s="11">
        <v>46100</v>
      </c>
      <c r="AD12" s="11" t="s">
        <v>972</v>
      </c>
      <c r="AE12" s="11" t="s">
        <v>1768</v>
      </c>
    </row>
    <row r="13" spans="2:31" x14ac:dyDescent="0.35">
      <c r="B13" s="24" t="s">
        <v>49</v>
      </c>
      <c r="C13" s="12">
        <v>8</v>
      </c>
      <c r="D13" s="11" t="s">
        <v>269</v>
      </c>
      <c r="E13" s="11" t="s">
        <v>266</v>
      </c>
      <c r="F13" s="12" t="s">
        <v>49</v>
      </c>
      <c r="G13" s="12" t="s">
        <v>246</v>
      </c>
      <c r="H13" s="12" t="s">
        <v>246</v>
      </c>
      <c r="I13" s="12" t="s">
        <v>82</v>
      </c>
      <c r="J13" s="12" t="s">
        <v>1009</v>
      </c>
      <c r="K13" s="12" t="s">
        <v>118</v>
      </c>
      <c r="L13" s="12" t="s">
        <v>247</v>
      </c>
      <c r="N13" s="13" t="s">
        <v>955</v>
      </c>
      <c r="O13" s="11" t="s">
        <v>118</v>
      </c>
      <c r="P13" s="11" t="s">
        <v>264</v>
      </c>
      <c r="Q13" s="11" t="s">
        <v>125</v>
      </c>
      <c r="R13" s="11" t="s">
        <v>150</v>
      </c>
      <c r="T13" s="11" t="s">
        <v>126</v>
      </c>
      <c r="U13" s="11" t="s">
        <v>992</v>
      </c>
      <c r="V13" s="11">
        <v>46104</v>
      </c>
      <c r="AD13" s="11" t="s">
        <v>973</v>
      </c>
      <c r="AE13" s="11" t="s">
        <v>1768</v>
      </c>
    </row>
    <row r="14" spans="2:31" x14ac:dyDescent="0.35">
      <c r="B14" s="24" t="s">
        <v>49</v>
      </c>
      <c r="C14" s="12">
        <v>9</v>
      </c>
      <c r="D14" s="11" t="s">
        <v>270</v>
      </c>
      <c r="E14" s="11" t="s">
        <v>266</v>
      </c>
      <c r="F14" s="12" t="s">
        <v>49</v>
      </c>
      <c r="G14" s="12" t="s">
        <v>246</v>
      </c>
      <c r="H14" s="12" t="s">
        <v>246</v>
      </c>
      <c r="I14" s="12" t="s">
        <v>82</v>
      </c>
      <c r="J14" s="12" t="s">
        <v>1009</v>
      </c>
      <c r="K14" s="12" t="s">
        <v>118</v>
      </c>
      <c r="L14" s="12" t="s">
        <v>247</v>
      </c>
      <c r="N14" s="13" t="s">
        <v>271</v>
      </c>
      <c r="O14" s="11" t="s">
        <v>118</v>
      </c>
      <c r="P14" s="11" t="s">
        <v>264</v>
      </c>
      <c r="Q14" s="11" t="s">
        <v>125</v>
      </c>
      <c r="R14" s="11" t="s">
        <v>150</v>
      </c>
      <c r="T14" s="11" t="s">
        <v>126</v>
      </c>
      <c r="U14" s="11" t="s">
        <v>992</v>
      </c>
      <c r="AE14" s="11" t="s">
        <v>1768</v>
      </c>
    </row>
    <row r="15" spans="2:31" x14ac:dyDescent="0.35">
      <c r="B15" s="24" t="s">
        <v>49</v>
      </c>
      <c r="C15" s="12">
        <v>10</v>
      </c>
      <c r="D15" s="11" t="s">
        <v>272</v>
      </c>
      <c r="E15" s="11" t="s">
        <v>176</v>
      </c>
      <c r="F15" s="12" t="s">
        <v>49</v>
      </c>
      <c r="G15" s="12" t="s">
        <v>246</v>
      </c>
      <c r="H15" s="12" t="s">
        <v>246</v>
      </c>
      <c r="I15" s="12" t="s">
        <v>82</v>
      </c>
      <c r="J15" s="12" t="s">
        <v>1009</v>
      </c>
      <c r="K15" s="12" t="s">
        <v>118</v>
      </c>
      <c r="L15" s="12" t="s">
        <v>247</v>
      </c>
      <c r="N15" s="13" t="s">
        <v>974</v>
      </c>
      <c r="O15" s="11" t="s">
        <v>118</v>
      </c>
      <c r="P15" s="11" t="s">
        <v>264</v>
      </c>
      <c r="Q15" s="11" t="s">
        <v>125</v>
      </c>
      <c r="R15" s="11" t="s">
        <v>150</v>
      </c>
      <c r="T15" s="11" t="s">
        <v>126</v>
      </c>
      <c r="U15" s="11" t="s">
        <v>992</v>
      </c>
      <c r="AE15" s="11" t="s">
        <v>1768</v>
      </c>
    </row>
    <row r="16" spans="2:31" x14ac:dyDescent="0.35">
      <c r="B16" s="24" t="s">
        <v>49</v>
      </c>
      <c r="C16" s="12">
        <v>11</v>
      </c>
      <c r="D16" s="11" t="s">
        <v>273</v>
      </c>
      <c r="E16" s="11" t="s">
        <v>176</v>
      </c>
      <c r="F16" s="12" t="s">
        <v>49</v>
      </c>
      <c r="G16" s="12" t="s">
        <v>246</v>
      </c>
      <c r="H16" s="12" t="s">
        <v>246</v>
      </c>
      <c r="I16" s="12" t="s">
        <v>82</v>
      </c>
      <c r="J16" s="12" t="s">
        <v>1009</v>
      </c>
      <c r="K16" s="12" t="s">
        <v>118</v>
      </c>
      <c r="L16" s="12" t="s">
        <v>247</v>
      </c>
      <c r="N16" s="13" t="s">
        <v>274</v>
      </c>
      <c r="O16" s="11" t="s">
        <v>118</v>
      </c>
      <c r="P16" s="11" t="s">
        <v>264</v>
      </c>
      <c r="Q16" s="11" t="s">
        <v>125</v>
      </c>
      <c r="R16" s="11" t="s">
        <v>150</v>
      </c>
      <c r="T16" s="11" t="s">
        <v>126</v>
      </c>
      <c r="U16" s="11" t="s">
        <v>992</v>
      </c>
      <c r="AE16" s="11" t="s">
        <v>1768</v>
      </c>
    </row>
    <row r="17" spans="2:31" x14ac:dyDescent="0.35">
      <c r="B17" s="24" t="s">
        <v>283</v>
      </c>
      <c r="C17" s="12">
        <v>12</v>
      </c>
      <c r="D17" s="11" t="s">
        <v>281</v>
      </c>
      <c r="E17" s="11" t="s">
        <v>282</v>
      </c>
      <c r="F17" s="12" t="s">
        <v>283</v>
      </c>
      <c r="G17" s="12" t="s">
        <v>246</v>
      </c>
      <c r="H17" s="12" t="s">
        <v>246</v>
      </c>
      <c r="I17" s="12" t="s">
        <v>82</v>
      </c>
      <c r="J17" s="12" t="s">
        <v>1009</v>
      </c>
      <c r="K17" s="12" t="s">
        <v>118</v>
      </c>
      <c r="L17" s="12" t="s">
        <v>247</v>
      </c>
      <c r="N17" s="13" t="s">
        <v>284</v>
      </c>
      <c r="O17" s="11" t="s">
        <v>118</v>
      </c>
      <c r="P17" s="11" t="s">
        <v>249</v>
      </c>
      <c r="Q17" s="11" t="s">
        <v>125</v>
      </c>
      <c r="R17" s="11" t="s">
        <v>150</v>
      </c>
      <c r="T17" s="11" t="s">
        <v>126</v>
      </c>
      <c r="U17" s="11" t="s">
        <v>992</v>
      </c>
      <c r="V17" s="11">
        <v>46104</v>
      </c>
      <c r="AD17" s="11" t="s">
        <v>975</v>
      </c>
      <c r="AE17" s="11" t="s">
        <v>1768</v>
      </c>
    </row>
    <row r="18" spans="2:31" x14ac:dyDescent="0.35">
      <c r="B18" s="24" t="s">
        <v>49</v>
      </c>
      <c r="C18" s="12">
        <v>13</v>
      </c>
      <c r="D18" s="11" t="s">
        <v>285</v>
      </c>
      <c r="E18" s="11" t="s">
        <v>282</v>
      </c>
      <c r="F18" s="12" t="s">
        <v>49</v>
      </c>
      <c r="G18" s="12" t="s">
        <v>246</v>
      </c>
      <c r="H18" s="12" t="s">
        <v>246</v>
      </c>
      <c r="I18" s="12" t="s">
        <v>82</v>
      </c>
      <c r="J18" s="12" t="s">
        <v>1009</v>
      </c>
      <c r="K18" s="12" t="s">
        <v>118</v>
      </c>
      <c r="L18" s="12" t="s">
        <v>247</v>
      </c>
      <c r="N18" s="13" t="s">
        <v>287</v>
      </c>
      <c r="O18" s="11" t="s">
        <v>118</v>
      </c>
      <c r="P18" s="11" t="s">
        <v>249</v>
      </c>
      <c r="Q18" s="11" t="s">
        <v>125</v>
      </c>
      <c r="R18" s="11" t="s">
        <v>150</v>
      </c>
      <c r="T18" s="11" t="s">
        <v>126</v>
      </c>
      <c r="U18" s="11" t="s">
        <v>992</v>
      </c>
      <c r="AE18" s="11" t="s">
        <v>1768</v>
      </c>
    </row>
    <row r="19" spans="2:31" x14ac:dyDescent="0.35">
      <c r="B19" s="24" t="s">
        <v>49</v>
      </c>
      <c r="C19" s="12">
        <v>14</v>
      </c>
      <c r="D19" s="11" t="s">
        <v>292</v>
      </c>
      <c r="E19" s="11" t="s">
        <v>293</v>
      </c>
      <c r="F19" s="12" t="s">
        <v>49</v>
      </c>
      <c r="G19" s="12" t="s">
        <v>246</v>
      </c>
      <c r="H19" s="12" t="s">
        <v>246</v>
      </c>
      <c r="I19" s="12" t="s">
        <v>82</v>
      </c>
      <c r="J19" s="12" t="s">
        <v>1009</v>
      </c>
      <c r="K19" s="12" t="s">
        <v>118</v>
      </c>
      <c r="L19" s="12" t="s">
        <v>247</v>
      </c>
      <c r="N19" s="13" t="s">
        <v>294</v>
      </c>
      <c r="O19" s="11" t="s">
        <v>118</v>
      </c>
      <c r="P19" s="11" t="s">
        <v>249</v>
      </c>
      <c r="Q19" s="11" t="s">
        <v>125</v>
      </c>
      <c r="R19" s="11" t="s">
        <v>150</v>
      </c>
      <c r="T19" s="11" t="s">
        <v>126</v>
      </c>
      <c r="U19" s="11" t="s">
        <v>992</v>
      </c>
      <c r="V19" s="11">
        <v>46104</v>
      </c>
      <c r="AD19" s="11" t="s">
        <v>976</v>
      </c>
      <c r="AE19" s="11" t="s">
        <v>1768</v>
      </c>
    </row>
    <row r="20" spans="2:31" x14ac:dyDescent="0.35">
      <c r="B20" s="24" t="s">
        <v>291</v>
      </c>
      <c r="C20" s="12">
        <v>15</v>
      </c>
      <c r="D20" s="11" t="s">
        <v>297</v>
      </c>
      <c r="E20" s="11" t="s">
        <v>298</v>
      </c>
      <c r="F20" s="12" t="s">
        <v>291</v>
      </c>
      <c r="G20" s="12" t="s">
        <v>246</v>
      </c>
      <c r="H20" s="12" t="s">
        <v>246</v>
      </c>
      <c r="I20" s="12" t="s">
        <v>82</v>
      </c>
      <c r="J20" s="12" t="s">
        <v>1009</v>
      </c>
      <c r="K20" s="12" t="s">
        <v>118</v>
      </c>
      <c r="L20" s="12" t="s">
        <v>247</v>
      </c>
      <c r="N20" s="13" t="s">
        <v>299</v>
      </c>
      <c r="O20" s="11" t="s">
        <v>118</v>
      </c>
      <c r="P20" s="11" t="s">
        <v>280</v>
      </c>
      <c r="Q20" s="11" t="s">
        <v>126</v>
      </c>
      <c r="R20" s="11" t="s">
        <v>150</v>
      </c>
      <c r="T20" s="11" t="s">
        <v>126</v>
      </c>
      <c r="U20" s="11" t="s">
        <v>992</v>
      </c>
      <c r="AE20" s="11" t="s">
        <v>1768</v>
      </c>
    </row>
    <row r="21" spans="2:31" x14ac:dyDescent="0.35">
      <c r="B21" s="24" t="s">
        <v>49</v>
      </c>
      <c r="C21" s="12">
        <v>16</v>
      </c>
      <c r="D21" s="11" t="s">
        <v>306</v>
      </c>
      <c r="E21" s="11" t="s">
        <v>1010</v>
      </c>
      <c r="F21" s="12" t="s">
        <v>286</v>
      </c>
      <c r="G21" s="12" t="s">
        <v>246</v>
      </c>
      <c r="H21" s="12" t="s">
        <v>246</v>
      </c>
      <c r="I21" s="12" t="s">
        <v>430</v>
      </c>
      <c r="J21" s="12" t="s">
        <v>71</v>
      </c>
      <c r="K21" s="12" t="s">
        <v>191</v>
      </c>
      <c r="L21" s="12" t="s">
        <v>247</v>
      </c>
      <c r="N21" s="13" t="s">
        <v>1011</v>
      </c>
      <c r="O21" s="11" t="s">
        <v>1012</v>
      </c>
      <c r="P21" s="11" t="s">
        <v>310</v>
      </c>
      <c r="Q21" s="11" t="s">
        <v>125</v>
      </c>
      <c r="R21" s="11" t="s">
        <v>150</v>
      </c>
      <c r="T21" s="11" t="s">
        <v>125</v>
      </c>
      <c r="U21" s="11" t="s">
        <v>38</v>
      </c>
      <c r="V21" s="11">
        <v>46101</v>
      </c>
      <c r="W21" s="11">
        <v>46122</v>
      </c>
      <c r="AD21" s="11" t="s">
        <v>1152</v>
      </c>
      <c r="AE21" s="11" t="s">
        <v>993</v>
      </c>
    </row>
    <row r="22" spans="2:31" x14ac:dyDescent="0.35">
      <c r="B22" s="24" t="s">
        <v>314</v>
      </c>
      <c r="C22" s="12">
        <v>17</v>
      </c>
      <c r="D22" s="11" t="s">
        <v>313</v>
      </c>
      <c r="E22" s="11" t="s">
        <v>307</v>
      </c>
      <c r="F22" s="12" t="s">
        <v>314</v>
      </c>
      <c r="G22" s="12" t="s">
        <v>246</v>
      </c>
      <c r="H22" s="12" t="s">
        <v>246</v>
      </c>
      <c r="I22" s="12" t="s">
        <v>430</v>
      </c>
      <c r="J22" s="12" t="s">
        <v>71</v>
      </c>
      <c r="K22" s="12" t="s">
        <v>191</v>
      </c>
      <c r="L22" s="12" t="s">
        <v>247</v>
      </c>
      <c r="N22" s="13" t="s">
        <v>315</v>
      </c>
      <c r="O22" s="11" t="s">
        <v>309</v>
      </c>
      <c r="P22" s="11" t="s">
        <v>310</v>
      </c>
      <c r="Q22" s="11" t="s">
        <v>125</v>
      </c>
      <c r="R22" s="11" t="s">
        <v>150</v>
      </c>
      <c r="T22" s="11" t="s">
        <v>125</v>
      </c>
      <c r="U22" s="11" t="s">
        <v>38</v>
      </c>
      <c r="V22" s="11">
        <v>46147</v>
      </c>
      <c r="AE22" s="11" t="s">
        <v>993</v>
      </c>
    </row>
    <row r="23" spans="2:31" x14ac:dyDescent="0.35">
      <c r="B23" s="24" t="s">
        <v>308</v>
      </c>
      <c r="C23" s="12">
        <v>18</v>
      </c>
      <c r="D23" s="11" t="s">
        <v>316</v>
      </c>
      <c r="E23" s="11" t="s">
        <v>307</v>
      </c>
      <c r="F23" s="12" t="s">
        <v>308</v>
      </c>
      <c r="G23" s="12" t="s">
        <v>246</v>
      </c>
      <c r="H23" s="12" t="s">
        <v>246</v>
      </c>
      <c r="I23" s="12" t="s">
        <v>430</v>
      </c>
      <c r="J23" s="12" t="s">
        <v>71</v>
      </c>
      <c r="K23" s="12" t="s">
        <v>191</v>
      </c>
      <c r="L23" s="12" t="s">
        <v>247</v>
      </c>
      <c r="N23" s="13" t="s">
        <v>317</v>
      </c>
      <c r="O23" s="11" t="s">
        <v>309</v>
      </c>
      <c r="P23" s="11" t="s">
        <v>310</v>
      </c>
      <c r="Q23" s="11" t="s">
        <v>125</v>
      </c>
      <c r="R23" s="11" t="s">
        <v>150</v>
      </c>
      <c r="T23" s="11" t="s">
        <v>125</v>
      </c>
      <c r="U23" s="11" t="s">
        <v>38</v>
      </c>
      <c r="V23" s="11">
        <v>46126</v>
      </c>
      <c r="AD23" s="11" t="s">
        <v>1153</v>
      </c>
      <c r="AE23" s="11" t="s">
        <v>993</v>
      </c>
    </row>
    <row r="24" spans="2:31" x14ac:dyDescent="0.35">
      <c r="B24" s="24" t="s">
        <v>308</v>
      </c>
      <c r="C24" s="12">
        <v>19</v>
      </c>
      <c r="D24" s="11" t="s">
        <v>318</v>
      </c>
      <c r="E24" s="11" t="s">
        <v>307</v>
      </c>
      <c r="F24" s="12" t="s">
        <v>308</v>
      </c>
      <c r="G24" s="12" t="s">
        <v>246</v>
      </c>
      <c r="H24" s="12" t="s">
        <v>246</v>
      </c>
      <c r="I24" s="12" t="s">
        <v>430</v>
      </c>
      <c r="J24" s="12" t="s">
        <v>71</v>
      </c>
      <c r="K24" s="12" t="s">
        <v>191</v>
      </c>
      <c r="L24" s="12" t="s">
        <v>247</v>
      </c>
      <c r="N24" s="13" t="s">
        <v>319</v>
      </c>
      <c r="O24" s="11" t="s">
        <v>309</v>
      </c>
      <c r="P24" s="11" t="s">
        <v>310</v>
      </c>
      <c r="Q24" s="11" t="s">
        <v>125</v>
      </c>
      <c r="R24" s="11" t="s">
        <v>150</v>
      </c>
      <c r="S24" s="11" t="s">
        <v>125</v>
      </c>
      <c r="T24" s="11" t="s">
        <v>125</v>
      </c>
      <c r="U24" s="11" t="s">
        <v>38</v>
      </c>
      <c r="V24" s="11">
        <v>46147</v>
      </c>
      <c r="AE24" s="11" t="s">
        <v>993</v>
      </c>
    </row>
    <row r="25" spans="2:31" x14ac:dyDescent="0.35">
      <c r="B25" s="24" t="s">
        <v>278</v>
      </c>
      <c r="C25" s="12">
        <v>20</v>
      </c>
      <c r="D25" s="11" t="s">
        <v>320</v>
      </c>
      <c r="E25" s="11" t="s">
        <v>321</v>
      </c>
      <c r="F25" s="12" t="s">
        <v>278</v>
      </c>
      <c r="G25" s="12" t="s">
        <v>246</v>
      </c>
      <c r="H25" s="12" t="s">
        <v>246</v>
      </c>
      <c r="I25" s="12" t="s">
        <v>60</v>
      </c>
      <c r="J25" s="12" t="s">
        <v>1015</v>
      </c>
      <c r="K25" s="12" t="s">
        <v>118</v>
      </c>
      <c r="L25" s="12" t="s">
        <v>247</v>
      </c>
      <c r="N25" s="13" t="s">
        <v>322</v>
      </c>
      <c r="O25" s="11" t="s">
        <v>118</v>
      </c>
      <c r="P25" s="11" t="s">
        <v>323</v>
      </c>
      <c r="Q25" s="11" t="s">
        <v>126</v>
      </c>
      <c r="R25" s="11" t="s">
        <v>150</v>
      </c>
      <c r="T25" s="11" t="s">
        <v>125</v>
      </c>
      <c r="U25" s="11" t="s">
        <v>1014</v>
      </c>
      <c r="V25" s="11">
        <v>46101</v>
      </c>
      <c r="Z25" s="11">
        <v>46112</v>
      </c>
      <c r="AA25" s="11">
        <v>46112</v>
      </c>
      <c r="AB25" s="11" t="s">
        <v>30</v>
      </c>
      <c r="AC25" s="11">
        <v>60</v>
      </c>
      <c r="AD25" s="11" t="s">
        <v>977</v>
      </c>
      <c r="AE25" s="11" t="s">
        <v>993</v>
      </c>
    </row>
    <row r="26" spans="2:31" x14ac:dyDescent="0.35">
      <c r="B26" s="24" t="s">
        <v>283</v>
      </c>
      <c r="C26" s="12">
        <v>21</v>
      </c>
      <c r="D26" s="11" t="s">
        <v>53</v>
      </c>
      <c r="E26" s="11" t="s">
        <v>1414</v>
      </c>
      <c r="F26" s="12" t="s">
        <v>283</v>
      </c>
      <c r="G26" s="12" t="s">
        <v>246</v>
      </c>
      <c r="H26" s="12" t="s">
        <v>246</v>
      </c>
      <c r="I26" s="12" t="s">
        <v>37</v>
      </c>
      <c r="J26" s="12" t="s">
        <v>1015</v>
      </c>
      <c r="K26" s="12" t="s">
        <v>1019</v>
      </c>
      <c r="L26" s="12" t="s">
        <v>247</v>
      </c>
      <c r="N26" s="13" t="s">
        <v>324</v>
      </c>
      <c r="O26" s="11" t="s">
        <v>118</v>
      </c>
      <c r="P26" s="11" t="s">
        <v>280</v>
      </c>
      <c r="Q26" s="11" t="s">
        <v>126</v>
      </c>
      <c r="R26" s="11" t="s">
        <v>150</v>
      </c>
      <c r="T26" s="11" t="s">
        <v>125</v>
      </c>
      <c r="U26" s="11" t="s">
        <v>1014</v>
      </c>
      <c r="V26" s="11">
        <v>46104</v>
      </c>
      <c r="Y26" s="11">
        <v>46105</v>
      </c>
      <c r="Z26" s="11">
        <v>46105</v>
      </c>
      <c r="AA26" s="11">
        <v>46105</v>
      </c>
      <c r="AB26" s="11" t="s">
        <v>30</v>
      </c>
      <c r="AC26" s="11">
        <v>42</v>
      </c>
      <c r="AD26" s="11" t="s">
        <v>1001</v>
      </c>
      <c r="AE26" s="11" t="s">
        <v>993</v>
      </c>
    </row>
    <row r="27" spans="2:31" x14ac:dyDescent="0.35">
      <c r="B27" s="24" t="s">
        <v>49</v>
      </c>
      <c r="C27" s="12">
        <v>22</v>
      </c>
      <c r="D27" s="11" t="s">
        <v>46</v>
      </c>
      <c r="E27" s="11" t="s">
        <v>1774</v>
      </c>
      <c r="F27" s="12" t="s">
        <v>305</v>
      </c>
      <c r="G27" s="12" t="s">
        <v>246</v>
      </c>
      <c r="H27" s="12" t="s">
        <v>126</v>
      </c>
      <c r="I27" s="12" t="s">
        <v>37</v>
      </c>
      <c r="J27" s="12" t="s">
        <v>1015</v>
      </c>
      <c r="K27" s="12" t="s">
        <v>1016</v>
      </c>
      <c r="L27" s="12" t="s">
        <v>247</v>
      </c>
      <c r="N27" s="13" t="s">
        <v>325</v>
      </c>
      <c r="O27" s="11" t="s">
        <v>118</v>
      </c>
      <c r="P27" s="11" t="s">
        <v>323</v>
      </c>
      <c r="Q27" s="11" t="s">
        <v>126</v>
      </c>
      <c r="R27" s="11" t="s">
        <v>150</v>
      </c>
      <c r="T27" s="11" t="s">
        <v>125</v>
      </c>
      <c r="U27" s="11" t="s">
        <v>29</v>
      </c>
      <c r="V27" s="11">
        <v>46104</v>
      </c>
      <c r="W27" s="11">
        <v>46105</v>
      </c>
      <c r="AD27" s="11" t="s">
        <v>979</v>
      </c>
      <c r="AE27" s="11" t="s">
        <v>993</v>
      </c>
    </row>
    <row r="28" spans="2:31" x14ac:dyDescent="0.35">
      <c r="B28" s="24" t="s">
        <v>291</v>
      </c>
      <c r="C28" s="12">
        <v>23</v>
      </c>
      <c r="D28" s="11" t="s">
        <v>328</v>
      </c>
      <c r="E28" s="11" t="s">
        <v>327</v>
      </c>
      <c r="F28" s="12" t="s">
        <v>291</v>
      </c>
      <c r="G28" s="12" t="s">
        <v>246</v>
      </c>
      <c r="H28" s="12" t="s">
        <v>246</v>
      </c>
      <c r="I28" s="12" t="s">
        <v>60</v>
      </c>
      <c r="J28" s="12" t="s">
        <v>1015</v>
      </c>
      <c r="K28" s="12" t="s">
        <v>118</v>
      </c>
      <c r="L28" s="12" t="s">
        <v>247</v>
      </c>
      <c r="N28" s="13" t="s">
        <v>1017</v>
      </c>
      <c r="O28" s="11" t="s">
        <v>118</v>
      </c>
      <c r="P28" s="11" t="s">
        <v>323</v>
      </c>
      <c r="Q28" s="11" t="s">
        <v>125</v>
      </c>
      <c r="R28" s="11" t="s">
        <v>150</v>
      </c>
      <c r="T28" s="11" t="s">
        <v>125</v>
      </c>
      <c r="U28" s="11" t="s">
        <v>38</v>
      </c>
      <c r="V28" s="11">
        <v>46104</v>
      </c>
      <c r="W28" s="11">
        <v>46147</v>
      </c>
      <c r="AD28" s="11" t="s">
        <v>1206</v>
      </c>
      <c r="AE28" s="11" t="s">
        <v>993</v>
      </c>
    </row>
    <row r="29" spans="2:31" x14ac:dyDescent="0.35">
      <c r="B29" s="24" t="s">
        <v>49</v>
      </c>
      <c r="C29" s="12">
        <v>24</v>
      </c>
      <c r="D29" s="11" t="s">
        <v>329</v>
      </c>
      <c r="E29" s="11" t="s">
        <v>330</v>
      </c>
      <c r="F29" s="12" t="s">
        <v>49</v>
      </c>
      <c r="G29" s="12" t="s">
        <v>246</v>
      </c>
      <c r="H29" s="12" t="s">
        <v>246</v>
      </c>
      <c r="I29" s="12" t="s">
        <v>37</v>
      </c>
      <c r="J29" s="12" t="s">
        <v>1015</v>
      </c>
      <c r="K29" s="12" t="s">
        <v>1016</v>
      </c>
      <c r="L29" s="12" t="s">
        <v>247</v>
      </c>
      <c r="N29" s="13" t="s">
        <v>1281</v>
      </c>
      <c r="O29" s="11" t="s">
        <v>118</v>
      </c>
      <c r="P29" s="11" t="s">
        <v>323</v>
      </c>
      <c r="Q29" s="11" t="s">
        <v>126</v>
      </c>
      <c r="R29" s="11" t="s">
        <v>150</v>
      </c>
      <c r="T29" s="11" t="s">
        <v>125</v>
      </c>
      <c r="U29" s="11" t="s">
        <v>38</v>
      </c>
      <c r="V29" s="11">
        <v>46104</v>
      </c>
      <c r="AD29" s="11" t="s">
        <v>980</v>
      </c>
      <c r="AE29" s="11" t="s">
        <v>993</v>
      </c>
    </row>
    <row r="30" spans="2:31" x14ac:dyDescent="0.35">
      <c r="B30" s="24" t="s">
        <v>291</v>
      </c>
      <c r="C30" s="12">
        <v>25</v>
      </c>
      <c r="D30" s="11" t="s">
        <v>333</v>
      </c>
      <c r="E30" s="11" t="s">
        <v>35</v>
      </c>
      <c r="F30" s="12" t="s">
        <v>291</v>
      </c>
      <c r="G30" s="12" t="s">
        <v>246</v>
      </c>
      <c r="H30" s="12" t="s">
        <v>246</v>
      </c>
      <c r="I30" s="12" t="s">
        <v>430</v>
      </c>
      <c r="J30" s="12" t="s">
        <v>71</v>
      </c>
      <c r="K30" s="12" t="s">
        <v>1018</v>
      </c>
      <c r="L30" s="12" t="s">
        <v>247</v>
      </c>
      <c r="N30" s="13" t="s">
        <v>1282</v>
      </c>
      <c r="O30" s="11" t="s">
        <v>118</v>
      </c>
      <c r="P30" s="11" t="s">
        <v>323</v>
      </c>
      <c r="Q30" s="11" t="s">
        <v>125</v>
      </c>
      <c r="R30" s="11" t="s">
        <v>150</v>
      </c>
      <c r="S30" s="11" t="s">
        <v>125</v>
      </c>
      <c r="T30" s="11" t="s">
        <v>125</v>
      </c>
      <c r="U30" s="11" t="s">
        <v>1014</v>
      </c>
      <c r="V30" s="11">
        <v>46104</v>
      </c>
      <c r="W30" s="11">
        <v>46147</v>
      </c>
      <c r="X30" s="11">
        <v>46164</v>
      </c>
      <c r="Z30" s="11">
        <v>46224</v>
      </c>
      <c r="AA30" s="11">
        <v>46224</v>
      </c>
      <c r="AB30" s="11" t="s">
        <v>30</v>
      </c>
      <c r="AC30" s="11">
        <v>29</v>
      </c>
      <c r="AD30" s="11" t="s">
        <v>1207</v>
      </c>
      <c r="AE30" s="11" t="s">
        <v>993</v>
      </c>
    </row>
    <row r="31" spans="2:31" x14ac:dyDescent="0.35">
      <c r="B31" s="24" t="s">
        <v>49</v>
      </c>
      <c r="C31" s="12">
        <v>26</v>
      </c>
      <c r="D31" s="11" t="s">
        <v>336</v>
      </c>
      <c r="E31" s="11" t="s">
        <v>35</v>
      </c>
      <c r="F31" s="12" t="s">
        <v>286</v>
      </c>
      <c r="G31" s="12" t="s">
        <v>246</v>
      </c>
      <c r="H31" s="12" t="s">
        <v>246</v>
      </c>
      <c r="I31" s="12" t="s">
        <v>430</v>
      </c>
      <c r="J31" s="12" t="s">
        <v>71</v>
      </c>
      <c r="K31" s="12" t="s">
        <v>1018</v>
      </c>
      <c r="L31" s="12" t="s">
        <v>247</v>
      </c>
      <c r="N31" s="13" t="s">
        <v>1002</v>
      </c>
      <c r="O31" s="11" t="s">
        <v>118</v>
      </c>
      <c r="P31" s="11" t="s">
        <v>323</v>
      </c>
      <c r="Q31" s="11" t="s">
        <v>125</v>
      </c>
      <c r="R31" s="11" t="s">
        <v>150</v>
      </c>
      <c r="S31" s="11" t="s">
        <v>125</v>
      </c>
      <c r="T31" s="11" t="s">
        <v>125</v>
      </c>
      <c r="U31" s="11" t="s">
        <v>38</v>
      </c>
      <c r="V31" s="11">
        <v>46147</v>
      </c>
      <c r="AE31" s="11" t="s">
        <v>993</v>
      </c>
    </row>
    <row r="32" spans="2:31" x14ac:dyDescent="0.35">
      <c r="B32" s="24" t="s">
        <v>308</v>
      </c>
      <c r="C32" s="12">
        <v>27</v>
      </c>
      <c r="D32" s="11" t="s">
        <v>339</v>
      </c>
      <c r="E32" s="11" t="s">
        <v>35</v>
      </c>
      <c r="F32" s="12" t="s">
        <v>308</v>
      </c>
      <c r="G32" s="12" t="s">
        <v>246</v>
      </c>
      <c r="H32" s="12" t="s">
        <v>246</v>
      </c>
      <c r="I32" s="12" t="s">
        <v>430</v>
      </c>
      <c r="J32" s="12" t="s">
        <v>71</v>
      </c>
      <c r="K32" s="12" t="s">
        <v>1018</v>
      </c>
      <c r="L32" s="12" t="s">
        <v>247</v>
      </c>
      <c r="N32" s="13" t="s">
        <v>340</v>
      </c>
      <c r="O32" s="11" t="s">
        <v>118</v>
      </c>
      <c r="P32" s="11" t="s">
        <v>323</v>
      </c>
      <c r="Q32" s="11" t="s">
        <v>125</v>
      </c>
      <c r="R32" s="11" t="s">
        <v>150</v>
      </c>
      <c r="S32" s="11" t="s">
        <v>125</v>
      </c>
      <c r="T32" s="11" t="s">
        <v>125</v>
      </c>
      <c r="U32" s="11" t="s">
        <v>1014</v>
      </c>
      <c r="V32" s="11">
        <v>46147</v>
      </c>
      <c r="Z32" s="11">
        <v>46167</v>
      </c>
      <c r="AA32" s="11">
        <v>46167</v>
      </c>
      <c r="AB32" s="11" t="s">
        <v>30</v>
      </c>
      <c r="AC32" s="11">
        <v>52</v>
      </c>
      <c r="AE32" s="11" t="s">
        <v>993</v>
      </c>
    </row>
    <row r="33" spans="2:31" x14ac:dyDescent="0.35">
      <c r="B33" s="24" t="s">
        <v>278</v>
      </c>
      <c r="C33" s="12">
        <v>28</v>
      </c>
      <c r="D33" s="11" t="s">
        <v>34</v>
      </c>
      <c r="E33" s="11" t="s">
        <v>35</v>
      </c>
      <c r="F33" s="12" t="s">
        <v>278</v>
      </c>
      <c r="G33" s="12" t="s">
        <v>247</v>
      </c>
      <c r="H33" s="12" t="s">
        <v>125</v>
      </c>
      <c r="I33" s="12" t="s">
        <v>430</v>
      </c>
      <c r="J33" s="12" t="s">
        <v>71</v>
      </c>
      <c r="K33" s="12" t="s">
        <v>1018</v>
      </c>
      <c r="L33" s="12" t="s">
        <v>247</v>
      </c>
      <c r="N33" s="13" t="s">
        <v>36</v>
      </c>
      <c r="O33" s="11" t="s">
        <v>118</v>
      </c>
      <c r="P33" s="11" t="s">
        <v>323</v>
      </c>
      <c r="Q33" s="11" t="s">
        <v>125</v>
      </c>
      <c r="R33" s="11" t="s">
        <v>150</v>
      </c>
      <c r="S33" s="11" t="s">
        <v>125</v>
      </c>
      <c r="T33" s="11" t="s">
        <v>125</v>
      </c>
      <c r="U33" s="11" t="s">
        <v>38</v>
      </c>
      <c r="V33" s="11">
        <v>46147</v>
      </c>
      <c r="AE33" s="11" t="s">
        <v>993</v>
      </c>
    </row>
    <row r="34" spans="2:31" x14ac:dyDescent="0.35">
      <c r="B34" s="24" t="s">
        <v>49</v>
      </c>
      <c r="C34" s="12">
        <v>29</v>
      </c>
      <c r="D34" s="11" t="s">
        <v>341</v>
      </c>
      <c r="E34" s="11" t="s">
        <v>35</v>
      </c>
      <c r="F34" s="12" t="s">
        <v>332</v>
      </c>
      <c r="G34" s="12" t="s">
        <v>246</v>
      </c>
      <c r="H34" s="12" t="s">
        <v>246</v>
      </c>
      <c r="I34" s="12" t="s">
        <v>430</v>
      </c>
      <c r="J34" s="12" t="s">
        <v>71</v>
      </c>
      <c r="K34" s="12" t="s">
        <v>1018</v>
      </c>
      <c r="L34" s="12" t="s">
        <v>247</v>
      </c>
      <c r="N34" s="13" t="s">
        <v>342</v>
      </c>
      <c r="O34" s="11" t="s">
        <v>118</v>
      </c>
      <c r="P34" s="11" t="s">
        <v>323</v>
      </c>
      <c r="Q34" s="11" t="s">
        <v>125</v>
      </c>
      <c r="R34" s="11" t="s">
        <v>150</v>
      </c>
      <c r="T34" s="11" t="s">
        <v>125</v>
      </c>
      <c r="U34" s="11" t="s">
        <v>132</v>
      </c>
      <c r="V34" s="11">
        <v>46147</v>
      </c>
      <c r="AD34" s="11" t="s">
        <v>1208</v>
      </c>
      <c r="AE34" s="11" t="s">
        <v>993</v>
      </c>
    </row>
    <row r="35" spans="2:31" x14ac:dyDescent="0.35">
      <c r="B35" s="24" t="s">
        <v>49</v>
      </c>
      <c r="C35" s="12">
        <v>30</v>
      </c>
      <c r="D35" s="11" t="s">
        <v>39</v>
      </c>
      <c r="E35" s="11" t="s">
        <v>35</v>
      </c>
      <c r="F35" s="12" t="s">
        <v>286</v>
      </c>
      <c r="G35" s="12" t="s">
        <v>247</v>
      </c>
      <c r="H35" s="12" t="s">
        <v>125</v>
      </c>
      <c r="I35" s="12" t="s">
        <v>430</v>
      </c>
      <c r="J35" s="12" t="s">
        <v>71</v>
      </c>
      <c r="K35" s="12" t="s">
        <v>1018</v>
      </c>
      <c r="L35" s="12" t="s">
        <v>247</v>
      </c>
      <c r="N35" s="13" t="s">
        <v>40</v>
      </c>
      <c r="O35" s="11" t="s">
        <v>118</v>
      </c>
      <c r="P35" s="11" t="s">
        <v>323</v>
      </c>
      <c r="Q35" s="11" t="s">
        <v>125</v>
      </c>
      <c r="R35" s="11" t="s">
        <v>150</v>
      </c>
      <c r="T35" s="11" t="s">
        <v>125</v>
      </c>
      <c r="U35" s="11" t="s">
        <v>38</v>
      </c>
      <c r="V35" s="11">
        <v>46147</v>
      </c>
      <c r="AD35" s="11" t="s">
        <v>1100</v>
      </c>
      <c r="AE35" s="11" t="s">
        <v>993</v>
      </c>
    </row>
    <row r="36" spans="2:31" x14ac:dyDescent="0.35">
      <c r="B36" s="24" t="s">
        <v>49</v>
      </c>
      <c r="C36" s="12">
        <v>31</v>
      </c>
      <c r="D36" s="11" t="s">
        <v>343</v>
      </c>
      <c r="E36" s="11" t="s">
        <v>186</v>
      </c>
      <c r="F36" s="12" t="s">
        <v>49</v>
      </c>
      <c r="G36" s="12" t="s">
        <v>246</v>
      </c>
      <c r="H36" s="12" t="s">
        <v>246</v>
      </c>
      <c r="I36" s="12" t="s">
        <v>37</v>
      </c>
      <c r="J36" s="12" t="s">
        <v>1015</v>
      </c>
      <c r="K36" s="12" t="s">
        <v>1019</v>
      </c>
      <c r="L36" s="12" t="s">
        <v>247</v>
      </c>
      <c r="N36" s="13" t="s">
        <v>187</v>
      </c>
      <c r="O36" s="11" t="s">
        <v>118</v>
      </c>
      <c r="P36" s="11" t="s">
        <v>323</v>
      </c>
      <c r="Q36" s="11" t="s">
        <v>125</v>
      </c>
      <c r="R36" s="11" t="s">
        <v>150</v>
      </c>
      <c r="S36" s="11" t="s">
        <v>125</v>
      </c>
      <c r="T36" s="11" t="s">
        <v>125</v>
      </c>
      <c r="U36" s="11" t="s">
        <v>38</v>
      </c>
      <c r="V36" s="11">
        <v>46147</v>
      </c>
      <c r="AE36" s="11" t="s">
        <v>993</v>
      </c>
    </row>
    <row r="37" spans="2:31" x14ac:dyDescent="0.35">
      <c r="B37" s="24" t="s">
        <v>49</v>
      </c>
      <c r="C37" s="12">
        <v>32</v>
      </c>
      <c r="D37" s="11" t="s">
        <v>344</v>
      </c>
      <c r="E37" s="11" t="s">
        <v>51</v>
      </c>
      <c r="F37" s="12" t="s">
        <v>49</v>
      </c>
      <c r="G37" s="12" t="s">
        <v>246</v>
      </c>
      <c r="H37" s="12" t="s">
        <v>246</v>
      </c>
      <c r="I37" s="12" t="s">
        <v>37</v>
      </c>
      <c r="J37" s="12" t="s">
        <v>1015</v>
      </c>
      <c r="K37" s="12" t="s">
        <v>1019</v>
      </c>
      <c r="L37" s="12" t="s">
        <v>247</v>
      </c>
      <c r="N37" s="13" t="s">
        <v>981</v>
      </c>
      <c r="O37" s="11" t="s">
        <v>118</v>
      </c>
      <c r="P37" s="11" t="s">
        <v>323</v>
      </c>
      <c r="Q37" s="11" t="s">
        <v>125</v>
      </c>
      <c r="R37" s="11" t="s">
        <v>150</v>
      </c>
      <c r="S37" s="11" t="s">
        <v>125</v>
      </c>
      <c r="T37" s="11" t="s">
        <v>125</v>
      </c>
      <c r="U37" s="11" t="s">
        <v>38</v>
      </c>
      <c r="V37" s="11">
        <v>46147</v>
      </c>
      <c r="W37" s="11">
        <v>46162</v>
      </c>
      <c r="AD37" s="11" t="s">
        <v>1247</v>
      </c>
      <c r="AE37" s="11" t="s">
        <v>993</v>
      </c>
    </row>
    <row r="38" spans="2:31" x14ac:dyDescent="0.35">
      <c r="B38" s="24" t="s">
        <v>291</v>
      </c>
      <c r="C38" s="12">
        <v>33</v>
      </c>
      <c r="D38" s="11" t="s">
        <v>350</v>
      </c>
      <c r="E38" s="11" t="s">
        <v>351</v>
      </c>
      <c r="F38" s="12" t="s">
        <v>291</v>
      </c>
      <c r="G38" s="12" t="s">
        <v>246</v>
      </c>
      <c r="H38" s="12" t="s">
        <v>246</v>
      </c>
      <c r="I38" s="12" t="s">
        <v>60</v>
      </c>
      <c r="J38" s="12" t="s">
        <v>1015</v>
      </c>
      <c r="K38" s="12" t="s">
        <v>118</v>
      </c>
      <c r="L38" s="12" t="s">
        <v>247</v>
      </c>
      <c r="N38" s="13" t="s">
        <v>352</v>
      </c>
      <c r="O38" s="11" t="s">
        <v>118</v>
      </c>
      <c r="P38" s="11" t="s">
        <v>349</v>
      </c>
      <c r="Q38" s="11" t="s">
        <v>125</v>
      </c>
      <c r="R38" s="11" t="s">
        <v>150</v>
      </c>
      <c r="S38" s="11" t="s">
        <v>125</v>
      </c>
      <c r="T38" s="11" t="s">
        <v>125</v>
      </c>
      <c r="U38" s="11" t="s">
        <v>38</v>
      </c>
      <c r="V38" s="11">
        <v>46147</v>
      </c>
      <c r="AD38" s="11" t="s">
        <v>1202</v>
      </c>
      <c r="AE38" s="11" t="s">
        <v>993</v>
      </c>
    </row>
    <row r="39" spans="2:31" x14ac:dyDescent="0.35">
      <c r="B39" s="24" t="s">
        <v>49</v>
      </c>
      <c r="C39" s="12">
        <v>34</v>
      </c>
      <c r="D39" s="11" t="s">
        <v>353</v>
      </c>
      <c r="E39" s="11" t="s">
        <v>354</v>
      </c>
      <c r="F39" s="12" t="s">
        <v>49</v>
      </c>
      <c r="G39" s="12" t="s">
        <v>246</v>
      </c>
      <c r="H39" s="12" t="s">
        <v>246</v>
      </c>
      <c r="I39" s="12" t="s">
        <v>430</v>
      </c>
      <c r="J39" s="12" t="s">
        <v>71</v>
      </c>
      <c r="K39" s="12" t="s">
        <v>1020</v>
      </c>
      <c r="L39" s="12" t="s">
        <v>247</v>
      </c>
      <c r="N39" s="13">
        <v>987856989</v>
      </c>
      <c r="O39" s="11" t="s">
        <v>118</v>
      </c>
      <c r="P39" s="11" t="s">
        <v>280</v>
      </c>
      <c r="Q39" s="11" t="s">
        <v>125</v>
      </c>
      <c r="R39" s="11" t="s">
        <v>150</v>
      </c>
      <c r="S39" s="11" t="s">
        <v>125</v>
      </c>
      <c r="T39" s="11" t="s">
        <v>125</v>
      </c>
      <c r="U39" s="11" t="s">
        <v>38</v>
      </c>
      <c r="V39" s="11">
        <v>46104</v>
      </c>
      <c r="W39" s="11">
        <v>46147</v>
      </c>
      <c r="AD39" s="11" t="s">
        <v>982</v>
      </c>
      <c r="AE39" s="11" t="s">
        <v>993</v>
      </c>
    </row>
    <row r="40" spans="2:31" x14ac:dyDescent="0.35">
      <c r="B40" s="24" t="s">
        <v>311</v>
      </c>
      <c r="C40" s="12">
        <v>35</v>
      </c>
      <c r="D40" s="11" t="s">
        <v>355</v>
      </c>
      <c r="E40" s="11" t="s">
        <v>354</v>
      </c>
      <c r="F40" s="12" t="s">
        <v>311</v>
      </c>
      <c r="G40" s="12" t="s">
        <v>246</v>
      </c>
      <c r="H40" s="12" t="s">
        <v>246</v>
      </c>
      <c r="I40" s="12" t="s">
        <v>430</v>
      </c>
      <c r="J40" s="12" t="s">
        <v>71</v>
      </c>
      <c r="K40" s="12" t="s">
        <v>1020</v>
      </c>
      <c r="L40" s="12" t="s">
        <v>247</v>
      </c>
      <c r="N40" s="13" t="s">
        <v>356</v>
      </c>
      <c r="O40" s="11" t="s">
        <v>118</v>
      </c>
      <c r="P40" s="11" t="s">
        <v>249</v>
      </c>
      <c r="Q40" s="11" t="s">
        <v>125</v>
      </c>
      <c r="R40" s="11" t="s">
        <v>150</v>
      </c>
      <c r="S40" s="11" t="s">
        <v>125</v>
      </c>
      <c r="T40" s="11" t="s">
        <v>125</v>
      </c>
      <c r="U40" s="11" t="s">
        <v>132</v>
      </c>
      <c r="V40" s="11">
        <v>46147</v>
      </c>
      <c r="AD40" s="11" t="s">
        <v>1209</v>
      </c>
      <c r="AE40" s="11" t="s">
        <v>993</v>
      </c>
    </row>
    <row r="41" spans="2:31" x14ac:dyDescent="0.35">
      <c r="B41" s="24" t="s">
        <v>291</v>
      </c>
      <c r="C41" s="12">
        <v>36</v>
      </c>
      <c r="D41" s="11" t="s">
        <v>357</v>
      </c>
      <c r="E41" s="11" t="s">
        <v>354</v>
      </c>
      <c r="F41" s="12" t="s">
        <v>291</v>
      </c>
      <c r="G41" s="12" t="s">
        <v>246</v>
      </c>
      <c r="H41" s="12" t="s">
        <v>246</v>
      </c>
      <c r="I41" s="12" t="s">
        <v>430</v>
      </c>
      <c r="J41" s="12" t="s">
        <v>71</v>
      </c>
      <c r="K41" s="12" t="s">
        <v>1020</v>
      </c>
      <c r="L41" s="12" t="s">
        <v>247</v>
      </c>
      <c r="N41" s="13" t="s">
        <v>358</v>
      </c>
      <c r="O41" s="11" t="s">
        <v>118</v>
      </c>
      <c r="P41" s="11" t="s">
        <v>249</v>
      </c>
      <c r="Q41" s="11" t="s">
        <v>125</v>
      </c>
      <c r="R41" s="11" t="s">
        <v>150</v>
      </c>
      <c r="S41" s="11" t="s">
        <v>125</v>
      </c>
      <c r="T41" s="11" t="s">
        <v>125</v>
      </c>
      <c r="U41" s="11" t="s">
        <v>29</v>
      </c>
      <c r="V41" s="11">
        <v>46147</v>
      </c>
      <c r="W41" s="11">
        <v>46148</v>
      </c>
      <c r="AD41" s="11" t="s">
        <v>1154</v>
      </c>
      <c r="AE41" s="11" t="s">
        <v>993</v>
      </c>
    </row>
    <row r="42" spans="2:31" x14ac:dyDescent="0.35">
      <c r="B42" s="24" t="s">
        <v>49</v>
      </c>
      <c r="C42" s="12">
        <v>37</v>
      </c>
      <c r="D42" s="11" t="s">
        <v>359</v>
      </c>
      <c r="E42" s="11" t="s">
        <v>360</v>
      </c>
      <c r="F42" s="12" t="s">
        <v>332</v>
      </c>
      <c r="G42" s="12" t="s">
        <v>246</v>
      </c>
      <c r="H42" s="12" t="s">
        <v>246</v>
      </c>
      <c r="I42" s="12" t="s">
        <v>37</v>
      </c>
      <c r="J42" s="12" t="s">
        <v>1015</v>
      </c>
      <c r="K42" s="12" t="s">
        <v>1021</v>
      </c>
      <c r="L42" s="12" t="s">
        <v>247</v>
      </c>
      <c r="N42" s="13" t="s">
        <v>361</v>
      </c>
      <c r="O42" s="11" t="s">
        <v>118</v>
      </c>
      <c r="P42" s="11" t="s">
        <v>280</v>
      </c>
      <c r="Q42" s="11" t="s">
        <v>126</v>
      </c>
      <c r="R42" s="11" t="s">
        <v>143</v>
      </c>
      <c r="T42" s="11" t="s">
        <v>125</v>
      </c>
      <c r="U42" s="11" t="s">
        <v>1014</v>
      </c>
      <c r="V42" s="11">
        <v>46105</v>
      </c>
      <c r="Z42" s="11">
        <v>46112</v>
      </c>
      <c r="AA42" s="11">
        <v>46112</v>
      </c>
      <c r="AB42" s="11" t="s">
        <v>30</v>
      </c>
      <c r="AC42" s="11">
        <v>55</v>
      </c>
      <c r="AD42" s="11" t="s">
        <v>983</v>
      </c>
      <c r="AE42" s="11" t="s">
        <v>993</v>
      </c>
    </row>
    <row r="43" spans="2:31" x14ac:dyDescent="0.35">
      <c r="B43" s="24" t="s">
        <v>283</v>
      </c>
      <c r="C43" s="12">
        <v>38</v>
      </c>
      <c r="D43" s="11" t="s">
        <v>362</v>
      </c>
      <c r="E43" s="11" t="s">
        <v>363</v>
      </c>
      <c r="F43" s="12" t="s">
        <v>283</v>
      </c>
      <c r="G43" s="12" t="s">
        <v>246</v>
      </c>
      <c r="H43" s="12" t="s">
        <v>246</v>
      </c>
      <c r="I43" s="12" t="s">
        <v>37</v>
      </c>
      <c r="J43" s="12" t="s">
        <v>1015</v>
      </c>
      <c r="K43" s="12" t="s">
        <v>1016</v>
      </c>
      <c r="L43" s="12" t="s">
        <v>247</v>
      </c>
      <c r="N43" s="13" t="s">
        <v>364</v>
      </c>
      <c r="O43" s="11" t="s">
        <v>118</v>
      </c>
      <c r="P43" s="11" t="s">
        <v>280</v>
      </c>
      <c r="Q43" s="11" t="s">
        <v>125</v>
      </c>
      <c r="R43" s="11" t="s">
        <v>150</v>
      </c>
      <c r="S43" s="11" t="s">
        <v>125</v>
      </c>
      <c r="T43" s="11" t="s">
        <v>125</v>
      </c>
      <c r="U43" s="11" t="s">
        <v>132</v>
      </c>
      <c r="V43" s="11">
        <v>46147</v>
      </c>
      <c r="AD43" s="11" t="s">
        <v>1200</v>
      </c>
      <c r="AE43" s="11" t="s">
        <v>993</v>
      </c>
    </row>
    <row r="44" spans="2:31" x14ac:dyDescent="0.35">
      <c r="B44" s="24" t="s">
        <v>49</v>
      </c>
      <c r="C44" s="12">
        <v>39</v>
      </c>
      <c r="D44" s="11" t="s">
        <v>957</v>
      </c>
      <c r="E44" s="11" t="s">
        <v>365</v>
      </c>
      <c r="F44" s="12" t="s">
        <v>49</v>
      </c>
      <c r="G44" s="12" t="s">
        <v>246</v>
      </c>
      <c r="H44" s="12" t="s">
        <v>246</v>
      </c>
      <c r="I44" s="12" t="s">
        <v>37</v>
      </c>
      <c r="J44" s="12" t="s">
        <v>1015</v>
      </c>
      <c r="K44" s="12" t="s">
        <v>1021</v>
      </c>
      <c r="L44" s="12" t="s">
        <v>247</v>
      </c>
      <c r="N44" s="13" t="s">
        <v>366</v>
      </c>
      <c r="O44" s="11" t="s">
        <v>118</v>
      </c>
      <c r="P44" s="11" t="s">
        <v>323</v>
      </c>
      <c r="Q44" s="11" t="s">
        <v>126</v>
      </c>
      <c r="R44" s="11" t="s">
        <v>150</v>
      </c>
      <c r="S44" s="11" t="s">
        <v>126</v>
      </c>
      <c r="T44" s="11" t="s">
        <v>125</v>
      </c>
      <c r="U44" s="11" t="s">
        <v>1014</v>
      </c>
      <c r="V44" s="11">
        <v>46104</v>
      </c>
      <c r="Z44" s="11">
        <v>46105</v>
      </c>
      <c r="AA44" s="11">
        <v>46105</v>
      </c>
      <c r="AB44" s="11" t="s">
        <v>30</v>
      </c>
      <c r="AC44" s="11">
        <v>72</v>
      </c>
      <c r="AD44" s="11" t="s">
        <v>956</v>
      </c>
      <c r="AE44" s="11" t="s">
        <v>993</v>
      </c>
    </row>
    <row r="45" spans="2:31" x14ac:dyDescent="0.35">
      <c r="B45" s="24" t="s">
        <v>49</v>
      </c>
      <c r="C45" s="12">
        <v>40</v>
      </c>
      <c r="D45" s="11" t="s">
        <v>367</v>
      </c>
      <c r="E45" s="11" t="s">
        <v>368</v>
      </c>
      <c r="F45" s="12" t="s">
        <v>49</v>
      </c>
      <c r="G45" s="12" t="s">
        <v>246</v>
      </c>
      <c r="H45" s="12" t="s">
        <v>246</v>
      </c>
      <c r="I45" s="12" t="s">
        <v>37</v>
      </c>
      <c r="J45" s="12" t="s">
        <v>1015</v>
      </c>
      <c r="K45" s="12" t="s">
        <v>1021</v>
      </c>
      <c r="L45" s="12" t="s">
        <v>247</v>
      </c>
      <c r="N45" s="13" t="s">
        <v>369</v>
      </c>
      <c r="O45" s="11" t="s">
        <v>118</v>
      </c>
      <c r="P45" s="11" t="s">
        <v>323</v>
      </c>
      <c r="Q45" s="11" t="s">
        <v>126</v>
      </c>
      <c r="R45" s="11" t="s">
        <v>150</v>
      </c>
      <c r="T45" s="11" t="s">
        <v>126</v>
      </c>
      <c r="U45" s="11" t="s">
        <v>992</v>
      </c>
      <c r="AD45" s="11" t="s">
        <v>1101</v>
      </c>
      <c r="AE45" s="11" t="s">
        <v>1768</v>
      </c>
    </row>
    <row r="46" spans="2:31" x14ac:dyDescent="0.35">
      <c r="B46" s="24" t="s">
        <v>49</v>
      </c>
      <c r="C46" s="12">
        <v>41</v>
      </c>
      <c r="D46" s="11" t="s">
        <v>370</v>
      </c>
      <c r="E46" s="11" t="s">
        <v>371</v>
      </c>
      <c r="F46" s="12" t="s">
        <v>49</v>
      </c>
      <c r="G46" s="12" t="s">
        <v>246</v>
      </c>
      <c r="H46" s="12" t="s">
        <v>246</v>
      </c>
      <c r="I46" s="12" t="s">
        <v>37</v>
      </c>
      <c r="J46" s="12" t="s">
        <v>1015</v>
      </c>
      <c r="K46" s="12" t="s">
        <v>1016</v>
      </c>
      <c r="L46" s="12" t="s">
        <v>247</v>
      </c>
      <c r="N46" s="13" t="s">
        <v>372</v>
      </c>
      <c r="O46" s="11" t="s">
        <v>118</v>
      </c>
      <c r="P46" s="11" t="s">
        <v>323</v>
      </c>
      <c r="Q46" s="11" t="s">
        <v>125</v>
      </c>
      <c r="R46" s="11" t="s">
        <v>150</v>
      </c>
      <c r="S46" s="11" t="s">
        <v>125</v>
      </c>
      <c r="T46" s="11" t="s">
        <v>125</v>
      </c>
      <c r="U46" s="11" t="s">
        <v>38</v>
      </c>
      <c r="V46" s="11">
        <v>46118</v>
      </c>
      <c r="W46" s="11">
        <v>46147</v>
      </c>
      <c r="AD46" s="11" t="s">
        <v>1102</v>
      </c>
      <c r="AE46" s="11" t="s">
        <v>993</v>
      </c>
    </row>
    <row r="47" spans="2:31" x14ac:dyDescent="0.35">
      <c r="B47" s="24" t="s">
        <v>49</v>
      </c>
      <c r="C47" s="12">
        <v>42</v>
      </c>
      <c r="D47" s="11" t="s">
        <v>1038</v>
      </c>
      <c r="E47" s="11" t="s">
        <v>373</v>
      </c>
      <c r="F47" s="12" t="s">
        <v>374</v>
      </c>
      <c r="G47" s="12" t="s">
        <v>246</v>
      </c>
      <c r="H47" s="12" t="s">
        <v>246</v>
      </c>
      <c r="I47" s="12" t="s">
        <v>37</v>
      </c>
      <c r="J47" s="12" t="s">
        <v>1015</v>
      </c>
      <c r="K47" s="12" t="s">
        <v>1021</v>
      </c>
      <c r="L47" s="12" t="s">
        <v>247</v>
      </c>
      <c r="N47" s="13" t="s">
        <v>1075</v>
      </c>
      <c r="O47" s="11" t="s">
        <v>118</v>
      </c>
      <c r="P47" s="11" t="s">
        <v>323</v>
      </c>
      <c r="Q47" s="11" t="s">
        <v>125</v>
      </c>
      <c r="R47" s="11" t="s">
        <v>150</v>
      </c>
      <c r="S47" s="11" t="s">
        <v>125</v>
      </c>
      <c r="T47" s="11" t="s">
        <v>125</v>
      </c>
      <c r="U47" s="11" t="s">
        <v>38</v>
      </c>
      <c r="V47" s="11">
        <v>46104</v>
      </c>
      <c r="W47" s="11">
        <v>46129</v>
      </c>
      <c r="X47" s="11">
        <v>46147</v>
      </c>
      <c r="AD47" s="11" t="s">
        <v>1201</v>
      </c>
      <c r="AE47" s="11" t="s">
        <v>993</v>
      </c>
    </row>
    <row r="48" spans="2:31" x14ac:dyDescent="0.35">
      <c r="B48" s="24" t="s">
        <v>49</v>
      </c>
      <c r="C48" s="12">
        <v>43</v>
      </c>
      <c r="D48" s="11" t="s">
        <v>375</v>
      </c>
      <c r="E48" s="11" t="s">
        <v>376</v>
      </c>
      <c r="F48" s="12" t="s">
        <v>377</v>
      </c>
      <c r="G48" s="12" t="s">
        <v>246</v>
      </c>
      <c r="H48" s="12" t="s">
        <v>246</v>
      </c>
      <c r="I48" s="12" t="s">
        <v>37</v>
      </c>
      <c r="J48" s="12" t="s">
        <v>1015</v>
      </c>
      <c r="K48" s="12" t="s">
        <v>1021</v>
      </c>
      <c r="L48" s="12" t="s">
        <v>247</v>
      </c>
      <c r="N48" s="13" t="s">
        <v>378</v>
      </c>
      <c r="O48" s="11" t="s">
        <v>118</v>
      </c>
      <c r="P48" s="11" t="s">
        <v>323</v>
      </c>
      <c r="Q48" s="11" t="s">
        <v>125</v>
      </c>
      <c r="R48" s="11" t="s">
        <v>150</v>
      </c>
      <c r="S48" s="11" t="s">
        <v>125</v>
      </c>
      <c r="T48" s="11" t="s">
        <v>125</v>
      </c>
      <c r="U48" s="11" t="s">
        <v>38</v>
      </c>
      <c r="V48" s="11">
        <v>46147</v>
      </c>
      <c r="AD48" s="11" t="s">
        <v>1202</v>
      </c>
      <c r="AE48" s="11" t="s">
        <v>993</v>
      </c>
    </row>
    <row r="49" spans="2:31" x14ac:dyDescent="0.35">
      <c r="B49" s="24" t="s">
        <v>49</v>
      </c>
      <c r="C49" s="12">
        <v>44</v>
      </c>
      <c r="D49" s="11" t="s">
        <v>1240</v>
      </c>
      <c r="E49" s="11" t="s">
        <v>379</v>
      </c>
      <c r="F49" s="12" t="s">
        <v>49</v>
      </c>
      <c r="G49" s="12" t="s">
        <v>246</v>
      </c>
      <c r="H49" s="12" t="s">
        <v>246</v>
      </c>
      <c r="I49" s="12" t="s">
        <v>37</v>
      </c>
      <c r="J49" s="12" t="s">
        <v>1015</v>
      </c>
      <c r="K49" s="12" t="s">
        <v>1016</v>
      </c>
      <c r="L49" s="12" t="s">
        <v>247</v>
      </c>
      <c r="N49" s="13" t="s">
        <v>1076</v>
      </c>
      <c r="O49" s="11" t="s">
        <v>118</v>
      </c>
      <c r="P49" s="11" t="s">
        <v>323</v>
      </c>
      <c r="Q49" s="11" t="s">
        <v>125</v>
      </c>
      <c r="R49" s="11" t="s">
        <v>150</v>
      </c>
      <c r="S49" s="11" t="s">
        <v>125</v>
      </c>
      <c r="T49" s="11" t="s">
        <v>125</v>
      </c>
      <c r="U49" s="11" t="s">
        <v>1014</v>
      </c>
      <c r="V49" s="11">
        <v>46129</v>
      </c>
      <c r="W49" s="11">
        <v>46147</v>
      </c>
      <c r="Z49" s="11">
        <v>46163</v>
      </c>
      <c r="AA49" s="11">
        <v>46163</v>
      </c>
      <c r="AB49" s="11" t="s">
        <v>30</v>
      </c>
      <c r="AC49" s="11">
        <v>43</v>
      </c>
      <c r="AD49" s="11" t="s">
        <v>1203</v>
      </c>
      <c r="AE49" s="11" t="s">
        <v>993</v>
      </c>
    </row>
    <row r="50" spans="2:31" x14ac:dyDescent="0.35">
      <c r="B50" s="24" t="s">
        <v>308</v>
      </c>
      <c r="C50" s="12">
        <v>45</v>
      </c>
      <c r="D50" s="11" t="s">
        <v>1283</v>
      </c>
      <c r="E50" s="11" t="s">
        <v>380</v>
      </c>
      <c r="F50" s="12" t="s">
        <v>308</v>
      </c>
      <c r="G50" s="12" t="s">
        <v>246</v>
      </c>
      <c r="H50" s="12" t="s">
        <v>246</v>
      </c>
      <c r="I50" s="12" t="s">
        <v>37</v>
      </c>
      <c r="J50" s="12" t="s">
        <v>1015</v>
      </c>
      <c r="K50" s="12" t="s">
        <v>1021</v>
      </c>
      <c r="L50" s="12" t="s">
        <v>247</v>
      </c>
      <c r="N50" s="13" t="s">
        <v>1284</v>
      </c>
      <c r="O50" s="11" t="s">
        <v>118</v>
      </c>
      <c r="P50" s="11" t="s">
        <v>323</v>
      </c>
      <c r="Q50" s="11" t="s">
        <v>126</v>
      </c>
      <c r="R50" s="11" t="s">
        <v>150</v>
      </c>
      <c r="T50" s="11" t="s">
        <v>126</v>
      </c>
      <c r="U50" s="11" t="s">
        <v>992</v>
      </c>
      <c r="AE50" s="11" t="s">
        <v>1768</v>
      </c>
    </row>
    <row r="51" spans="2:31" x14ac:dyDescent="0.35">
      <c r="B51" s="24" t="s">
        <v>49</v>
      </c>
      <c r="C51" s="12">
        <v>46</v>
      </c>
      <c r="D51" s="11" t="s">
        <v>381</v>
      </c>
      <c r="E51" s="11" t="s">
        <v>382</v>
      </c>
      <c r="F51" s="12" t="s">
        <v>49</v>
      </c>
      <c r="G51" s="12" t="s">
        <v>246</v>
      </c>
      <c r="H51" s="12" t="s">
        <v>246</v>
      </c>
      <c r="I51" s="12" t="s">
        <v>37</v>
      </c>
      <c r="J51" s="12" t="s">
        <v>1013</v>
      </c>
      <c r="K51" s="12" t="s">
        <v>118</v>
      </c>
      <c r="L51" s="12" t="s">
        <v>247</v>
      </c>
      <c r="N51" s="13" t="s">
        <v>383</v>
      </c>
      <c r="O51" s="11" t="s">
        <v>118</v>
      </c>
      <c r="P51" s="11" t="s">
        <v>323</v>
      </c>
      <c r="Q51" s="11" t="s">
        <v>126</v>
      </c>
      <c r="R51" s="11" t="s">
        <v>150</v>
      </c>
      <c r="T51" s="11" t="s">
        <v>125</v>
      </c>
      <c r="U51" s="11" t="s">
        <v>1014</v>
      </c>
      <c r="V51" s="11">
        <v>46105</v>
      </c>
      <c r="Z51" s="11">
        <v>46105</v>
      </c>
      <c r="AA51" s="11">
        <v>46105</v>
      </c>
      <c r="AB51" s="11" t="s">
        <v>30</v>
      </c>
      <c r="AC51" s="11">
        <v>43</v>
      </c>
      <c r="AD51" s="11" t="s">
        <v>959</v>
      </c>
      <c r="AE51" s="11" t="s">
        <v>993</v>
      </c>
    </row>
    <row r="52" spans="2:31" x14ac:dyDescent="0.35">
      <c r="B52" s="24" t="s">
        <v>49</v>
      </c>
      <c r="C52" s="12">
        <v>47</v>
      </c>
      <c r="D52" s="11" t="s">
        <v>384</v>
      </c>
      <c r="E52" s="11" t="s">
        <v>385</v>
      </c>
      <c r="F52" s="12" t="s">
        <v>286</v>
      </c>
      <c r="G52" s="12" t="s">
        <v>246</v>
      </c>
      <c r="H52" s="12" t="s">
        <v>246</v>
      </c>
      <c r="I52" s="12" t="s">
        <v>37</v>
      </c>
      <c r="J52" s="12" t="s">
        <v>1013</v>
      </c>
      <c r="K52" s="12" t="s">
        <v>118</v>
      </c>
      <c r="L52" s="12" t="s">
        <v>247</v>
      </c>
      <c r="N52" s="13">
        <v>914169055</v>
      </c>
      <c r="O52" s="11" t="s">
        <v>118</v>
      </c>
      <c r="P52" s="11" t="s">
        <v>280</v>
      </c>
      <c r="Q52" s="11" t="s">
        <v>126</v>
      </c>
      <c r="R52" s="11" t="s">
        <v>150</v>
      </c>
      <c r="T52" s="11" t="s">
        <v>125</v>
      </c>
      <c r="U52" s="11" t="s">
        <v>38</v>
      </c>
      <c r="V52" s="11">
        <v>46105</v>
      </c>
      <c r="W52" s="11">
        <v>46111</v>
      </c>
      <c r="AD52" s="11" t="s">
        <v>1248</v>
      </c>
      <c r="AE52" s="11" t="s">
        <v>993</v>
      </c>
    </row>
    <row r="53" spans="2:31" x14ac:dyDescent="0.35">
      <c r="B53" s="24" t="s">
        <v>49</v>
      </c>
      <c r="C53" s="12">
        <v>48</v>
      </c>
      <c r="D53" s="11" t="s">
        <v>386</v>
      </c>
      <c r="E53" s="11" t="s">
        <v>385</v>
      </c>
      <c r="F53" s="12" t="s">
        <v>286</v>
      </c>
      <c r="G53" s="12" t="s">
        <v>246</v>
      </c>
      <c r="H53" s="12" t="s">
        <v>246</v>
      </c>
      <c r="I53" s="12" t="s">
        <v>37</v>
      </c>
      <c r="J53" s="12" t="s">
        <v>1013</v>
      </c>
      <c r="K53" s="12" t="s">
        <v>118</v>
      </c>
      <c r="L53" s="12" t="s">
        <v>247</v>
      </c>
      <c r="N53" s="13">
        <v>914166514</v>
      </c>
      <c r="O53" s="11" t="s">
        <v>118</v>
      </c>
      <c r="P53" s="11" t="s">
        <v>280</v>
      </c>
      <c r="Q53" s="11" t="s">
        <v>126</v>
      </c>
      <c r="R53" s="11" t="s">
        <v>150</v>
      </c>
      <c r="T53" s="11" t="s">
        <v>125</v>
      </c>
      <c r="U53" s="11" t="s">
        <v>38</v>
      </c>
      <c r="V53" s="11">
        <v>46105</v>
      </c>
      <c r="W53" s="11">
        <v>46111</v>
      </c>
      <c r="AD53" s="11" t="s">
        <v>958</v>
      </c>
      <c r="AE53" s="11" t="s">
        <v>993</v>
      </c>
    </row>
    <row r="54" spans="2:31" x14ac:dyDescent="0.35">
      <c r="B54" s="24" t="s">
        <v>49</v>
      </c>
      <c r="C54" s="12">
        <v>49</v>
      </c>
      <c r="D54" s="11" t="s">
        <v>387</v>
      </c>
      <c r="E54" s="11" t="s">
        <v>388</v>
      </c>
      <c r="F54" s="12" t="s">
        <v>286</v>
      </c>
      <c r="G54" s="12" t="s">
        <v>246</v>
      </c>
      <c r="H54" s="12" t="s">
        <v>246</v>
      </c>
      <c r="I54" s="12" t="s">
        <v>37</v>
      </c>
      <c r="J54" s="12" t="s">
        <v>1015</v>
      </c>
      <c r="K54" s="12" t="s">
        <v>1021</v>
      </c>
      <c r="L54" s="12" t="s">
        <v>247</v>
      </c>
      <c r="N54" s="13" t="s">
        <v>389</v>
      </c>
      <c r="O54" s="11" t="s">
        <v>118</v>
      </c>
      <c r="P54" s="11" t="s">
        <v>323</v>
      </c>
      <c r="Q54" s="11" t="s">
        <v>125</v>
      </c>
      <c r="R54" s="11" t="s">
        <v>150</v>
      </c>
      <c r="S54" s="11" t="s">
        <v>125</v>
      </c>
      <c r="T54" s="11" t="s">
        <v>125</v>
      </c>
      <c r="U54" s="11" t="s">
        <v>38</v>
      </c>
      <c r="V54" s="11">
        <v>46147</v>
      </c>
      <c r="AE54" s="11" t="s">
        <v>993</v>
      </c>
    </row>
    <row r="55" spans="2:31" x14ac:dyDescent="0.35">
      <c r="B55" s="24" t="s">
        <v>49</v>
      </c>
      <c r="C55" s="12">
        <v>50</v>
      </c>
      <c r="D55" s="11" t="s">
        <v>130</v>
      </c>
      <c r="E55" s="11" t="s">
        <v>390</v>
      </c>
      <c r="F55" s="12" t="s">
        <v>286</v>
      </c>
      <c r="G55" s="12" t="s">
        <v>246</v>
      </c>
      <c r="H55" s="12" t="s">
        <v>246</v>
      </c>
      <c r="I55" s="12" t="s">
        <v>37</v>
      </c>
      <c r="J55" s="12" t="s">
        <v>1013</v>
      </c>
      <c r="K55" s="12" t="s">
        <v>118</v>
      </c>
      <c r="L55" s="12" t="s">
        <v>247</v>
      </c>
      <c r="N55" s="13" t="s">
        <v>391</v>
      </c>
      <c r="O55" s="11" t="s">
        <v>118</v>
      </c>
      <c r="P55" s="11" t="s">
        <v>323</v>
      </c>
      <c r="Q55" s="11" t="s">
        <v>126</v>
      </c>
      <c r="R55" s="11" t="s">
        <v>150</v>
      </c>
      <c r="T55" s="11" t="s">
        <v>126</v>
      </c>
      <c r="U55" s="11" t="s">
        <v>992</v>
      </c>
      <c r="AE55" s="11" t="s">
        <v>1768</v>
      </c>
    </row>
    <row r="56" spans="2:31" x14ac:dyDescent="0.35">
      <c r="B56" s="24" t="s">
        <v>295</v>
      </c>
      <c r="C56" s="12">
        <v>51</v>
      </c>
      <c r="D56" s="11" t="s">
        <v>395</v>
      </c>
      <c r="E56" s="11" t="s">
        <v>396</v>
      </c>
      <c r="F56" s="12" t="s">
        <v>295</v>
      </c>
      <c r="G56" s="12" t="s">
        <v>246</v>
      </c>
      <c r="H56" s="12" t="s">
        <v>246</v>
      </c>
      <c r="I56" s="12" t="s">
        <v>37</v>
      </c>
      <c r="J56" s="12" t="s">
        <v>1015</v>
      </c>
      <c r="K56" s="12" t="s">
        <v>1016</v>
      </c>
      <c r="L56" s="12" t="s">
        <v>247</v>
      </c>
      <c r="N56" s="13" t="s">
        <v>960</v>
      </c>
      <c r="O56" s="11" t="s">
        <v>118</v>
      </c>
      <c r="P56" s="11" t="s">
        <v>323</v>
      </c>
      <c r="Q56" s="11" t="s">
        <v>125</v>
      </c>
      <c r="R56" s="11" t="s">
        <v>150</v>
      </c>
      <c r="S56" s="11" t="s">
        <v>125</v>
      </c>
      <c r="T56" s="11" t="s">
        <v>125</v>
      </c>
      <c r="U56" s="11" t="s">
        <v>38</v>
      </c>
      <c r="V56" s="11">
        <v>46105</v>
      </c>
      <c r="W56" s="11">
        <v>46107</v>
      </c>
      <c r="X56" s="11">
        <v>46147</v>
      </c>
      <c r="Y56" s="11">
        <v>46164</v>
      </c>
      <c r="AD56" s="11" t="s">
        <v>961</v>
      </c>
      <c r="AE56" s="11" t="s">
        <v>993</v>
      </c>
    </row>
    <row r="57" spans="2:31" x14ac:dyDescent="0.35">
      <c r="B57" s="24" t="s">
        <v>314</v>
      </c>
      <c r="C57" s="12">
        <v>52</v>
      </c>
      <c r="D57" s="11" t="s">
        <v>999</v>
      </c>
      <c r="E57" s="11" t="s">
        <v>397</v>
      </c>
      <c r="F57" s="12" t="s">
        <v>314</v>
      </c>
      <c r="G57" s="12" t="s">
        <v>246</v>
      </c>
      <c r="H57" s="12" t="s">
        <v>246</v>
      </c>
      <c r="I57" s="12" t="s">
        <v>37</v>
      </c>
      <c r="J57" s="12" t="s">
        <v>1015</v>
      </c>
      <c r="K57" s="12" t="s">
        <v>1016</v>
      </c>
      <c r="L57" s="12" t="s">
        <v>247</v>
      </c>
      <c r="N57" s="13" t="s">
        <v>398</v>
      </c>
      <c r="O57" s="11" t="s">
        <v>118</v>
      </c>
      <c r="P57" s="11" t="s">
        <v>280</v>
      </c>
      <c r="Q57" s="11" t="s">
        <v>126</v>
      </c>
      <c r="R57" s="11" t="s">
        <v>150</v>
      </c>
      <c r="T57" s="11" t="s">
        <v>125</v>
      </c>
      <c r="U57" s="11" t="s">
        <v>1014</v>
      </c>
      <c r="V57" s="11">
        <v>46105</v>
      </c>
      <c r="W57" s="11">
        <v>46118</v>
      </c>
      <c r="X57" s="11">
        <v>46119</v>
      </c>
      <c r="Z57" s="11">
        <v>46119</v>
      </c>
      <c r="AA57" s="11">
        <v>46119</v>
      </c>
      <c r="AB57" s="11" t="s">
        <v>30</v>
      </c>
      <c r="AC57" s="11">
        <v>58</v>
      </c>
      <c r="AD57" s="11" t="s">
        <v>978</v>
      </c>
      <c r="AE57" s="11" t="s">
        <v>993</v>
      </c>
    </row>
    <row r="58" spans="2:31" x14ac:dyDescent="0.35">
      <c r="B58" s="24" t="s">
        <v>283</v>
      </c>
      <c r="C58" s="12">
        <v>53</v>
      </c>
      <c r="D58" s="11" t="s">
        <v>402</v>
      </c>
      <c r="E58" s="11" t="s">
        <v>403</v>
      </c>
      <c r="F58" s="12" t="s">
        <v>283</v>
      </c>
      <c r="G58" s="12" t="s">
        <v>246</v>
      </c>
      <c r="H58" s="12" t="s">
        <v>246</v>
      </c>
      <c r="I58" s="12" t="s">
        <v>37</v>
      </c>
      <c r="J58" s="12" t="s">
        <v>1015</v>
      </c>
      <c r="K58" s="12" t="s">
        <v>1016</v>
      </c>
      <c r="L58" s="12" t="s">
        <v>247</v>
      </c>
      <c r="N58" s="13" t="s">
        <v>404</v>
      </c>
      <c r="O58" s="11" t="s">
        <v>118</v>
      </c>
      <c r="P58" s="11" t="s">
        <v>323</v>
      </c>
      <c r="Q58" s="11" t="s">
        <v>125</v>
      </c>
      <c r="R58" s="11" t="s">
        <v>150</v>
      </c>
      <c r="S58" s="11" t="s">
        <v>125</v>
      </c>
      <c r="T58" s="11" t="s">
        <v>125</v>
      </c>
      <c r="U58" s="11" t="s">
        <v>38</v>
      </c>
      <c r="V58" s="11">
        <v>46147</v>
      </c>
      <c r="AE58" s="11" t="s">
        <v>993</v>
      </c>
    </row>
    <row r="59" spans="2:31" x14ac:dyDescent="0.35">
      <c r="B59" s="24" t="s">
        <v>49</v>
      </c>
      <c r="C59" s="12">
        <v>54</v>
      </c>
      <c r="D59" s="11" t="s">
        <v>405</v>
      </c>
      <c r="E59" s="11" t="s">
        <v>406</v>
      </c>
      <c r="F59" s="12" t="s">
        <v>407</v>
      </c>
      <c r="G59" s="12" t="s">
        <v>246</v>
      </c>
      <c r="H59" s="12" t="s">
        <v>246</v>
      </c>
      <c r="I59" s="12" t="s">
        <v>37</v>
      </c>
      <c r="J59" s="12" t="s">
        <v>1015</v>
      </c>
      <c r="K59" s="12" t="s">
        <v>1016</v>
      </c>
      <c r="L59" s="12" t="s">
        <v>247</v>
      </c>
      <c r="N59" s="13" t="s">
        <v>408</v>
      </c>
      <c r="O59" s="11" t="s">
        <v>118</v>
      </c>
      <c r="P59" s="11" t="s">
        <v>323</v>
      </c>
      <c r="Q59" s="11" t="s">
        <v>126</v>
      </c>
      <c r="R59" s="11" t="s">
        <v>150</v>
      </c>
      <c r="T59" s="11" t="s">
        <v>126</v>
      </c>
      <c r="U59" s="11" t="s">
        <v>992</v>
      </c>
      <c r="AE59" s="11" t="s">
        <v>1768</v>
      </c>
    </row>
    <row r="60" spans="2:31" x14ac:dyDescent="0.35">
      <c r="B60" s="24" t="s">
        <v>49</v>
      </c>
      <c r="C60" s="12">
        <v>55</v>
      </c>
      <c r="D60" s="11" t="s">
        <v>409</v>
      </c>
      <c r="E60" s="11" t="s">
        <v>410</v>
      </c>
      <c r="F60" s="12" t="s">
        <v>411</v>
      </c>
      <c r="G60" s="12" t="s">
        <v>246</v>
      </c>
      <c r="H60" s="12" t="s">
        <v>246</v>
      </c>
      <c r="I60" s="12" t="s">
        <v>37</v>
      </c>
      <c r="J60" s="12" t="s">
        <v>1015</v>
      </c>
      <c r="K60" s="12" t="s">
        <v>1021</v>
      </c>
      <c r="L60" s="12" t="s">
        <v>247</v>
      </c>
      <c r="N60" s="13" t="s">
        <v>1151</v>
      </c>
      <c r="O60" s="11" t="s">
        <v>118</v>
      </c>
      <c r="P60" s="11" t="s">
        <v>323</v>
      </c>
      <c r="Q60" s="11" t="s">
        <v>126</v>
      </c>
      <c r="R60" s="11" t="s">
        <v>150</v>
      </c>
      <c r="T60" s="11" t="s">
        <v>126</v>
      </c>
      <c r="U60" s="11" t="s">
        <v>992</v>
      </c>
      <c r="AE60" s="11" t="s">
        <v>1768</v>
      </c>
    </row>
    <row r="61" spans="2:31" x14ac:dyDescent="0.35">
      <c r="B61" s="24" t="s">
        <v>308</v>
      </c>
      <c r="C61" s="12">
        <v>56</v>
      </c>
      <c r="D61" s="11" t="s">
        <v>414</v>
      </c>
      <c r="E61" s="11" t="s">
        <v>415</v>
      </c>
      <c r="F61" s="12" t="s">
        <v>308</v>
      </c>
      <c r="G61" s="12" t="s">
        <v>246</v>
      </c>
      <c r="H61" s="12" t="s">
        <v>246</v>
      </c>
      <c r="I61" s="12" t="s">
        <v>60</v>
      </c>
      <c r="J61" s="12" t="s">
        <v>1025</v>
      </c>
      <c r="K61" s="12" t="s">
        <v>118</v>
      </c>
      <c r="L61" s="12" t="s">
        <v>247</v>
      </c>
      <c r="N61" s="13" t="s">
        <v>417</v>
      </c>
      <c r="O61" s="11" t="s">
        <v>118</v>
      </c>
      <c r="P61" s="11" t="s">
        <v>323</v>
      </c>
      <c r="Q61" s="11" t="s">
        <v>126</v>
      </c>
      <c r="R61" s="11" t="s">
        <v>150</v>
      </c>
      <c r="T61" s="11" t="s">
        <v>125</v>
      </c>
      <c r="U61" s="11" t="s">
        <v>1014</v>
      </c>
      <c r="V61" s="11">
        <v>46105</v>
      </c>
      <c r="W61" s="11">
        <v>46106</v>
      </c>
      <c r="Z61" s="11">
        <v>46113</v>
      </c>
      <c r="AA61" s="11">
        <v>46113</v>
      </c>
      <c r="AB61" s="11" t="s">
        <v>30</v>
      </c>
      <c r="AC61" s="11">
        <v>34</v>
      </c>
      <c r="AD61" s="11" t="s">
        <v>962</v>
      </c>
      <c r="AE61" s="11" t="s">
        <v>993</v>
      </c>
    </row>
    <row r="62" spans="2:31" x14ac:dyDescent="0.35">
      <c r="B62" s="24" t="s">
        <v>49</v>
      </c>
      <c r="C62" s="12">
        <v>57</v>
      </c>
      <c r="D62" s="11" t="s">
        <v>418</v>
      </c>
      <c r="E62" s="11" t="s">
        <v>1414</v>
      </c>
      <c r="F62" s="12" t="s">
        <v>49</v>
      </c>
      <c r="G62" s="12" t="s">
        <v>246</v>
      </c>
      <c r="H62" s="12" t="s">
        <v>246</v>
      </c>
      <c r="I62" s="12" t="s">
        <v>37</v>
      </c>
      <c r="J62" s="12" t="s">
        <v>1015</v>
      </c>
      <c r="K62" s="12" t="s">
        <v>1019</v>
      </c>
      <c r="L62" s="12" t="s">
        <v>247</v>
      </c>
      <c r="N62" s="13" t="s">
        <v>420</v>
      </c>
      <c r="O62" s="11" t="s">
        <v>118</v>
      </c>
      <c r="P62" s="11" t="s">
        <v>323</v>
      </c>
      <c r="Q62" s="11" t="s">
        <v>126</v>
      </c>
      <c r="R62" s="11" t="s">
        <v>150</v>
      </c>
      <c r="T62" s="11" t="s">
        <v>125</v>
      </c>
      <c r="U62" s="11" t="s">
        <v>1014</v>
      </c>
      <c r="V62" s="11">
        <v>46106</v>
      </c>
      <c r="Z62" s="11">
        <v>46136</v>
      </c>
      <c r="AA62" s="11">
        <v>46136</v>
      </c>
      <c r="AB62" s="11" t="s">
        <v>30</v>
      </c>
      <c r="AC62" s="11">
        <v>42</v>
      </c>
      <c r="AD62" s="11" t="s">
        <v>1415</v>
      </c>
      <c r="AE62" s="11" t="s">
        <v>993</v>
      </c>
    </row>
    <row r="63" spans="2:31" x14ac:dyDescent="0.35">
      <c r="B63" s="24" t="s">
        <v>278</v>
      </c>
      <c r="C63" s="12">
        <v>58</v>
      </c>
      <c r="D63" s="11" t="s">
        <v>421</v>
      </c>
      <c r="E63" s="11" t="s">
        <v>415</v>
      </c>
      <c r="F63" s="12" t="s">
        <v>278</v>
      </c>
      <c r="G63" s="12" t="s">
        <v>246</v>
      </c>
      <c r="H63" s="12" t="s">
        <v>246</v>
      </c>
      <c r="I63" s="12" t="s">
        <v>60</v>
      </c>
      <c r="J63" s="12" t="s">
        <v>1025</v>
      </c>
      <c r="K63" s="12" t="s">
        <v>118</v>
      </c>
      <c r="L63" s="12" t="s">
        <v>247</v>
      </c>
      <c r="N63" s="13" t="s">
        <v>422</v>
      </c>
      <c r="O63" s="11" t="s">
        <v>118</v>
      </c>
      <c r="P63" s="11" t="s">
        <v>323</v>
      </c>
      <c r="Q63" s="11" t="s">
        <v>125</v>
      </c>
      <c r="R63" s="11" t="s">
        <v>150</v>
      </c>
      <c r="T63" s="11" t="s">
        <v>125</v>
      </c>
      <c r="U63" s="11" t="s">
        <v>38</v>
      </c>
      <c r="AE63" s="11" t="s">
        <v>993</v>
      </c>
    </row>
    <row r="64" spans="2:31" x14ac:dyDescent="0.35">
      <c r="B64" s="24" t="s">
        <v>49</v>
      </c>
      <c r="C64" s="12">
        <v>59</v>
      </c>
      <c r="D64" s="11" t="s">
        <v>423</v>
      </c>
      <c r="E64" s="11" t="s">
        <v>415</v>
      </c>
      <c r="F64" s="12" t="s">
        <v>424</v>
      </c>
      <c r="G64" s="12" t="s">
        <v>246</v>
      </c>
      <c r="H64" s="12" t="s">
        <v>246</v>
      </c>
      <c r="I64" s="12" t="s">
        <v>60</v>
      </c>
      <c r="J64" s="12" t="s">
        <v>1025</v>
      </c>
      <c r="K64" s="12" t="s">
        <v>118</v>
      </c>
      <c r="L64" s="12" t="s">
        <v>247</v>
      </c>
      <c r="N64" s="13" t="s">
        <v>425</v>
      </c>
      <c r="O64" s="11" t="s">
        <v>118</v>
      </c>
      <c r="P64" s="11" t="s">
        <v>323</v>
      </c>
      <c r="Q64" s="11" t="s">
        <v>125</v>
      </c>
      <c r="R64" s="11" t="s">
        <v>150</v>
      </c>
      <c r="S64" s="11" t="s">
        <v>125</v>
      </c>
      <c r="T64" s="11" t="s">
        <v>125</v>
      </c>
      <c r="U64" s="11" t="s">
        <v>38</v>
      </c>
      <c r="AE64" s="11" t="s">
        <v>993</v>
      </c>
    </row>
    <row r="65" spans="2:31" x14ac:dyDescent="0.35">
      <c r="B65" s="24" t="s">
        <v>295</v>
      </c>
      <c r="C65" s="12">
        <v>60</v>
      </c>
      <c r="D65" s="11" t="s">
        <v>426</v>
      </c>
      <c r="E65" s="11" t="s">
        <v>415</v>
      </c>
      <c r="F65" s="12" t="s">
        <v>295</v>
      </c>
      <c r="G65" s="12" t="s">
        <v>246</v>
      </c>
      <c r="H65" s="12" t="s">
        <v>246</v>
      </c>
      <c r="I65" s="12" t="s">
        <v>37</v>
      </c>
      <c r="J65" s="12" t="s">
        <v>1025</v>
      </c>
      <c r="K65" s="12" t="s">
        <v>118</v>
      </c>
      <c r="L65" s="12" t="s">
        <v>247</v>
      </c>
      <c r="N65" s="13" t="s">
        <v>427</v>
      </c>
      <c r="O65" s="11" t="s">
        <v>118</v>
      </c>
      <c r="P65" s="11" t="s">
        <v>323</v>
      </c>
      <c r="Q65" s="11" t="s">
        <v>126</v>
      </c>
      <c r="R65" s="11" t="s">
        <v>150</v>
      </c>
      <c r="T65" s="11" t="s">
        <v>126</v>
      </c>
      <c r="U65" s="11" t="s">
        <v>992</v>
      </c>
      <c r="AE65" s="11" t="s">
        <v>1768</v>
      </c>
    </row>
    <row r="66" spans="2:31" x14ac:dyDescent="0.35">
      <c r="B66" s="24" t="s">
        <v>295</v>
      </c>
      <c r="C66" s="12">
        <v>61</v>
      </c>
      <c r="D66" s="11" t="s">
        <v>428</v>
      </c>
      <c r="E66" s="11" t="s">
        <v>429</v>
      </c>
      <c r="F66" s="12" t="s">
        <v>295</v>
      </c>
      <c r="G66" s="12" t="s">
        <v>246</v>
      </c>
      <c r="H66" s="12" t="s">
        <v>246</v>
      </c>
      <c r="I66" s="12" t="s">
        <v>430</v>
      </c>
      <c r="J66" s="12" t="s">
        <v>20</v>
      </c>
      <c r="K66" s="12" t="s">
        <v>1022</v>
      </c>
      <c r="L66" s="12" t="s">
        <v>247</v>
      </c>
      <c r="N66" s="13" t="s">
        <v>431</v>
      </c>
      <c r="O66" s="11" t="s">
        <v>432</v>
      </c>
      <c r="P66" s="11" t="s">
        <v>433</v>
      </c>
      <c r="Q66" s="11" t="s">
        <v>125</v>
      </c>
      <c r="R66" s="11" t="s">
        <v>150</v>
      </c>
      <c r="T66" s="11" t="s">
        <v>125</v>
      </c>
      <c r="U66" s="11" t="s">
        <v>38</v>
      </c>
      <c r="V66" s="11">
        <v>46105</v>
      </c>
      <c r="W66" s="11">
        <v>46164</v>
      </c>
      <c r="AD66" s="11" t="s">
        <v>1249</v>
      </c>
      <c r="AE66" s="11" t="s">
        <v>993</v>
      </c>
    </row>
    <row r="67" spans="2:31" x14ac:dyDescent="0.35">
      <c r="B67" s="24" t="s">
        <v>49</v>
      </c>
      <c r="C67" s="12">
        <v>62</v>
      </c>
      <c r="D67" s="11" t="s">
        <v>434</v>
      </c>
      <c r="E67" s="11" t="s">
        <v>429</v>
      </c>
      <c r="F67" s="12" t="s">
        <v>435</v>
      </c>
      <c r="G67" s="12" t="s">
        <v>246</v>
      </c>
      <c r="H67" s="12" t="s">
        <v>246</v>
      </c>
      <c r="I67" s="12" t="s">
        <v>430</v>
      </c>
      <c r="J67" s="12" t="s">
        <v>20</v>
      </c>
      <c r="K67" s="12" t="s">
        <v>1023</v>
      </c>
      <c r="L67" s="12" t="s">
        <v>247</v>
      </c>
      <c r="N67" s="13" t="s">
        <v>436</v>
      </c>
      <c r="O67" s="11" t="s">
        <v>432</v>
      </c>
      <c r="P67" s="11" t="s">
        <v>433</v>
      </c>
      <c r="Q67" s="11" t="s">
        <v>125</v>
      </c>
      <c r="R67" s="11" t="s">
        <v>150</v>
      </c>
      <c r="S67" s="11" t="s">
        <v>125</v>
      </c>
      <c r="T67" s="11" t="s">
        <v>125</v>
      </c>
      <c r="U67" s="11" t="s">
        <v>38</v>
      </c>
      <c r="V67" s="11">
        <v>46147</v>
      </c>
      <c r="AD67" s="11" t="s">
        <v>1155</v>
      </c>
      <c r="AE67" s="11" t="s">
        <v>993</v>
      </c>
    </row>
    <row r="68" spans="2:31" x14ac:dyDescent="0.35">
      <c r="B68" s="24" t="s">
        <v>308</v>
      </c>
      <c r="C68" s="12">
        <v>63</v>
      </c>
      <c r="D68" s="11" t="s">
        <v>218</v>
      </c>
      <c r="E68" s="11" t="s">
        <v>429</v>
      </c>
      <c r="F68" s="12" t="s">
        <v>308</v>
      </c>
      <c r="G68" s="12" t="s">
        <v>275</v>
      </c>
      <c r="H68" s="12" t="s">
        <v>126</v>
      </c>
      <c r="I68" s="12" t="s">
        <v>430</v>
      </c>
      <c r="J68" s="12" t="s">
        <v>20</v>
      </c>
      <c r="K68" s="12" t="s">
        <v>1022</v>
      </c>
      <c r="L68" s="12" t="s">
        <v>247</v>
      </c>
      <c r="N68" s="13" t="s">
        <v>437</v>
      </c>
      <c r="O68" s="11" t="s">
        <v>432</v>
      </c>
      <c r="P68" s="11" t="s">
        <v>433</v>
      </c>
      <c r="Q68" s="11" t="s">
        <v>125</v>
      </c>
      <c r="R68" s="11" t="s">
        <v>150</v>
      </c>
      <c r="T68" s="11" t="s">
        <v>125</v>
      </c>
      <c r="U68" s="11" t="s">
        <v>38</v>
      </c>
      <c r="V68" s="11">
        <v>46105</v>
      </c>
      <c r="W68" s="11">
        <v>46147</v>
      </c>
      <c r="AD68" s="11" t="s">
        <v>963</v>
      </c>
      <c r="AE68" s="11" t="s">
        <v>993</v>
      </c>
    </row>
    <row r="69" spans="2:31" x14ac:dyDescent="0.35">
      <c r="B69" s="24" t="s">
        <v>49</v>
      </c>
      <c r="C69" s="12">
        <v>64</v>
      </c>
      <c r="D69" s="11" t="s">
        <v>438</v>
      </c>
      <c r="E69" s="11" t="s">
        <v>429</v>
      </c>
      <c r="F69" s="12" t="s">
        <v>439</v>
      </c>
      <c r="G69" s="12" t="s">
        <v>246</v>
      </c>
      <c r="H69" s="12" t="s">
        <v>246</v>
      </c>
      <c r="I69" s="12" t="s">
        <v>430</v>
      </c>
      <c r="J69" s="12" t="s">
        <v>20</v>
      </c>
      <c r="K69" s="12" t="s">
        <v>1022</v>
      </c>
      <c r="L69" s="12" t="s">
        <v>247</v>
      </c>
      <c r="N69" s="13" t="s">
        <v>440</v>
      </c>
      <c r="O69" s="11" t="s">
        <v>432</v>
      </c>
      <c r="P69" s="11" t="s">
        <v>433</v>
      </c>
      <c r="Q69" s="11" t="s">
        <v>125</v>
      </c>
      <c r="R69" s="11" t="s">
        <v>150</v>
      </c>
      <c r="T69" s="11" t="s">
        <v>125</v>
      </c>
      <c r="U69" s="11" t="s">
        <v>38</v>
      </c>
      <c r="V69" s="11">
        <v>46101</v>
      </c>
      <c r="W69" s="11">
        <v>46105</v>
      </c>
      <c r="AD69" s="11" t="s">
        <v>963</v>
      </c>
      <c r="AE69" s="11" t="s">
        <v>993</v>
      </c>
    </row>
    <row r="70" spans="2:31" x14ac:dyDescent="0.35">
      <c r="B70" s="24" t="s">
        <v>49</v>
      </c>
      <c r="C70" s="12">
        <v>65</v>
      </c>
      <c r="D70" s="11" t="s">
        <v>441</v>
      </c>
      <c r="E70" s="11" t="s">
        <v>429</v>
      </c>
      <c r="F70" s="12" t="s">
        <v>442</v>
      </c>
      <c r="G70" s="12" t="s">
        <v>246</v>
      </c>
      <c r="H70" s="12" t="s">
        <v>246</v>
      </c>
      <c r="I70" s="12" t="s">
        <v>430</v>
      </c>
      <c r="J70" s="12" t="s">
        <v>20</v>
      </c>
      <c r="K70" s="12" t="s">
        <v>1022</v>
      </c>
      <c r="L70" s="12" t="s">
        <v>247</v>
      </c>
      <c r="N70" s="13" t="s">
        <v>443</v>
      </c>
      <c r="O70" s="11" t="s">
        <v>432</v>
      </c>
      <c r="P70" s="11" t="s">
        <v>433</v>
      </c>
      <c r="Q70" s="11" t="s">
        <v>125</v>
      </c>
      <c r="R70" s="11" t="s">
        <v>150</v>
      </c>
      <c r="S70" s="11" t="s">
        <v>125</v>
      </c>
      <c r="T70" s="11" t="s">
        <v>125</v>
      </c>
      <c r="U70" s="11" t="s">
        <v>38</v>
      </c>
      <c r="V70" s="11">
        <v>46147</v>
      </c>
      <c r="AE70" s="11" t="s">
        <v>993</v>
      </c>
    </row>
    <row r="71" spans="2:31" x14ac:dyDescent="0.35">
      <c r="B71" s="24" t="s">
        <v>311</v>
      </c>
      <c r="C71" s="12">
        <v>66</v>
      </c>
      <c r="D71" s="11" t="s">
        <v>444</v>
      </c>
      <c r="E71" s="11" t="s">
        <v>429</v>
      </c>
      <c r="F71" s="12" t="s">
        <v>311</v>
      </c>
      <c r="G71" s="12" t="s">
        <v>246</v>
      </c>
      <c r="H71" s="12" t="s">
        <v>246</v>
      </c>
      <c r="I71" s="12" t="s">
        <v>430</v>
      </c>
      <c r="J71" s="12" t="s">
        <v>20</v>
      </c>
      <c r="K71" s="12" t="s">
        <v>1023</v>
      </c>
      <c r="L71" s="12" t="s">
        <v>247</v>
      </c>
      <c r="N71" s="13" t="s">
        <v>445</v>
      </c>
      <c r="O71" s="11" t="s">
        <v>432</v>
      </c>
      <c r="P71" s="11" t="s">
        <v>433</v>
      </c>
      <c r="Q71" s="11" t="s">
        <v>125</v>
      </c>
      <c r="R71" s="11" t="s">
        <v>150</v>
      </c>
      <c r="S71" s="11" t="s">
        <v>125</v>
      </c>
      <c r="T71" s="11" t="s">
        <v>125</v>
      </c>
      <c r="U71" s="11" t="s">
        <v>38</v>
      </c>
      <c r="V71" s="11">
        <v>46147</v>
      </c>
      <c r="W71" s="11">
        <v>46162</v>
      </c>
      <c r="AD71" s="11" t="s">
        <v>1250</v>
      </c>
      <c r="AE71" s="11" t="s">
        <v>993</v>
      </c>
    </row>
    <row r="72" spans="2:31" x14ac:dyDescent="0.35">
      <c r="B72" s="24" t="s">
        <v>49</v>
      </c>
      <c r="C72" s="12">
        <v>67</v>
      </c>
      <c r="D72" s="11" t="s">
        <v>446</v>
      </c>
      <c r="E72" s="11" t="s">
        <v>429</v>
      </c>
      <c r="F72" s="12" t="s">
        <v>447</v>
      </c>
      <c r="G72" s="12" t="s">
        <v>246</v>
      </c>
      <c r="H72" s="12" t="s">
        <v>246</v>
      </c>
      <c r="I72" s="12" t="s">
        <v>430</v>
      </c>
      <c r="J72" s="12" t="s">
        <v>20</v>
      </c>
      <c r="K72" s="12" t="s">
        <v>1023</v>
      </c>
      <c r="L72" s="12" t="s">
        <v>247</v>
      </c>
      <c r="N72" s="13" t="s">
        <v>448</v>
      </c>
      <c r="O72" s="11" t="s">
        <v>432</v>
      </c>
      <c r="P72" s="11" t="s">
        <v>433</v>
      </c>
      <c r="Q72" s="11" t="s">
        <v>125</v>
      </c>
      <c r="R72" s="11" t="s">
        <v>150</v>
      </c>
      <c r="S72" s="11" t="s">
        <v>125</v>
      </c>
      <c r="T72" s="11" t="s">
        <v>125</v>
      </c>
      <c r="U72" s="11" t="s">
        <v>38</v>
      </c>
      <c r="V72" s="11">
        <v>46147</v>
      </c>
      <c r="W72" s="11">
        <v>46162</v>
      </c>
      <c r="AD72" s="11" t="s">
        <v>1250</v>
      </c>
      <c r="AE72" s="11" t="s">
        <v>993</v>
      </c>
    </row>
    <row r="73" spans="2:31" x14ac:dyDescent="0.35">
      <c r="B73" s="24" t="s">
        <v>49</v>
      </c>
      <c r="C73" s="12">
        <v>68</v>
      </c>
      <c r="D73" s="11" t="s">
        <v>449</v>
      </c>
      <c r="E73" s="11" t="s">
        <v>429</v>
      </c>
      <c r="F73" s="12" t="s">
        <v>450</v>
      </c>
      <c r="G73" s="12" t="s">
        <v>246</v>
      </c>
      <c r="H73" s="12" t="s">
        <v>246</v>
      </c>
      <c r="I73" s="12" t="s">
        <v>430</v>
      </c>
      <c r="J73" s="12" t="s">
        <v>20</v>
      </c>
      <c r="K73" s="12" t="s">
        <v>1023</v>
      </c>
      <c r="L73" s="12" t="s">
        <v>247</v>
      </c>
      <c r="N73" s="13" t="s">
        <v>451</v>
      </c>
      <c r="O73" s="11" t="s">
        <v>432</v>
      </c>
      <c r="P73" s="11" t="s">
        <v>433</v>
      </c>
      <c r="Q73" s="11" t="s">
        <v>125</v>
      </c>
      <c r="R73" s="11" t="s">
        <v>150</v>
      </c>
      <c r="S73" s="11" t="s">
        <v>125</v>
      </c>
      <c r="T73" s="11" t="s">
        <v>125</v>
      </c>
      <c r="U73" s="11" t="s">
        <v>38</v>
      </c>
      <c r="V73" s="11">
        <v>46147</v>
      </c>
      <c r="W73" s="11">
        <v>46162</v>
      </c>
      <c r="AD73" s="11" t="s">
        <v>1251</v>
      </c>
      <c r="AE73" s="11" t="s">
        <v>993</v>
      </c>
    </row>
    <row r="74" spans="2:31" x14ac:dyDescent="0.35">
      <c r="B74" s="24" t="s">
        <v>291</v>
      </c>
      <c r="C74" s="12">
        <v>69</v>
      </c>
      <c r="D74" s="11" t="s">
        <v>452</v>
      </c>
      <c r="E74" s="11" t="s">
        <v>429</v>
      </c>
      <c r="F74" s="12" t="s">
        <v>291</v>
      </c>
      <c r="G74" s="12" t="s">
        <v>246</v>
      </c>
      <c r="H74" s="12" t="s">
        <v>246</v>
      </c>
      <c r="I74" s="12" t="s">
        <v>430</v>
      </c>
      <c r="J74" s="12" t="s">
        <v>20</v>
      </c>
      <c r="K74" s="12" t="s">
        <v>1023</v>
      </c>
      <c r="L74" s="12" t="s">
        <v>247</v>
      </c>
      <c r="N74" s="13" t="s">
        <v>453</v>
      </c>
      <c r="O74" s="11" t="s">
        <v>432</v>
      </c>
      <c r="P74" s="11" t="s">
        <v>433</v>
      </c>
      <c r="Q74" s="11" t="s">
        <v>125</v>
      </c>
      <c r="R74" s="11" t="s">
        <v>150</v>
      </c>
      <c r="S74" s="11" t="s">
        <v>125</v>
      </c>
      <c r="T74" s="11" t="s">
        <v>125</v>
      </c>
      <c r="U74" s="11" t="s">
        <v>38</v>
      </c>
      <c r="V74" s="11">
        <v>46147</v>
      </c>
      <c r="W74" s="11">
        <v>46162</v>
      </c>
      <c r="AD74" s="11" t="s">
        <v>1251</v>
      </c>
      <c r="AE74" s="11" t="s">
        <v>993</v>
      </c>
    </row>
    <row r="75" spans="2:31" x14ac:dyDescent="0.35">
      <c r="B75" s="24" t="s">
        <v>291</v>
      </c>
      <c r="C75" s="12">
        <v>70</v>
      </c>
      <c r="D75" s="11" t="s">
        <v>454</v>
      </c>
      <c r="E75" s="11" t="s">
        <v>429</v>
      </c>
      <c r="F75" s="12" t="s">
        <v>291</v>
      </c>
      <c r="G75" s="12" t="s">
        <v>246</v>
      </c>
      <c r="H75" s="12" t="s">
        <v>246</v>
      </c>
      <c r="I75" s="12" t="s">
        <v>430</v>
      </c>
      <c r="J75" s="12" t="s">
        <v>20</v>
      </c>
      <c r="K75" s="12" t="s">
        <v>1023</v>
      </c>
      <c r="L75" s="12" t="s">
        <v>247</v>
      </c>
      <c r="N75" s="13" t="s">
        <v>455</v>
      </c>
      <c r="O75" s="11" t="s">
        <v>432</v>
      </c>
      <c r="P75" s="11" t="s">
        <v>433</v>
      </c>
      <c r="Q75" s="11" t="s">
        <v>125</v>
      </c>
      <c r="R75" s="11" t="s">
        <v>150</v>
      </c>
      <c r="S75" s="11" t="s">
        <v>125</v>
      </c>
      <c r="T75" s="11" t="s">
        <v>125</v>
      </c>
      <c r="U75" s="11" t="s">
        <v>38</v>
      </c>
      <c r="V75" s="11">
        <v>46147</v>
      </c>
      <c r="AE75" s="11" t="s">
        <v>993</v>
      </c>
    </row>
    <row r="76" spans="2:31" x14ac:dyDescent="0.35">
      <c r="B76" s="24" t="s">
        <v>291</v>
      </c>
      <c r="C76" s="12">
        <v>71</v>
      </c>
      <c r="D76" s="11" t="s">
        <v>456</v>
      </c>
      <c r="E76" s="11" t="s">
        <v>429</v>
      </c>
      <c r="F76" s="12" t="s">
        <v>291</v>
      </c>
      <c r="G76" s="12" t="s">
        <v>246</v>
      </c>
      <c r="H76" s="12" t="s">
        <v>246</v>
      </c>
      <c r="I76" s="12" t="s">
        <v>430</v>
      </c>
      <c r="J76" s="12" t="s">
        <v>20</v>
      </c>
      <c r="K76" s="12" t="s">
        <v>1023</v>
      </c>
      <c r="L76" s="12" t="s">
        <v>247</v>
      </c>
      <c r="N76" s="13" t="s">
        <v>457</v>
      </c>
      <c r="O76" s="11" t="s">
        <v>432</v>
      </c>
      <c r="P76" s="11" t="s">
        <v>433</v>
      </c>
      <c r="Q76" s="11" t="s">
        <v>125</v>
      </c>
      <c r="R76" s="11" t="s">
        <v>150</v>
      </c>
      <c r="S76" s="11" t="s">
        <v>125</v>
      </c>
      <c r="T76" s="11" t="s">
        <v>125</v>
      </c>
      <c r="U76" s="11" t="s">
        <v>38</v>
      </c>
      <c r="V76" s="11">
        <v>46147</v>
      </c>
      <c r="AE76" s="11" t="s">
        <v>993</v>
      </c>
    </row>
    <row r="77" spans="2:31" x14ac:dyDescent="0.35">
      <c r="B77" s="24" t="s">
        <v>291</v>
      </c>
      <c r="C77" s="12">
        <v>72</v>
      </c>
      <c r="D77" s="11" t="s">
        <v>458</v>
      </c>
      <c r="E77" s="11" t="s">
        <v>429</v>
      </c>
      <c r="F77" s="12" t="s">
        <v>291</v>
      </c>
      <c r="G77" s="12" t="s">
        <v>246</v>
      </c>
      <c r="H77" s="12" t="s">
        <v>246</v>
      </c>
      <c r="I77" s="12" t="s">
        <v>430</v>
      </c>
      <c r="J77" s="12" t="s">
        <v>20</v>
      </c>
      <c r="K77" s="12" t="s">
        <v>1022</v>
      </c>
      <c r="L77" s="12" t="s">
        <v>247</v>
      </c>
      <c r="N77" s="13" t="s">
        <v>459</v>
      </c>
      <c r="O77" s="11" t="s">
        <v>432</v>
      </c>
      <c r="P77" s="11" t="s">
        <v>433</v>
      </c>
      <c r="Q77" s="11" t="s">
        <v>125</v>
      </c>
      <c r="R77" s="11" t="s">
        <v>150</v>
      </c>
      <c r="S77" s="11" t="s">
        <v>125</v>
      </c>
      <c r="T77" s="11" t="s">
        <v>125</v>
      </c>
      <c r="U77" s="11" t="s">
        <v>38</v>
      </c>
      <c r="V77" s="11">
        <v>46101</v>
      </c>
      <c r="W77" s="11">
        <v>46147</v>
      </c>
      <c r="AD77" s="11" t="s">
        <v>964</v>
      </c>
      <c r="AE77" s="11" t="s">
        <v>993</v>
      </c>
    </row>
    <row r="78" spans="2:31" x14ac:dyDescent="0.35">
      <c r="B78" s="24" t="s">
        <v>278</v>
      </c>
      <c r="C78" s="12">
        <v>73</v>
      </c>
      <c r="D78" s="11" t="s">
        <v>460</v>
      </c>
      <c r="E78" s="11" t="s">
        <v>429</v>
      </c>
      <c r="F78" s="12" t="s">
        <v>278</v>
      </c>
      <c r="G78" s="12" t="s">
        <v>246</v>
      </c>
      <c r="H78" s="12" t="s">
        <v>246</v>
      </c>
      <c r="I78" s="12" t="s">
        <v>430</v>
      </c>
      <c r="J78" s="12" t="s">
        <v>20</v>
      </c>
      <c r="K78" s="12" t="s">
        <v>1023</v>
      </c>
      <c r="L78" s="12" t="s">
        <v>247</v>
      </c>
      <c r="N78" s="13" t="s">
        <v>461</v>
      </c>
      <c r="O78" s="11" t="s">
        <v>432</v>
      </c>
      <c r="P78" s="11" t="s">
        <v>433</v>
      </c>
      <c r="Q78" s="11" t="s">
        <v>125</v>
      </c>
      <c r="R78" s="11" t="s">
        <v>150</v>
      </c>
      <c r="S78" s="11" t="s">
        <v>125</v>
      </c>
      <c r="T78" s="11" t="s">
        <v>125</v>
      </c>
      <c r="U78" s="11" t="s">
        <v>38</v>
      </c>
      <c r="V78" s="11">
        <v>46147</v>
      </c>
      <c r="AE78" s="11" t="s">
        <v>993</v>
      </c>
    </row>
    <row r="79" spans="2:31" x14ac:dyDescent="0.35">
      <c r="B79" s="24" t="s">
        <v>278</v>
      </c>
      <c r="C79" s="12">
        <v>74</v>
      </c>
      <c r="D79" s="11" t="s">
        <v>462</v>
      </c>
      <c r="E79" s="11" t="s">
        <v>429</v>
      </c>
      <c r="F79" s="12" t="s">
        <v>278</v>
      </c>
      <c r="G79" s="12" t="s">
        <v>246</v>
      </c>
      <c r="H79" s="12" t="s">
        <v>246</v>
      </c>
      <c r="I79" s="12" t="s">
        <v>430</v>
      </c>
      <c r="J79" s="12" t="s">
        <v>20</v>
      </c>
      <c r="K79" s="12" t="s">
        <v>1023</v>
      </c>
      <c r="L79" s="12" t="s">
        <v>247</v>
      </c>
      <c r="N79" s="13" t="s">
        <v>463</v>
      </c>
      <c r="O79" s="11" t="s">
        <v>432</v>
      </c>
      <c r="P79" s="11" t="s">
        <v>433</v>
      </c>
      <c r="Q79" s="11" t="s">
        <v>125</v>
      </c>
      <c r="R79" s="11" t="s">
        <v>150</v>
      </c>
      <c r="S79" s="11" t="s">
        <v>125</v>
      </c>
      <c r="T79" s="11" t="s">
        <v>125</v>
      </c>
      <c r="U79" s="11" t="s">
        <v>38</v>
      </c>
      <c r="V79" s="11">
        <v>46147</v>
      </c>
      <c r="AE79" s="11" t="s">
        <v>993</v>
      </c>
    </row>
    <row r="80" spans="2:31" x14ac:dyDescent="0.35">
      <c r="B80" s="24" t="s">
        <v>278</v>
      </c>
      <c r="C80" s="12">
        <v>75</v>
      </c>
      <c r="D80" s="11" t="s">
        <v>464</v>
      </c>
      <c r="E80" s="11" t="s">
        <v>429</v>
      </c>
      <c r="F80" s="12" t="s">
        <v>278</v>
      </c>
      <c r="G80" s="12" t="s">
        <v>246</v>
      </c>
      <c r="H80" s="12" t="s">
        <v>246</v>
      </c>
      <c r="I80" s="12" t="s">
        <v>430</v>
      </c>
      <c r="J80" s="12" t="s">
        <v>20</v>
      </c>
      <c r="K80" s="12" t="s">
        <v>1023</v>
      </c>
      <c r="L80" s="12" t="s">
        <v>247</v>
      </c>
      <c r="N80" s="13" t="s">
        <v>465</v>
      </c>
      <c r="O80" s="11" t="s">
        <v>432</v>
      </c>
      <c r="P80" s="11" t="s">
        <v>433</v>
      </c>
      <c r="Q80" s="11" t="s">
        <v>125</v>
      </c>
      <c r="R80" s="11" t="s">
        <v>150</v>
      </c>
      <c r="T80" s="11" t="s">
        <v>126</v>
      </c>
      <c r="U80" s="11" t="s">
        <v>992</v>
      </c>
      <c r="AE80" s="11" t="s">
        <v>1768</v>
      </c>
    </row>
    <row r="81" spans="2:31" x14ac:dyDescent="0.35">
      <c r="B81" s="24" t="s">
        <v>283</v>
      </c>
      <c r="C81" s="12">
        <v>76</v>
      </c>
      <c r="D81" s="11" t="s">
        <v>466</v>
      </c>
      <c r="E81" s="11" t="s">
        <v>429</v>
      </c>
      <c r="F81" s="12" t="s">
        <v>283</v>
      </c>
      <c r="G81" s="12" t="s">
        <v>246</v>
      </c>
      <c r="H81" s="12" t="s">
        <v>246</v>
      </c>
      <c r="I81" s="12" t="s">
        <v>430</v>
      </c>
      <c r="J81" s="12" t="s">
        <v>20</v>
      </c>
      <c r="K81" s="12" t="s">
        <v>1022</v>
      </c>
      <c r="L81" s="12" t="s">
        <v>247</v>
      </c>
      <c r="N81" s="13" t="s">
        <v>467</v>
      </c>
      <c r="O81" s="11" t="s">
        <v>432</v>
      </c>
      <c r="P81" s="11" t="s">
        <v>433</v>
      </c>
      <c r="Q81" s="11" t="s">
        <v>125</v>
      </c>
      <c r="R81" s="11" t="s">
        <v>150</v>
      </c>
      <c r="S81" s="11" t="s">
        <v>125</v>
      </c>
      <c r="T81" s="11" t="s">
        <v>125</v>
      </c>
      <c r="U81" s="11" t="s">
        <v>38</v>
      </c>
      <c r="V81" s="11">
        <v>46106</v>
      </c>
      <c r="W81" s="11">
        <v>46147</v>
      </c>
      <c r="AD81" s="11" t="s">
        <v>965</v>
      </c>
      <c r="AE81" s="11" t="s">
        <v>993</v>
      </c>
    </row>
    <row r="82" spans="2:31" x14ac:dyDescent="0.35">
      <c r="B82" s="24" t="s">
        <v>283</v>
      </c>
      <c r="C82" s="12">
        <v>77</v>
      </c>
      <c r="D82" s="11" t="s">
        <v>468</v>
      </c>
      <c r="E82" s="11" t="s">
        <v>429</v>
      </c>
      <c r="F82" s="12" t="s">
        <v>283</v>
      </c>
      <c r="G82" s="12" t="s">
        <v>246</v>
      </c>
      <c r="H82" s="12" t="s">
        <v>246</v>
      </c>
      <c r="I82" s="12" t="s">
        <v>430</v>
      </c>
      <c r="J82" s="12" t="s">
        <v>20</v>
      </c>
      <c r="K82" s="12" t="s">
        <v>1023</v>
      </c>
      <c r="L82" s="12" t="s">
        <v>247</v>
      </c>
      <c r="N82" s="13" t="s">
        <v>469</v>
      </c>
      <c r="O82" s="11" t="s">
        <v>432</v>
      </c>
      <c r="P82" s="11" t="s">
        <v>433</v>
      </c>
      <c r="Q82" s="11" t="s">
        <v>125</v>
      </c>
      <c r="R82" s="11" t="s">
        <v>150</v>
      </c>
      <c r="S82" s="11" t="s">
        <v>125</v>
      </c>
      <c r="T82" s="11" t="s">
        <v>125</v>
      </c>
      <c r="U82" s="11" t="s">
        <v>38</v>
      </c>
      <c r="V82" s="11">
        <v>46147</v>
      </c>
      <c r="AE82" s="11" t="s">
        <v>993</v>
      </c>
    </row>
    <row r="83" spans="2:31" x14ac:dyDescent="0.35">
      <c r="B83" s="24" t="s">
        <v>283</v>
      </c>
      <c r="C83" s="12">
        <v>78</v>
      </c>
      <c r="D83" s="11" t="s">
        <v>470</v>
      </c>
      <c r="E83" s="11" t="s">
        <v>429</v>
      </c>
      <c r="F83" s="12" t="s">
        <v>283</v>
      </c>
      <c r="G83" s="12" t="s">
        <v>246</v>
      </c>
      <c r="H83" s="12" t="s">
        <v>246</v>
      </c>
      <c r="I83" s="12" t="s">
        <v>430</v>
      </c>
      <c r="J83" s="12" t="s">
        <v>20</v>
      </c>
      <c r="K83" s="12" t="s">
        <v>1023</v>
      </c>
      <c r="L83" s="12" t="s">
        <v>247</v>
      </c>
      <c r="N83" s="13" t="s">
        <v>471</v>
      </c>
      <c r="O83" s="11" t="s">
        <v>432</v>
      </c>
      <c r="P83" s="11" t="s">
        <v>433</v>
      </c>
      <c r="Q83" s="11" t="s">
        <v>125</v>
      </c>
      <c r="R83" s="11" t="s">
        <v>150</v>
      </c>
      <c r="S83" s="11" t="s">
        <v>125</v>
      </c>
      <c r="T83" s="11" t="s">
        <v>125</v>
      </c>
      <c r="U83" s="11" t="s">
        <v>38</v>
      </c>
      <c r="V83" s="11">
        <v>46147</v>
      </c>
      <c r="AE83" s="11" t="s">
        <v>993</v>
      </c>
    </row>
    <row r="84" spans="2:31" x14ac:dyDescent="0.35">
      <c r="B84" s="24" t="s">
        <v>416</v>
      </c>
      <c r="C84" s="12">
        <v>79</v>
      </c>
      <c r="D84" s="11" t="s">
        <v>472</v>
      </c>
      <c r="E84" s="11" t="s">
        <v>429</v>
      </c>
      <c r="F84" s="12" t="s">
        <v>416</v>
      </c>
      <c r="G84" s="12" t="s">
        <v>246</v>
      </c>
      <c r="H84" s="12" t="s">
        <v>246</v>
      </c>
      <c r="I84" s="12" t="s">
        <v>430</v>
      </c>
      <c r="J84" s="12" t="s">
        <v>20</v>
      </c>
      <c r="K84" s="12" t="s">
        <v>1023</v>
      </c>
      <c r="L84" s="12" t="s">
        <v>247</v>
      </c>
      <c r="N84" s="13" t="s">
        <v>473</v>
      </c>
      <c r="O84" s="11" t="s">
        <v>432</v>
      </c>
      <c r="P84" s="11" t="s">
        <v>433</v>
      </c>
      <c r="Q84" s="11" t="s">
        <v>125</v>
      </c>
      <c r="R84" s="11" t="s">
        <v>150</v>
      </c>
      <c r="S84" s="11" t="s">
        <v>125</v>
      </c>
      <c r="T84" s="11" t="s">
        <v>125</v>
      </c>
      <c r="U84" s="11" t="s">
        <v>38</v>
      </c>
      <c r="V84" s="11">
        <v>46147</v>
      </c>
      <c r="AE84" s="11" t="s">
        <v>993</v>
      </c>
    </row>
    <row r="85" spans="2:31" x14ac:dyDescent="0.35">
      <c r="B85" s="24" t="s">
        <v>416</v>
      </c>
      <c r="C85" s="12">
        <v>80</v>
      </c>
      <c r="D85" s="11" t="s">
        <v>474</v>
      </c>
      <c r="E85" s="11" t="s">
        <v>429</v>
      </c>
      <c r="F85" s="12" t="s">
        <v>416</v>
      </c>
      <c r="G85" s="12" t="s">
        <v>246</v>
      </c>
      <c r="H85" s="12" t="s">
        <v>246</v>
      </c>
      <c r="I85" s="12" t="s">
        <v>430</v>
      </c>
      <c r="J85" s="12" t="s">
        <v>20</v>
      </c>
      <c r="K85" s="12" t="s">
        <v>1023</v>
      </c>
      <c r="L85" s="12" t="s">
        <v>247</v>
      </c>
      <c r="N85" s="13" t="s">
        <v>475</v>
      </c>
      <c r="O85" s="11" t="s">
        <v>432</v>
      </c>
      <c r="P85" s="11" t="s">
        <v>433</v>
      </c>
      <c r="Q85" s="11" t="s">
        <v>125</v>
      </c>
      <c r="R85" s="11" t="s">
        <v>150</v>
      </c>
      <c r="T85" s="11" t="s">
        <v>126</v>
      </c>
      <c r="U85" s="11" t="s">
        <v>992</v>
      </c>
      <c r="AE85" s="11" t="s">
        <v>1768</v>
      </c>
    </row>
    <row r="86" spans="2:31" x14ac:dyDescent="0.35">
      <c r="B86" s="24" t="s">
        <v>416</v>
      </c>
      <c r="C86" s="12">
        <v>81</v>
      </c>
      <c r="D86" s="11" t="s">
        <v>476</v>
      </c>
      <c r="E86" s="11" t="s">
        <v>429</v>
      </c>
      <c r="F86" s="12" t="s">
        <v>416</v>
      </c>
      <c r="G86" s="12" t="s">
        <v>246</v>
      </c>
      <c r="H86" s="12" t="s">
        <v>246</v>
      </c>
      <c r="I86" s="12" t="s">
        <v>430</v>
      </c>
      <c r="J86" s="12" t="s">
        <v>20</v>
      </c>
      <c r="K86" s="12" t="s">
        <v>1023</v>
      </c>
      <c r="L86" s="12" t="s">
        <v>247</v>
      </c>
      <c r="N86" s="13" t="s">
        <v>477</v>
      </c>
      <c r="O86" s="11" t="s">
        <v>432</v>
      </c>
      <c r="P86" s="11" t="s">
        <v>433</v>
      </c>
      <c r="Q86" s="11" t="s">
        <v>125</v>
      </c>
      <c r="R86" s="11" t="s">
        <v>150</v>
      </c>
      <c r="T86" s="11" t="s">
        <v>126</v>
      </c>
      <c r="U86" s="11" t="s">
        <v>992</v>
      </c>
      <c r="AE86" s="11" t="s">
        <v>1768</v>
      </c>
    </row>
    <row r="87" spans="2:31" x14ac:dyDescent="0.35">
      <c r="B87" s="24" t="s">
        <v>308</v>
      </c>
      <c r="C87" s="12">
        <v>82</v>
      </c>
      <c r="D87" s="11" t="s">
        <v>478</v>
      </c>
      <c r="E87" s="11" t="s">
        <v>429</v>
      </c>
      <c r="F87" s="12" t="s">
        <v>308</v>
      </c>
      <c r="G87" s="12" t="s">
        <v>246</v>
      </c>
      <c r="H87" s="12" t="s">
        <v>246</v>
      </c>
      <c r="I87" s="12" t="s">
        <v>430</v>
      </c>
      <c r="J87" s="12" t="s">
        <v>20</v>
      </c>
      <c r="K87" s="12" t="s">
        <v>1023</v>
      </c>
      <c r="L87" s="12" t="s">
        <v>247</v>
      </c>
      <c r="N87" s="13" t="s">
        <v>479</v>
      </c>
      <c r="O87" s="11" t="s">
        <v>432</v>
      </c>
      <c r="P87" s="11" t="s">
        <v>433</v>
      </c>
      <c r="Q87" s="11" t="s">
        <v>125</v>
      </c>
      <c r="R87" s="11" t="s">
        <v>150</v>
      </c>
      <c r="S87" s="11" t="s">
        <v>125</v>
      </c>
      <c r="T87" s="11" t="s">
        <v>125</v>
      </c>
      <c r="U87" s="11" t="s">
        <v>38</v>
      </c>
      <c r="V87" s="11">
        <v>46107</v>
      </c>
      <c r="W87" s="11">
        <v>46147</v>
      </c>
      <c r="AD87" s="11" t="s">
        <v>966</v>
      </c>
      <c r="AE87" s="11" t="s">
        <v>993</v>
      </c>
    </row>
    <row r="88" spans="2:31" x14ac:dyDescent="0.35">
      <c r="B88" s="24" t="s">
        <v>308</v>
      </c>
      <c r="C88" s="12">
        <v>83</v>
      </c>
      <c r="D88" s="11" t="s">
        <v>480</v>
      </c>
      <c r="E88" s="11" t="s">
        <v>429</v>
      </c>
      <c r="F88" s="12" t="s">
        <v>308</v>
      </c>
      <c r="G88" s="12" t="s">
        <v>246</v>
      </c>
      <c r="H88" s="12" t="s">
        <v>246</v>
      </c>
      <c r="I88" s="12" t="s">
        <v>430</v>
      </c>
      <c r="J88" s="12" t="s">
        <v>20</v>
      </c>
      <c r="K88" s="12" t="s">
        <v>1023</v>
      </c>
      <c r="L88" s="12" t="s">
        <v>247</v>
      </c>
      <c r="N88" s="13" t="s">
        <v>481</v>
      </c>
      <c r="O88" s="11" t="s">
        <v>432</v>
      </c>
      <c r="P88" s="11" t="s">
        <v>433</v>
      </c>
      <c r="Q88" s="11" t="s">
        <v>125</v>
      </c>
      <c r="R88" s="11" t="s">
        <v>150</v>
      </c>
      <c r="S88" s="11" t="s">
        <v>125</v>
      </c>
      <c r="T88" s="11" t="s">
        <v>125</v>
      </c>
      <c r="U88" s="11" t="s">
        <v>38</v>
      </c>
      <c r="V88" s="11">
        <v>46147</v>
      </c>
      <c r="AE88" s="11" t="s">
        <v>993</v>
      </c>
    </row>
    <row r="89" spans="2:31" x14ac:dyDescent="0.35">
      <c r="B89" s="24" t="s">
        <v>295</v>
      </c>
      <c r="C89" s="12">
        <v>84</v>
      </c>
      <c r="D89" s="11" t="s">
        <v>482</v>
      </c>
      <c r="E89" s="11" t="s">
        <v>429</v>
      </c>
      <c r="F89" s="12" t="s">
        <v>295</v>
      </c>
      <c r="G89" s="12" t="s">
        <v>246</v>
      </c>
      <c r="H89" s="12" t="s">
        <v>246</v>
      </c>
      <c r="I89" s="12" t="s">
        <v>430</v>
      </c>
      <c r="J89" s="12" t="s">
        <v>20</v>
      </c>
      <c r="K89" s="12" t="s">
        <v>1023</v>
      </c>
      <c r="L89" s="12" t="s">
        <v>247</v>
      </c>
      <c r="N89" s="13" t="s">
        <v>483</v>
      </c>
      <c r="O89" s="11" t="s">
        <v>432</v>
      </c>
      <c r="P89" s="11" t="s">
        <v>433</v>
      </c>
      <c r="Q89" s="11" t="s">
        <v>125</v>
      </c>
      <c r="R89" s="11" t="s">
        <v>150</v>
      </c>
      <c r="S89" s="11" t="s">
        <v>125</v>
      </c>
      <c r="T89" s="11" t="s">
        <v>125</v>
      </c>
      <c r="U89" s="11" t="s">
        <v>38</v>
      </c>
      <c r="V89" s="11">
        <v>46147</v>
      </c>
      <c r="AE89" s="11" t="s">
        <v>993</v>
      </c>
    </row>
    <row r="90" spans="2:31" x14ac:dyDescent="0.35">
      <c r="B90" s="24" t="s">
        <v>311</v>
      </c>
      <c r="C90" s="12">
        <v>85</v>
      </c>
      <c r="D90" s="11" t="s">
        <v>484</v>
      </c>
      <c r="E90" s="11" t="s">
        <v>429</v>
      </c>
      <c r="F90" s="12" t="s">
        <v>311</v>
      </c>
      <c r="G90" s="12" t="s">
        <v>246</v>
      </c>
      <c r="H90" s="12" t="s">
        <v>246</v>
      </c>
      <c r="I90" s="12" t="s">
        <v>430</v>
      </c>
      <c r="J90" s="12" t="s">
        <v>20</v>
      </c>
      <c r="K90" s="12" t="s">
        <v>1022</v>
      </c>
      <c r="L90" s="12" t="s">
        <v>247</v>
      </c>
      <c r="N90" s="13" t="s">
        <v>485</v>
      </c>
      <c r="O90" s="11" t="s">
        <v>432</v>
      </c>
      <c r="P90" s="11" t="s">
        <v>433</v>
      </c>
      <c r="Q90" s="11" t="s">
        <v>125</v>
      </c>
      <c r="R90" s="11" t="s">
        <v>150</v>
      </c>
      <c r="T90" s="11" t="s">
        <v>125</v>
      </c>
      <c r="U90" s="11" t="s">
        <v>38</v>
      </c>
      <c r="V90" s="11">
        <v>46107</v>
      </c>
      <c r="AD90" s="11" t="s">
        <v>966</v>
      </c>
      <c r="AE90" s="11" t="s">
        <v>993</v>
      </c>
    </row>
    <row r="91" spans="2:31" x14ac:dyDescent="0.35">
      <c r="B91" s="24" t="s">
        <v>311</v>
      </c>
      <c r="C91" s="12">
        <v>86</v>
      </c>
      <c r="D91" s="11" t="s">
        <v>486</v>
      </c>
      <c r="E91" s="11" t="s">
        <v>429</v>
      </c>
      <c r="F91" s="12" t="s">
        <v>311</v>
      </c>
      <c r="G91" s="12" t="s">
        <v>246</v>
      </c>
      <c r="H91" s="12" t="s">
        <v>246</v>
      </c>
      <c r="I91" s="12" t="s">
        <v>430</v>
      </c>
      <c r="J91" s="12" t="s">
        <v>20</v>
      </c>
      <c r="K91" s="12" t="s">
        <v>1023</v>
      </c>
      <c r="L91" s="12" t="s">
        <v>247</v>
      </c>
      <c r="N91" s="13" t="s">
        <v>487</v>
      </c>
      <c r="O91" s="11" t="s">
        <v>432</v>
      </c>
      <c r="P91" s="11" t="s">
        <v>433</v>
      </c>
      <c r="Q91" s="11" t="s">
        <v>125</v>
      </c>
      <c r="R91" s="11" t="s">
        <v>150</v>
      </c>
      <c r="T91" s="11" t="s">
        <v>125</v>
      </c>
      <c r="U91" s="11" t="s">
        <v>38</v>
      </c>
      <c r="V91" s="11">
        <v>46107</v>
      </c>
      <c r="AD91" s="11" t="s">
        <v>966</v>
      </c>
      <c r="AE91" s="11" t="s">
        <v>993</v>
      </c>
    </row>
    <row r="92" spans="2:31" x14ac:dyDescent="0.35">
      <c r="B92" s="24" t="s">
        <v>314</v>
      </c>
      <c r="C92" s="12">
        <v>87</v>
      </c>
      <c r="D92" s="11" t="s">
        <v>488</v>
      </c>
      <c r="E92" s="11" t="s">
        <v>429</v>
      </c>
      <c r="F92" s="12" t="s">
        <v>314</v>
      </c>
      <c r="G92" s="12" t="s">
        <v>246</v>
      </c>
      <c r="H92" s="12" t="s">
        <v>246</v>
      </c>
      <c r="I92" s="12" t="s">
        <v>430</v>
      </c>
      <c r="J92" s="12" t="s">
        <v>20</v>
      </c>
      <c r="K92" s="12" t="s">
        <v>1023</v>
      </c>
      <c r="L92" s="12" t="s">
        <v>247</v>
      </c>
      <c r="N92" s="13" t="s">
        <v>489</v>
      </c>
      <c r="O92" s="11" t="s">
        <v>432</v>
      </c>
      <c r="P92" s="11" t="s">
        <v>433</v>
      </c>
      <c r="Q92" s="11" t="s">
        <v>125</v>
      </c>
      <c r="R92" s="11" t="s">
        <v>150</v>
      </c>
      <c r="T92" s="11" t="s">
        <v>126</v>
      </c>
      <c r="U92" s="11" t="s">
        <v>992</v>
      </c>
      <c r="AE92" s="11" t="s">
        <v>1768</v>
      </c>
    </row>
    <row r="93" spans="2:31" x14ac:dyDescent="0.35">
      <c r="B93" s="24" t="s">
        <v>291</v>
      </c>
      <c r="C93" s="12">
        <v>88</v>
      </c>
      <c r="D93" s="11" t="s">
        <v>490</v>
      </c>
      <c r="E93" s="11" t="s">
        <v>429</v>
      </c>
      <c r="F93" s="12" t="s">
        <v>291</v>
      </c>
      <c r="G93" s="12" t="s">
        <v>246</v>
      </c>
      <c r="H93" s="12" t="s">
        <v>246</v>
      </c>
      <c r="I93" s="12" t="s">
        <v>430</v>
      </c>
      <c r="J93" s="12" t="s">
        <v>20</v>
      </c>
      <c r="K93" s="12" t="s">
        <v>1023</v>
      </c>
      <c r="L93" s="12" t="s">
        <v>247</v>
      </c>
      <c r="N93" s="13" t="s">
        <v>984</v>
      </c>
      <c r="O93" s="11" t="s">
        <v>432</v>
      </c>
      <c r="P93" s="11" t="s">
        <v>433</v>
      </c>
      <c r="Q93" s="11" t="s">
        <v>125</v>
      </c>
      <c r="R93" s="11" t="s">
        <v>150</v>
      </c>
      <c r="T93" s="11" t="s">
        <v>125</v>
      </c>
      <c r="U93" s="11" t="s">
        <v>1014</v>
      </c>
      <c r="V93" s="11">
        <v>46107</v>
      </c>
      <c r="Z93" s="11">
        <v>46113</v>
      </c>
      <c r="AA93" s="11">
        <v>46113</v>
      </c>
      <c r="AB93" s="11" t="s">
        <v>30</v>
      </c>
      <c r="AC93" s="11">
        <v>42</v>
      </c>
      <c r="AD93" s="11" t="s">
        <v>985</v>
      </c>
      <c r="AE93" s="11" t="s">
        <v>993</v>
      </c>
    </row>
    <row r="94" spans="2:31" x14ac:dyDescent="0.35">
      <c r="B94" s="24" t="s">
        <v>314</v>
      </c>
      <c r="C94" s="12">
        <v>89</v>
      </c>
      <c r="D94" s="11" t="s">
        <v>491</v>
      </c>
      <c r="E94" s="11" t="s">
        <v>429</v>
      </c>
      <c r="F94" s="12" t="s">
        <v>314</v>
      </c>
      <c r="G94" s="12" t="s">
        <v>246</v>
      </c>
      <c r="H94" s="12" t="s">
        <v>246</v>
      </c>
      <c r="I94" s="12" t="s">
        <v>430</v>
      </c>
      <c r="J94" s="12" t="s">
        <v>20</v>
      </c>
      <c r="K94" s="12" t="s">
        <v>1023</v>
      </c>
      <c r="L94" s="12" t="s">
        <v>247</v>
      </c>
      <c r="N94" s="13" t="s">
        <v>492</v>
      </c>
      <c r="O94" s="11" t="s">
        <v>432</v>
      </c>
      <c r="P94" s="11" t="s">
        <v>433</v>
      </c>
      <c r="Q94" s="11" t="s">
        <v>125</v>
      </c>
      <c r="R94" s="11" t="s">
        <v>150</v>
      </c>
      <c r="T94" s="11" t="s">
        <v>126</v>
      </c>
      <c r="U94" s="11" t="s">
        <v>992</v>
      </c>
      <c r="AE94" s="11" t="s">
        <v>1768</v>
      </c>
    </row>
    <row r="95" spans="2:31" x14ac:dyDescent="0.35">
      <c r="B95" s="24" t="s">
        <v>49</v>
      </c>
      <c r="C95" s="12">
        <v>90</v>
      </c>
      <c r="D95" s="11" t="s">
        <v>493</v>
      </c>
      <c r="E95" s="11" t="s">
        <v>429</v>
      </c>
      <c r="F95" s="12" t="s">
        <v>494</v>
      </c>
      <c r="G95" s="12" t="s">
        <v>246</v>
      </c>
      <c r="H95" s="12" t="s">
        <v>246</v>
      </c>
      <c r="I95" s="12" t="s">
        <v>430</v>
      </c>
      <c r="J95" s="12" t="s">
        <v>20</v>
      </c>
      <c r="K95" s="12" t="s">
        <v>1023</v>
      </c>
      <c r="L95" s="12" t="s">
        <v>247</v>
      </c>
      <c r="N95" s="13" t="s">
        <v>495</v>
      </c>
      <c r="O95" s="11" t="s">
        <v>432</v>
      </c>
      <c r="P95" s="11" t="s">
        <v>433</v>
      </c>
      <c r="Q95" s="11" t="s">
        <v>125</v>
      </c>
      <c r="R95" s="11" t="s">
        <v>150</v>
      </c>
      <c r="T95" s="11" t="s">
        <v>126</v>
      </c>
      <c r="U95" s="11" t="s">
        <v>992</v>
      </c>
      <c r="AE95" s="11" t="s">
        <v>1768</v>
      </c>
    </row>
    <row r="96" spans="2:31" x14ac:dyDescent="0.35">
      <c r="B96" s="24" t="s">
        <v>311</v>
      </c>
      <c r="C96" s="12">
        <v>91</v>
      </c>
      <c r="D96" s="11" t="s">
        <v>496</v>
      </c>
      <c r="E96" s="11" t="s">
        <v>429</v>
      </c>
      <c r="F96" s="12" t="s">
        <v>311</v>
      </c>
      <c r="G96" s="12" t="s">
        <v>246</v>
      </c>
      <c r="H96" s="12" t="s">
        <v>246</v>
      </c>
      <c r="I96" s="12" t="s">
        <v>430</v>
      </c>
      <c r="J96" s="12" t="s">
        <v>20</v>
      </c>
      <c r="K96" s="12" t="s">
        <v>1023</v>
      </c>
      <c r="L96" s="12" t="s">
        <v>247</v>
      </c>
      <c r="N96" s="13" t="s">
        <v>497</v>
      </c>
      <c r="O96" s="11" t="s">
        <v>432</v>
      </c>
      <c r="P96" s="11" t="s">
        <v>433</v>
      </c>
      <c r="Q96" s="11" t="s">
        <v>125</v>
      </c>
      <c r="R96" s="11" t="s">
        <v>150</v>
      </c>
      <c r="T96" s="11" t="s">
        <v>126</v>
      </c>
      <c r="U96" s="11" t="s">
        <v>992</v>
      </c>
      <c r="AE96" s="11" t="s">
        <v>1768</v>
      </c>
    </row>
    <row r="97" spans="2:31" x14ac:dyDescent="0.35">
      <c r="B97" s="24" t="s">
        <v>49</v>
      </c>
      <c r="C97" s="12">
        <v>92</v>
      </c>
      <c r="D97" s="11" t="s">
        <v>498</v>
      </c>
      <c r="E97" s="11" t="s">
        <v>429</v>
      </c>
      <c r="F97" s="12" t="s">
        <v>499</v>
      </c>
      <c r="G97" s="12" t="s">
        <v>246</v>
      </c>
      <c r="H97" s="12" t="s">
        <v>246</v>
      </c>
      <c r="I97" s="12" t="s">
        <v>430</v>
      </c>
      <c r="J97" s="12" t="s">
        <v>20</v>
      </c>
      <c r="K97" s="12" t="s">
        <v>1023</v>
      </c>
      <c r="L97" s="12" t="s">
        <v>247</v>
      </c>
      <c r="N97" s="13" t="s">
        <v>500</v>
      </c>
      <c r="O97" s="11" t="s">
        <v>432</v>
      </c>
      <c r="P97" s="11" t="s">
        <v>433</v>
      </c>
      <c r="Q97" s="11" t="s">
        <v>125</v>
      </c>
      <c r="R97" s="11" t="s">
        <v>150</v>
      </c>
      <c r="T97" s="11" t="s">
        <v>125</v>
      </c>
      <c r="U97" s="11" t="s">
        <v>38</v>
      </c>
      <c r="V97" s="11">
        <v>46107</v>
      </c>
      <c r="AD97" s="11" t="s">
        <v>967</v>
      </c>
      <c r="AE97" s="11" t="s">
        <v>993</v>
      </c>
    </row>
    <row r="98" spans="2:31" x14ac:dyDescent="0.35">
      <c r="B98" s="24" t="s">
        <v>311</v>
      </c>
      <c r="C98" s="12">
        <v>93</v>
      </c>
      <c r="D98" s="11" t="s">
        <v>501</v>
      </c>
      <c r="E98" s="11" t="s">
        <v>429</v>
      </c>
      <c r="F98" s="12" t="s">
        <v>311</v>
      </c>
      <c r="G98" s="12" t="s">
        <v>246</v>
      </c>
      <c r="H98" s="12" t="s">
        <v>246</v>
      </c>
      <c r="I98" s="12" t="s">
        <v>430</v>
      </c>
      <c r="J98" s="12" t="s">
        <v>20</v>
      </c>
      <c r="K98" s="12" t="s">
        <v>1023</v>
      </c>
      <c r="L98" s="12" t="s">
        <v>247</v>
      </c>
      <c r="N98" s="13" t="s">
        <v>502</v>
      </c>
      <c r="O98" s="11" t="s">
        <v>432</v>
      </c>
      <c r="P98" s="11" t="s">
        <v>433</v>
      </c>
      <c r="Q98" s="11" t="s">
        <v>125</v>
      </c>
      <c r="R98" s="11" t="s">
        <v>150</v>
      </c>
      <c r="T98" s="11" t="s">
        <v>125</v>
      </c>
      <c r="U98" s="11" t="s">
        <v>38</v>
      </c>
      <c r="V98" s="11">
        <v>46107</v>
      </c>
      <c r="AD98" s="11" t="s">
        <v>968</v>
      </c>
      <c r="AE98" s="11" t="s">
        <v>993</v>
      </c>
    </row>
    <row r="99" spans="2:31" x14ac:dyDescent="0.35">
      <c r="B99" s="24" t="s">
        <v>283</v>
      </c>
      <c r="C99" s="12">
        <v>94</v>
      </c>
      <c r="D99" s="11" t="s">
        <v>503</v>
      </c>
      <c r="E99" s="11" t="s">
        <v>429</v>
      </c>
      <c r="F99" s="12" t="s">
        <v>283</v>
      </c>
      <c r="G99" s="12" t="s">
        <v>246</v>
      </c>
      <c r="H99" s="12" t="s">
        <v>246</v>
      </c>
      <c r="I99" s="12" t="s">
        <v>430</v>
      </c>
      <c r="J99" s="12" t="s">
        <v>20</v>
      </c>
      <c r="K99" s="12" t="s">
        <v>1023</v>
      </c>
      <c r="L99" s="12" t="s">
        <v>247</v>
      </c>
      <c r="N99" s="13" t="s">
        <v>504</v>
      </c>
      <c r="O99" s="11" t="s">
        <v>432</v>
      </c>
      <c r="P99" s="11" t="s">
        <v>433</v>
      </c>
      <c r="Q99" s="11" t="s">
        <v>125</v>
      </c>
      <c r="R99" s="11" t="s">
        <v>150</v>
      </c>
      <c r="T99" s="11" t="s">
        <v>126</v>
      </c>
      <c r="U99" s="11" t="s">
        <v>992</v>
      </c>
      <c r="AE99" s="11" t="s">
        <v>1768</v>
      </c>
    </row>
    <row r="100" spans="2:31" x14ac:dyDescent="0.35">
      <c r="B100" s="24" t="s">
        <v>49</v>
      </c>
      <c r="C100" s="12">
        <v>95</v>
      </c>
      <c r="D100" s="11" t="s">
        <v>505</v>
      </c>
      <c r="E100" s="11" t="s">
        <v>429</v>
      </c>
      <c r="F100" s="12" t="s">
        <v>286</v>
      </c>
      <c r="G100" s="12" t="s">
        <v>246</v>
      </c>
      <c r="H100" s="12" t="s">
        <v>246</v>
      </c>
      <c r="I100" s="12" t="s">
        <v>430</v>
      </c>
      <c r="J100" s="12" t="s">
        <v>20</v>
      </c>
      <c r="K100" s="12" t="s">
        <v>1022</v>
      </c>
      <c r="L100" s="12" t="s">
        <v>247</v>
      </c>
      <c r="N100" s="13" t="s">
        <v>506</v>
      </c>
      <c r="O100" s="11" t="s">
        <v>432</v>
      </c>
      <c r="P100" s="11" t="s">
        <v>433</v>
      </c>
      <c r="Q100" s="11" t="s">
        <v>125</v>
      </c>
      <c r="R100" s="11" t="s">
        <v>150</v>
      </c>
      <c r="T100" s="11" t="s">
        <v>125</v>
      </c>
      <c r="U100" s="11" t="s">
        <v>38</v>
      </c>
      <c r="V100" s="11">
        <v>46107</v>
      </c>
      <c r="AD100" s="11" t="s">
        <v>968</v>
      </c>
      <c r="AE100" s="11" t="s">
        <v>993</v>
      </c>
    </row>
    <row r="101" spans="2:31" x14ac:dyDescent="0.35">
      <c r="B101" s="24" t="s">
        <v>416</v>
      </c>
      <c r="C101" s="12">
        <v>96</v>
      </c>
      <c r="D101" s="11" t="s">
        <v>507</v>
      </c>
      <c r="E101" s="11" t="s">
        <v>429</v>
      </c>
      <c r="F101" s="12" t="s">
        <v>416</v>
      </c>
      <c r="G101" s="12" t="s">
        <v>246</v>
      </c>
      <c r="H101" s="12" t="s">
        <v>246</v>
      </c>
      <c r="I101" s="12" t="s">
        <v>430</v>
      </c>
      <c r="J101" s="12" t="s">
        <v>20</v>
      </c>
      <c r="K101" s="12" t="s">
        <v>1022</v>
      </c>
      <c r="L101" s="12" t="s">
        <v>247</v>
      </c>
      <c r="N101" s="13" t="s">
        <v>508</v>
      </c>
      <c r="O101" s="11" t="s">
        <v>432</v>
      </c>
      <c r="P101" s="11" t="s">
        <v>433</v>
      </c>
      <c r="Q101" s="11" t="s">
        <v>125</v>
      </c>
      <c r="R101" s="11" t="s">
        <v>150</v>
      </c>
      <c r="T101" s="11" t="s">
        <v>126</v>
      </c>
      <c r="U101" s="11" t="s">
        <v>992</v>
      </c>
      <c r="V101" s="11">
        <v>46101</v>
      </c>
      <c r="AD101" s="11" t="s">
        <v>986</v>
      </c>
      <c r="AE101" s="11" t="s">
        <v>1768</v>
      </c>
    </row>
    <row r="102" spans="2:31" x14ac:dyDescent="0.35">
      <c r="B102" s="24" t="s">
        <v>295</v>
      </c>
      <c r="C102" s="12">
        <v>97</v>
      </c>
      <c r="D102" s="11" t="s">
        <v>509</v>
      </c>
      <c r="E102" s="11" t="s">
        <v>429</v>
      </c>
      <c r="F102" s="12" t="s">
        <v>295</v>
      </c>
      <c r="G102" s="12" t="s">
        <v>246</v>
      </c>
      <c r="H102" s="12" t="s">
        <v>246</v>
      </c>
      <c r="I102" s="12" t="s">
        <v>430</v>
      </c>
      <c r="J102" s="12" t="s">
        <v>20</v>
      </c>
      <c r="K102" s="12" t="s">
        <v>1023</v>
      </c>
      <c r="L102" s="12" t="s">
        <v>247</v>
      </c>
      <c r="N102" s="13" t="s">
        <v>510</v>
      </c>
      <c r="O102" s="11" t="s">
        <v>432</v>
      </c>
      <c r="P102" s="11" t="s">
        <v>433</v>
      </c>
      <c r="Q102" s="11" t="s">
        <v>125</v>
      </c>
      <c r="R102" s="11" t="s">
        <v>150</v>
      </c>
      <c r="T102" s="11" t="s">
        <v>125</v>
      </c>
      <c r="U102" s="11" t="s">
        <v>38</v>
      </c>
      <c r="V102" s="11">
        <v>46107</v>
      </c>
      <c r="AD102" s="11" t="s">
        <v>969</v>
      </c>
      <c r="AE102" s="11" t="s">
        <v>993</v>
      </c>
    </row>
    <row r="103" spans="2:31" x14ac:dyDescent="0.35">
      <c r="B103" s="24" t="s">
        <v>295</v>
      </c>
      <c r="C103" s="12">
        <v>98</v>
      </c>
      <c r="D103" s="11" t="s">
        <v>511</v>
      </c>
      <c r="E103" s="11" t="s">
        <v>429</v>
      </c>
      <c r="F103" s="12" t="s">
        <v>295</v>
      </c>
      <c r="G103" s="12" t="s">
        <v>246</v>
      </c>
      <c r="H103" s="12" t="s">
        <v>246</v>
      </c>
      <c r="I103" s="12" t="s">
        <v>430</v>
      </c>
      <c r="J103" s="12" t="s">
        <v>20</v>
      </c>
      <c r="K103" s="12" t="s">
        <v>1023</v>
      </c>
      <c r="L103" s="12" t="s">
        <v>247</v>
      </c>
      <c r="O103" s="11" t="s">
        <v>432</v>
      </c>
      <c r="P103" s="11" t="s">
        <v>433</v>
      </c>
      <c r="Q103" s="11" t="s">
        <v>125</v>
      </c>
      <c r="R103" s="11" t="s">
        <v>150</v>
      </c>
      <c r="T103" s="11" t="s">
        <v>126</v>
      </c>
      <c r="U103" s="11" t="s">
        <v>992</v>
      </c>
      <c r="AE103" s="11" t="s">
        <v>1768</v>
      </c>
    </row>
    <row r="104" spans="2:31" x14ac:dyDescent="0.35">
      <c r="B104" s="24" t="s">
        <v>295</v>
      </c>
      <c r="C104" s="12">
        <v>99</v>
      </c>
      <c r="D104" s="11" t="s">
        <v>512</v>
      </c>
      <c r="E104" s="11" t="s">
        <v>429</v>
      </c>
      <c r="F104" s="12" t="s">
        <v>295</v>
      </c>
      <c r="G104" s="12" t="s">
        <v>246</v>
      </c>
      <c r="H104" s="12" t="s">
        <v>246</v>
      </c>
      <c r="I104" s="12" t="s">
        <v>430</v>
      </c>
      <c r="J104" s="12" t="s">
        <v>20</v>
      </c>
      <c r="K104" s="12" t="s">
        <v>1023</v>
      </c>
      <c r="L104" s="12" t="s">
        <v>247</v>
      </c>
      <c r="O104" s="11" t="s">
        <v>432</v>
      </c>
      <c r="P104" s="11" t="s">
        <v>433</v>
      </c>
      <c r="Q104" s="11" t="s">
        <v>125</v>
      </c>
      <c r="R104" s="11" t="s">
        <v>150</v>
      </c>
      <c r="T104" s="11" t="s">
        <v>126</v>
      </c>
      <c r="U104" s="11" t="s">
        <v>992</v>
      </c>
      <c r="AE104" s="11" t="s">
        <v>1768</v>
      </c>
    </row>
    <row r="105" spans="2:31" x14ac:dyDescent="0.35">
      <c r="B105" s="24" t="s">
        <v>278</v>
      </c>
      <c r="C105" s="12">
        <v>100</v>
      </c>
      <c r="D105" s="11" t="s">
        <v>513</v>
      </c>
      <c r="E105" s="11" t="s">
        <v>429</v>
      </c>
      <c r="F105" s="12" t="s">
        <v>278</v>
      </c>
      <c r="G105" s="12" t="s">
        <v>246</v>
      </c>
      <c r="H105" s="12" t="s">
        <v>246</v>
      </c>
      <c r="I105" s="12" t="s">
        <v>430</v>
      </c>
      <c r="J105" s="12" t="s">
        <v>20</v>
      </c>
      <c r="K105" s="12" t="s">
        <v>1022</v>
      </c>
      <c r="L105" s="12" t="s">
        <v>247</v>
      </c>
      <c r="N105" s="13" t="s">
        <v>514</v>
      </c>
      <c r="O105" s="11" t="s">
        <v>432</v>
      </c>
      <c r="P105" s="11" t="s">
        <v>433</v>
      </c>
      <c r="Q105" s="11" t="s">
        <v>125</v>
      </c>
      <c r="R105" s="11" t="s">
        <v>150</v>
      </c>
      <c r="T105" s="11" t="s">
        <v>125</v>
      </c>
      <c r="U105" s="11" t="s">
        <v>38</v>
      </c>
      <c r="V105" s="11">
        <v>46107</v>
      </c>
      <c r="AD105" s="11" t="s">
        <v>970</v>
      </c>
      <c r="AE105" s="11" t="s">
        <v>993</v>
      </c>
    </row>
    <row r="106" spans="2:31" x14ac:dyDescent="0.35">
      <c r="B106" s="24" t="s">
        <v>278</v>
      </c>
      <c r="C106" s="12">
        <v>101</v>
      </c>
      <c r="D106" s="11" t="s">
        <v>515</v>
      </c>
      <c r="E106" s="11" t="s">
        <v>429</v>
      </c>
      <c r="F106" s="12" t="s">
        <v>278</v>
      </c>
      <c r="G106" s="12" t="s">
        <v>246</v>
      </c>
      <c r="H106" s="12" t="s">
        <v>246</v>
      </c>
      <c r="I106" s="12" t="s">
        <v>430</v>
      </c>
      <c r="J106" s="12" t="s">
        <v>20</v>
      </c>
      <c r="K106" s="12" t="s">
        <v>1023</v>
      </c>
      <c r="L106" s="12" t="s">
        <v>247</v>
      </c>
      <c r="N106" s="13" t="s">
        <v>516</v>
      </c>
      <c r="O106" s="11" t="s">
        <v>432</v>
      </c>
      <c r="P106" s="11" t="s">
        <v>433</v>
      </c>
      <c r="Q106" s="11" t="s">
        <v>125</v>
      </c>
      <c r="R106" s="11" t="s">
        <v>150</v>
      </c>
      <c r="T106" s="11" t="s">
        <v>126</v>
      </c>
      <c r="U106" s="11" t="s">
        <v>992</v>
      </c>
      <c r="AE106" s="11" t="s">
        <v>1768</v>
      </c>
    </row>
    <row r="107" spans="2:31" x14ac:dyDescent="0.35">
      <c r="B107" s="24" t="s">
        <v>278</v>
      </c>
      <c r="C107" s="12">
        <v>102</v>
      </c>
      <c r="D107" s="11" t="s">
        <v>517</v>
      </c>
      <c r="E107" s="11" t="s">
        <v>429</v>
      </c>
      <c r="F107" s="12" t="s">
        <v>278</v>
      </c>
      <c r="G107" s="12" t="s">
        <v>246</v>
      </c>
      <c r="H107" s="12" t="s">
        <v>246</v>
      </c>
      <c r="I107" s="12" t="s">
        <v>430</v>
      </c>
      <c r="J107" s="12" t="s">
        <v>20</v>
      </c>
      <c r="K107" s="12" t="s">
        <v>1023</v>
      </c>
      <c r="L107" s="12" t="s">
        <v>247</v>
      </c>
      <c r="N107" s="13" t="s">
        <v>518</v>
      </c>
      <c r="O107" s="11" t="s">
        <v>432</v>
      </c>
      <c r="P107" s="11" t="s">
        <v>433</v>
      </c>
      <c r="Q107" s="11" t="s">
        <v>125</v>
      </c>
      <c r="R107" s="11" t="s">
        <v>150</v>
      </c>
      <c r="T107" s="11" t="s">
        <v>126</v>
      </c>
      <c r="U107" s="11" t="s">
        <v>992</v>
      </c>
      <c r="AE107" s="11" t="s">
        <v>1768</v>
      </c>
    </row>
    <row r="108" spans="2:31" x14ac:dyDescent="0.35">
      <c r="B108" s="24" t="s">
        <v>283</v>
      </c>
      <c r="C108" s="12">
        <v>103</v>
      </c>
      <c r="D108" s="11" t="s">
        <v>519</v>
      </c>
      <c r="E108" s="11" t="s">
        <v>429</v>
      </c>
      <c r="F108" s="12" t="s">
        <v>283</v>
      </c>
      <c r="G108" s="12" t="s">
        <v>246</v>
      </c>
      <c r="H108" s="12" t="s">
        <v>246</v>
      </c>
      <c r="I108" s="12" t="s">
        <v>430</v>
      </c>
      <c r="J108" s="12" t="s">
        <v>20</v>
      </c>
      <c r="K108" s="12" t="s">
        <v>1023</v>
      </c>
      <c r="L108" s="12" t="s">
        <v>247</v>
      </c>
      <c r="N108" s="13" t="s">
        <v>520</v>
      </c>
      <c r="O108" s="11" t="s">
        <v>432</v>
      </c>
      <c r="P108" s="11" t="s">
        <v>433</v>
      </c>
      <c r="Q108" s="11" t="s">
        <v>125</v>
      </c>
      <c r="R108" s="11" t="s">
        <v>150</v>
      </c>
      <c r="T108" s="11" t="s">
        <v>125</v>
      </c>
      <c r="U108" s="11" t="s">
        <v>38</v>
      </c>
      <c r="V108" s="11">
        <v>46107</v>
      </c>
      <c r="AD108" s="11" t="s">
        <v>969</v>
      </c>
      <c r="AE108" s="11" t="s">
        <v>993</v>
      </c>
    </row>
    <row r="109" spans="2:31" x14ac:dyDescent="0.35">
      <c r="B109" s="24" t="s">
        <v>283</v>
      </c>
      <c r="C109" s="12">
        <v>104</v>
      </c>
      <c r="D109" s="11" t="s">
        <v>521</v>
      </c>
      <c r="E109" s="11" t="s">
        <v>429</v>
      </c>
      <c r="F109" s="12" t="s">
        <v>283</v>
      </c>
      <c r="G109" s="12" t="s">
        <v>246</v>
      </c>
      <c r="H109" s="12" t="s">
        <v>246</v>
      </c>
      <c r="I109" s="12" t="s">
        <v>430</v>
      </c>
      <c r="J109" s="12" t="s">
        <v>20</v>
      </c>
      <c r="K109" s="12" t="s">
        <v>1022</v>
      </c>
      <c r="L109" s="12" t="s">
        <v>247</v>
      </c>
      <c r="N109" s="13" t="s">
        <v>522</v>
      </c>
      <c r="O109" s="11" t="s">
        <v>432</v>
      </c>
      <c r="P109" s="11" t="s">
        <v>433</v>
      </c>
      <c r="Q109" s="11" t="s">
        <v>125</v>
      </c>
      <c r="R109" s="11" t="s">
        <v>150</v>
      </c>
      <c r="T109" s="11" t="s">
        <v>125</v>
      </c>
      <c r="U109" s="11" t="s">
        <v>38</v>
      </c>
      <c r="V109" s="11">
        <v>46101</v>
      </c>
      <c r="W109" s="11">
        <v>46107</v>
      </c>
      <c r="AD109" s="11" t="s">
        <v>1250</v>
      </c>
      <c r="AE109" s="11" t="s">
        <v>993</v>
      </c>
    </row>
    <row r="110" spans="2:31" x14ac:dyDescent="0.35">
      <c r="B110" s="24" t="s">
        <v>283</v>
      </c>
      <c r="C110" s="12">
        <v>105</v>
      </c>
      <c r="D110" s="11" t="s">
        <v>523</v>
      </c>
      <c r="E110" s="11" t="s">
        <v>429</v>
      </c>
      <c r="F110" s="12" t="s">
        <v>283</v>
      </c>
      <c r="G110" s="12" t="s">
        <v>246</v>
      </c>
      <c r="H110" s="12" t="s">
        <v>246</v>
      </c>
      <c r="I110" s="12" t="s">
        <v>430</v>
      </c>
      <c r="J110" s="12" t="s">
        <v>20</v>
      </c>
      <c r="K110" s="12" t="s">
        <v>1023</v>
      </c>
      <c r="L110" s="12" t="s">
        <v>247</v>
      </c>
      <c r="N110" s="13" t="s">
        <v>524</v>
      </c>
      <c r="O110" s="11" t="s">
        <v>432</v>
      </c>
      <c r="P110" s="11" t="s">
        <v>433</v>
      </c>
      <c r="Q110" s="11" t="s">
        <v>125</v>
      </c>
      <c r="R110" s="11" t="s">
        <v>150</v>
      </c>
      <c r="T110" s="11" t="s">
        <v>126</v>
      </c>
      <c r="U110" s="11" t="s">
        <v>992</v>
      </c>
      <c r="AE110" s="11" t="s">
        <v>1768</v>
      </c>
    </row>
    <row r="111" spans="2:31" x14ac:dyDescent="0.35">
      <c r="B111" s="24" t="s">
        <v>416</v>
      </c>
      <c r="C111" s="12">
        <v>106</v>
      </c>
      <c r="D111" s="11" t="s">
        <v>525</v>
      </c>
      <c r="E111" s="11" t="s">
        <v>429</v>
      </c>
      <c r="F111" s="12" t="s">
        <v>416</v>
      </c>
      <c r="G111" s="12" t="s">
        <v>246</v>
      </c>
      <c r="H111" s="12" t="s">
        <v>126</v>
      </c>
      <c r="I111" s="12" t="s">
        <v>430</v>
      </c>
      <c r="J111" s="12" t="s">
        <v>20</v>
      </c>
      <c r="K111" s="12" t="s">
        <v>1023</v>
      </c>
      <c r="L111" s="12" t="s">
        <v>247</v>
      </c>
      <c r="N111" s="13" t="s">
        <v>27</v>
      </c>
      <c r="O111" s="11" t="s">
        <v>526</v>
      </c>
      <c r="P111" s="11" t="s">
        <v>433</v>
      </c>
      <c r="Q111" s="11" t="s">
        <v>125</v>
      </c>
      <c r="R111" s="11" t="s">
        <v>150</v>
      </c>
      <c r="T111" s="11" t="s">
        <v>126</v>
      </c>
      <c r="U111" s="11" t="s">
        <v>992</v>
      </c>
      <c r="AE111" s="11" t="s">
        <v>1768</v>
      </c>
    </row>
    <row r="112" spans="2:31" x14ac:dyDescent="0.35">
      <c r="B112" s="24" t="s">
        <v>416</v>
      </c>
      <c r="C112" s="12">
        <v>107</v>
      </c>
      <c r="D112" s="11" t="s">
        <v>142</v>
      </c>
      <c r="E112" s="11" t="s">
        <v>429</v>
      </c>
      <c r="F112" s="12" t="s">
        <v>416</v>
      </c>
      <c r="G112" s="12" t="s">
        <v>247</v>
      </c>
      <c r="H112" s="12" t="s">
        <v>125</v>
      </c>
      <c r="I112" s="12" t="s">
        <v>430</v>
      </c>
      <c r="J112" s="12" t="s">
        <v>20</v>
      </c>
      <c r="K112" s="12" t="s">
        <v>1023</v>
      </c>
      <c r="L112" s="12" t="s">
        <v>247</v>
      </c>
      <c r="N112" s="13" t="s">
        <v>527</v>
      </c>
      <c r="O112" s="11" t="s">
        <v>432</v>
      </c>
      <c r="P112" s="11" t="s">
        <v>433</v>
      </c>
      <c r="Q112" s="11" t="s">
        <v>125</v>
      </c>
      <c r="R112" s="11" t="s">
        <v>150</v>
      </c>
      <c r="T112" s="11" t="s">
        <v>126</v>
      </c>
      <c r="U112" s="11" t="s">
        <v>992</v>
      </c>
      <c r="AE112" s="11" t="s">
        <v>1768</v>
      </c>
    </row>
    <row r="113" spans="2:31" x14ac:dyDescent="0.35">
      <c r="B113" s="24" t="s">
        <v>416</v>
      </c>
      <c r="C113" s="12">
        <v>108</v>
      </c>
      <c r="D113" s="11" t="s">
        <v>31</v>
      </c>
      <c r="E113" s="11" t="s">
        <v>429</v>
      </c>
      <c r="F113" s="12" t="s">
        <v>416</v>
      </c>
      <c r="G113" s="12" t="s">
        <v>247</v>
      </c>
      <c r="H113" s="12" t="s">
        <v>125</v>
      </c>
      <c r="I113" s="12" t="s">
        <v>430</v>
      </c>
      <c r="J113" s="12" t="s">
        <v>20</v>
      </c>
      <c r="K113" s="12" t="s">
        <v>1023</v>
      </c>
      <c r="L113" s="12" t="s">
        <v>247</v>
      </c>
      <c r="N113" s="13" t="s">
        <v>32</v>
      </c>
      <c r="O113" s="11" t="s">
        <v>432</v>
      </c>
      <c r="P113" s="11" t="s">
        <v>433</v>
      </c>
      <c r="Q113" s="11" t="s">
        <v>125</v>
      </c>
      <c r="R113" s="11" t="s">
        <v>150</v>
      </c>
      <c r="S113" s="11" t="s">
        <v>125</v>
      </c>
      <c r="T113" s="11" t="s">
        <v>125</v>
      </c>
      <c r="U113" s="11" t="s">
        <v>38</v>
      </c>
      <c r="V113" s="11">
        <v>46147</v>
      </c>
      <c r="AE113" s="11" t="s">
        <v>993</v>
      </c>
    </row>
    <row r="114" spans="2:31" x14ac:dyDescent="0.35">
      <c r="B114" s="24" t="s">
        <v>278</v>
      </c>
      <c r="C114" s="12">
        <v>109</v>
      </c>
      <c r="D114" s="11" t="s">
        <v>530</v>
      </c>
      <c r="E114" s="11" t="s">
        <v>93</v>
      </c>
      <c r="F114" s="12" t="s">
        <v>278</v>
      </c>
      <c r="G114" s="12" t="s">
        <v>246</v>
      </c>
      <c r="H114" s="12" t="s">
        <v>246</v>
      </c>
      <c r="I114" s="12" t="s">
        <v>430</v>
      </c>
      <c r="J114" s="12" t="s">
        <v>93</v>
      </c>
      <c r="K114" s="12" t="s">
        <v>1022</v>
      </c>
      <c r="L114" s="12" t="s">
        <v>247</v>
      </c>
      <c r="N114" s="13" t="s">
        <v>531</v>
      </c>
      <c r="O114" s="11" t="s">
        <v>532</v>
      </c>
      <c r="P114" s="11" t="s">
        <v>533</v>
      </c>
      <c r="Q114" s="11" t="s">
        <v>125</v>
      </c>
      <c r="R114" s="11" t="s">
        <v>150</v>
      </c>
      <c r="T114" s="11" t="s">
        <v>126</v>
      </c>
      <c r="U114" s="11" t="s">
        <v>992</v>
      </c>
      <c r="AE114" s="11" t="s">
        <v>1768</v>
      </c>
    </row>
    <row r="115" spans="2:31" x14ac:dyDescent="0.35">
      <c r="B115" s="24" t="s">
        <v>49</v>
      </c>
      <c r="C115" s="12">
        <v>110</v>
      </c>
      <c r="D115" s="11" t="s">
        <v>534</v>
      </c>
      <c r="E115" s="11" t="s">
        <v>93</v>
      </c>
      <c r="F115" s="12" t="s">
        <v>49</v>
      </c>
      <c r="G115" s="12" t="s">
        <v>246</v>
      </c>
      <c r="H115" s="12" t="s">
        <v>246</v>
      </c>
      <c r="I115" s="12" t="s">
        <v>430</v>
      </c>
      <c r="J115" s="12" t="s">
        <v>93</v>
      </c>
      <c r="K115" s="12" t="s">
        <v>1023</v>
      </c>
      <c r="L115" s="12" t="s">
        <v>247</v>
      </c>
      <c r="N115" s="13" t="s">
        <v>535</v>
      </c>
      <c r="O115" s="11" t="s">
        <v>532</v>
      </c>
      <c r="P115" s="11" t="s">
        <v>533</v>
      </c>
      <c r="Q115" s="11" t="s">
        <v>125</v>
      </c>
      <c r="R115" s="11" t="s">
        <v>150</v>
      </c>
      <c r="T115" s="11" t="s">
        <v>126</v>
      </c>
      <c r="U115" s="11" t="s">
        <v>992</v>
      </c>
      <c r="AE115" s="11" t="s">
        <v>1768</v>
      </c>
    </row>
    <row r="116" spans="2:31" x14ac:dyDescent="0.35">
      <c r="B116" s="24" t="s">
        <v>311</v>
      </c>
      <c r="C116" s="12">
        <v>111</v>
      </c>
      <c r="D116" s="11" t="s">
        <v>536</v>
      </c>
      <c r="E116" s="11" t="s">
        <v>93</v>
      </c>
      <c r="F116" s="12" t="s">
        <v>311</v>
      </c>
      <c r="G116" s="12" t="s">
        <v>246</v>
      </c>
      <c r="H116" s="12" t="s">
        <v>246</v>
      </c>
      <c r="I116" s="12" t="s">
        <v>430</v>
      </c>
      <c r="J116" s="12" t="s">
        <v>93</v>
      </c>
      <c r="K116" s="12" t="s">
        <v>1023</v>
      </c>
      <c r="L116" s="12" t="s">
        <v>247</v>
      </c>
      <c r="N116" s="13" t="s">
        <v>537</v>
      </c>
      <c r="O116" s="11" t="s">
        <v>532</v>
      </c>
      <c r="P116" s="11" t="s">
        <v>533</v>
      </c>
      <c r="Q116" s="11" t="s">
        <v>125</v>
      </c>
      <c r="R116" s="11" t="s">
        <v>150</v>
      </c>
      <c r="T116" s="11" t="s">
        <v>126</v>
      </c>
      <c r="U116" s="11" t="s">
        <v>992</v>
      </c>
      <c r="AE116" s="11" t="s">
        <v>1768</v>
      </c>
    </row>
    <row r="117" spans="2:31" x14ac:dyDescent="0.35">
      <c r="B117" s="24" t="s">
        <v>49</v>
      </c>
      <c r="C117" s="12">
        <v>112</v>
      </c>
      <c r="D117" s="11" t="s">
        <v>538</v>
      </c>
      <c r="E117" s="11" t="s">
        <v>93</v>
      </c>
      <c r="F117" s="12" t="s">
        <v>413</v>
      </c>
      <c r="G117" s="12" t="s">
        <v>246</v>
      </c>
      <c r="H117" s="12" t="s">
        <v>246</v>
      </c>
      <c r="I117" s="12" t="s">
        <v>430</v>
      </c>
      <c r="J117" s="12" t="s">
        <v>93</v>
      </c>
      <c r="K117" s="12" t="s">
        <v>1023</v>
      </c>
      <c r="L117" s="12" t="s">
        <v>247</v>
      </c>
      <c r="N117" s="13" t="s">
        <v>539</v>
      </c>
      <c r="O117" s="11" t="s">
        <v>532</v>
      </c>
      <c r="P117" s="11" t="s">
        <v>533</v>
      </c>
      <c r="Q117" s="11" t="s">
        <v>125</v>
      </c>
      <c r="R117" s="11" t="s">
        <v>150</v>
      </c>
      <c r="T117" s="11" t="s">
        <v>126</v>
      </c>
      <c r="U117" s="11" t="s">
        <v>992</v>
      </c>
      <c r="AE117" s="11" t="s">
        <v>1768</v>
      </c>
    </row>
    <row r="118" spans="2:31" x14ac:dyDescent="0.35">
      <c r="B118" s="24" t="s">
        <v>49</v>
      </c>
      <c r="C118" s="12">
        <v>113</v>
      </c>
      <c r="D118" s="11" t="s">
        <v>540</v>
      </c>
      <c r="E118" s="11" t="s">
        <v>93</v>
      </c>
      <c r="F118" s="12" t="s">
        <v>435</v>
      </c>
      <c r="G118" s="12" t="s">
        <v>246</v>
      </c>
      <c r="H118" s="12" t="s">
        <v>246</v>
      </c>
      <c r="I118" s="12" t="s">
        <v>430</v>
      </c>
      <c r="J118" s="12" t="s">
        <v>93</v>
      </c>
      <c r="K118" s="12" t="s">
        <v>1023</v>
      </c>
      <c r="L118" s="12" t="s">
        <v>247</v>
      </c>
      <c r="N118" s="13" t="s">
        <v>541</v>
      </c>
      <c r="O118" s="11" t="s">
        <v>532</v>
      </c>
      <c r="P118" s="11" t="s">
        <v>533</v>
      </c>
      <c r="Q118" s="11" t="s">
        <v>125</v>
      </c>
      <c r="R118" s="11" t="s">
        <v>150</v>
      </c>
      <c r="T118" s="11" t="s">
        <v>126</v>
      </c>
      <c r="U118" s="11" t="s">
        <v>992</v>
      </c>
      <c r="AE118" s="11" t="s">
        <v>1768</v>
      </c>
    </row>
    <row r="119" spans="2:31" x14ac:dyDescent="0.35">
      <c r="B119" s="24" t="s">
        <v>49</v>
      </c>
      <c r="C119" s="12">
        <v>114</v>
      </c>
      <c r="D119" s="11" t="s">
        <v>542</v>
      </c>
      <c r="E119" s="11" t="s">
        <v>93</v>
      </c>
      <c r="F119" s="12" t="s">
        <v>543</v>
      </c>
      <c r="G119" s="12" t="s">
        <v>246</v>
      </c>
      <c r="H119" s="12" t="s">
        <v>246</v>
      </c>
      <c r="I119" s="12" t="s">
        <v>430</v>
      </c>
      <c r="J119" s="12" t="s">
        <v>93</v>
      </c>
      <c r="K119" s="12" t="s">
        <v>1023</v>
      </c>
      <c r="L119" s="12" t="s">
        <v>247</v>
      </c>
      <c r="N119" s="13" t="s">
        <v>544</v>
      </c>
      <c r="O119" s="11" t="s">
        <v>532</v>
      </c>
      <c r="P119" s="11" t="s">
        <v>533</v>
      </c>
      <c r="Q119" s="11" t="s">
        <v>125</v>
      </c>
      <c r="R119" s="11" t="s">
        <v>150</v>
      </c>
      <c r="T119" s="11" t="s">
        <v>126</v>
      </c>
      <c r="U119" s="11" t="s">
        <v>992</v>
      </c>
      <c r="AE119" s="11" t="s">
        <v>1768</v>
      </c>
    </row>
    <row r="120" spans="2:31" x14ac:dyDescent="0.35">
      <c r="B120" s="24" t="s">
        <v>416</v>
      </c>
      <c r="C120" s="12">
        <v>115</v>
      </c>
      <c r="D120" s="11" t="s">
        <v>545</v>
      </c>
      <c r="E120" s="11" t="s">
        <v>93</v>
      </c>
      <c r="F120" s="12" t="s">
        <v>416</v>
      </c>
      <c r="G120" s="12" t="s">
        <v>246</v>
      </c>
      <c r="H120" s="12" t="s">
        <v>246</v>
      </c>
      <c r="I120" s="12" t="s">
        <v>430</v>
      </c>
      <c r="J120" s="12" t="s">
        <v>93</v>
      </c>
      <c r="K120" s="12" t="s">
        <v>1023</v>
      </c>
      <c r="L120" s="12" t="s">
        <v>247</v>
      </c>
      <c r="N120" s="13" t="s">
        <v>546</v>
      </c>
      <c r="O120" s="11" t="s">
        <v>532</v>
      </c>
      <c r="P120" s="11" t="s">
        <v>533</v>
      </c>
      <c r="Q120" s="11" t="s">
        <v>125</v>
      </c>
      <c r="R120" s="11" t="s">
        <v>150</v>
      </c>
      <c r="T120" s="11" t="s">
        <v>126</v>
      </c>
      <c r="U120" s="11" t="s">
        <v>992</v>
      </c>
      <c r="AE120" s="11" t="s">
        <v>1768</v>
      </c>
    </row>
    <row r="121" spans="2:31" x14ac:dyDescent="0.35">
      <c r="B121" s="24" t="s">
        <v>283</v>
      </c>
      <c r="C121" s="12">
        <v>116</v>
      </c>
      <c r="D121" s="11" t="s">
        <v>547</v>
      </c>
      <c r="E121" s="11" t="s">
        <v>93</v>
      </c>
      <c r="F121" s="12" t="s">
        <v>283</v>
      </c>
      <c r="G121" s="12" t="s">
        <v>246</v>
      </c>
      <c r="H121" s="12" t="s">
        <v>246</v>
      </c>
      <c r="I121" s="12" t="s">
        <v>430</v>
      </c>
      <c r="J121" s="12" t="s">
        <v>93</v>
      </c>
      <c r="K121" s="12" t="s">
        <v>1022</v>
      </c>
      <c r="L121" s="12" t="s">
        <v>247</v>
      </c>
      <c r="N121" s="13" t="s">
        <v>548</v>
      </c>
      <c r="O121" s="11" t="s">
        <v>532</v>
      </c>
      <c r="P121" s="11" t="s">
        <v>533</v>
      </c>
      <c r="Q121" s="11" t="s">
        <v>125</v>
      </c>
      <c r="R121" s="11" t="s">
        <v>150</v>
      </c>
      <c r="T121" s="11" t="s">
        <v>125</v>
      </c>
      <c r="U121" s="11" t="s">
        <v>1014</v>
      </c>
      <c r="Z121" s="11">
        <v>46214</v>
      </c>
      <c r="AA121" s="11">
        <v>46214</v>
      </c>
      <c r="AB121" s="11" t="s">
        <v>30</v>
      </c>
      <c r="AC121" s="11">
        <v>36</v>
      </c>
      <c r="AE121" s="11" t="s">
        <v>993</v>
      </c>
    </row>
    <row r="122" spans="2:31" x14ac:dyDescent="0.35">
      <c r="B122" s="24" t="s">
        <v>314</v>
      </c>
      <c r="C122" s="12">
        <v>117</v>
      </c>
      <c r="D122" s="11" t="s">
        <v>549</v>
      </c>
      <c r="E122" s="11" t="s">
        <v>93</v>
      </c>
      <c r="F122" s="12" t="s">
        <v>314</v>
      </c>
      <c r="G122" s="12" t="s">
        <v>246</v>
      </c>
      <c r="H122" s="12" t="s">
        <v>246</v>
      </c>
      <c r="I122" s="12" t="s">
        <v>430</v>
      </c>
      <c r="J122" s="12" t="s">
        <v>93</v>
      </c>
      <c r="K122" s="12" t="s">
        <v>1022</v>
      </c>
      <c r="L122" s="12" t="s">
        <v>247</v>
      </c>
      <c r="N122" s="13" t="s">
        <v>550</v>
      </c>
      <c r="O122" s="11" t="s">
        <v>532</v>
      </c>
      <c r="P122" s="11" t="s">
        <v>533</v>
      </c>
      <c r="Q122" s="11" t="s">
        <v>125</v>
      </c>
      <c r="R122" s="11" t="s">
        <v>150</v>
      </c>
      <c r="T122" s="11" t="s">
        <v>126</v>
      </c>
      <c r="U122" s="11" t="s">
        <v>992</v>
      </c>
      <c r="AE122" s="11" t="s">
        <v>1768</v>
      </c>
    </row>
    <row r="123" spans="2:31" x14ac:dyDescent="0.35">
      <c r="B123" s="24" t="s">
        <v>49</v>
      </c>
      <c r="C123" s="12">
        <v>118</v>
      </c>
      <c r="D123" s="11" t="s">
        <v>551</v>
      </c>
      <c r="E123" s="11" t="s">
        <v>93</v>
      </c>
      <c r="F123" s="12" t="s">
        <v>419</v>
      </c>
      <c r="G123" s="12" t="s">
        <v>246</v>
      </c>
      <c r="H123" s="12" t="s">
        <v>246</v>
      </c>
      <c r="I123" s="12" t="s">
        <v>430</v>
      </c>
      <c r="J123" s="12" t="s">
        <v>93</v>
      </c>
      <c r="K123" s="12" t="s">
        <v>1023</v>
      </c>
      <c r="L123" s="12" t="s">
        <v>247</v>
      </c>
      <c r="N123" s="13" t="s">
        <v>552</v>
      </c>
      <c r="O123" s="11" t="s">
        <v>532</v>
      </c>
      <c r="P123" s="11" t="s">
        <v>533</v>
      </c>
      <c r="Q123" s="11" t="s">
        <v>125</v>
      </c>
      <c r="R123" s="11" t="s">
        <v>150</v>
      </c>
      <c r="T123" s="11" t="s">
        <v>126</v>
      </c>
      <c r="U123" s="11" t="s">
        <v>992</v>
      </c>
      <c r="AE123" s="11" t="s">
        <v>1768</v>
      </c>
    </row>
    <row r="124" spans="2:31" x14ac:dyDescent="0.35">
      <c r="B124" s="24" t="s">
        <v>49</v>
      </c>
      <c r="C124" s="12">
        <v>119</v>
      </c>
      <c r="D124" s="11" t="s">
        <v>553</v>
      </c>
      <c r="E124" s="11" t="s">
        <v>93</v>
      </c>
      <c r="F124" s="12" t="s">
        <v>554</v>
      </c>
      <c r="G124" s="12" t="s">
        <v>246</v>
      </c>
      <c r="H124" s="12" t="s">
        <v>246</v>
      </c>
      <c r="I124" s="12" t="s">
        <v>430</v>
      </c>
      <c r="J124" s="12" t="s">
        <v>93</v>
      </c>
      <c r="K124" s="12" t="s">
        <v>1022</v>
      </c>
      <c r="L124" s="12" t="s">
        <v>247</v>
      </c>
      <c r="N124" s="13" t="s">
        <v>555</v>
      </c>
      <c r="O124" s="11" t="s">
        <v>532</v>
      </c>
      <c r="P124" s="11" t="s">
        <v>533</v>
      </c>
      <c r="Q124" s="11" t="s">
        <v>125</v>
      </c>
      <c r="R124" s="11" t="s">
        <v>150</v>
      </c>
      <c r="T124" s="11" t="s">
        <v>126</v>
      </c>
      <c r="U124" s="11" t="s">
        <v>992</v>
      </c>
      <c r="AE124" s="11" t="s">
        <v>1768</v>
      </c>
    </row>
    <row r="125" spans="2:31" x14ac:dyDescent="0.35">
      <c r="B125" s="24" t="s">
        <v>49</v>
      </c>
      <c r="C125" s="12">
        <v>120</v>
      </c>
      <c r="D125" s="11" t="s">
        <v>556</v>
      </c>
      <c r="E125" s="11" t="s">
        <v>93</v>
      </c>
      <c r="F125" s="12" t="s">
        <v>557</v>
      </c>
      <c r="G125" s="12" t="s">
        <v>246</v>
      </c>
      <c r="H125" s="12" t="s">
        <v>246</v>
      </c>
      <c r="I125" s="12" t="s">
        <v>430</v>
      </c>
      <c r="J125" s="12" t="s">
        <v>93</v>
      </c>
      <c r="K125" s="12" t="s">
        <v>1023</v>
      </c>
      <c r="L125" s="12" t="s">
        <v>247</v>
      </c>
      <c r="N125" s="13" t="s">
        <v>558</v>
      </c>
      <c r="O125" s="11" t="s">
        <v>532</v>
      </c>
      <c r="P125" s="11" t="s">
        <v>533</v>
      </c>
      <c r="Q125" s="11" t="s">
        <v>125</v>
      </c>
      <c r="R125" s="11" t="s">
        <v>150</v>
      </c>
      <c r="T125" s="11" t="s">
        <v>126</v>
      </c>
      <c r="U125" s="11" t="s">
        <v>992</v>
      </c>
      <c r="AE125" s="11" t="s">
        <v>1768</v>
      </c>
    </row>
    <row r="126" spans="2:31" x14ac:dyDescent="0.35">
      <c r="B126" s="24" t="s">
        <v>416</v>
      </c>
      <c r="C126" s="12">
        <v>121</v>
      </c>
      <c r="D126" s="11" t="s">
        <v>559</v>
      </c>
      <c r="E126" s="11" t="s">
        <v>93</v>
      </c>
      <c r="F126" s="12" t="s">
        <v>416</v>
      </c>
      <c r="G126" s="12" t="s">
        <v>246</v>
      </c>
      <c r="H126" s="12" t="s">
        <v>246</v>
      </c>
      <c r="I126" s="12" t="s">
        <v>430</v>
      </c>
      <c r="J126" s="12" t="s">
        <v>93</v>
      </c>
      <c r="K126" s="12" t="s">
        <v>1022</v>
      </c>
      <c r="L126" s="12" t="s">
        <v>247</v>
      </c>
      <c r="N126" s="13" t="s">
        <v>560</v>
      </c>
      <c r="O126" s="11" t="s">
        <v>532</v>
      </c>
      <c r="P126" s="11" t="s">
        <v>533</v>
      </c>
      <c r="Q126" s="11" t="s">
        <v>125</v>
      </c>
      <c r="R126" s="11" t="s">
        <v>150</v>
      </c>
      <c r="T126" s="11" t="s">
        <v>126</v>
      </c>
      <c r="U126" s="11" t="s">
        <v>992</v>
      </c>
      <c r="AE126" s="11" t="s">
        <v>1768</v>
      </c>
    </row>
    <row r="127" spans="2:31" x14ac:dyDescent="0.35">
      <c r="B127" s="24" t="s">
        <v>49</v>
      </c>
      <c r="C127" s="12">
        <v>122</v>
      </c>
      <c r="D127" s="11" t="s">
        <v>561</v>
      </c>
      <c r="E127" s="11" t="s">
        <v>93</v>
      </c>
      <c r="F127" s="12" t="s">
        <v>447</v>
      </c>
      <c r="G127" s="12" t="s">
        <v>246</v>
      </c>
      <c r="H127" s="12" t="s">
        <v>246</v>
      </c>
      <c r="I127" s="12" t="s">
        <v>430</v>
      </c>
      <c r="J127" s="12" t="s">
        <v>93</v>
      </c>
      <c r="K127" s="12" t="s">
        <v>1022</v>
      </c>
      <c r="L127" s="12" t="s">
        <v>247</v>
      </c>
      <c r="N127" s="13" t="s">
        <v>562</v>
      </c>
      <c r="O127" s="11" t="s">
        <v>532</v>
      </c>
      <c r="P127" s="11" t="s">
        <v>533</v>
      </c>
      <c r="Q127" s="11" t="s">
        <v>125</v>
      </c>
      <c r="R127" s="11" t="s">
        <v>150</v>
      </c>
      <c r="T127" s="11" t="s">
        <v>126</v>
      </c>
      <c r="U127" s="11" t="s">
        <v>992</v>
      </c>
      <c r="AE127" s="11" t="s">
        <v>1768</v>
      </c>
    </row>
    <row r="128" spans="2:31" x14ac:dyDescent="0.35">
      <c r="B128" s="24" t="s">
        <v>49</v>
      </c>
      <c r="C128" s="12">
        <v>123</v>
      </c>
      <c r="D128" s="11" t="s">
        <v>563</v>
      </c>
      <c r="E128" s="11" t="s">
        <v>93</v>
      </c>
      <c r="F128" s="12" t="s">
        <v>554</v>
      </c>
      <c r="G128" s="12" t="s">
        <v>246</v>
      </c>
      <c r="H128" s="12" t="s">
        <v>246</v>
      </c>
      <c r="I128" s="12" t="s">
        <v>430</v>
      </c>
      <c r="J128" s="12" t="s">
        <v>93</v>
      </c>
      <c r="K128" s="12" t="s">
        <v>1023</v>
      </c>
      <c r="L128" s="12" t="s">
        <v>247</v>
      </c>
      <c r="N128" s="13" t="s">
        <v>564</v>
      </c>
      <c r="O128" s="11" t="s">
        <v>532</v>
      </c>
      <c r="P128" s="11" t="s">
        <v>533</v>
      </c>
      <c r="Q128" s="11" t="s">
        <v>125</v>
      </c>
      <c r="R128" s="11" t="s">
        <v>150</v>
      </c>
      <c r="T128" s="11" t="s">
        <v>126</v>
      </c>
      <c r="U128" s="11" t="s">
        <v>992</v>
      </c>
      <c r="AE128" s="11" t="s">
        <v>1768</v>
      </c>
    </row>
    <row r="129" spans="2:31" x14ac:dyDescent="0.35">
      <c r="B129" s="24" t="s">
        <v>49</v>
      </c>
      <c r="C129" s="12">
        <v>124</v>
      </c>
      <c r="D129" s="11" t="s">
        <v>565</v>
      </c>
      <c r="E129" s="11" t="s">
        <v>93</v>
      </c>
      <c r="F129" s="12" t="s">
        <v>450</v>
      </c>
      <c r="G129" s="12" t="s">
        <v>246</v>
      </c>
      <c r="H129" s="12" t="s">
        <v>246</v>
      </c>
      <c r="I129" s="12" t="s">
        <v>430</v>
      </c>
      <c r="J129" s="12" t="s">
        <v>93</v>
      </c>
      <c r="K129" s="12" t="s">
        <v>1022</v>
      </c>
      <c r="L129" s="12" t="s">
        <v>247</v>
      </c>
      <c r="N129" s="13" t="s">
        <v>566</v>
      </c>
      <c r="O129" s="11" t="s">
        <v>532</v>
      </c>
      <c r="P129" s="11" t="s">
        <v>533</v>
      </c>
      <c r="Q129" s="11" t="s">
        <v>125</v>
      </c>
      <c r="R129" s="11" t="s">
        <v>150</v>
      </c>
      <c r="T129" s="11" t="s">
        <v>126</v>
      </c>
      <c r="U129" s="11" t="s">
        <v>992</v>
      </c>
      <c r="AE129" s="11" t="s">
        <v>1768</v>
      </c>
    </row>
    <row r="130" spans="2:31" x14ac:dyDescent="0.35">
      <c r="B130" s="24" t="s">
        <v>49</v>
      </c>
      <c r="C130" s="12">
        <v>125</v>
      </c>
      <c r="D130" s="11" t="s">
        <v>567</v>
      </c>
      <c r="E130" s="11" t="s">
        <v>93</v>
      </c>
      <c r="F130" s="12" t="s">
        <v>49</v>
      </c>
      <c r="G130" s="12" t="s">
        <v>246</v>
      </c>
      <c r="H130" s="12" t="s">
        <v>246</v>
      </c>
      <c r="I130" s="12" t="s">
        <v>430</v>
      </c>
      <c r="J130" s="12" t="s">
        <v>93</v>
      </c>
      <c r="K130" s="12" t="s">
        <v>1023</v>
      </c>
      <c r="L130" s="12" t="s">
        <v>247</v>
      </c>
      <c r="N130" s="13" t="s">
        <v>568</v>
      </c>
      <c r="O130" s="11" t="s">
        <v>532</v>
      </c>
      <c r="P130" s="11" t="s">
        <v>533</v>
      </c>
      <c r="Q130" s="11" t="s">
        <v>125</v>
      </c>
      <c r="R130" s="11" t="s">
        <v>150</v>
      </c>
      <c r="T130" s="11" t="s">
        <v>126</v>
      </c>
      <c r="U130" s="11" t="s">
        <v>992</v>
      </c>
      <c r="AE130" s="11" t="s">
        <v>1768</v>
      </c>
    </row>
    <row r="131" spans="2:31" x14ac:dyDescent="0.35">
      <c r="B131" s="24" t="s">
        <v>283</v>
      </c>
      <c r="C131" s="12">
        <v>126</v>
      </c>
      <c r="D131" s="11" t="s">
        <v>569</v>
      </c>
      <c r="E131" s="11" t="s">
        <v>93</v>
      </c>
      <c r="F131" s="12" t="s">
        <v>283</v>
      </c>
      <c r="G131" s="12" t="s">
        <v>246</v>
      </c>
      <c r="H131" s="12" t="s">
        <v>246</v>
      </c>
      <c r="I131" s="12" t="s">
        <v>430</v>
      </c>
      <c r="J131" s="12" t="s">
        <v>93</v>
      </c>
      <c r="K131" s="12" t="s">
        <v>1023</v>
      </c>
      <c r="L131" s="12" t="s">
        <v>247</v>
      </c>
      <c r="N131" s="13" t="s">
        <v>570</v>
      </c>
      <c r="O131" s="11" t="s">
        <v>532</v>
      </c>
      <c r="P131" s="11" t="s">
        <v>533</v>
      </c>
      <c r="Q131" s="11" t="s">
        <v>125</v>
      </c>
      <c r="R131" s="11" t="s">
        <v>150</v>
      </c>
      <c r="T131" s="11" t="s">
        <v>126</v>
      </c>
      <c r="U131" s="11" t="s">
        <v>992</v>
      </c>
      <c r="AE131" s="11" t="s">
        <v>1768</v>
      </c>
    </row>
    <row r="132" spans="2:31" x14ac:dyDescent="0.35">
      <c r="B132" s="24" t="s">
        <v>49</v>
      </c>
      <c r="C132" s="12">
        <v>127</v>
      </c>
      <c r="D132" s="11" t="s">
        <v>571</v>
      </c>
      <c r="E132" s="11" t="s">
        <v>93</v>
      </c>
      <c r="F132" s="12" t="s">
        <v>450</v>
      </c>
      <c r="G132" s="12" t="s">
        <v>246</v>
      </c>
      <c r="H132" s="12" t="s">
        <v>246</v>
      </c>
      <c r="I132" s="12" t="s">
        <v>430</v>
      </c>
      <c r="J132" s="12" t="s">
        <v>93</v>
      </c>
      <c r="K132" s="12" t="s">
        <v>1022</v>
      </c>
      <c r="L132" s="12" t="s">
        <v>247</v>
      </c>
      <c r="N132" s="13" t="s">
        <v>572</v>
      </c>
      <c r="O132" s="11" t="s">
        <v>532</v>
      </c>
      <c r="P132" s="11" t="s">
        <v>533</v>
      </c>
      <c r="Q132" s="11" t="s">
        <v>125</v>
      </c>
      <c r="R132" s="11" t="s">
        <v>150</v>
      </c>
      <c r="T132" s="11" t="s">
        <v>126</v>
      </c>
      <c r="U132" s="11" t="s">
        <v>992</v>
      </c>
      <c r="AE132" s="11" t="s">
        <v>1768</v>
      </c>
    </row>
    <row r="133" spans="2:31" x14ac:dyDescent="0.35">
      <c r="B133" s="24" t="s">
        <v>295</v>
      </c>
      <c r="C133" s="12">
        <v>128</v>
      </c>
      <c r="D133" s="11" t="s">
        <v>573</v>
      </c>
      <c r="E133" s="11" t="s">
        <v>93</v>
      </c>
      <c r="F133" s="12" t="s">
        <v>295</v>
      </c>
      <c r="G133" s="12" t="s">
        <v>246</v>
      </c>
      <c r="H133" s="12" t="s">
        <v>246</v>
      </c>
      <c r="I133" s="12" t="s">
        <v>430</v>
      </c>
      <c r="J133" s="12" t="s">
        <v>93</v>
      </c>
      <c r="K133" s="12" t="s">
        <v>1023</v>
      </c>
      <c r="L133" s="12" t="s">
        <v>247</v>
      </c>
      <c r="N133" s="13" t="s">
        <v>574</v>
      </c>
      <c r="O133" s="11" t="s">
        <v>532</v>
      </c>
      <c r="P133" s="11" t="s">
        <v>533</v>
      </c>
      <c r="Q133" s="11" t="s">
        <v>125</v>
      </c>
      <c r="R133" s="11" t="s">
        <v>150</v>
      </c>
      <c r="T133" s="11" t="s">
        <v>126</v>
      </c>
      <c r="U133" s="11" t="s">
        <v>992</v>
      </c>
      <c r="AE133" s="11" t="s">
        <v>1768</v>
      </c>
    </row>
    <row r="134" spans="2:31" x14ac:dyDescent="0.35">
      <c r="B134" s="24" t="s">
        <v>49</v>
      </c>
      <c r="C134" s="12">
        <v>129</v>
      </c>
      <c r="D134" s="11" t="s">
        <v>575</v>
      </c>
      <c r="E134" s="11" t="s">
        <v>93</v>
      </c>
      <c r="F134" s="12" t="s">
        <v>49</v>
      </c>
      <c r="G134" s="12" t="s">
        <v>246</v>
      </c>
      <c r="H134" s="12" t="s">
        <v>246</v>
      </c>
      <c r="I134" s="12" t="s">
        <v>430</v>
      </c>
      <c r="J134" s="12" t="s">
        <v>93</v>
      </c>
      <c r="K134" s="12" t="s">
        <v>1023</v>
      </c>
      <c r="L134" s="12" t="s">
        <v>247</v>
      </c>
      <c r="N134" s="13" t="s">
        <v>576</v>
      </c>
      <c r="O134" s="11" t="s">
        <v>532</v>
      </c>
      <c r="P134" s="11" t="s">
        <v>533</v>
      </c>
      <c r="Q134" s="11" t="s">
        <v>125</v>
      </c>
      <c r="R134" s="11" t="s">
        <v>150</v>
      </c>
      <c r="T134" s="11" t="s">
        <v>126</v>
      </c>
      <c r="U134" s="11" t="s">
        <v>992</v>
      </c>
      <c r="AE134" s="11" t="s">
        <v>1768</v>
      </c>
    </row>
    <row r="135" spans="2:31" x14ac:dyDescent="0.35">
      <c r="B135" s="24" t="s">
        <v>49</v>
      </c>
      <c r="C135" s="12">
        <v>130</v>
      </c>
      <c r="D135" s="11" t="s">
        <v>577</v>
      </c>
      <c r="E135" s="11" t="s">
        <v>93</v>
      </c>
      <c r="F135" s="12" t="s">
        <v>286</v>
      </c>
      <c r="G135" s="12" t="s">
        <v>246</v>
      </c>
      <c r="H135" s="12" t="s">
        <v>246</v>
      </c>
      <c r="I135" s="12" t="s">
        <v>430</v>
      </c>
      <c r="J135" s="12" t="s">
        <v>93</v>
      </c>
      <c r="K135" s="12" t="s">
        <v>1023</v>
      </c>
      <c r="L135" s="12" t="s">
        <v>247</v>
      </c>
      <c r="N135" s="13" t="s">
        <v>578</v>
      </c>
      <c r="O135" s="11" t="s">
        <v>532</v>
      </c>
      <c r="P135" s="11" t="s">
        <v>533</v>
      </c>
      <c r="Q135" s="11" t="s">
        <v>125</v>
      </c>
      <c r="R135" s="11" t="s">
        <v>150</v>
      </c>
      <c r="T135" s="11" t="s">
        <v>126</v>
      </c>
      <c r="U135" s="11" t="s">
        <v>992</v>
      </c>
      <c r="AE135" s="11" t="s">
        <v>1768</v>
      </c>
    </row>
    <row r="136" spans="2:31" x14ac:dyDescent="0.35">
      <c r="B136" s="24" t="s">
        <v>49</v>
      </c>
      <c r="C136" s="12">
        <v>131</v>
      </c>
      <c r="D136" s="11" t="s">
        <v>559</v>
      </c>
      <c r="E136" s="11" t="s">
        <v>93</v>
      </c>
      <c r="F136" s="12" t="s">
        <v>49</v>
      </c>
      <c r="G136" s="12" t="s">
        <v>246</v>
      </c>
      <c r="H136" s="12" t="s">
        <v>246</v>
      </c>
      <c r="I136" s="12" t="s">
        <v>430</v>
      </c>
      <c r="J136" s="12" t="s">
        <v>93</v>
      </c>
      <c r="K136" s="12" t="s">
        <v>1022</v>
      </c>
      <c r="L136" s="12" t="s">
        <v>247</v>
      </c>
      <c r="N136" s="13" t="s">
        <v>579</v>
      </c>
      <c r="O136" s="11" t="s">
        <v>532</v>
      </c>
      <c r="P136" s="11" t="s">
        <v>533</v>
      </c>
      <c r="Q136" s="11" t="s">
        <v>125</v>
      </c>
      <c r="R136" s="11" t="s">
        <v>150</v>
      </c>
      <c r="T136" s="11" t="s">
        <v>126</v>
      </c>
      <c r="U136" s="11" t="s">
        <v>992</v>
      </c>
      <c r="AE136" s="11" t="s">
        <v>1768</v>
      </c>
    </row>
    <row r="137" spans="2:31" x14ac:dyDescent="0.35">
      <c r="B137" s="24" t="s">
        <v>49</v>
      </c>
      <c r="C137" s="12">
        <v>132</v>
      </c>
      <c r="D137" s="11" t="s">
        <v>580</v>
      </c>
      <c r="E137" s="11" t="s">
        <v>93</v>
      </c>
      <c r="F137" s="12" t="s">
        <v>49</v>
      </c>
      <c r="G137" s="12" t="s">
        <v>246</v>
      </c>
      <c r="H137" s="12" t="s">
        <v>246</v>
      </c>
      <c r="I137" s="12" t="s">
        <v>430</v>
      </c>
      <c r="J137" s="12" t="s">
        <v>93</v>
      </c>
      <c r="K137" s="12" t="s">
        <v>1023</v>
      </c>
      <c r="L137" s="12" t="s">
        <v>247</v>
      </c>
      <c r="N137" s="13" t="s">
        <v>581</v>
      </c>
      <c r="O137" s="11" t="s">
        <v>532</v>
      </c>
      <c r="P137" s="11" t="s">
        <v>533</v>
      </c>
      <c r="Q137" s="11" t="s">
        <v>125</v>
      </c>
      <c r="R137" s="11" t="s">
        <v>150</v>
      </c>
      <c r="T137" s="11" t="s">
        <v>126</v>
      </c>
      <c r="U137" s="11" t="s">
        <v>992</v>
      </c>
      <c r="AE137" s="11" t="s">
        <v>1768</v>
      </c>
    </row>
    <row r="138" spans="2:31" x14ac:dyDescent="0.35">
      <c r="B138" s="24" t="s">
        <v>49</v>
      </c>
      <c r="C138" s="12">
        <v>133</v>
      </c>
      <c r="D138" s="11" t="s">
        <v>582</v>
      </c>
      <c r="E138" s="11" t="s">
        <v>93</v>
      </c>
      <c r="F138" s="12" t="s">
        <v>494</v>
      </c>
      <c r="G138" s="12" t="s">
        <v>246</v>
      </c>
      <c r="H138" s="12" t="s">
        <v>246</v>
      </c>
      <c r="I138" s="12" t="s">
        <v>430</v>
      </c>
      <c r="J138" s="12" t="s">
        <v>93</v>
      </c>
      <c r="K138" s="12" t="s">
        <v>1023</v>
      </c>
      <c r="L138" s="12" t="s">
        <v>247</v>
      </c>
      <c r="N138" s="13" t="s">
        <v>583</v>
      </c>
      <c r="O138" s="11" t="s">
        <v>532</v>
      </c>
      <c r="P138" s="11" t="s">
        <v>533</v>
      </c>
      <c r="Q138" s="11" t="s">
        <v>125</v>
      </c>
      <c r="R138" s="11" t="s">
        <v>150</v>
      </c>
      <c r="T138" s="11" t="s">
        <v>126</v>
      </c>
      <c r="U138" s="11" t="s">
        <v>992</v>
      </c>
      <c r="AE138" s="11" t="s">
        <v>1768</v>
      </c>
    </row>
    <row r="139" spans="2:31" x14ac:dyDescent="0.35">
      <c r="B139" s="24" t="s">
        <v>49</v>
      </c>
      <c r="C139" s="12">
        <v>134</v>
      </c>
      <c r="D139" s="11" t="s">
        <v>584</v>
      </c>
      <c r="E139" s="11" t="s">
        <v>93</v>
      </c>
      <c r="F139" s="12" t="s">
        <v>585</v>
      </c>
      <c r="G139" s="12" t="s">
        <v>246</v>
      </c>
      <c r="H139" s="12" t="s">
        <v>246</v>
      </c>
      <c r="I139" s="12" t="s">
        <v>430</v>
      </c>
      <c r="J139" s="12" t="s">
        <v>93</v>
      </c>
      <c r="K139" s="12" t="s">
        <v>1023</v>
      </c>
      <c r="L139" s="12" t="s">
        <v>247</v>
      </c>
      <c r="N139" s="13" t="s">
        <v>586</v>
      </c>
      <c r="O139" s="11" t="s">
        <v>532</v>
      </c>
      <c r="P139" s="11" t="s">
        <v>533</v>
      </c>
      <c r="Q139" s="11" t="s">
        <v>125</v>
      </c>
      <c r="R139" s="11" t="s">
        <v>150</v>
      </c>
      <c r="T139" s="11" t="s">
        <v>126</v>
      </c>
      <c r="U139" s="11" t="s">
        <v>992</v>
      </c>
      <c r="AE139" s="11" t="s">
        <v>1768</v>
      </c>
    </row>
    <row r="140" spans="2:31" x14ac:dyDescent="0.35">
      <c r="B140" s="24" t="s">
        <v>314</v>
      </c>
      <c r="C140" s="12">
        <v>135</v>
      </c>
      <c r="D140" s="11" t="s">
        <v>587</v>
      </c>
      <c r="E140" s="11" t="s">
        <v>93</v>
      </c>
      <c r="F140" s="12" t="s">
        <v>314</v>
      </c>
      <c r="G140" s="12" t="s">
        <v>246</v>
      </c>
      <c r="H140" s="12" t="s">
        <v>246</v>
      </c>
      <c r="I140" s="12" t="s">
        <v>430</v>
      </c>
      <c r="J140" s="12" t="s">
        <v>93</v>
      </c>
      <c r="K140" s="12" t="s">
        <v>1023</v>
      </c>
      <c r="L140" s="12" t="s">
        <v>247</v>
      </c>
      <c r="N140" s="13" t="s">
        <v>588</v>
      </c>
      <c r="O140" s="11" t="s">
        <v>532</v>
      </c>
      <c r="P140" s="11" t="s">
        <v>533</v>
      </c>
      <c r="Q140" s="11" t="s">
        <v>125</v>
      </c>
      <c r="R140" s="11" t="s">
        <v>150</v>
      </c>
      <c r="T140" s="11" t="s">
        <v>126</v>
      </c>
      <c r="U140" s="11" t="s">
        <v>992</v>
      </c>
      <c r="AE140" s="11" t="s">
        <v>1768</v>
      </c>
    </row>
    <row r="141" spans="2:31" x14ac:dyDescent="0.35">
      <c r="B141" s="24" t="s">
        <v>278</v>
      </c>
      <c r="C141" s="12">
        <v>136</v>
      </c>
      <c r="D141" s="11" t="s">
        <v>589</v>
      </c>
      <c r="E141" s="11" t="s">
        <v>93</v>
      </c>
      <c r="F141" s="12" t="s">
        <v>278</v>
      </c>
      <c r="G141" s="12" t="s">
        <v>246</v>
      </c>
      <c r="H141" s="12" t="s">
        <v>246</v>
      </c>
      <c r="I141" s="12" t="s">
        <v>430</v>
      </c>
      <c r="J141" s="12" t="s">
        <v>93</v>
      </c>
      <c r="K141" s="12" t="s">
        <v>1023</v>
      </c>
      <c r="L141" s="12" t="s">
        <v>247</v>
      </c>
      <c r="N141" s="13" t="s">
        <v>590</v>
      </c>
      <c r="O141" s="11" t="s">
        <v>532</v>
      </c>
      <c r="P141" s="11" t="s">
        <v>533</v>
      </c>
      <c r="Q141" s="11" t="s">
        <v>125</v>
      </c>
      <c r="R141" s="11" t="s">
        <v>150</v>
      </c>
      <c r="T141" s="11" t="s">
        <v>126</v>
      </c>
      <c r="U141" s="11" t="s">
        <v>992</v>
      </c>
      <c r="AE141" s="11" t="s">
        <v>1768</v>
      </c>
    </row>
    <row r="142" spans="2:31" x14ac:dyDescent="0.35">
      <c r="B142" s="24" t="s">
        <v>49</v>
      </c>
      <c r="C142" s="12">
        <v>137</v>
      </c>
      <c r="D142" s="11" t="s">
        <v>591</v>
      </c>
      <c r="E142" s="11" t="s">
        <v>93</v>
      </c>
      <c r="F142" s="12" t="s">
        <v>374</v>
      </c>
      <c r="G142" s="12" t="s">
        <v>246</v>
      </c>
      <c r="H142" s="12" t="s">
        <v>246</v>
      </c>
      <c r="I142" s="12" t="s">
        <v>430</v>
      </c>
      <c r="J142" s="12" t="s">
        <v>93</v>
      </c>
      <c r="K142" s="12" t="s">
        <v>1023</v>
      </c>
      <c r="L142" s="12" t="s">
        <v>247</v>
      </c>
      <c r="N142" s="13" t="s">
        <v>592</v>
      </c>
      <c r="O142" s="11" t="s">
        <v>532</v>
      </c>
      <c r="P142" s="11" t="s">
        <v>533</v>
      </c>
      <c r="Q142" s="11" t="s">
        <v>125</v>
      </c>
      <c r="R142" s="11" t="s">
        <v>150</v>
      </c>
      <c r="T142" s="11" t="s">
        <v>126</v>
      </c>
      <c r="U142" s="11" t="s">
        <v>992</v>
      </c>
      <c r="AE142" s="11" t="s">
        <v>1768</v>
      </c>
    </row>
    <row r="143" spans="2:31" x14ac:dyDescent="0.35">
      <c r="B143" s="24" t="s">
        <v>49</v>
      </c>
      <c r="C143" s="12">
        <v>138</v>
      </c>
      <c r="D143" s="11" t="s">
        <v>593</v>
      </c>
      <c r="E143" s="11" t="s">
        <v>93</v>
      </c>
      <c r="F143" s="12" t="s">
        <v>411</v>
      </c>
      <c r="G143" s="12" t="s">
        <v>246</v>
      </c>
      <c r="H143" s="12" t="s">
        <v>246</v>
      </c>
      <c r="I143" s="12" t="s">
        <v>430</v>
      </c>
      <c r="J143" s="12" t="s">
        <v>93</v>
      </c>
      <c r="K143" s="12" t="s">
        <v>1023</v>
      </c>
      <c r="L143" s="12" t="s">
        <v>247</v>
      </c>
      <c r="N143" s="13" t="s">
        <v>594</v>
      </c>
      <c r="O143" s="11" t="s">
        <v>532</v>
      </c>
      <c r="P143" s="11" t="s">
        <v>533</v>
      </c>
      <c r="Q143" s="11" t="s">
        <v>125</v>
      </c>
      <c r="R143" s="11" t="s">
        <v>150</v>
      </c>
      <c r="T143" s="11" t="s">
        <v>126</v>
      </c>
      <c r="U143" s="11" t="s">
        <v>992</v>
      </c>
      <c r="AE143" s="11" t="s">
        <v>1768</v>
      </c>
    </row>
    <row r="144" spans="2:31" x14ac:dyDescent="0.35">
      <c r="B144" s="24" t="s">
        <v>283</v>
      </c>
      <c r="C144" s="12">
        <v>139</v>
      </c>
      <c r="D144" s="11" t="s">
        <v>595</v>
      </c>
      <c r="E144" s="11" t="s">
        <v>93</v>
      </c>
      <c r="F144" s="12" t="s">
        <v>283</v>
      </c>
      <c r="G144" s="12" t="s">
        <v>246</v>
      </c>
      <c r="H144" s="12" t="s">
        <v>246</v>
      </c>
      <c r="I144" s="12" t="s">
        <v>430</v>
      </c>
      <c r="J144" s="12" t="s">
        <v>93</v>
      </c>
      <c r="K144" s="12" t="s">
        <v>1023</v>
      </c>
      <c r="L144" s="12" t="s">
        <v>247</v>
      </c>
      <c r="N144" s="13" t="s">
        <v>596</v>
      </c>
      <c r="O144" s="11" t="s">
        <v>532</v>
      </c>
      <c r="P144" s="11" t="s">
        <v>533</v>
      </c>
      <c r="Q144" s="11" t="s">
        <v>125</v>
      </c>
      <c r="R144" s="11" t="s">
        <v>150</v>
      </c>
      <c r="T144" s="11" t="s">
        <v>126</v>
      </c>
      <c r="U144" s="11" t="s">
        <v>992</v>
      </c>
      <c r="AE144" s="11" t="s">
        <v>1768</v>
      </c>
    </row>
    <row r="145" spans="2:31" x14ac:dyDescent="0.35">
      <c r="B145" s="24" t="s">
        <v>49</v>
      </c>
      <c r="C145" s="12">
        <v>140</v>
      </c>
      <c r="D145" s="11" t="s">
        <v>597</v>
      </c>
      <c r="E145" s="11" t="s">
        <v>90</v>
      </c>
      <c r="F145" s="12" t="s">
        <v>450</v>
      </c>
      <c r="G145" s="12" t="s">
        <v>246</v>
      </c>
      <c r="H145" s="12" t="s">
        <v>246</v>
      </c>
      <c r="I145" s="12" t="s">
        <v>430</v>
      </c>
      <c r="J145" s="12" t="s">
        <v>90</v>
      </c>
      <c r="K145" s="12" t="s">
        <v>1023</v>
      </c>
      <c r="L145" s="12" t="s">
        <v>247</v>
      </c>
      <c r="N145" s="13" t="s">
        <v>598</v>
      </c>
      <c r="O145" s="11" t="s">
        <v>599</v>
      </c>
      <c r="P145" s="11" t="s">
        <v>600</v>
      </c>
      <c r="Q145" s="11" t="s">
        <v>125</v>
      </c>
      <c r="R145" s="11" t="s">
        <v>150</v>
      </c>
      <c r="T145" s="11" t="s">
        <v>125</v>
      </c>
      <c r="U145" s="11" t="s">
        <v>38</v>
      </c>
      <c r="V145" s="11">
        <v>46107</v>
      </c>
      <c r="W145" s="11">
        <v>46147</v>
      </c>
      <c r="X145" s="11">
        <v>46164</v>
      </c>
      <c r="AD145" s="11" t="s">
        <v>1252</v>
      </c>
      <c r="AE145" s="11" t="s">
        <v>993</v>
      </c>
    </row>
    <row r="146" spans="2:31" x14ac:dyDescent="0.35">
      <c r="B146" s="24" t="s">
        <v>49</v>
      </c>
      <c r="C146" s="12">
        <v>141</v>
      </c>
      <c r="D146" s="11" t="s">
        <v>601</v>
      </c>
      <c r="E146" s="11" t="s">
        <v>90</v>
      </c>
      <c r="F146" s="12" t="s">
        <v>332</v>
      </c>
      <c r="G146" s="12" t="s">
        <v>246</v>
      </c>
      <c r="H146" s="12" t="s">
        <v>246</v>
      </c>
      <c r="I146" s="12" t="s">
        <v>430</v>
      </c>
      <c r="J146" s="12" t="s">
        <v>90</v>
      </c>
      <c r="K146" s="12" t="s">
        <v>1023</v>
      </c>
      <c r="L146" s="12" t="s">
        <v>247</v>
      </c>
      <c r="O146" s="11" t="s">
        <v>599</v>
      </c>
      <c r="P146" s="11" t="s">
        <v>600</v>
      </c>
      <c r="Q146" s="11" t="s">
        <v>125</v>
      </c>
      <c r="R146" s="11" t="s">
        <v>150</v>
      </c>
      <c r="T146" s="11" t="s">
        <v>126</v>
      </c>
      <c r="U146" s="11" t="s">
        <v>992</v>
      </c>
      <c r="AE146" s="11" t="s">
        <v>1768</v>
      </c>
    </row>
    <row r="147" spans="2:31" x14ac:dyDescent="0.35">
      <c r="B147" s="24" t="s">
        <v>308</v>
      </c>
      <c r="C147" s="12">
        <v>142</v>
      </c>
      <c r="D147" s="11" t="s">
        <v>602</v>
      </c>
      <c r="E147" s="11" t="s">
        <v>90</v>
      </c>
      <c r="F147" s="12" t="s">
        <v>308</v>
      </c>
      <c r="G147" s="12" t="s">
        <v>246</v>
      </c>
      <c r="H147" s="12" t="s">
        <v>246</v>
      </c>
      <c r="I147" s="12" t="s">
        <v>430</v>
      </c>
      <c r="J147" s="12" t="s">
        <v>90</v>
      </c>
      <c r="K147" s="12" t="s">
        <v>1023</v>
      </c>
      <c r="L147" s="12" t="s">
        <v>247</v>
      </c>
      <c r="O147" s="11" t="s">
        <v>599</v>
      </c>
      <c r="P147" s="11" t="s">
        <v>600</v>
      </c>
      <c r="Q147" s="11" t="s">
        <v>125</v>
      </c>
      <c r="R147" s="11" t="s">
        <v>150</v>
      </c>
      <c r="T147" s="11" t="s">
        <v>126</v>
      </c>
      <c r="U147" s="11" t="s">
        <v>992</v>
      </c>
      <c r="AE147" s="11" t="s">
        <v>1768</v>
      </c>
    </row>
    <row r="148" spans="2:31" x14ac:dyDescent="0.35">
      <c r="B148" s="24" t="s">
        <v>49</v>
      </c>
      <c r="C148" s="12">
        <v>143</v>
      </c>
      <c r="D148" s="11" t="s">
        <v>603</v>
      </c>
      <c r="E148" s="11" t="s">
        <v>90</v>
      </c>
      <c r="F148" s="12" t="s">
        <v>374</v>
      </c>
      <c r="G148" s="12" t="s">
        <v>246</v>
      </c>
      <c r="H148" s="12" t="s">
        <v>246</v>
      </c>
      <c r="I148" s="12" t="s">
        <v>430</v>
      </c>
      <c r="J148" s="12" t="s">
        <v>90</v>
      </c>
      <c r="K148" s="12" t="s">
        <v>1022</v>
      </c>
      <c r="L148" s="12" t="s">
        <v>247</v>
      </c>
      <c r="N148" s="13" t="s">
        <v>604</v>
      </c>
      <c r="O148" s="11" t="s">
        <v>599</v>
      </c>
      <c r="P148" s="11" t="s">
        <v>600</v>
      </c>
      <c r="Q148" s="11" t="s">
        <v>125</v>
      </c>
      <c r="R148" s="11" t="s">
        <v>150</v>
      </c>
      <c r="T148" s="11" t="s">
        <v>125</v>
      </c>
      <c r="U148" s="11" t="s">
        <v>132</v>
      </c>
      <c r="V148" s="11">
        <v>46087</v>
      </c>
      <c r="W148" s="11">
        <v>46107</v>
      </c>
      <c r="X148" s="11">
        <v>46164</v>
      </c>
      <c r="AD148" s="11" t="s">
        <v>1253</v>
      </c>
      <c r="AE148" s="11" t="s">
        <v>993</v>
      </c>
    </row>
    <row r="149" spans="2:31" x14ac:dyDescent="0.35">
      <c r="B149" s="24" t="s">
        <v>49</v>
      </c>
      <c r="C149" s="12">
        <v>144</v>
      </c>
      <c r="D149" s="11" t="s">
        <v>605</v>
      </c>
      <c r="E149" s="11" t="s">
        <v>90</v>
      </c>
      <c r="F149" s="12" t="s">
        <v>606</v>
      </c>
      <c r="G149" s="12" t="s">
        <v>246</v>
      </c>
      <c r="H149" s="12" t="s">
        <v>246</v>
      </c>
      <c r="I149" s="12" t="s">
        <v>430</v>
      </c>
      <c r="J149" s="12" t="s">
        <v>90</v>
      </c>
      <c r="K149" s="12" t="s">
        <v>1023</v>
      </c>
      <c r="L149" s="12" t="s">
        <v>247</v>
      </c>
      <c r="N149" s="13" t="s">
        <v>607</v>
      </c>
      <c r="O149" s="11" t="s">
        <v>599</v>
      </c>
      <c r="P149" s="11" t="s">
        <v>600</v>
      </c>
      <c r="Q149" s="11" t="s">
        <v>125</v>
      </c>
      <c r="R149" s="11" t="s">
        <v>150</v>
      </c>
      <c r="S149" s="11" t="s">
        <v>125</v>
      </c>
      <c r="T149" s="11" t="s">
        <v>125</v>
      </c>
      <c r="U149" s="11" t="s">
        <v>38</v>
      </c>
      <c r="V149" s="11">
        <v>46147</v>
      </c>
      <c r="W149" s="11">
        <v>46164</v>
      </c>
      <c r="AD149" s="11" t="s">
        <v>1254</v>
      </c>
      <c r="AE149" s="11" t="s">
        <v>993</v>
      </c>
    </row>
    <row r="150" spans="2:31" x14ac:dyDescent="0.35">
      <c r="B150" s="24" t="s">
        <v>49</v>
      </c>
      <c r="C150" s="12">
        <v>145</v>
      </c>
      <c r="D150" s="11" t="s">
        <v>608</v>
      </c>
      <c r="E150" s="11" t="s">
        <v>90</v>
      </c>
      <c r="F150" s="12" t="s">
        <v>442</v>
      </c>
      <c r="G150" s="12" t="s">
        <v>246</v>
      </c>
      <c r="H150" s="12" t="s">
        <v>246</v>
      </c>
      <c r="I150" s="12" t="s">
        <v>430</v>
      </c>
      <c r="J150" s="12" t="s">
        <v>90</v>
      </c>
      <c r="K150" s="12" t="s">
        <v>1023</v>
      </c>
      <c r="L150" s="12" t="s">
        <v>247</v>
      </c>
      <c r="N150" s="13" t="s">
        <v>609</v>
      </c>
      <c r="O150" s="11" t="s">
        <v>599</v>
      </c>
      <c r="P150" s="11" t="s">
        <v>600</v>
      </c>
      <c r="Q150" s="11" t="s">
        <v>125</v>
      </c>
      <c r="R150" s="11" t="s">
        <v>150</v>
      </c>
      <c r="S150" s="11" t="s">
        <v>125</v>
      </c>
      <c r="T150" s="11" t="s">
        <v>125</v>
      </c>
      <c r="U150" s="11" t="s">
        <v>38</v>
      </c>
      <c r="V150" s="11">
        <v>46147</v>
      </c>
      <c r="W150" s="11">
        <v>46164</v>
      </c>
      <c r="AD150" s="11" t="s">
        <v>1255</v>
      </c>
      <c r="AE150" s="11" t="s">
        <v>993</v>
      </c>
    </row>
    <row r="151" spans="2:31" x14ac:dyDescent="0.35">
      <c r="B151" s="24" t="s">
        <v>49</v>
      </c>
      <c r="C151" s="12">
        <v>146</v>
      </c>
      <c r="D151" s="11" t="s">
        <v>610</v>
      </c>
      <c r="E151" s="11" t="s">
        <v>90</v>
      </c>
      <c r="F151" s="12" t="s">
        <v>424</v>
      </c>
      <c r="G151" s="12" t="s">
        <v>246</v>
      </c>
      <c r="H151" s="12" t="s">
        <v>246</v>
      </c>
      <c r="I151" s="12" t="s">
        <v>430</v>
      </c>
      <c r="J151" s="12" t="s">
        <v>90</v>
      </c>
      <c r="K151" s="12" t="s">
        <v>1023</v>
      </c>
      <c r="L151" s="12" t="s">
        <v>247</v>
      </c>
      <c r="N151" s="13" t="s">
        <v>611</v>
      </c>
      <c r="O151" s="11" t="s">
        <v>599</v>
      </c>
      <c r="P151" s="11" t="s">
        <v>600</v>
      </c>
      <c r="Q151" s="11" t="s">
        <v>125</v>
      </c>
      <c r="R151" s="11" t="s">
        <v>150</v>
      </c>
      <c r="S151" s="11" t="s">
        <v>125</v>
      </c>
      <c r="T151" s="11" t="s">
        <v>125</v>
      </c>
      <c r="U151" s="11" t="s">
        <v>38</v>
      </c>
      <c r="V151" s="11">
        <v>46147</v>
      </c>
      <c r="AE151" s="11" t="s">
        <v>993</v>
      </c>
    </row>
    <row r="152" spans="2:31" x14ac:dyDescent="0.35">
      <c r="B152" s="24" t="s">
        <v>311</v>
      </c>
      <c r="C152" s="12">
        <v>147</v>
      </c>
      <c r="D152" s="11" t="s">
        <v>612</v>
      </c>
      <c r="E152" s="11" t="s">
        <v>90</v>
      </c>
      <c r="F152" s="12" t="s">
        <v>311</v>
      </c>
      <c r="G152" s="12" t="s">
        <v>246</v>
      </c>
      <c r="H152" s="12" t="s">
        <v>246</v>
      </c>
      <c r="I152" s="12" t="s">
        <v>430</v>
      </c>
      <c r="J152" s="12" t="s">
        <v>90</v>
      </c>
      <c r="K152" s="12" t="s">
        <v>1023</v>
      </c>
      <c r="L152" s="12" t="s">
        <v>247</v>
      </c>
      <c r="N152" s="13" t="s">
        <v>613</v>
      </c>
      <c r="O152" s="11" t="s">
        <v>599</v>
      </c>
      <c r="P152" s="11" t="s">
        <v>600</v>
      </c>
      <c r="Q152" s="11" t="s">
        <v>125</v>
      </c>
      <c r="R152" s="11" t="s">
        <v>150</v>
      </c>
      <c r="S152" s="11" t="s">
        <v>125</v>
      </c>
      <c r="T152" s="11" t="s">
        <v>125</v>
      </c>
      <c r="U152" s="11" t="s">
        <v>38</v>
      </c>
      <c r="V152" s="11">
        <v>46147</v>
      </c>
      <c r="AE152" s="11" t="s">
        <v>993</v>
      </c>
    </row>
    <row r="153" spans="2:31" x14ac:dyDescent="0.35">
      <c r="B153" s="24" t="s">
        <v>291</v>
      </c>
      <c r="C153" s="12">
        <v>148</v>
      </c>
      <c r="D153" s="11" t="s">
        <v>614</v>
      </c>
      <c r="E153" s="11" t="s">
        <v>90</v>
      </c>
      <c r="F153" s="12" t="s">
        <v>291</v>
      </c>
      <c r="G153" s="12" t="s">
        <v>246</v>
      </c>
      <c r="H153" s="12" t="s">
        <v>246</v>
      </c>
      <c r="I153" s="12" t="s">
        <v>430</v>
      </c>
      <c r="J153" s="12" t="s">
        <v>90</v>
      </c>
      <c r="K153" s="12" t="s">
        <v>1023</v>
      </c>
      <c r="L153" s="12" t="s">
        <v>247</v>
      </c>
      <c r="N153" s="13" t="s">
        <v>615</v>
      </c>
      <c r="O153" s="11" t="s">
        <v>599</v>
      </c>
      <c r="P153" s="11" t="s">
        <v>600</v>
      </c>
      <c r="Q153" s="11" t="s">
        <v>125</v>
      </c>
      <c r="R153" s="11" t="s">
        <v>150</v>
      </c>
      <c r="S153" s="11" t="s">
        <v>125</v>
      </c>
      <c r="T153" s="11" t="s">
        <v>125</v>
      </c>
      <c r="U153" s="11" t="s">
        <v>38</v>
      </c>
      <c r="V153" s="11">
        <v>46147</v>
      </c>
      <c r="AE153" s="11" t="s">
        <v>993</v>
      </c>
    </row>
    <row r="154" spans="2:31" x14ac:dyDescent="0.35">
      <c r="B154" s="24" t="s">
        <v>49</v>
      </c>
      <c r="C154" s="12">
        <v>149</v>
      </c>
      <c r="D154" s="11" t="s">
        <v>616</v>
      </c>
      <c r="E154" s="11" t="s">
        <v>90</v>
      </c>
      <c r="F154" s="12" t="s">
        <v>286</v>
      </c>
      <c r="G154" s="12" t="s">
        <v>246</v>
      </c>
      <c r="H154" s="12" t="s">
        <v>246</v>
      </c>
      <c r="I154" s="12" t="s">
        <v>430</v>
      </c>
      <c r="J154" s="12" t="s">
        <v>90</v>
      </c>
      <c r="K154" s="12" t="s">
        <v>1023</v>
      </c>
      <c r="L154" s="12" t="s">
        <v>247</v>
      </c>
      <c r="N154" s="13" t="s">
        <v>617</v>
      </c>
      <c r="O154" s="11" t="s">
        <v>599</v>
      </c>
      <c r="P154" s="11" t="s">
        <v>600</v>
      </c>
      <c r="Q154" s="11" t="s">
        <v>125</v>
      </c>
      <c r="R154" s="11" t="s">
        <v>150</v>
      </c>
      <c r="S154" s="11" t="s">
        <v>125</v>
      </c>
      <c r="T154" s="11" t="s">
        <v>125</v>
      </c>
      <c r="U154" s="11" t="s">
        <v>38</v>
      </c>
      <c r="V154" s="11">
        <v>46147</v>
      </c>
      <c r="AE154" s="11" t="s">
        <v>993</v>
      </c>
    </row>
    <row r="155" spans="2:31" x14ac:dyDescent="0.35">
      <c r="B155" s="24" t="s">
        <v>49</v>
      </c>
      <c r="C155" s="12">
        <v>150</v>
      </c>
      <c r="D155" s="11" t="s">
        <v>618</v>
      </c>
      <c r="E155" s="11" t="s">
        <v>90</v>
      </c>
      <c r="F155" s="12" t="s">
        <v>377</v>
      </c>
      <c r="G155" s="12" t="s">
        <v>246</v>
      </c>
      <c r="H155" s="12" t="s">
        <v>246</v>
      </c>
      <c r="I155" s="12" t="s">
        <v>430</v>
      </c>
      <c r="J155" s="12" t="s">
        <v>90</v>
      </c>
      <c r="K155" s="12" t="s">
        <v>1023</v>
      </c>
      <c r="L155" s="12" t="s">
        <v>247</v>
      </c>
      <c r="N155" s="13" t="s">
        <v>619</v>
      </c>
      <c r="O155" s="11" t="s">
        <v>599</v>
      </c>
      <c r="P155" s="11" t="s">
        <v>600</v>
      </c>
      <c r="Q155" s="11" t="s">
        <v>125</v>
      </c>
      <c r="R155" s="11" t="s">
        <v>150</v>
      </c>
      <c r="S155" s="11" t="s">
        <v>125</v>
      </c>
      <c r="T155" s="11" t="s">
        <v>125</v>
      </c>
      <c r="U155" s="11" t="s">
        <v>38</v>
      </c>
      <c r="V155" s="11">
        <v>46147</v>
      </c>
      <c r="AD155" s="11" t="s">
        <v>1256</v>
      </c>
      <c r="AE155" s="11" t="s">
        <v>993</v>
      </c>
    </row>
    <row r="156" spans="2:31" x14ac:dyDescent="0.35">
      <c r="B156" s="24" t="s">
        <v>311</v>
      </c>
      <c r="C156" s="12">
        <v>151</v>
      </c>
      <c r="D156" s="11" t="s">
        <v>620</v>
      </c>
      <c r="E156" s="11" t="s">
        <v>90</v>
      </c>
      <c r="F156" s="12" t="s">
        <v>311</v>
      </c>
      <c r="G156" s="12" t="s">
        <v>246</v>
      </c>
      <c r="H156" s="12" t="s">
        <v>246</v>
      </c>
      <c r="I156" s="12" t="s">
        <v>430</v>
      </c>
      <c r="J156" s="12" t="s">
        <v>90</v>
      </c>
      <c r="K156" s="12" t="s">
        <v>1023</v>
      </c>
      <c r="L156" s="12" t="s">
        <v>247</v>
      </c>
      <c r="N156" s="13" t="s">
        <v>621</v>
      </c>
      <c r="O156" s="11" t="s">
        <v>599</v>
      </c>
      <c r="P156" s="11" t="s">
        <v>600</v>
      </c>
      <c r="Q156" s="11" t="s">
        <v>125</v>
      </c>
      <c r="R156" s="11" t="s">
        <v>150</v>
      </c>
      <c r="S156" s="11" t="s">
        <v>125</v>
      </c>
      <c r="T156" s="11" t="s">
        <v>125</v>
      </c>
      <c r="U156" s="11" t="s">
        <v>132</v>
      </c>
      <c r="V156" s="11">
        <v>46147</v>
      </c>
      <c r="AE156" s="11" t="s">
        <v>993</v>
      </c>
    </row>
    <row r="157" spans="2:31" x14ac:dyDescent="0.35">
      <c r="B157" s="24" t="s">
        <v>49</v>
      </c>
      <c r="C157" s="12">
        <v>152</v>
      </c>
      <c r="D157" s="11" t="s">
        <v>622</v>
      </c>
      <c r="E157" s="11" t="s">
        <v>90</v>
      </c>
      <c r="F157" s="12" t="s">
        <v>49</v>
      </c>
      <c r="G157" s="12" t="s">
        <v>246</v>
      </c>
      <c r="H157" s="12" t="s">
        <v>246</v>
      </c>
      <c r="I157" s="12" t="s">
        <v>430</v>
      </c>
      <c r="J157" s="12" t="s">
        <v>90</v>
      </c>
      <c r="K157" s="12" t="s">
        <v>1023</v>
      </c>
      <c r="L157" s="12" t="s">
        <v>247</v>
      </c>
      <c r="N157" s="13" t="s">
        <v>623</v>
      </c>
      <c r="O157" s="11" t="s">
        <v>599</v>
      </c>
      <c r="P157" s="11" t="s">
        <v>600</v>
      </c>
      <c r="Q157" s="11" t="s">
        <v>125</v>
      </c>
      <c r="R157" s="11" t="s">
        <v>150</v>
      </c>
      <c r="S157" s="11" t="s">
        <v>125</v>
      </c>
      <c r="T157" s="11" t="s">
        <v>125</v>
      </c>
      <c r="U157" s="11" t="s">
        <v>38</v>
      </c>
      <c r="V157" s="11">
        <v>46147</v>
      </c>
      <c r="AE157" s="11" t="s">
        <v>993</v>
      </c>
    </row>
    <row r="158" spans="2:31" x14ac:dyDescent="0.35">
      <c r="B158" s="24" t="s">
        <v>295</v>
      </c>
      <c r="C158" s="12">
        <v>153</v>
      </c>
      <c r="D158" s="11" t="s">
        <v>624</v>
      </c>
      <c r="E158" s="11" t="s">
        <v>90</v>
      </c>
      <c r="F158" s="12" t="s">
        <v>295</v>
      </c>
      <c r="G158" s="12" t="s">
        <v>246</v>
      </c>
      <c r="H158" s="12" t="s">
        <v>246</v>
      </c>
      <c r="I158" s="12" t="s">
        <v>430</v>
      </c>
      <c r="J158" s="12" t="s">
        <v>90</v>
      </c>
      <c r="K158" s="12" t="s">
        <v>1023</v>
      </c>
      <c r="L158" s="12" t="s">
        <v>247</v>
      </c>
      <c r="N158" s="13" t="s">
        <v>625</v>
      </c>
      <c r="O158" s="11" t="s">
        <v>599</v>
      </c>
      <c r="P158" s="11" t="s">
        <v>600</v>
      </c>
      <c r="Q158" s="11" t="s">
        <v>125</v>
      </c>
      <c r="R158" s="11" t="s">
        <v>150</v>
      </c>
      <c r="S158" s="11" t="s">
        <v>125</v>
      </c>
      <c r="T158" s="11" t="s">
        <v>125</v>
      </c>
      <c r="U158" s="11" t="s">
        <v>38</v>
      </c>
      <c r="V158" s="11">
        <v>46147</v>
      </c>
      <c r="AE158" s="11" t="s">
        <v>993</v>
      </c>
    </row>
    <row r="159" spans="2:31" x14ac:dyDescent="0.35">
      <c r="B159" s="24" t="s">
        <v>49</v>
      </c>
      <c r="C159" s="12">
        <v>154</v>
      </c>
      <c r="D159" s="11" t="s">
        <v>626</v>
      </c>
      <c r="E159" s="11" t="s">
        <v>90</v>
      </c>
      <c r="F159" s="12" t="s">
        <v>286</v>
      </c>
      <c r="G159" s="12" t="s">
        <v>246</v>
      </c>
      <c r="H159" s="12" t="s">
        <v>246</v>
      </c>
      <c r="I159" s="12" t="s">
        <v>430</v>
      </c>
      <c r="J159" s="12" t="s">
        <v>90</v>
      </c>
      <c r="K159" s="12" t="s">
        <v>1023</v>
      </c>
      <c r="L159" s="12" t="s">
        <v>247</v>
      </c>
      <c r="N159" s="13" t="s">
        <v>627</v>
      </c>
      <c r="O159" s="11" t="s">
        <v>599</v>
      </c>
      <c r="P159" s="11" t="s">
        <v>600</v>
      </c>
      <c r="Q159" s="11" t="s">
        <v>125</v>
      </c>
      <c r="R159" s="11" t="s">
        <v>150</v>
      </c>
      <c r="S159" s="11" t="s">
        <v>125</v>
      </c>
      <c r="T159" s="11" t="s">
        <v>125</v>
      </c>
      <c r="U159" s="11" t="s">
        <v>38</v>
      </c>
      <c r="V159" s="11">
        <v>46147</v>
      </c>
      <c r="AE159" s="11" t="s">
        <v>993</v>
      </c>
    </row>
    <row r="160" spans="2:31" x14ac:dyDescent="0.35">
      <c r="B160" s="24" t="s">
        <v>314</v>
      </c>
      <c r="C160" s="12">
        <v>155</v>
      </c>
      <c r="D160" s="11" t="s">
        <v>1241</v>
      </c>
      <c r="E160" s="11" t="s">
        <v>90</v>
      </c>
      <c r="F160" s="12" t="s">
        <v>314</v>
      </c>
      <c r="G160" s="12" t="s">
        <v>246</v>
      </c>
      <c r="H160" s="12" t="s">
        <v>246</v>
      </c>
      <c r="I160" s="12" t="s">
        <v>430</v>
      </c>
      <c r="J160" s="12" t="s">
        <v>90</v>
      </c>
      <c r="K160" s="12" t="s">
        <v>1023</v>
      </c>
      <c r="L160" s="12" t="s">
        <v>247</v>
      </c>
      <c r="N160" s="13" t="s">
        <v>628</v>
      </c>
      <c r="O160" s="11" t="s">
        <v>599</v>
      </c>
      <c r="P160" s="11" t="s">
        <v>600</v>
      </c>
      <c r="Q160" s="11" t="s">
        <v>125</v>
      </c>
      <c r="R160" s="11" t="s">
        <v>150</v>
      </c>
      <c r="S160" s="11" t="s">
        <v>125</v>
      </c>
      <c r="T160" s="11" t="s">
        <v>125</v>
      </c>
      <c r="U160" s="11" t="s">
        <v>1014</v>
      </c>
      <c r="V160" s="11">
        <v>46147</v>
      </c>
      <c r="Z160" s="11">
        <v>46154</v>
      </c>
      <c r="AA160" s="11">
        <v>46154</v>
      </c>
      <c r="AB160" s="11" t="s">
        <v>30</v>
      </c>
      <c r="AC160" s="11">
        <v>43</v>
      </c>
      <c r="AE160" s="11" t="s">
        <v>993</v>
      </c>
    </row>
    <row r="161" spans="2:31" x14ac:dyDescent="0.35">
      <c r="B161" s="24" t="s">
        <v>49</v>
      </c>
      <c r="C161" s="12">
        <v>156</v>
      </c>
      <c r="D161" s="11" t="s">
        <v>629</v>
      </c>
      <c r="E161" s="11" t="s">
        <v>90</v>
      </c>
      <c r="F161" s="12" t="s">
        <v>49</v>
      </c>
      <c r="G161" s="12" t="s">
        <v>246</v>
      </c>
      <c r="H161" s="12" t="s">
        <v>246</v>
      </c>
      <c r="I161" s="12" t="s">
        <v>430</v>
      </c>
      <c r="J161" s="12" t="s">
        <v>90</v>
      </c>
      <c r="K161" s="12" t="s">
        <v>1023</v>
      </c>
      <c r="L161" s="12" t="s">
        <v>247</v>
      </c>
      <c r="N161" s="13" t="s">
        <v>630</v>
      </c>
      <c r="O161" s="11" t="s">
        <v>599</v>
      </c>
      <c r="P161" s="11" t="s">
        <v>600</v>
      </c>
      <c r="Q161" s="11" t="s">
        <v>125</v>
      </c>
      <c r="R161" s="11" t="s">
        <v>150</v>
      </c>
      <c r="S161" s="11" t="s">
        <v>125</v>
      </c>
      <c r="T161" s="11" t="s">
        <v>125</v>
      </c>
      <c r="U161" s="11" t="s">
        <v>132</v>
      </c>
      <c r="V161" s="11">
        <v>46147</v>
      </c>
      <c r="AE161" s="11" t="s">
        <v>993</v>
      </c>
    </row>
    <row r="162" spans="2:31" x14ac:dyDescent="0.35">
      <c r="B162" s="24" t="s">
        <v>49</v>
      </c>
      <c r="C162" s="12">
        <v>157</v>
      </c>
      <c r="D162" s="11" t="s">
        <v>631</v>
      </c>
      <c r="E162" s="11" t="s">
        <v>90</v>
      </c>
      <c r="F162" s="12" t="s">
        <v>49</v>
      </c>
      <c r="G162" s="12" t="s">
        <v>246</v>
      </c>
      <c r="H162" s="12" t="s">
        <v>246</v>
      </c>
      <c r="I162" s="12" t="s">
        <v>430</v>
      </c>
      <c r="J162" s="12" t="s">
        <v>90</v>
      </c>
      <c r="K162" s="12" t="s">
        <v>1023</v>
      </c>
      <c r="L162" s="12" t="s">
        <v>247</v>
      </c>
      <c r="N162" s="13" t="s">
        <v>632</v>
      </c>
      <c r="O162" s="11" t="s">
        <v>599</v>
      </c>
      <c r="P162" s="11" t="s">
        <v>600</v>
      </c>
      <c r="Q162" s="11" t="s">
        <v>125</v>
      </c>
      <c r="R162" s="11" t="s">
        <v>150</v>
      </c>
      <c r="S162" s="11" t="s">
        <v>125</v>
      </c>
      <c r="T162" s="11" t="s">
        <v>125</v>
      </c>
      <c r="U162" s="11" t="s">
        <v>38</v>
      </c>
      <c r="V162" s="11">
        <v>46147</v>
      </c>
      <c r="AE162" s="11" t="s">
        <v>993</v>
      </c>
    </row>
    <row r="163" spans="2:31" x14ac:dyDescent="0.35">
      <c r="B163" s="24" t="s">
        <v>308</v>
      </c>
      <c r="C163" s="12">
        <v>158</v>
      </c>
      <c r="D163" s="11" t="s">
        <v>633</v>
      </c>
      <c r="E163" s="11" t="s">
        <v>90</v>
      </c>
      <c r="F163" s="12" t="s">
        <v>308</v>
      </c>
      <c r="G163" s="12" t="s">
        <v>246</v>
      </c>
      <c r="H163" s="12" t="s">
        <v>246</v>
      </c>
      <c r="I163" s="12" t="s">
        <v>430</v>
      </c>
      <c r="J163" s="12" t="s">
        <v>90</v>
      </c>
      <c r="K163" s="12" t="s">
        <v>1023</v>
      </c>
      <c r="L163" s="12" t="s">
        <v>247</v>
      </c>
      <c r="N163" s="13" t="s">
        <v>634</v>
      </c>
      <c r="O163" s="11" t="s">
        <v>599</v>
      </c>
      <c r="P163" s="11" t="s">
        <v>600</v>
      </c>
      <c r="Q163" s="11" t="s">
        <v>125</v>
      </c>
      <c r="R163" s="11" t="s">
        <v>150</v>
      </c>
      <c r="S163" s="11" t="s">
        <v>125</v>
      </c>
      <c r="T163" s="11" t="s">
        <v>125</v>
      </c>
      <c r="U163" s="11" t="s">
        <v>38</v>
      </c>
      <c r="V163" s="11">
        <v>46147</v>
      </c>
      <c r="AE163" s="11" t="s">
        <v>993</v>
      </c>
    </row>
    <row r="164" spans="2:31" x14ac:dyDescent="0.35">
      <c r="B164" s="24" t="s">
        <v>49</v>
      </c>
      <c r="C164" s="12">
        <v>159</v>
      </c>
      <c r="D164" s="11" t="s">
        <v>622</v>
      </c>
      <c r="E164" s="11" t="s">
        <v>90</v>
      </c>
      <c r="F164" s="12" t="s">
        <v>499</v>
      </c>
      <c r="G164" s="12" t="s">
        <v>246</v>
      </c>
      <c r="H164" s="12" t="s">
        <v>246</v>
      </c>
      <c r="I164" s="12" t="s">
        <v>430</v>
      </c>
      <c r="J164" s="12" t="s">
        <v>90</v>
      </c>
      <c r="K164" s="12" t="s">
        <v>1023</v>
      </c>
      <c r="L164" s="12" t="s">
        <v>247</v>
      </c>
      <c r="N164" s="13" t="s">
        <v>635</v>
      </c>
      <c r="O164" s="11" t="s">
        <v>599</v>
      </c>
      <c r="P164" s="11" t="s">
        <v>600</v>
      </c>
      <c r="Q164" s="11" t="s">
        <v>125</v>
      </c>
      <c r="R164" s="11" t="s">
        <v>150</v>
      </c>
      <c r="S164" s="11" t="s">
        <v>125</v>
      </c>
      <c r="T164" s="11" t="s">
        <v>125</v>
      </c>
      <c r="U164" s="11" t="s">
        <v>38</v>
      </c>
      <c r="V164" s="11">
        <v>46147</v>
      </c>
      <c r="AE164" s="11" t="s">
        <v>993</v>
      </c>
    </row>
    <row r="165" spans="2:31" x14ac:dyDescent="0.35">
      <c r="B165" s="24" t="s">
        <v>49</v>
      </c>
      <c r="C165" s="12">
        <v>160</v>
      </c>
      <c r="D165" s="11" t="s">
        <v>636</v>
      </c>
      <c r="E165" s="11" t="s">
        <v>90</v>
      </c>
      <c r="F165" s="12" t="s">
        <v>49</v>
      </c>
      <c r="G165" s="12" t="s">
        <v>246</v>
      </c>
      <c r="H165" s="12" t="s">
        <v>246</v>
      </c>
      <c r="I165" s="12" t="s">
        <v>430</v>
      </c>
      <c r="J165" s="12" t="s">
        <v>90</v>
      </c>
      <c r="K165" s="12" t="s">
        <v>1023</v>
      </c>
      <c r="L165" s="12" t="s">
        <v>247</v>
      </c>
      <c r="N165" s="13" t="s">
        <v>637</v>
      </c>
      <c r="O165" s="11" t="s">
        <v>599</v>
      </c>
      <c r="P165" s="11" t="s">
        <v>600</v>
      </c>
      <c r="Q165" s="11" t="s">
        <v>125</v>
      </c>
      <c r="R165" s="11" t="s">
        <v>150</v>
      </c>
      <c r="T165" s="11" t="s">
        <v>125</v>
      </c>
      <c r="U165" s="11" t="s">
        <v>38</v>
      </c>
      <c r="V165" s="11">
        <v>46147</v>
      </c>
      <c r="AE165" s="11" t="s">
        <v>993</v>
      </c>
    </row>
    <row r="166" spans="2:31" x14ac:dyDescent="0.35">
      <c r="B166" s="24" t="s">
        <v>295</v>
      </c>
      <c r="C166" s="12">
        <v>161</v>
      </c>
      <c r="D166" s="11" t="s">
        <v>638</v>
      </c>
      <c r="E166" s="11" t="s">
        <v>90</v>
      </c>
      <c r="F166" s="12" t="s">
        <v>295</v>
      </c>
      <c r="G166" s="12" t="s">
        <v>246</v>
      </c>
      <c r="H166" s="12" t="s">
        <v>246</v>
      </c>
      <c r="I166" s="12" t="s">
        <v>430</v>
      </c>
      <c r="J166" s="12" t="s">
        <v>90</v>
      </c>
      <c r="K166" s="12" t="s">
        <v>1023</v>
      </c>
      <c r="L166" s="12" t="s">
        <v>247</v>
      </c>
      <c r="N166" s="13" t="s">
        <v>639</v>
      </c>
      <c r="O166" s="11" t="s">
        <v>599</v>
      </c>
      <c r="P166" s="11" t="s">
        <v>600</v>
      </c>
      <c r="Q166" s="11" t="s">
        <v>125</v>
      </c>
      <c r="R166" s="11" t="s">
        <v>150</v>
      </c>
      <c r="T166" s="11" t="s">
        <v>125</v>
      </c>
      <c r="U166" s="11" t="s">
        <v>132</v>
      </c>
      <c r="V166" s="11">
        <v>46147</v>
      </c>
      <c r="AE166" s="11" t="s">
        <v>993</v>
      </c>
    </row>
    <row r="167" spans="2:31" x14ac:dyDescent="0.35">
      <c r="B167" s="24" t="s">
        <v>295</v>
      </c>
      <c r="C167" s="12">
        <v>162</v>
      </c>
      <c r="D167" s="11" t="s">
        <v>640</v>
      </c>
      <c r="E167" s="11" t="s">
        <v>90</v>
      </c>
      <c r="F167" s="12" t="s">
        <v>295</v>
      </c>
      <c r="G167" s="12" t="s">
        <v>246</v>
      </c>
      <c r="H167" s="12" t="s">
        <v>246</v>
      </c>
      <c r="I167" s="12" t="s">
        <v>430</v>
      </c>
      <c r="J167" s="12" t="s">
        <v>90</v>
      </c>
      <c r="K167" s="12" t="s">
        <v>1023</v>
      </c>
      <c r="L167" s="12" t="s">
        <v>247</v>
      </c>
      <c r="N167" s="13" t="s">
        <v>641</v>
      </c>
      <c r="O167" s="11" t="s">
        <v>599</v>
      </c>
      <c r="P167" s="11" t="s">
        <v>600</v>
      </c>
      <c r="Q167" s="11" t="s">
        <v>125</v>
      </c>
      <c r="R167" s="11" t="s">
        <v>150</v>
      </c>
      <c r="T167" s="11" t="s">
        <v>125</v>
      </c>
      <c r="U167" s="11" t="s">
        <v>38</v>
      </c>
      <c r="V167" s="11">
        <v>46147</v>
      </c>
      <c r="W167" s="11">
        <v>46161</v>
      </c>
      <c r="AE167" s="11" t="s">
        <v>993</v>
      </c>
    </row>
    <row r="168" spans="2:31" x14ac:dyDescent="0.35">
      <c r="B168" s="24" t="s">
        <v>295</v>
      </c>
      <c r="C168" s="12">
        <v>163</v>
      </c>
      <c r="D168" s="11" t="s">
        <v>642</v>
      </c>
      <c r="E168" s="11" t="s">
        <v>90</v>
      </c>
      <c r="F168" s="12" t="s">
        <v>295</v>
      </c>
      <c r="G168" s="12" t="s">
        <v>246</v>
      </c>
      <c r="H168" s="12" t="s">
        <v>246</v>
      </c>
      <c r="I168" s="12" t="s">
        <v>430</v>
      </c>
      <c r="J168" s="12" t="s">
        <v>90</v>
      </c>
      <c r="K168" s="12" t="s">
        <v>1023</v>
      </c>
      <c r="L168" s="12" t="s">
        <v>247</v>
      </c>
      <c r="N168" s="13" t="s">
        <v>643</v>
      </c>
      <c r="O168" s="11" t="s">
        <v>599</v>
      </c>
      <c r="P168" s="11" t="s">
        <v>600</v>
      </c>
      <c r="Q168" s="11" t="s">
        <v>125</v>
      </c>
      <c r="R168" s="11" t="s">
        <v>150</v>
      </c>
      <c r="S168" s="11" t="s">
        <v>125</v>
      </c>
      <c r="T168" s="11" t="s">
        <v>125</v>
      </c>
      <c r="U168" s="11" t="s">
        <v>38</v>
      </c>
      <c r="V168" s="11">
        <v>46147</v>
      </c>
      <c r="AE168" s="11" t="s">
        <v>993</v>
      </c>
    </row>
    <row r="169" spans="2:31" x14ac:dyDescent="0.35">
      <c r="B169" s="24" t="s">
        <v>295</v>
      </c>
      <c r="C169" s="12">
        <v>164</v>
      </c>
      <c r="D169" s="11" t="s">
        <v>644</v>
      </c>
      <c r="E169" s="11" t="s">
        <v>90</v>
      </c>
      <c r="F169" s="12" t="s">
        <v>295</v>
      </c>
      <c r="G169" s="12" t="s">
        <v>246</v>
      </c>
      <c r="H169" s="12" t="s">
        <v>246</v>
      </c>
      <c r="I169" s="12" t="s">
        <v>430</v>
      </c>
      <c r="J169" s="12" t="s">
        <v>90</v>
      </c>
      <c r="K169" s="12" t="s">
        <v>1023</v>
      </c>
      <c r="L169" s="12" t="s">
        <v>247</v>
      </c>
      <c r="N169" s="13" t="s">
        <v>645</v>
      </c>
      <c r="O169" s="11" t="s">
        <v>599</v>
      </c>
      <c r="P169" s="11" t="s">
        <v>600</v>
      </c>
      <c r="Q169" s="11" t="s">
        <v>125</v>
      </c>
      <c r="R169" s="11" t="s">
        <v>150</v>
      </c>
      <c r="T169" s="11" t="s">
        <v>126</v>
      </c>
      <c r="U169" s="11" t="s">
        <v>992</v>
      </c>
      <c r="AE169" s="11" t="s">
        <v>1768</v>
      </c>
    </row>
    <row r="170" spans="2:31" x14ac:dyDescent="0.35">
      <c r="B170" s="24" t="s">
        <v>295</v>
      </c>
      <c r="C170" s="12">
        <v>165</v>
      </c>
      <c r="D170" s="11" t="s">
        <v>646</v>
      </c>
      <c r="E170" s="11" t="s">
        <v>90</v>
      </c>
      <c r="F170" s="12" t="s">
        <v>295</v>
      </c>
      <c r="G170" s="12" t="s">
        <v>246</v>
      </c>
      <c r="H170" s="12" t="s">
        <v>246</v>
      </c>
      <c r="I170" s="12" t="s">
        <v>430</v>
      </c>
      <c r="J170" s="12" t="s">
        <v>90</v>
      </c>
      <c r="K170" s="12" t="s">
        <v>1023</v>
      </c>
      <c r="L170" s="12" t="s">
        <v>247</v>
      </c>
      <c r="N170" s="13" t="s">
        <v>647</v>
      </c>
      <c r="O170" s="11" t="s">
        <v>599</v>
      </c>
      <c r="P170" s="11" t="s">
        <v>600</v>
      </c>
      <c r="Q170" s="11" t="s">
        <v>125</v>
      </c>
      <c r="R170" s="11" t="s">
        <v>150</v>
      </c>
      <c r="T170" s="11" t="s">
        <v>126</v>
      </c>
      <c r="U170" s="11" t="s">
        <v>992</v>
      </c>
      <c r="AE170" s="11" t="s">
        <v>1768</v>
      </c>
    </row>
    <row r="171" spans="2:31" x14ac:dyDescent="0.35">
      <c r="B171" s="24" t="s">
        <v>416</v>
      </c>
      <c r="C171" s="12">
        <v>166</v>
      </c>
      <c r="D171" s="11" t="s">
        <v>648</v>
      </c>
      <c r="E171" s="11" t="s">
        <v>90</v>
      </c>
      <c r="F171" s="12" t="s">
        <v>416</v>
      </c>
      <c r="G171" s="12" t="s">
        <v>246</v>
      </c>
      <c r="H171" s="12" t="s">
        <v>246</v>
      </c>
      <c r="I171" s="12" t="s">
        <v>430</v>
      </c>
      <c r="J171" s="12" t="s">
        <v>90</v>
      </c>
      <c r="K171" s="12" t="s">
        <v>1023</v>
      </c>
      <c r="L171" s="12" t="s">
        <v>247</v>
      </c>
      <c r="N171" s="13" t="s">
        <v>649</v>
      </c>
      <c r="O171" s="11" t="s">
        <v>599</v>
      </c>
      <c r="P171" s="11" t="s">
        <v>600</v>
      </c>
      <c r="Q171" s="11" t="s">
        <v>125</v>
      </c>
      <c r="R171" s="11" t="s">
        <v>150</v>
      </c>
      <c r="T171" s="11" t="s">
        <v>126</v>
      </c>
      <c r="U171" s="11" t="s">
        <v>992</v>
      </c>
      <c r="AE171" s="11" t="s">
        <v>1768</v>
      </c>
    </row>
    <row r="172" spans="2:31" x14ac:dyDescent="0.35">
      <c r="B172" s="24" t="s">
        <v>416</v>
      </c>
      <c r="C172" s="12">
        <v>167</v>
      </c>
      <c r="D172" s="11" t="s">
        <v>650</v>
      </c>
      <c r="E172" s="11" t="s">
        <v>90</v>
      </c>
      <c r="F172" s="12" t="s">
        <v>416</v>
      </c>
      <c r="G172" s="12" t="s">
        <v>246</v>
      </c>
      <c r="H172" s="12" t="s">
        <v>246</v>
      </c>
      <c r="I172" s="12" t="s">
        <v>430</v>
      </c>
      <c r="J172" s="12" t="s">
        <v>90</v>
      </c>
      <c r="K172" s="12" t="s">
        <v>1023</v>
      </c>
      <c r="L172" s="12" t="s">
        <v>247</v>
      </c>
      <c r="N172" s="13" t="s">
        <v>651</v>
      </c>
      <c r="O172" s="11" t="s">
        <v>599</v>
      </c>
      <c r="P172" s="11" t="s">
        <v>600</v>
      </c>
      <c r="Q172" s="11" t="s">
        <v>125</v>
      </c>
      <c r="R172" s="11" t="s">
        <v>150</v>
      </c>
      <c r="T172" s="11" t="s">
        <v>126</v>
      </c>
      <c r="U172" s="11" t="s">
        <v>992</v>
      </c>
      <c r="AE172" s="11" t="s">
        <v>1768</v>
      </c>
    </row>
    <row r="173" spans="2:31" x14ac:dyDescent="0.35">
      <c r="B173" s="24" t="s">
        <v>291</v>
      </c>
      <c r="C173" s="12">
        <v>168</v>
      </c>
      <c r="D173" s="11" t="s">
        <v>652</v>
      </c>
      <c r="E173" s="11" t="s">
        <v>90</v>
      </c>
      <c r="F173" s="12" t="s">
        <v>291</v>
      </c>
      <c r="G173" s="12" t="s">
        <v>246</v>
      </c>
      <c r="H173" s="12" t="s">
        <v>246</v>
      </c>
      <c r="I173" s="12" t="s">
        <v>430</v>
      </c>
      <c r="J173" s="12" t="s">
        <v>90</v>
      </c>
      <c r="K173" s="12" t="s">
        <v>1022</v>
      </c>
      <c r="L173" s="12" t="s">
        <v>247</v>
      </c>
      <c r="N173" s="13" t="s">
        <v>653</v>
      </c>
      <c r="O173" s="11" t="s">
        <v>599</v>
      </c>
      <c r="P173" s="11" t="s">
        <v>600</v>
      </c>
      <c r="Q173" s="11" t="s">
        <v>125</v>
      </c>
      <c r="R173" s="11" t="s">
        <v>150</v>
      </c>
      <c r="T173" s="11" t="s">
        <v>126</v>
      </c>
      <c r="U173" s="11" t="s">
        <v>992</v>
      </c>
      <c r="AE173" s="11" t="s">
        <v>1768</v>
      </c>
    </row>
    <row r="174" spans="2:31" x14ac:dyDescent="0.35">
      <c r="B174" s="24" t="s">
        <v>278</v>
      </c>
      <c r="C174" s="12">
        <v>169</v>
      </c>
      <c r="D174" s="11" t="s">
        <v>654</v>
      </c>
      <c r="E174" s="11" t="s">
        <v>90</v>
      </c>
      <c r="F174" s="12" t="s">
        <v>278</v>
      </c>
      <c r="G174" s="12" t="s">
        <v>246</v>
      </c>
      <c r="H174" s="12" t="s">
        <v>246</v>
      </c>
      <c r="I174" s="12" t="s">
        <v>430</v>
      </c>
      <c r="J174" s="12" t="s">
        <v>90</v>
      </c>
      <c r="K174" s="12" t="s">
        <v>1022</v>
      </c>
      <c r="L174" s="12" t="s">
        <v>247</v>
      </c>
      <c r="O174" s="11" t="s">
        <v>599</v>
      </c>
      <c r="P174" s="11" t="s">
        <v>600</v>
      </c>
      <c r="Q174" s="11" t="s">
        <v>125</v>
      </c>
      <c r="R174" s="11" t="s">
        <v>150</v>
      </c>
      <c r="T174" s="11" t="s">
        <v>126</v>
      </c>
      <c r="U174" s="11" t="s">
        <v>992</v>
      </c>
      <c r="AE174" s="11" t="s">
        <v>1768</v>
      </c>
    </row>
    <row r="175" spans="2:31" x14ac:dyDescent="0.35">
      <c r="B175" s="24" t="s">
        <v>311</v>
      </c>
      <c r="C175" s="12">
        <v>170</v>
      </c>
      <c r="D175" s="11" t="s">
        <v>655</v>
      </c>
      <c r="E175" s="11" t="s">
        <v>90</v>
      </c>
      <c r="F175" s="12" t="s">
        <v>311</v>
      </c>
      <c r="G175" s="12" t="s">
        <v>246</v>
      </c>
      <c r="H175" s="12" t="s">
        <v>246</v>
      </c>
      <c r="I175" s="12" t="s">
        <v>430</v>
      </c>
      <c r="J175" s="12" t="s">
        <v>90</v>
      </c>
      <c r="K175" s="12" t="s">
        <v>1022</v>
      </c>
      <c r="L175" s="12" t="s">
        <v>247</v>
      </c>
      <c r="O175" s="11" t="s">
        <v>599</v>
      </c>
      <c r="P175" s="11" t="s">
        <v>600</v>
      </c>
      <c r="Q175" s="11" t="s">
        <v>125</v>
      </c>
      <c r="R175" s="11" t="s">
        <v>150</v>
      </c>
      <c r="T175" s="11" t="s">
        <v>126</v>
      </c>
      <c r="U175" s="11" t="s">
        <v>992</v>
      </c>
      <c r="AE175" s="11" t="s">
        <v>1768</v>
      </c>
    </row>
    <row r="176" spans="2:31" x14ac:dyDescent="0.35">
      <c r="B176" s="24" t="s">
        <v>283</v>
      </c>
      <c r="C176" s="12">
        <v>171</v>
      </c>
      <c r="D176" s="11" t="s">
        <v>656</v>
      </c>
      <c r="E176" s="11" t="s">
        <v>90</v>
      </c>
      <c r="F176" s="12" t="s">
        <v>283</v>
      </c>
      <c r="G176" s="12" t="s">
        <v>246</v>
      </c>
      <c r="H176" s="12" t="s">
        <v>246</v>
      </c>
      <c r="I176" s="12" t="s">
        <v>430</v>
      </c>
      <c r="J176" s="12" t="s">
        <v>90</v>
      </c>
      <c r="K176" s="12" t="s">
        <v>1022</v>
      </c>
      <c r="L176" s="12" t="s">
        <v>247</v>
      </c>
      <c r="O176" s="11" t="s">
        <v>599</v>
      </c>
      <c r="P176" s="11" t="s">
        <v>600</v>
      </c>
      <c r="Q176" s="11" t="s">
        <v>125</v>
      </c>
      <c r="R176" s="11" t="s">
        <v>150</v>
      </c>
      <c r="T176" s="11" t="s">
        <v>126</v>
      </c>
      <c r="U176" s="11" t="s">
        <v>992</v>
      </c>
      <c r="AE176" s="11" t="s">
        <v>1768</v>
      </c>
    </row>
    <row r="177" spans="2:31" x14ac:dyDescent="0.35">
      <c r="B177" s="24" t="s">
        <v>49</v>
      </c>
      <c r="C177" s="12">
        <v>172</v>
      </c>
      <c r="D177" s="11" t="s">
        <v>657</v>
      </c>
      <c r="E177" s="11" t="s">
        <v>90</v>
      </c>
      <c r="F177" s="12" t="s">
        <v>377</v>
      </c>
      <c r="G177" s="12" t="s">
        <v>246</v>
      </c>
      <c r="H177" s="12" t="s">
        <v>246</v>
      </c>
      <c r="I177" s="12" t="s">
        <v>430</v>
      </c>
      <c r="J177" s="12" t="s">
        <v>90</v>
      </c>
      <c r="K177" s="12" t="s">
        <v>1022</v>
      </c>
      <c r="L177" s="12" t="s">
        <v>247</v>
      </c>
      <c r="O177" s="11" t="s">
        <v>599</v>
      </c>
      <c r="P177" s="11" t="s">
        <v>600</v>
      </c>
      <c r="Q177" s="11" t="s">
        <v>125</v>
      </c>
      <c r="R177" s="11" t="s">
        <v>150</v>
      </c>
      <c r="T177" s="11" t="s">
        <v>126</v>
      </c>
      <c r="U177" s="11" t="s">
        <v>992</v>
      </c>
      <c r="AE177" s="11" t="s">
        <v>1768</v>
      </c>
    </row>
    <row r="178" spans="2:31" x14ac:dyDescent="0.35">
      <c r="B178" s="24" t="s">
        <v>49</v>
      </c>
      <c r="C178" s="12">
        <v>173</v>
      </c>
      <c r="D178" s="11" t="s">
        <v>658</v>
      </c>
      <c r="E178" s="11" t="s">
        <v>90</v>
      </c>
      <c r="F178" s="12" t="s">
        <v>377</v>
      </c>
      <c r="G178" s="12" t="s">
        <v>246</v>
      </c>
      <c r="H178" s="12" t="s">
        <v>246</v>
      </c>
      <c r="I178" s="12" t="s">
        <v>430</v>
      </c>
      <c r="J178" s="12" t="s">
        <v>90</v>
      </c>
      <c r="K178" s="12" t="s">
        <v>1022</v>
      </c>
      <c r="L178" s="12" t="s">
        <v>247</v>
      </c>
      <c r="O178" s="11" t="s">
        <v>599</v>
      </c>
      <c r="P178" s="11" t="s">
        <v>600</v>
      </c>
      <c r="Q178" s="11" t="s">
        <v>125</v>
      </c>
      <c r="R178" s="11" t="s">
        <v>150</v>
      </c>
      <c r="T178" s="11" t="s">
        <v>126</v>
      </c>
      <c r="U178" s="11" t="s">
        <v>992</v>
      </c>
      <c r="AE178" s="11" t="s">
        <v>1768</v>
      </c>
    </row>
    <row r="179" spans="2:31" x14ac:dyDescent="0.35">
      <c r="B179" s="24" t="s">
        <v>314</v>
      </c>
      <c r="C179" s="12">
        <v>174</v>
      </c>
      <c r="D179" s="11" t="s">
        <v>659</v>
      </c>
      <c r="E179" s="11" t="s">
        <v>90</v>
      </c>
      <c r="F179" s="12" t="s">
        <v>314</v>
      </c>
      <c r="G179" s="12" t="s">
        <v>246</v>
      </c>
      <c r="H179" s="12" t="s">
        <v>246</v>
      </c>
      <c r="I179" s="12" t="s">
        <v>430</v>
      </c>
      <c r="J179" s="12" t="s">
        <v>90</v>
      </c>
      <c r="K179" s="12" t="s">
        <v>1022</v>
      </c>
      <c r="L179" s="12" t="s">
        <v>247</v>
      </c>
      <c r="N179" s="13" t="s">
        <v>660</v>
      </c>
      <c r="O179" s="11" t="s">
        <v>599</v>
      </c>
      <c r="P179" s="11" t="s">
        <v>600</v>
      </c>
      <c r="Q179" s="11" t="s">
        <v>125</v>
      </c>
      <c r="R179" s="11" t="s">
        <v>150</v>
      </c>
      <c r="T179" s="11" t="s">
        <v>126</v>
      </c>
      <c r="U179" s="11" t="s">
        <v>992</v>
      </c>
      <c r="AE179" s="11" t="s">
        <v>1768</v>
      </c>
    </row>
    <row r="180" spans="2:31" x14ac:dyDescent="0.35">
      <c r="B180" s="24" t="s">
        <v>49</v>
      </c>
      <c r="C180" s="12">
        <v>175</v>
      </c>
      <c r="D180" s="11" t="s">
        <v>1285</v>
      </c>
      <c r="E180" s="11" t="s">
        <v>90</v>
      </c>
      <c r="F180" s="12" t="s">
        <v>606</v>
      </c>
      <c r="G180" s="12" t="s">
        <v>246</v>
      </c>
      <c r="H180" s="12" t="s">
        <v>246</v>
      </c>
      <c r="I180" s="12" t="s">
        <v>430</v>
      </c>
      <c r="J180" s="12" t="s">
        <v>90</v>
      </c>
      <c r="K180" s="12" t="s">
        <v>1022</v>
      </c>
      <c r="L180" s="12" t="s">
        <v>247</v>
      </c>
      <c r="N180" s="13" t="s">
        <v>1286</v>
      </c>
      <c r="T180" s="11" t="s">
        <v>125</v>
      </c>
      <c r="U180" s="11" t="s">
        <v>1014</v>
      </c>
      <c r="Z180" s="11">
        <v>46188</v>
      </c>
      <c r="AA180" s="11">
        <v>46188</v>
      </c>
      <c r="AB180" s="11" t="s">
        <v>30</v>
      </c>
      <c r="AC180" s="11">
        <v>36</v>
      </c>
      <c r="AE180" s="11" t="s">
        <v>993</v>
      </c>
    </row>
    <row r="181" spans="2:31" x14ac:dyDescent="0.35">
      <c r="B181" s="24" t="s">
        <v>283</v>
      </c>
      <c r="C181" s="12">
        <v>176</v>
      </c>
      <c r="D181" s="11" t="s">
        <v>662</v>
      </c>
      <c r="E181" s="11" t="s">
        <v>661</v>
      </c>
      <c r="F181" s="12" t="s">
        <v>283</v>
      </c>
      <c r="G181" s="12" t="s">
        <v>246</v>
      </c>
      <c r="H181" s="12" t="s">
        <v>246</v>
      </c>
      <c r="I181" s="12" t="s">
        <v>60</v>
      </c>
      <c r="J181" s="12" t="s">
        <v>1024</v>
      </c>
      <c r="K181" s="12" t="s">
        <v>1569</v>
      </c>
      <c r="L181" s="12" t="s">
        <v>247</v>
      </c>
      <c r="N181" s="13" t="s">
        <v>663</v>
      </c>
      <c r="O181" s="11" t="s">
        <v>118</v>
      </c>
      <c r="P181" s="11" t="s">
        <v>249</v>
      </c>
      <c r="Q181" s="11" t="s">
        <v>125</v>
      </c>
      <c r="R181" s="11" t="s">
        <v>150</v>
      </c>
      <c r="T181" s="11" t="s">
        <v>126</v>
      </c>
      <c r="U181" s="11" t="s">
        <v>992</v>
      </c>
      <c r="AE181" s="11" t="s">
        <v>1768</v>
      </c>
    </row>
    <row r="182" spans="2:31" x14ac:dyDescent="0.35">
      <c r="B182" s="24" t="s">
        <v>283</v>
      </c>
      <c r="C182" s="12">
        <v>177</v>
      </c>
      <c r="D182" s="11" t="s">
        <v>664</v>
      </c>
      <c r="E182" s="11" t="s">
        <v>661</v>
      </c>
      <c r="F182" s="12" t="s">
        <v>283</v>
      </c>
      <c r="G182" s="12" t="s">
        <v>246</v>
      </c>
      <c r="H182" s="12" t="s">
        <v>246</v>
      </c>
      <c r="I182" s="12" t="s">
        <v>60</v>
      </c>
      <c r="J182" s="12" t="s">
        <v>1024</v>
      </c>
      <c r="K182" s="12" t="s">
        <v>1569</v>
      </c>
      <c r="L182" s="12" t="s">
        <v>247</v>
      </c>
      <c r="N182" s="13" t="s">
        <v>665</v>
      </c>
      <c r="O182" s="11" t="s">
        <v>118</v>
      </c>
      <c r="P182" s="11" t="s">
        <v>249</v>
      </c>
      <c r="Q182" s="11" t="s">
        <v>125</v>
      </c>
      <c r="R182" s="11" t="s">
        <v>150</v>
      </c>
      <c r="T182" s="11" t="s">
        <v>126</v>
      </c>
      <c r="U182" s="11" t="s">
        <v>992</v>
      </c>
      <c r="AE182" s="11" t="s">
        <v>1768</v>
      </c>
    </row>
    <row r="183" spans="2:31" x14ac:dyDescent="0.35">
      <c r="B183" s="24" t="s">
        <v>278</v>
      </c>
      <c r="C183" s="12">
        <v>178</v>
      </c>
      <c r="D183" s="11" t="s">
        <v>667</v>
      </c>
      <c r="E183" s="11" t="s">
        <v>661</v>
      </c>
      <c r="F183" s="12" t="s">
        <v>278</v>
      </c>
      <c r="G183" s="12" t="s">
        <v>246</v>
      </c>
      <c r="H183" s="12" t="s">
        <v>246</v>
      </c>
      <c r="I183" s="12" t="s">
        <v>60</v>
      </c>
      <c r="J183" s="12" t="s">
        <v>1024</v>
      </c>
      <c r="K183" s="12" t="s">
        <v>1569</v>
      </c>
      <c r="L183" s="12" t="s">
        <v>247</v>
      </c>
      <c r="N183" s="13" t="s">
        <v>668</v>
      </c>
      <c r="O183" s="11" t="s">
        <v>118</v>
      </c>
      <c r="P183" s="11" t="s">
        <v>249</v>
      </c>
      <c r="Q183" s="11" t="s">
        <v>125</v>
      </c>
      <c r="R183" s="11" t="s">
        <v>150</v>
      </c>
      <c r="T183" s="11" t="s">
        <v>126</v>
      </c>
      <c r="U183" s="11" t="s">
        <v>992</v>
      </c>
      <c r="AE183" s="11" t="s">
        <v>1768</v>
      </c>
    </row>
    <row r="184" spans="2:31" x14ac:dyDescent="0.35">
      <c r="B184" s="24" t="s">
        <v>278</v>
      </c>
      <c r="C184" s="12">
        <v>179</v>
      </c>
      <c r="D184" s="11" t="s">
        <v>669</v>
      </c>
      <c r="E184" s="11" t="s">
        <v>661</v>
      </c>
      <c r="F184" s="12" t="s">
        <v>278</v>
      </c>
      <c r="G184" s="12" t="s">
        <v>246</v>
      </c>
      <c r="H184" s="12" t="s">
        <v>246</v>
      </c>
      <c r="I184" s="12" t="s">
        <v>60</v>
      </c>
      <c r="J184" s="12" t="s">
        <v>1024</v>
      </c>
      <c r="K184" s="12" t="s">
        <v>1569</v>
      </c>
      <c r="L184" s="12" t="s">
        <v>247</v>
      </c>
      <c r="N184" s="13" t="s">
        <v>670</v>
      </c>
      <c r="O184" s="11" t="s">
        <v>118</v>
      </c>
      <c r="P184" s="11" t="s">
        <v>249</v>
      </c>
      <c r="Q184" s="11" t="s">
        <v>125</v>
      </c>
      <c r="R184" s="11" t="s">
        <v>150</v>
      </c>
      <c r="T184" s="11" t="s">
        <v>126</v>
      </c>
      <c r="U184" s="11" t="s">
        <v>992</v>
      </c>
      <c r="AE184" s="11" t="s">
        <v>1768</v>
      </c>
    </row>
    <row r="185" spans="2:31" x14ac:dyDescent="0.35">
      <c r="B185" s="24" t="s">
        <v>308</v>
      </c>
      <c r="C185" s="12">
        <v>180</v>
      </c>
      <c r="D185" s="11" t="s">
        <v>673</v>
      </c>
      <c r="E185" s="11" t="s">
        <v>661</v>
      </c>
      <c r="F185" s="12" t="s">
        <v>308</v>
      </c>
      <c r="G185" s="12" t="s">
        <v>246</v>
      </c>
      <c r="H185" s="12" t="s">
        <v>246</v>
      </c>
      <c r="I185" s="12" t="s">
        <v>60</v>
      </c>
      <c r="J185" s="12" t="s">
        <v>1024</v>
      </c>
      <c r="K185" s="12" t="s">
        <v>1569</v>
      </c>
      <c r="L185" s="12" t="s">
        <v>247</v>
      </c>
      <c r="N185" s="13" t="s">
        <v>674</v>
      </c>
      <c r="O185" s="11" t="s">
        <v>118</v>
      </c>
      <c r="P185" s="11" t="s">
        <v>249</v>
      </c>
      <c r="Q185" s="11" t="s">
        <v>125</v>
      </c>
      <c r="R185" s="11" t="s">
        <v>150</v>
      </c>
      <c r="T185" s="11" t="s">
        <v>126</v>
      </c>
      <c r="U185" s="11" t="s">
        <v>992</v>
      </c>
      <c r="AE185" s="11" t="s">
        <v>1768</v>
      </c>
    </row>
    <row r="186" spans="2:31" x14ac:dyDescent="0.35">
      <c r="B186" s="24" t="s">
        <v>308</v>
      </c>
      <c r="C186" s="12">
        <v>181</v>
      </c>
      <c r="D186" s="11" t="s">
        <v>675</v>
      </c>
      <c r="E186" s="11" t="s">
        <v>661</v>
      </c>
      <c r="F186" s="12" t="s">
        <v>308</v>
      </c>
      <c r="G186" s="12" t="s">
        <v>246</v>
      </c>
      <c r="H186" s="12" t="s">
        <v>246</v>
      </c>
      <c r="I186" s="12" t="s">
        <v>60</v>
      </c>
      <c r="J186" s="12" t="s">
        <v>1024</v>
      </c>
      <c r="K186" s="12" t="s">
        <v>1569</v>
      </c>
      <c r="L186" s="12" t="s">
        <v>247</v>
      </c>
      <c r="N186" s="13" t="s">
        <v>676</v>
      </c>
      <c r="O186" s="11" t="s">
        <v>118</v>
      </c>
      <c r="P186" s="11" t="s">
        <v>249</v>
      </c>
      <c r="Q186" s="11" t="s">
        <v>125</v>
      </c>
      <c r="R186" s="11" t="s">
        <v>150</v>
      </c>
      <c r="T186" s="11" t="s">
        <v>126</v>
      </c>
      <c r="U186" s="11" t="s">
        <v>992</v>
      </c>
      <c r="AE186" s="11" t="s">
        <v>1768</v>
      </c>
    </row>
    <row r="187" spans="2:31" x14ac:dyDescent="0.35">
      <c r="B187" s="24" t="s">
        <v>308</v>
      </c>
      <c r="C187" s="12">
        <v>182</v>
      </c>
      <c r="D187" s="11" t="s">
        <v>62</v>
      </c>
      <c r="E187" s="11" t="s">
        <v>661</v>
      </c>
      <c r="F187" s="12" t="s">
        <v>308</v>
      </c>
      <c r="G187" s="12" t="s">
        <v>246</v>
      </c>
      <c r="H187" s="12" t="s">
        <v>126</v>
      </c>
      <c r="I187" s="12" t="s">
        <v>60</v>
      </c>
      <c r="J187" s="12" t="s">
        <v>1024</v>
      </c>
      <c r="K187" s="12" t="s">
        <v>1569</v>
      </c>
      <c r="L187" s="12" t="s">
        <v>247</v>
      </c>
      <c r="N187" s="13" t="s">
        <v>677</v>
      </c>
      <c r="O187" s="11" t="s">
        <v>118</v>
      </c>
      <c r="P187" s="11" t="s">
        <v>249</v>
      </c>
      <c r="Q187" s="11" t="s">
        <v>125</v>
      </c>
      <c r="R187" s="11" t="s">
        <v>150</v>
      </c>
      <c r="T187" s="11" t="s">
        <v>126</v>
      </c>
      <c r="U187" s="11" t="s">
        <v>992</v>
      </c>
      <c r="AE187" s="11" t="s">
        <v>1768</v>
      </c>
    </row>
    <row r="188" spans="2:31" x14ac:dyDescent="0.35">
      <c r="B188" s="24" t="s">
        <v>311</v>
      </c>
      <c r="C188" s="12">
        <v>183</v>
      </c>
      <c r="D188" s="11" t="s">
        <v>682</v>
      </c>
      <c r="E188" s="11" t="s">
        <v>661</v>
      </c>
      <c r="F188" s="12" t="s">
        <v>311</v>
      </c>
      <c r="G188" s="12" t="s">
        <v>246</v>
      </c>
      <c r="H188" s="12" t="s">
        <v>246</v>
      </c>
      <c r="I188" s="12" t="s">
        <v>60</v>
      </c>
      <c r="J188" s="12" t="s">
        <v>1024</v>
      </c>
      <c r="K188" s="12" t="s">
        <v>1569</v>
      </c>
      <c r="L188" s="12" t="s">
        <v>247</v>
      </c>
      <c r="N188" s="13" t="s">
        <v>683</v>
      </c>
      <c r="O188" s="11" t="s">
        <v>118</v>
      </c>
      <c r="P188" s="11" t="s">
        <v>249</v>
      </c>
      <c r="Q188" s="11" t="s">
        <v>125</v>
      </c>
      <c r="R188" s="11" t="s">
        <v>150</v>
      </c>
      <c r="T188" s="11" t="s">
        <v>126</v>
      </c>
      <c r="U188" s="11" t="s">
        <v>992</v>
      </c>
      <c r="AE188" s="11" t="s">
        <v>1768</v>
      </c>
    </row>
    <row r="189" spans="2:31" x14ac:dyDescent="0.35">
      <c r="B189" s="24" t="s">
        <v>311</v>
      </c>
      <c r="C189" s="12">
        <v>184</v>
      </c>
      <c r="D189" s="11" t="s">
        <v>684</v>
      </c>
      <c r="E189" s="11" t="s">
        <v>661</v>
      </c>
      <c r="F189" s="12" t="s">
        <v>311</v>
      </c>
      <c r="G189" s="12" t="s">
        <v>246</v>
      </c>
      <c r="H189" s="12" t="s">
        <v>246</v>
      </c>
      <c r="I189" s="12" t="s">
        <v>60</v>
      </c>
      <c r="J189" s="12" t="s">
        <v>1024</v>
      </c>
      <c r="K189" s="12" t="s">
        <v>1569</v>
      </c>
      <c r="L189" s="12" t="s">
        <v>247</v>
      </c>
      <c r="N189" s="13" t="s">
        <v>685</v>
      </c>
      <c r="O189" s="11" t="s">
        <v>118</v>
      </c>
      <c r="P189" s="11" t="s">
        <v>249</v>
      </c>
      <c r="Q189" s="11" t="s">
        <v>125</v>
      </c>
      <c r="R189" s="11" t="s">
        <v>150</v>
      </c>
      <c r="T189" s="11" t="s">
        <v>126</v>
      </c>
      <c r="U189" s="11" t="s">
        <v>992</v>
      </c>
      <c r="AE189" s="11" t="s">
        <v>1768</v>
      </c>
    </row>
    <row r="190" spans="2:31" x14ac:dyDescent="0.35">
      <c r="B190" s="24" t="s">
        <v>311</v>
      </c>
      <c r="C190" s="12">
        <v>185</v>
      </c>
      <c r="D190" s="11" t="s">
        <v>63</v>
      </c>
      <c r="E190" s="11" t="s">
        <v>661</v>
      </c>
      <c r="F190" s="12" t="s">
        <v>311</v>
      </c>
      <c r="G190" s="12" t="s">
        <v>246</v>
      </c>
      <c r="H190" s="12" t="s">
        <v>126</v>
      </c>
      <c r="I190" s="12" t="s">
        <v>430</v>
      </c>
      <c r="J190" s="12" t="s">
        <v>1024</v>
      </c>
      <c r="K190" s="12" t="s">
        <v>1569</v>
      </c>
      <c r="L190" s="12" t="s">
        <v>247</v>
      </c>
      <c r="N190" s="13" t="s">
        <v>686</v>
      </c>
      <c r="O190" s="11" t="s">
        <v>118</v>
      </c>
      <c r="P190" s="11" t="s">
        <v>249</v>
      </c>
      <c r="Q190" s="11" t="s">
        <v>125</v>
      </c>
      <c r="R190" s="11" t="s">
        <v>150</v>
      </c>
      <c r="S190" s="11" t="s">
        <v>125</v>
      </c>
      <c r="T190" s="11" t="s">
        <v>125</v>
      </c>
      <c r="U190" s="11" t="s">
        <v>38</v>
      </c>
      <c r="V190" s="11">
        <v>46147</v>
      </c>
      <c r="W190" s="11">
        <v>46164</v>
      </c>
      <c r="AD190" s="11" t="s">
        <v>1257</v>
      </c>
      <c r="AE190" s="11" t="s">
        <v>993</v>
      </c>
    </row>
    <row r="191" spans="2:31" x14ac:dyDescent="0.35">
      <c r="B191" s="24" t="s">
        <v>49</v>
      </c>
      <c r="C191" s="12">
        <v>186</v>
      </c>
      <c r="D191" s="11" t="s">
        <v>687</v>
      </c>
      <c r="E191" s="11" t="s">
        <v>661</v>
      </c>
      <c r="F191" s="12" t="s">
        <v>377</v>
      </c>
      <c r="G191" s="12" t="s">
        <v>246</v>
      </c>
      <c r="H191" s="12" t="s">
        <v>246</v>
      </c>
      <c r="I191" s="12" t="s">
        <v>430</v>
      </c>
      <c r="J191" s="12" t="s">
        <v>1024</v>
      </c>
      <c r="K191" s="12" t="s">
        <v>1569</v>
      </c>
      <c r="L191" s="12" t="s">
        <v>247</v>
      </c>
      <c r="N191" s="13" t="s">
        <v>688</v>
      </c>
      <c r="O191" s="11" t="s">
        <v>118</v>
      </c>
      <c r="P191" s="11" t="s">
        <v>249</v>
      </c>
      <c r="Q191" s="11" t="s">
        <v>125</v>
      </c>
      <c r="R191" s="11" t="s">
        <v>150</v>
      </c>
      <c r="S191" s="11" t="s">
        <v>125</v>
      </c>
      <c r="T191" s="11" t="s">
        <v>125</v>
      </c>
      <c r="U191" s="11" t="s">
        <v>38</v>
      </c>
      <c r="V191" s="11">
        <v>46147</v>
      </c>
      <c r="AE191" s="11" t="s">
        <v>993</v>
      </c>
    </row>
    <row r="192" spans="2:31" x14ac:dyDescent="0.35">
      <c r="B192" s="24" t="s">
        <v>416</v>
      </c>
      <c r="C192" s="12">
        <v>187</v>
      </c>
      <c r="D192" s="11" t="s">
        <v>689</v>
      </c>
      <c r="E192" s="11" t="s">
        <v>661</v>
      </c>
      <c r="F192" s="12" t="s">
        <v>416</v>
      </c>
      <c r="G192" s="12" t="s">
        <v>246</v>
      </c>
      <c r="H192" s="12" t="s">
        <v>246</v>
      </c>
      <c r="I192" s="12" t="s">
        <v>430</v>
      </c>
      <c r="J192" s="12" t="s">
        <v>1024</v>
      </c>
      <c r="K192" s="12" t="s">
        <v>1569</v>
      </c>
      <c r="L192" s="12" t="s">
        <v>247</v>
      </c>
      <c r="N192" s="13" t="s">
        <v>690</v>
      </c>
      <c r="O192" s="11" t="s">
        <v>118</v>
      </c>
      <c r="P192" s="11" t="s">
        <v>249</v>
      </c>
      <c r="Q192" s="11" t="s">
        <v>125</v>
      </c>
      <c r="R192" s="11" t="s">
        <v>150</v>
      </c>
      <c r="S192" s="11" t="s">
        <v>125</v>
      </c>
      <c r="T192" s="11" t="s">
        <v>125</v>
      </c>
      <c r="U192" s="11" t="s">
        <v>38</v>
      </c>
      <c r="V192" s="11">
        <v>46147</v>
      </c>
      <c r="AE192" s="11" t="s">
        <v>993</v>
      </c>
    </row>
    <row r="193" spans="2:31" x14ac:dyDescent="0.35">
      <c r="B193" s="24" t="s">
        <v>49</v>
      </c>
      <c r="C193" s="12">
        <v>188</v>
      </c>
      <c r="D193" s="11" t="s">
        <v>691</v>
      </c>
      <c r="E193" s="11" t="s">
        <v>661</v>
      </c>
      <c r="F193" s="12" t="s">
        <v>49</v>
      </c>
      <c r="G193" s="12" t="s">
        <v>246</v>
      </c>
      <c r="H193" s="12" t="s">
        <v>246</v>
      </c>
      <c r="I193" s="12" t="s">
        <v>430</v>
      </c>
      <c r="J193" s="12" t="s">
        <v>1024</v>
      </c>
      <c r="K193" s="12" t="s">
        <v>1569</v>
      </c>
      <c r="L193" s="12" t="s">
        <v>247</v>
      </c>
      <c r="N193" s="13" t="s">
        <v>692</v>
      </c>
      <c r="O193" s="11" t="s">
        <v>118</v>
      </c>
      <c r="P193" s="11" t="s">
        <v>249</v>
      </c>
      <c r="Q193" s="11" t="s">
        <v>125</v>
      </c>
      <c r="R193" s="11" t="s">
        <v>150</v>
      </c>
      <c r="S193" s="11" t="s">
        <v>125</v>
      </c>
      <c r="T193" s="11" t="s">
        <v>125</v>
      </c>
      <c r="U193" s="11" t="s">
        <v>38</v>
      </c>
      <c r="V193" s="11">
        <v>46147</v>
      </c>
      <c r="AE193" s="11" t="s">
        <v>993</v>
      </c>
    </row>
    <row r="194" spans="2:31" x14ac:dyDescent="0.35">
      <c r="B194" s="24" t="s">
        <v>49</v>
      </c>
      <c r="C194" s="12">
        <v>189</v>
      </c>
      <c r="D194" s="11" t="s">
        <v>693</v>
      </c>
      <c r="E194" s="11" t="s">
        <v>661</v>
      </c>
      <c r="F194" s="12" t="s">
        <v>694</v>
      </c>
      <c r="G194" s="12" t="s">
        <v>246</v>
      </c>
      <c r="H194" s="12" t="s">
        <v>246</v>
      </c>
      <c r="I194" s="12" t="s">
        <v>430</v>
      </c>
      <c r="J194" s="12" t="s">
        <v>1024</v>
      </c>
      <c r="K194" s="12" t="s">
        <v>1569</v>
      </c>
      <c r="L194" s="12" t="s">
        <v>247</v>
      </c>
      <c r="N194" s="13" t="s">
        <v>695</v>
      </c>
      <c r="O194" s="11" t="s">
        <v>118</v>
      </c>
      <c r="P194" s="11" t="s">
        <v>249</v>
      </c>
      <c r="Q194" s="11" t="s">
        <v>125</v>
      </c>
      <c r="R194" s="11" t="s">
        <v>150</v>
      </c>
      <c r="S194" s="11" t="s">
        <v>125</v>
      </c>
      <c r="T194" s="11" t="s">
        <v>125</v>
      </c>
      <c r="U194" s="11" t="s">
        <v>38</v>
      </c>
      <c r="V194" s="11">
        <v>46147</v>
      </c>
      <c r="AE194" s="11" t="s">
        <v>993</v>
      </c>
    </row>
    <row r="195" spans="2:31" x14ac:dyDescent="0.35">
      <c r="B195" s="24" t="s">
        <v>49</v>
      </c>
      <c r="C195" s="12">
        <v>190</v>
      </c>
      <c r="D195" s="11" t="s">
        <v>696</v>
      </c>
      <c r="E195" s="11" t="s">
        <v>661</v>
      </c>
      <c r="F195" s="12" t="s">
        <v>49</v>
      </c>
      <c r="G195" s="12" t="s">
        <v>246</v>
      </c>
      <c r="H195" s="12" t="s">
        <v>246</v>
      </c>
      <c r="I195" s="12" t="s">
        <v>430</v>
      </c>
      <c r="J195" s="12" t="s">
        <v>1024</v>
      </c>
      <c r="K195" s="12" t="s">
        <v>1569</v>
      </c>
      <c r="L195" s="12" t="s">
        <v>247</v>
      </c>
      <c r="N195" s="13" t="s">
        <v>697</v>
      </c>
      <c r="O195" s="11" t="s">
        <v>118</v>
      </c>
      <c r="P195" s="11" t="s">
        <v>249</v>
      </c>
      <c r="Q195" s="11" t="s">
        <v>125</v>
      </c>
      <c r="R195" s="11" t="s">
        <v>150</v>
      </c>
      <c r="S195" s="11" t="s">
        <v>125</v>
      </c>
      <c r="T195" s="11" t="s">
        <v>125</v>
      </c>
      <c r="U195" s="11" t="s">
        <v>38</v>
      </c>
      <c r="V195" s="11">
        <v>46147</v>
      </c>
      <c r="AE195" s="11" t="s">
        <v>993</v>
      </c>
    </row>
    <row r="196" spans="2:31" x14ac:dyDescent="0.35">
      <c r="B196" s="24" t="s">
        <v>49</v>
      </c>
      <c r="C196" s="12">
        <v>191</v>
      </c>
      <c r="D196" s="11" t="s">
        <v>698</v>
      </c>
      <c r="E196" s="11" t="s">
        <v>661</v>
      </c>
      <c r="F196" s="12" t="s">
        <v>49</v>
      </c>
      <c r="G196" s="12" t="s">
        <v>246</v>
      </c>
      <c r="H196" s="12" t="s">
        <v>246</v>
      </c>
      <c r="I196" s="12" t="s">
        <v>430</v>
      </c>
      <c r="J196" s="12" t="s">
        <v>1024</v>
      </c>
      <c r="K196" s="12" t="s">
        <v>1569</v>
      </c>
      <c r="L196" s="12" t="s">
        <v>247</v>
      </c>
      <c r="N196" s="13" t="s">
        <v>699</v>
      </c>
      <c r="O196" s="11" t="s">
        <v>118</v>
      </c>
      <c r="P196" s="11" t="s">
        <v>249</v>
      </c>
      <c r="Q196" s="11" t="s">
        <v>125</v>
      </c>
      <c r="R196" s="11" t="s">
        <v>150</v>
      </c>
      <c r="S196" s="11" t="s">
        <v>125</v>
      </c>
      <c r="T196" s="11" t="s">
        <v>125</v>
      </c>
      <c r="U196" s="11" t="s">
        <v>38</v>
      </c>
      <c r="V196" s="11">
        <v>46147</v>
      </c>
      <c r="AE196" s="11" t="s">
        <v>993</v>
      </c>
    </row>
    <row r="197" spans="2:31" x14ac:dyDescent="0.35">
      <c r="B197" s="24" t="s">
        <v>49</v>
      </c>
      <c r="C197" s="12">
        <v>192</v>
      </c>
      <c r="D197" s="11" t="s">
        <v>700</v>
      </c>
      <c r="E197" s="11" t="s">
        <v>661</v>
      </c>
      <c r="F197" s="12" t="s">
        <v>49</v>
      </c>
      <c r="G197" s="12" t="s">
        <v>246</v>
      </c>
      <c r="H197" s="12" t="s">
        <v>246</v>
      </c>
      <c r="I197" s="12" t="s">
        <v>430</v>
      </c>
      <c r="J197" s="12" t="s">
        <v>1024</v>
      </c>
      <c r="K197" s="12" t="s">
        <v>1569</v>
      </c>
      <c r="L197" s="12" t="s">
        <v>247</v>
      </c>
      <c r="N197" s="13" t="s">
        <v>701</v>
      </c>
      <c r="O197" s="11" t="s">
        <v>118</v>
      </c>
      <c r="P197" s="11" t="s">
        <v>249</v>
      </c>
      <c r="Q197" s="11" t="s">
        <v>125</v>
      </c>
      <c r="R197" s="11" t="s">
        <v>150</v>
      </c>
      <c r="S197" s="11" t="s">
        <v>125</v>
      </c>
      <c r="T197" s="11" t="s">
        <v>125</v>
      </c>
      <c r="U197" s="11" t="s">
        <v>38</v>
      </c>
      <c r="V197" s="11">
        <v>46147</v>
      </c>
      <c r="AE197" s="11" t="s">
        <v>993</v>
      </c>
    </row>
    <row r="198" spans="2:31" x14ac:dyDescent="0.35">
      <c r="B198" s="24" t="s">
        <v>49</v>
      </c>
      <c r="C198" s="12">
        <v>193</v>
      </c>
      <c r="D198" s="11" t="s">
        <v>702</v>
      </c>
      <c r="E198" s="11" t="s">
        <v>661</v>
      </c>
      <c r="F198" s="12" t="s">
        <v>286</v>
      </c>
      <c r="G198" s="12" t="s">
        <v>246</v>
      </c>
      <c r="H198" s="12" t="s">
        <v>246</v>
      </c>
      <c r="I198" s="12" t="s">
        <v>60</v>
      </c>
      <c r="J198" s="12" t="s">
        <v>1024</v>
      </c>
      <c r="K198" s="12" t="s">
        <v>1569</v>
      </c>
      <c r="L198" s="12" t="s">
        <v>247</v>
      </c>
      <c r="N198" s="13" t="s">
        <v>703</v>
      </c>
      <c r="O198" s="11" t="s">
        <v>118</v>
      </c>
      <c r="P198" s="11" t="s">
        <v>249</v>
      </c>
      <c r="Q198" s="11" t="s">
        <v>125</v>
      </c>
      <c r="R198" s="11" t="s">
        <v>150</v>
      </c>
      <c r="T198" s="11" t="s">
        <v>126</v>
      </c>
      <c r="U198" s="11" t="s">
        <v>992</v>
      </c>
      <c r="AE198" s="11" t="s">
        <v>1768</v>
      </c>
    </row>
    <row r="199" spans="2:31" x14ac:dyDescent="0.35">
      <c r="B199" s="24" t="s">
        <v>49</v>
      </c>
      <c r="C199" s="12">
        <v>194</v>
      </c>
      <c r="D199" s="11" t="s">
        <v>706</v>
      </c>
      <c r="E199" s="11" t="s">
        <v>661</v>
      </c>
      <c r="F199" s="12" t="s">
        <v>49</v>
      </c>
      <c r="G199" s="12" t="s">
        <v>246</v>
      </c>
      <c r="H199" s="12" t="s">
        <v>246</v>
      </c>
      <c r="I199" s="12" t="s">
        <v>60</v>
      </c>
      <c r="J199" s="12" t="s">
        <v>1024</v>
      </c>
      <c r="K199" s="12" t="s">
        <v>1569</v>
      </c>
      <c r="L199" s="12" t="s">
        <v>247</v>
      </c>
      <c r="N199" s="13" t="s">
        <v>707</v>
      </c>
      <c r="O199" s="11" t="s">
        <v>118</v>
      </c>
      <c r="P199" s="11" t="s">
        <v>249</v>
      </c>
      <c r="Q199" s="11" t="s">
        <v>125</v>
      </c>
      <c r="R199" s="11" t="s">
        <v>150</v>
      </c>
      <c r="T199" s="11" t="s">
        <v>126</v>
      </c>
      <c r="U199" s="11" t="s">
        <v>992</v>
      </c>
      <c r="AE199" s="11" t="s">
        <v>1768</v>
      </c>
    </row>
    <row r="200" spans="2:31" x14ac:dyDescent="0.35">
      <c r="B200" s="24" t="s">
        <v>278</v>
      </c>
      <c r="C200" s="12">
        <v>195</v>
      </c>
      <c r="D200" s="11" t="s">
        <v>708</v>
      </c>
      <c r="E200" s="11" t="s">
        <v>661</v>
      </c>
      <c r="F200" s="12" t="s">
        <v>278</v>
      </c>
      <c r="G200" s="12" t="s">
        <v>246</v>
      </c>
      <c r="H200" s="12" t="s">
        <v>246</v>
      </c>
      <c r="I200" s="12" t="s">
        <v>60</v>
      </c>
      <c r="J200" s="12" t="s">
        <v>1024</v>
      </c>
      <c r="K200" s="12" t="s">
        <v>1569</v>
      </c>
      <c r="L200" s="12" t="s">
        <v>247</v>
      </c>
      <c r="N200" s="13" t="s">
        <v>709</v>
      </c>
      <c r="O200" s="11" t="s">
        <v>118</v>
      </c>
      <c r="P200" s="11" t="s">
        <v>249</v>
      </c>
      <c r="Q200" s="11" t="s">
        <v>125</v>
      </c>
      <c r="R200" s="11" t="s">
        <v>150</v>
      </c>
      <c r="T200" s="11" t="s">
        <v>126</v>
      </c>
      <c r="U200" s="11" t="s">
        <v>992</v>
      </c>
      <c r="AE200" s="11" t="s">
        <v>1768</v>
      </c>
    </row>
    <row r="201" spans="2:31" x14ac:dyDescent="0.35">
      <c r="B201" s="24" t="s">
        <v>49</v>
      </c>
      <c r="C201" s="12">
        <v>196</v>
      </c>
      <c r="D201" s="11" t="s">
        <v>710</v>
      </c>
      <c r="E201" s="11" t="s">
        <v>661</v>
      </c>
      <c r="F201" s="12" t="s">
        <v>49</v>
      </c>
      <c r="G201" s="12" t="s">
        <v>246</v>
      </c>
      <c r="H201" s="12" t="s">
        <v>246</v>
      </c>
      <c r="I201" s="12" t="s">
        <v>60</v>
      </c>
      <c r="J201" s="12" t="s">
        <v>1024</v>
      </c>
      <c r="K201" s="12" t="s">
        <v>1569</v>
      </c>
      <c r="L201" s="12" t="s">
        <v>247</v>
      </c>
      <c r="N201" s="13" t="s">
        <v>711</v>
      </c>
      <c r="O201" s="11" t="s">
        <v>118</v>
      </c>
      <c r="P201" s="11" t="s">
        <v>249</v>
      </c>
      <c r="Q201" s="11" t="s">
        <v>125</v>
      </c>
      <c r="R201" s="11" t="s">
        <v>150</v>
      </c>
      <c r="T201" s="11" t="s">
        <v>126</v>
      </c>
      <c r="U201" s="11" t="s">
        <v>992</v>
      </c>
      <c r="AE201" s="11" t="s">
        <v>1768</v>
      </c>
    </row>
    <row r="202" spans="2:31" x14ac:dyDescent="0.35">
      <c r="B202" s="24" t="s">
        <v>283</v>
      </c>
      <c r="C202" s="12">
        <v>197</v>
      </c>
      <c r="D202" s="11" t="s">
        <v>712</v>
      </c>
      <c r="E202" s="11" t="s">
        <v>661</v>
      </c>
      <c r="F202" s="12" t="s">
        <v>283</v>
      </c>
      <c r="G202" s="12" t="s">
        <v>246</v>
      </c>
      <c r="H202" s="12" t="s">
        <v>246</v>
      </c>
      <c r="I202" s="12" t="s">
        <v>60</v>
      </c>
      <c r="J202" s="12" t="s">
        <v>1024</v>
      </c>
      <c r="K202" s="12" t="s">
        <v>1569</v>
      </c>
      <c r="L202" s="12" t="s">
        <v>247</v>
      </c>
      <c r="N202" s="13" t="s">
        <v>713</v>
      </c>
      <c r="O202" s="11" t="s">
        <v>118</v>
      </c>
      <c r="P202" s="11" t="s">
        <v>249</v>
      </c>
      <c r="Q202" s="11" t="s">
        <v>125</v>
      </c>
      <c r="R202" s="11" t="s">
        <v>150</v>
      </c>
      <c r="T202" s="11" t="s">
        <v>126</v>
      </c>
      <c r="U202" s="11" t="s">
        <v>992</v>
      </c>
      <c r="AE202" s="11" t="s">
        <v>1768</v>
      </c>
    </row>
    <row r="203" spans="2:31" x14ac:dyDescent="0.35">
      <c r="B203" s="24" t="s">
        <v>49</v>
      </c>
      <c r="C203" s="12">
        <v>198</v>
      </c>
      <c r="D203" s="11" t="s">
        <v>714</v>
      </c>
      <c r="E203" s="11" t="s">
        <v>661</v>
      </c>
      <c r="F203" s="12" t="s">
        <v>715</v>
      </c>
      <c r="G203" s="12" t="s">
        <v>246</v>
      </c>
      <c r="H203" s="12" t="s">
        <v>246</v>
      </c>
      <c r="I203" s="12" t="s">
        <v>60</v>
      </c>
      <c r="J203" s="12" t="s">
        <v>1024</v>
      </c>
      <c r="K203" s="12" t="s">
        <v>1569</v>
      </c>
      <c r="L203" s="12" t="s">
        <v>247</v>
      </c>
      <c r="N203" s="13" t="s">
        <v>716</v>
      </c>
      <c r="O203" s="11" t="s">
        <v>118</v>
      </c>
      <c r="P203" s="11" t="s">
        <v>249</v>
      </c>
      <c r="Q203" s="11" t="s">
        <v>125</v>
      </c>
      <c r="R203" s="11" t="s">
        <v>150</v>
      </c>
      <c r="T203" s="11" t="s">
        <v>126</v>
      </c>
      <c r="U203" s="11" t="s">
        <v>992</v>
      </c>
      <c r="AE203" s="11" t="s">
        <v>1768</v>
      </c>
    </row>
    <row r="204" spans="2:31" x14ac:dyDescent="0.35">
      <c r="B204" s="24" t="s">
        <v>291</v>
      </c>
      <c r="C204" s="12">
        <v>199</v>
      </c>
      <c r="D204" s="11" t="s">
        <v>717</v>
      </c>
      <c r="E204" s="11" t="s">
        <v>661</v>
      </c>
      <c r="F204" s="12" t="s">
        <v>291</v>
      </c>
      <c r="G204" s="12" t="s">
        <v>246</v>
      </c>
      <c r="H204" s="12" t="s">
        <v>246</v>
      </c>
      <c r="I204" s="12" t="s">
        <v>60</v>
      </c>
      <c r="J204" s="12" t="s">
        <v>1024</v>
      </c>
      <c r="K204" s="12" t="s">
        <v>1569</v>
      </c>
      <c r="L204" s="12" t="s">
        <v>247</v>
      </c>
      <c r="N204" s="13">
        <v>994834045</v>
      </c>
      <c r="O204" s="11" t="s">
        <v>118</v>
      </c>
      <c r="P204" s="11" t="s">
        <v>249</v>
      </c>
      <c r="Q204" s="11" t="s">
        <v>125</v>
      </c>
      <c r="R204" s="11" t="s">
        <v>150</v>
      </c>
      <c r="T204" s="11" t="s">
        <v>126</v>
      </c>
      <c r="U204" s="11" t="s">
        <v>992</v>
      </c>
      <c r="AE204" s="11" t="s">
        <v>1768</v>
      </c>
    </row>
    <row r="205" spans="2:31" x14ac:dyDescent="0.35">
      <c r="B205" s="24" t="s">
        <v>314</v>
      </c>
      <c r="C205" s="12">
        <v>200</v>
      </c>
      <c r="D205" s="11" t="s">
        <v>718</v>
      </c>
      <c r="E205" s="11" t="s">
        <v>661</v>
      </c>
      <c r="F205" s="12" t="s">
        <v>314</v>
      </c>
      <c r="G205" s="12" t="s">
        <v>246</v>
      </c>
      <c r="H205" s="12" t="s">
        <v>246</v>
      </c>
      <c r="I205" s="12" t="s">
        <v>60</v>
      </c>
      <c r="J205" s="12" t="s">
        <v>1024</v>
      </c>
      <c r="K205" s="12" t="s">
        <v>1569</v>
      </c>
      <c r="L205" s="12" t="s">
        <v>247</v>
      </c>
      <c r="N205" s="13" t="s">
        <v>719</v>
      </c>
      <c r="O205" s="11" t="s">
        <v>118</v>
      </c>
      <c r="P205" s="11" t="s">
        <v>249</v>
      </c>
      <c r="Q205" s="11" t="s">
        <v>125</v>
      </c>
      <c r="R205" s="11" t="s">
        <v>150</v>
      </c>
      <c r="T205" s="11" t="s">
        <v>126</v>
      </c>
      <c r="U205" s="11" t="s">
        <v>992</v>
      </c>
      <c r="AE205" s="11" t="s">
        <v>1768</v>
      </c>
    </row>
    <row r="206" spans="2:31" x14ac:dyDescent="0.35">
      <c r="B206" s="24" t="s">
        <v>311</v>
      </c>
      <c r="C206" s="12">
        <v>201</v>
      </c>
      <c r="D206" s="11" t="s">
        <v>720</v>
      </c>
      <c r="E206" s="11" t="s">
        <v>661</v>
      </c>
      <c r="F206" s="12" t="s">
        <v>311</v>
      </c>
      <c r="G206" s="12" t="s">
        <v>246</v>
      </c>
      <c r="H206" s="12" t="s">
        <v>246</v>
      </c>
      <c r="I206" s="12" t="s">
        <v>60</v>
      </c>
      <c r="J206" s="12" t="s">
        <v>1024</v>
      </c>
      <c r="K206" s="12" t="s">
        <v>1569</v>
      </c>
      <c r="L206" s="12" t="s">
        <v>247</v>
      </c>
      <c r="N206" s="13" t="s">
        <v>721</v>
      </c>
      <c r="O206" s="11" t="s">
        <v>118</v>
      </c>
      <c r="P206" s="11" t="s">
        <v>249</v>
      </c>
      <c r="Q206" s="11" t="s">
        <v>125</v>
      </c>
      <c r="R206" s="11" t="s">
        <v>150</v>
      </c>
      <c r="T206" s="11" t="s">
        <v>126</v>
      </c>
      <c r="U206" s="11" t="s">
        <v>992</v>
      </c>
      <c r="AE206" s="11" t="s">
        <v>1768</v>
      </c>
    </row>
    <row r="207" spans="2:31" x14ac:dyDescent="0.35">
      <c r="B207" s="24" t="s">
        <v>49</v>
      </c>
      <c r="C207" s="12">
        <v>202</v>
      </c>
      <c r="D207" s="11" t="s">
        <v>722</v>
      </c>
      <c r="E207" s="11" t="s">
        <v>723</v>
      </c>
      <c r="F207" s="12" t="s">
        <v>49</v>
      </c>
      <c r="G207" s="12" t="s">
        <v>246</v>
      </c>
      <c r="H207" s="12" t="s">
        <v>246</v>
      </c>
      <c r="I207" s="12" t="s">
        <v>60</v>
      </c>
      <c r="J207" s="12" t="s">
        <v>1024</v>
      </c>
      <c r="K207" s="12" t="s">
        <v>1569</v>
      </c>
      <c r="L207" s="12" t="s">
        <v>247</v>
      </c>
      <c r="N207" s="13" t="s">
        <v>724</v>
      </c>
      <c r="O207" s="11" t="s">
        <v>118</v>
      </c>
      <c r="P207" s="11" t="s">
        <v>310</v>
      </c>
      <c r="Q207" s="11" t="s">
        <v>125</v>
      </c>
      <c r="R207" s="11" t="s">
        <v>150</v>
      </c>
      <c r="T207" s="11" t="s">
        <v>126</v>
      </c>
      <c r="U207" s="11" t="s">
        <v>992</v>
      </c>
      <c r="AE207" s="11" t="s">
        <v>1768</v>
      </c>
    </row>
    <row r="208" spans="2:31" x14ac:dyDescent="0.35">
      <c r="B208" s="24" t="s">
        <v>49</v>
      </c>
      <c r="C208" s="12">
        <v>203</v>
      </c>
      <c r="D208" s="11" t="s">
        <v>725</v>
      </c>
      <c r="E208" s="11" t="s">
        <v>723</v>
      </c>
      <c r="F208" s="12" t="s">
        <v>49</v>
      </c>
      <c r="G208" s="12" t="s">
        <v>246</v>
      </c>
      <c r="H208" s="12" t="s">
        <v>246</v>
      </c>
      <c r="I208" s="12" t="s">
        <v>430</v>
      </c>
      <c r="J208" s="12" t="s">
        <v>1024</v>
      </c>
      <c r="K208" s="12" t="s">
        <v>1569</v>
      </c>
      <c r="L208" s="12" t="s">
        <v>247</v>
      </c>
      <c r="N208" s="13" t="s">
        <v>726</v>
      </c>
      <c r="O208" s="11" t="s">
        <v>118</v>
      </c>
      <c r="P208" s="11" t="s">
        <v>310</v>
      </c>
      <c r="Q208" s="11" t="s">
        <v>125</v>
      </c>
      <c r="R208" s="11" t="s">
        <v>150</v>
      </c>
      <c r="S208" s="11" t="s">
        <v>125</v>
      </c>
      <c r="T208" s="11" t="s">
        <v>125</v>
      </c>
      <c r="U208" s="11" t="s">
        <v>38</v>
      </c>
      <c r="V208" s="11">
        <v>46147</v>
      </c>
      <c r="AE208" s="11" t="s">
        <v>993</v>
      </c>
    </row>
    <row r="209" spans="2:31" x14ac:dyDescent="0.35">
      <c r="B209" s="24" t="s">
        <v>295</v>
      </c>
      <c r="C209" s="12">
        <v>204</v>
      </c>
      <c r="D209" s="11" t="s">
        <v>727</v>
      </c>
      <c r="E209" s="11" t="s">
        <v>723</v>
      </c>
      <c r="F209" s="12" t="s">
        <v>295</v>
      </c>
      <c r="G209" s="12" t="s">
        <v>246</v>
      </c>
      <c r="H209" s="12" t="s">
        <v>246</v>
      </c>
      <c r="I209" s="12" t="s">
        <v>430</v>
      </c>
      <c r="J209" s="12" t="s">
        <v>1024</v>
      </c>
      <c r="K209" s="12" t="s">
        <v>1569</v>
      </c>
      <c r="L209" s="12" t="s">
        <v>247</v>
      </c>
      <c r="N209" s="13" t="s">
        <v>728</v>
      </c>
      <c r="O209" s="11" t="s">
        <v>118</v>
      </c>
      <c r="P209" s="11" t="s">
        <v>310</v>
      </c>
      <c r="Q209" s="11" t="s">
        <v>125</v>
      </c>
      <c r="R209" s="11" t="s">
        <v>150</v>
      </c>
      <c r="S209" s="11" t="s">
        <v>125</v>
      </c>
      <c r="T209" s="11" t="s">
        <v>125</v>
      </c>
      <c r="U209" s="11" t="s">
        <v>38</v>
      </c>
      <c r="V209" s="11">
        <v>46147</v>
      </c>
      <c r="AE209" s="11" t="s">
        <v>993</v>
      </c>
    </row>
    <row r="210" spans="2:31" x14ac:dyDescent="0.35">
      <c r="B210" s="24" t="s">
        <v>49</v>
      </c>
      <c r="C210" s="12">
        <v>205</v>
      </c>
      <c r="D210" s="11" t="s">
        <v>729</v>
      </c>
      <c r="E210" s="11" t="s">
        <v>723</v>
      </c>
      <c r="F210" s="12" t="s">
        <v>49</v>
      </c>
      <c r="G210" s="12" t="s">
        <v>246</v>
      </c>
      <c r="H210" s="12" t="s">
        <v>246</v>
      </c>
      <c r="I210" s="12" t="s">
        <v>430</v>
      </c>
      <c r="J210" s="12" t="s">
        <v>1024</v>
      </c>
      <c r="K210" s="12" t="s">
        <v>1569</v>
      </c>
      <c r="L210" s="12" t="s">
        <v>247</v>
      </c>
      <c r="N210" s="13" t="s">
        <v>730</v>
      </c>
      <c r="O210" s="11" t="s">
        <v>118</v>
      </c>
      <c r="P210" s="11" t="s">
        <v>310</v>
      </c>
      <c r="Q210" s="11" t="s">
        <v>125</v>
      </c>
      <c r="R210" s="11" t="s">
        <v>150</v>
      </c>
      <c r="S210" s="11" t="s">
        <v>125</v>
      </c>
      <c r="T210" s="11" t="s">
        <v>125</v>
      </c>
      <c r="U210" s="11" t="s">
        <v>132</v>
      </c>
      <c r="V210" s="11">
        <v>46147</v>
      </c>
      <c r="AD210" s="11" t="s">
        <v>1204</v>
      </c>
      <c r="AE210" s="11" t="s">
        <v>993</v>
      </c>
    </row>
    <row r="211" spans="2:31" x14ac:dyDescent="0.35">
      <c r="B211" s="24" t="s">
        <v>49</v>
      </c>
      <c r="C211" s="12">
        <v>206</v>
      </c>
      <c r="D211" s="11" t="s">
        <v>731</v>
      </c>
      <c r="E211" s="11" t="s">
        <v>732</v>
      </c>
      <c r="F211" s="12" t="s">
        <v>49</v>
      </c>
      <c r="G211" s="12" t="s">
        <v>246</v>
      </c>
      <c r="H211" s="12" t="s">
        <v>246</v>
      </c>
      <c r="I211" s="12" t="s">
        <v>60</v>
      </c>
      <c r="J211" s="12" t="s">
        <v>1015</v>
      </c>
      <c r="K211" s="12" t="s">
        <v>118</v>
      </c>
      <c r="L211" s="12" t="s">
        <v>247</v>
      </c>
      <c r="N211" s="13" t="s">
        <v>733</v>
      </c>
      <c r="O211" s="11" t="s">
        <v>118</v>
      </c>
      <c r="P211" s="11" t="s">
        <v>323</v>
      </c>
      <c r="Q211" s="11" t="s">
        <v>126</v>
      </c>
      <c r="R211" s="11" t="s">
        <v>150</v>
      </c>
      <c r="T211" s="11" t="s">
        <v>125</v>
      </c>
      <c r="U211" s="11" t="s">
        <v>131</v>
      </c>
      <c r="V211" s="11">
        <v>46107</v>
      </c>
      <c r="AD211" s="11" t="s">
        <v>987</v>
      </c>
      <c r="AE211" s="11" t="s">
        <v>993</v>
      </c>
    </row>
    <row r="212" spans="2:31" x14ac:dyDescent="0.35">
      <c r="B212" s="24" t="s">
        <v>49</v>
      </c>
      <c r="C212" s="12">
        <v>207</v>
      </c>
      <c r="D212" s="11" t="s">
        <v>130</v>
      </c>
      <c r="E212" s="11" t="s">
        <v>734</v>
      </c>
      <c r="F212" s="12" t="s">
        <v>543</v>
      </c>
      <c r="G212" s="12" t="s">
        <v>246</v>
      </c>
      <c r="H212" s="12" t="s">
        <v>246</v>
      </c>
      <c r="I212" s="12" t="s">
        <v>60</v>
      </c>
      <c r="J212" s="12" t="s">
        <v>1025</v>
      </c>
      <c r="K212" s="12" t="s">
        <v>118</v>
      </c>
      <c r="L212" s="12" t="s">
        <v>247</v>
      </c>
      <c r="N212" s="13" t="s">
        <v>735</v>
      </c>
      <c r="O212" s="11" t="s">
        <v>118</v>
      </c>
      <c r="P212" s="11" t="s">
        <v>323</v>
      </c>
      <c r="Q212" s="11" t="s">
        <v>126</v>
      </c>
      <c r="R212" s="11" t="s">
        <v>150</v>
      </c>
      <c r="T212" s="11" t="s">
        <v>126</v>
      </c>
      <c r="U212" s="11" t="s">
        <v>992</v>
      </c>
      <c r="AD212" s="11" t="s">
        <v>1287</v>
      </c>
      <c r="AE212" s="11" t="s">
        <v>1768</v>
      </c>
    </row>
    <row r="213" spans="2:31" x14ac:dyDescent="0.35">
      <c r="B213" s="24" t="s">
        <v>49</v>
      </c>
      <c r="C213" s="12">
        <v>208</v>
      </c>
      <c r="D213" s="11" t="s">
        <v>736</v>
      </c>
      <c r="E213" s="11" t="s">
        <v>737</v>
      </c>
      <c r="F213" s="12" t="s">
        <v>286</v>
      </c>
      <c r="G213" s="12" t="s">
        <v>246</v>
      </c>
      <c r="H213" s="12" t="s">
        <v>246</v>
      </c>
      <c r="I213" s="12" t="s">
        <v>60</v>
      </c>
      <c r="J213" s="12" t="s">
        <v>1015</v>
      </c>
      <c r="K213" s="12" t="s">
        <v>118</v>
      </c>
      <c r="L213" s="12" t="s">
        <v>247</v>
      </c>
      <c r="N213" s="13" t="s">
        <v>738</v>
      </c>
      <c r="O213" s="11" t="s">
        <v>118</v>
      </c>
      <c r="P213" s="11" t="s">
        <v>323</v>
      </c>
      <c r="Q213" s="11" t="s">
        <v>126</v>
      </c>
      <c r="R213" s="11" t="s">
        <v>150</v>
      </c>
      <c r="T213" s="11" t="s">
        <v>126</v>
      </c>
      <c r="U213" s="11" t="s">
        <v>992</v>
      </c>
      <c r="AE213" s="11" t="s">
        <v>1768</v>
      </c>
    </row>
    <row r="214" spans="2:31" x14ac:dyDescent="0.35">
      <c r="B214" s="24" t="s">
        <v>314</v>
      </c>
      <c r="C214" s="12">
        <v>209</v>
      </c>
      <c r="D214" s="11" t="s">
        <v>739</v>
      </c>
      <c r="E214" s="11" t="s">
        <v>737</v>
      </c>
      <c r="F214" s="12" t="s">
        <v>314</v>
      </c>
      <c r="G214" s="12" t="s">
        <v>246</v>
      </c>
      <c r="H214" s="12" t="s">
        <v>246</v>
      </c>
      <c r="I214" s="12" t="s">
        <v>60</v>
      </c>
      <c r="J214" s="12" t="s">
        <v>1015</v>
      </c>
      <c r="K214" s="12" t="s">
        <v>118</v>
      </c>
      <c r="L214" s="12" t="s">
        <v>247</v>
      </c>
      <c r="N214" s="13" t="s">
        <v>740</v>
      </c>
      <c r="O214" s="11" t="s">
        <v>118</v>
      </c>
      <c r="P214" s="11" t="s">
        <v>323</v>
      </c>
      <c r="Q214" s="11" t="s">
        <v>126</v>
      </c>
      <c r="R214" s="11" t="s">
        <v>150</v>
      </c>
      <c r="T214" s="11" t="s">
        <v>126</v>
      </c>
      <c r="U214" s="11" t="s">
        <v>992</v>
      </c>
      <c r="AE214" s="11" t="s">
        <v>1768</v>
      </c>
    </row>
    <row r="215" spans="2:31" x14ac:dyDescent="0.35">
      <c r="B215" s="24" t="s">
        <v>308</v>
      </c>
      <c r="C215" s="12">
        <v>210</v>
      </c>
      <c r="D215" s="11" t="s">
        <v>741</v>
      </c>
      <c r="E215" s="11" t="s">
        <v>737</v>
      </c>
      <c r="F215" s="12" t="s">
        <v>308</v>
      </c>
      <c r="G215" s="12" t="s">
        <v>246</v>
      </c>
      <c r="H215" s="12" t="s">
        <v>246</v>
      </c>
      <c r="I215" s="12" t="s">
        <v>60</v>
      </c>
      <c r="J215" s="12" t="s">
        <v>1015</v>
      </c>
      <c r="K215" s="12" t="s">
        <v>118</v>
      </c>
      <c r="L215" s="12" t="s">
        <v>247</v>
      </c>
      <c r="N215" s="13" t="s">
        <v>742</v>
      </c>
      <c r="O215" s="11" t="s">
        <v>118</v>
      </c>
      <c r="P215" s="11" t="s">
        <v>323</v>
      </c>
      <c r="Q215" s="11" t="s">
        <v>126</v>
      </c>
      <c r="R215" s="11" t="s">
        <v>150</v>
      </c>
      <c r="T215" s="11" t="s">
        <v>126</v>
      </c>
      <c r="U215" s="11" t="s">
        <v>992</v>
      </c>
      <c r="AE215" s="11" t="s">
        <v>1768</v>
      </c>
    </row>
    <row r="216" spans="2:31" x14ac:dyDescent="0.35">
      <c r="B216" s="24" t="s">
        <v>49</v>
      </c>
      <c r="C216" s="12">
        <v>211</v>
      </c>
      <c r="D216" s="11" t="s">
        <v>743</v>
      </c>
      <c r="E216" s="11" t="s">
        <v>737</v>
      </c>
      <c r="F216" s="12" t="s">
        <v>286</v>
      </c>
      <c r="G216" s="12" t="s">
        <v>246</v>
      </c>
      <c r="H216" s="12" t="s">
        <v>246</v>
      </c>
      <c r="I216" s="12" t="s">
        <v>60</v>
      </c>
      <c r="J216" s="12" t="s">
        <v>1015</v>
      </c>
      <c r="K216" s="12" t="s">
        <v>118</v>
      </c>
      <c r="L216" s="12" t="s">
        <v>247</v>
      </c>
      <c r="N216" s="13" t="s">
        <v>744</v>
      </c>
      <c r="O216" s="11" t="s">
        <v>118</v>
      </c>
      <c r="P216" s="11" t="s">
        <v>323</v>
      </c>
      <c r="Q216" s="11" t="s">
        <v>126</v>
      </c>
      <c r="R216" s="11" t="s">
        <v>150</v>
      </c>
      <c r="T216" s="11" t="s">
        <v>125</v>
      </c>
      <c r="U216" s="11" t="s">
        <v>38</v>
      </c>
      <c r="V216" s="11">
        <v>46111</v>
      </c>
      <c r="AD216" s="11" t="s">
        <v>988</v>
      </c>
      <c r="AE216" s="11" t="s">
        <v>993</v>
      </c>
    </row>
    <row r="217" spans="2:31" x14ac:dyDescent="0.35">
      <c r="B217" s="24" t="s">
        <v>49</v>
      </c>
      <c r="C217" s="12">
        <v>212</v>
      </c>
      <c r="D217" s="11" t="s">
        <v>747</v>
      </c>
      <c r="E217" s="11" t="s">
        <v>737</v>
      </c>
      <c r="F217" s="12" t="s">
        <v>557</v>
      </c>
      <c r="G217" s="12" t="s">
        <v>246</v>
      </c>
      <c r="H217" s="12" t="s">
        <v>246</v>
      </c>
      <c r="I217" s="12" t="s">
        <v>60</v>
      </c>
      <c r="J217" s="12" t="s">
        <v>1015</v>
      </c>
      <c r="K217" s="12" t="s">
        <v>118</v>
      </c>
      <c r="L217" s="12" t="s">
        <v>247</v>
      </c>
      <c r="N217" s="13" t="s">
        <v>748</v>
      </c>
      <c r="O217" s="11" t="s">
        <v>118</v>
      </c>
      <c r="P217" s="11" t="s">
        <v>323</v>
      </c>
      <c r="Q217" s="11" t="s">
        <v>126</v>
      </c>
      <c r="R217" s="11" t="s">
        <v>150</v>
      </c>
      <c r="T217" s="11" t="s">
        <v>125</v>
      </c>
      <c r="U217" s="11" t="s">
        <v>38</v>
      </c>
      <c r="V217" s="11">
        <v>46111</v>
      </c>
      <c r="AD217" s="11" t="s">
        <v>989</v>
      </c>
      <c r="AE217" s="11" t="s">
        <v>993</v>
      </c>
    </row>
    <row r="218" spans="2:31" x14ac:dyDescent="0.35">
      <c r="B218" s="24" t="s">
        <v>49</v>
      </c>
      <c r="C218" s="12">
        <v>213</v>
      </c>
      <c r="D218" s="11" t="s">
        <v>749</v>
      </c>
      <c r="E218" s="11" t="s">
        <v>737</v>
      </c>
      <c r="F218" s="12" t="s">
        <v>447</v>
      </c>
      <c r="G218" s="12" t="s">
        <v>246</v>
      </c>
      <c r="H218" s="12" t="s">
        <v>246</v>
      </c>
      <c r="I218" s="12" t="s">
        <v>60</v>
      </c>
      <c r="J218" s="12" t="s">
        <v>1015</v>
      </c>
      <c r="K218" s="12" t="s">
        <v>118</v>
      </c>
      <c r="L218" s="12" t="s">
        <v>247</v>
      </c>
      <c r="N218" s="13" t="s">
        <v>742</v>
      </c>
      <c r="O218" s="11" t="s">
        <v>118</v>
      </c>
      <c r="P218" s="11" t="s">
        <v>323</v>
      </c>
      <c r="Q218" s="11" t="s">
        <v>126</v>
      </c>
      <c r="R218" s="11" t="s">
        <v>150</v>
      </c>
      <c r="T218" s="11" t="s">
        <v>126</v>
      </c>
      <c r="U218" s="11" t="s">
        <v>992</v>
      </c>
      <c r="AE218" s="11" t="s">
        <v>1768</v>
      </c>
    </row>
    <row r="219" spans="2:31" x14ac:dyDescent="0.35">
      <c r="B219" s="24" t="s">
        <v>314</v>
      </c>
      <c r="C219" s="12">
        <v>214</v>
      </c>
      <c r="D219" s="11" t="s">
        <v>1411</v>
      </c>
      <c r="E219" s="11" t="s">
        <v>752</v>
      </c>
      <c r="F219" s="12" t="s">
        <v>314</v>
      </c>
      <c r="G219" s="12" t="s">
        <v>246</v>
      </c>
      <c r="H219" s="12" t="s">
        <v>246</v>
      </c>
      <c r="I219" s="12" t="s">
        <v>37</v>
      </c>
      <c r="J219" s="12" t="s">
        <v>1015</v>
      </c>
      <c r="K219" s="12" t="s">
        <v>1016</v>
      </c>
      <c r="L219" s="12" t="s">
        <v>247</v>
      </c>
      <c r="N219" s="13" t="s">
        <v>753</v>
      </c>
      <c r="O219" s="11" t="s">
        <v>118</v>
      </c>
      <c r="P219" s="11" t="s">
        <v>323</v>
      </c>
      <c r="Q219" s="11" t="s">
        <v>126</v>
      </c>
      <c r="R219" s="11" t="s">
        <v>150</v>
      </c>
      <c r="T219" s="11" t="s">
        <v>125</v>
      </c>
      <c r="U219" s="11" t="s">
        <v>1014</v>
      </c>
      <c r="V219" s="11">
        <v>46198</v>
      </c>
      <c r="Y219" s="11">
        <v>46203</v>
      </c>
      <c r="Z219" s="11">
        <v>46203</v>
      </c>
      <c r="AA219" s="11">
        <v>46203</v>
      </c>
      <c r="AB219" s="11" t="s">
        <v>30</v>
      </c>
      <c r="AC219" s="11">
        <v>45</v>
      </c>
      <c r="AD219" s="11" t="s">
        <v>1416</v>
      </c>
      <c r="AE219" s="11" t="s">
        <v>993</v>
      </c>
    </row>
    <row r="220" spans="2:31" x14ac:dyDescent="0.35">
      <c r="B220" s="24" t="s">
        <v>49</v>
      </c>
      <c r="C220" s="12">
        <v>215</v>
      </c>
      <c r="D220" s="11" t="s">
        <v>754</v>
      </c>
      <c r="E220" s="11" t="s">
        <v>755</v>
      </c>
      <c r="F220" s="12" t="s">
        <v>49</v>
      </c>
      <c r="G220" s="12" t="s">
        <v>246</v>
      </c>
      <c r="H220" s="12" t="s">
        <v>246</v>
      </c>
      <c r="I220" s="12" t="s">
        <v>37</v>
      </c>
      <c r="J220" s="12" t="s">
        <v>1015</v>
      </c>
      <c r="K220" s="12" t="s">
        <v>1016</v>
      </c>
      <c r="L220" s="12" t="s">
        <v>247</v>
      </c>
      <c r="N220" s="13" t="s">
        <v>756</v>
      </c>
      <c r="O220" s="11" t="s">
        <v>118</v>
      </c>
      <c r="P220" s="11" t="s">
        <v>323</v>
      </c>
      <c r="Q220" s="11" t="s">
        <v>126</v>
      </c>
      <c r="R220" s="11" t="s">
        <v>150</v>
      </c>
      <c r="T220" s="11" t="s">
        <v>125</v>
      </c>
      <c r="U220" s="11" t="s">
        <v>1014</v>
      </c>
      <c r="Z220" s="11">
        <v>46210</v>
      </c>
      <c r="AA220" s="11">
        <v>46210</v>
      </c>
      <c r="AB220" s="11" t="s">
        <v>30</v>
      </c>
      <c r="AC220" s="11">
        <v>41</v>
      </c>
      <c r="AD220" s="11" t="s">
        <v>1567</v>
      </c>
      <c r="AE220" s="11" t="s">
        <v>993</v>
      </c>
    </row>
    <row r="221" spans="2:31" x14ac:dyDescent="0.35">
      <c r="B221" s="24" t="s">
        <v>291</v>
      </c>
      <c r="C221" s="12">
        <v>216</v>
      </c>
      <c r="D221" s="11" t="s">
        <v>757</v>
      </c>
      <c r="E221" s="11" t="s">
        <v>758</v>
      </c>
      <c r="F221" s="12" t="s">
        <v>291</v>
      </c>
      <c r="G221" s="12" t="s">
        <v>246</v>
      </c>
      <c r="H221" s="12" t="s">
        <v>246</v>
      </c>
      <c r="I221" s="12" t="s">
        <v>37</v>
      </c>
      <c r="J221" s="12" t="s">
        <v>1015</v>
      </c>
      <c r="K221" s="12" t="s">
        <v>1021</v>
      </c>
      <c r="L221" s="12" t="s">
        <v>247</v>
      </c>
      <c r="N221" s="13" t="s">
        <v>1288</v>
      </c>
      <c r="O221" s="11" t="s">
        <v>118</v>
      </c>
      <c r="P221" s="11" t="s">
        <v>323</v>
      </c>
      <c r="Q221" s="11" t="s">
        <v>126</v>
      </c>
      <c r="R221" s="11" t="s">
        <v>150</v>
      </c>
      <c r="T221" s="11" t="s">
        <v>126</v>
      </c>
      <c r="U221" s="11" t="s">
        <v>992</v>
      </c>
      <c r="AE221" s="11" t="s">
        <v>1768</v>
      </c>
    </row>
    <row r="222" spans="2:31" x14ac:dyDescent="0.35">
      <c r="B222" s="24" t="s">
        <v>49</v>
      </c>
      <c r="C222" s="12">
        <v>217</v>
      </c>
      <c r="D222" s="11" t="s">
        <v>761</v>
      </c>
      <c r="E222" s="11" t="s">
        <v>762</v>
      </c>
      <c r="F222" s="12" t="s">
        <v>374</v>
      </c>
      <c r="G222" s="12" t="s">
        <v>246</v>
      </c>
      <c r="H222" s="12" t="s">
        <v>246</v>
      </c>
      <c r="I222" s="12" t="s">
        <v>60</v>
      </c>
      <c r="J222" s="12" t="s">
        <v>1015</v>
      </c>
      <c r="K222" s="12" t="s">
        <v>118</v>
      </c>
      <c r="L222" s="12" t="s">
        <v>247</v>
      </c>
      <c r="N222" s="13" t="s">
        <v>763</v>
      </c>
      <c r="O222" s="11" t="s">
        <v>118</v>
      </c>
      <c r="P222" s="11" t="s">
        <v>323</v>
      </c>
      <c r="Q222" s="11" t="s">
        <v>126</v>
      </c>
      <c r="R222" s="11" t="s">
        <v>150</v>
      </c>
      <c r="T222" s="11" t="s">
        <v>126</v>
      </c>
      <c r="U222" s="11" t="s">
        <v>992</v>
      </c>
      <c r="AE222" s="11" t="s">
        <v>1768</v>
      </c>
    </row>
    <row r="223" spans="2:31" x14ac:dyDescent="0.35">
      <c r="B223" s="24" t="s">
        <v>49</v>
      </c>
      <c r="C223" s="12">
        <v>218</v>
      </c>
      <c r="D223" s="11" t="s">
        <v>1289</v>
      </c>
      <c r="E223" s="11" t="s">
        <v>764</v>
      </c>
      <c r="F223" s="12" t="s">
        <v>411</v>
      </c>
      <c r="G223" s="12" t="s">
        <v>246</v>
      </c>
      <c r="H223" s="12" t="s">
        <v>246</v>
      </c>
      <c r="I223" s="12" t="s">
        <v>60</v>
      </c>
      <c r="J223" s="12" t="s">
        <v>1015</v>
      </c>
      <c r="K223" s="12" t="s">
        <v>118</v>
      </c>
      <c r="L223" s="12" t="s">
        <v>247</v>
      </c>
      <c r="N223" s="13" t="s">
        <v>765</v>
      </c>
      <c r="O223" s="11" t="s">
        <v>118</v>
      </c>
      <c r="P223" s="11" t="s">
        <v>323</v>
      </c>
      <c r="Q223" s="11" t="s">
        <v>126</v>
      </c>
      <c r="R223" s="11" t="s">
        <v>150</v>
      </c>
      <c r="T223" s="11" t="s">
        <v>126</v>
      </c>
      <c r="U223" s="11" t="s">
        <v>992</v>
      </c>
      <c r="AE223" s="11" t="s">
        <v>1768</v>
      </c>
    </row>
    <row r="224" spans="2:31" x14ac:dyDescent="0.35">
      <c r="B224" s="24" t="s">
        <v>49</v>
      </c>
      <c r="C224" s="12">
        <v>219</v>
      </c>
      <c r="D224" s="11" t="s">
        <v>766</v>
      </c>
      <c r="E224" s="11" t="s">
        <v>767</v>
      </c>
      <c r="F224" s="12" t="s">
        <v>332</v>
      </c>
      <c r="G224" s="12" t="s">
        <v>246</v>
      </c>
      <c r="H224" s="12" t="s">
        <v>246</v>
      </c>
      <c r="I224" s="12" t="s">
        <v>37</v>
      </c>
      <c r="J224" s="12" t="s">
        <v>1015</v>
      </c>
      <c r="K224" s="12" t="s">
        <v>1021</v>
      </c>
      <c r="L224" s="12" t="s">
        <v>247</v>
      </c>
      <c r="N224" s="13" t="s">
        <v>768</v>
      </c>
      <c r="O224" s="11" t="s">
        <v>118</v>
      </c>
      <c r="P224" s="11" t="s">
        <v>323</v>
      </c>
      <c r="Q224" s="11" t="s">
        <v>126</v>
      </c>
      <c r="R224" s="11" t="s">
        <v>150</v>
      </c>
      <c r="T224" s="11" t="s">
        <v>126</v>
      </c>
      <c r="U224" s="11" t="s">
        <v>992</v>
      </c>
      <c r="AE224" s="11" t="s">
        <v>1768</v>
      </c>
    </row>
    <row r="225" spans="2:31" x14ac:dyDescent="0.35">
      <c r="B225" s="24" t="s">
        <v>49</v>
      </c>
      <c r="C225" s="12">
        <v>220</v>
      </c>
      <c r="D225" s="11" t="s">
        <v>769</v>
      </c>
      <c r="E225" s="11" t="s">
        <v>767</v>
      </c>
      <c r="F225" s="12" t="s">
        <v>374</v>
      </c>
      <c r="G225" s="12" t="s">
        <v>246</v>
      </c>
      <c r="H225" s="12" t="s">
        <v>246</v>
      </c>
      <c r="I225" s="12" t="s">
        <v>37</v>
      </c>
      <c r="J225" s="12" t="s">
        <v>1015</v>
      </c>
      <c r="K225" s="12" t="s">
        <v>1021</v>
      </c>
      <c r="L225" s="12" t="s">
        <v>247</v>
      </c>
      <c r="N225" s="13" t="s">
        <v>770</v>
      </c>
      <c r="O225" s="11" t="s">
        <v>118</v>
      </c>
      <c r="P225" s="11" t="s">
        <v>323</v>
      </c>
      <c r="Q225" s="11" t="s">
        <v>126</v>
      </c>
      <c r="R225" s="11" t="s">
        <v>150</v>
      </c>
      <c r="T225" s="11" t="s">
        <v>126</v>
      </c>
      <c r="U225" s="11" t="s">
        <v>992</v>
      </c>
      <c r="AE225" s="11" t="s">
        <v>1768</v>
      </c>
    </row>
    <row r="226" spans="2:31" x14ac:dyDescent="0.35">
      <c r="B226" s="24" t="s">
        <v>49</v>
      </c>
      <c r="C226" s="12">
        <v>221</v>
      </c>
      <c r="D226" s="11" t="s">
        <v>771</v>
      </c>
      <c r="E226" s="11" t="s">
        <v>767</v>
      </c>
      <c r="F226" s="12" t="s">
        <v>557</v>
      </c>
      <c r="G226" s="12" t="s">
        <v>246</v>
      </c>
      <c r="H226" s="12" t="s">
        <v>246</v>
      </c>
      <c r="I226" s="12" t="s">
        <v>37</v>
      </c>
      <c r="J226" s="12" t="s">
        <v>1015</v>
      </c>
      <c r="K226" s="12" t="s">
        <v>1021</v>
      </c>
      <c r="L226" s="12" t="s">
        <v>247</v>
      </c>
      <c r="N226" s="13" t="s">
        <v>772</v>
      </c>
      <c r="O226" s="11" t="s">
        <v>118</v>
      </c>
      <c r="P226" s="11" t="s">
        <v>323</v>
      </c>
      <c r="Q226" s="11" t="s">
        <v>126</v>
      </c>
      <c r="R226" s="11" t="s">
        <v>150</v>
      </c>
      <c r="T226" s="11" t="s">
        <v>126</v>
      </c>
      <c r="U226" s="11" t="s">
        <v>992</v>
      </c>
      <c r="AE226" s="11" t="s">
        <v>1768</v>
      </c>
    </row>
    <row r="227" spans="2:31" x14ac:dyDescent="0.35">
      <c r="B227" s="24" t="s">
        <v>314</v>
      </c>
      <c r="C227" s="12">
        <v>222</v>
      </c>
      <c r="D227" s="11" t="s">
        <v>773</v>
      </c>
      <c r="E227" s="11" t="s">
        <v>774</v>
      </c>
      <c r="F227" s="12" t="s">
        <v>314</v>
      </c>
      <c r="G227" s="12" t="s">
        <v>246</v>
      </c>
      <c r="H227" s="12" t="s">
        <v>246</v>
      </c>
      <c r="I227" s="12" t="s">
        <v>60</v>
      </c>
      <c r="J227" s="12" t="s">
        <v>774</v>
      </c>
      <c r="K227" s="12" t="s">
        <v>118</v>
      </c>
      <c r="L227" s="12" t="s">
        <v>247</v>
      </c>
      <c r="O227" s="11" t="s">
        <v>118</v>
      </c>
      <c r="P227" s="11" t="s">
        <v>776</v>
      </c>
      <c r="Q227" s="11" t="s">
        <v>126</v>
      </c>
      <c r="R227" s="11" t="s">
        <v>150</v>
      </c>
      <c r="T227" s="11" t="s">
        <v>126</v>
      </c>
      <c r="U227" s="11" t="s">
        <v>992</v>
      </c>
      <c r="AE227" s="11" t="s">
        <v>1768</v>
      </c>
    </row>
    <row r="228" spans="2:31" x14ac:dyDescent="0.35">
      <c r="B228" s="24" t="s">
        <v>49</v>
      </c>
      <c r="C228" s="12">
        <v>223</v>
      </c>
      <c r="D228" s="11" t="s">
        <v>778</v>
      </c>
      <c r="E228" s="11" t="s">
        <v>774</v>
      </c>
      <c r="F228" s="12" t="s">
        <v>435</v>
      </c>
      <c r="G228" s="12" t="s">
        <v>246</v>
      </c>
      <c r="H228" s="12" t="s">
        <v>246</v>
      </c>
      <c r="I228" s="12" t="s">
        <v>60</v>
      </c>
      <c r="J228" s="12" t="s">
        <v>774</v>
      </c>
      <c r="K228" s="12" t="s">
        <v>118</v>
      </c>
      <c r="L228" s="12" t="s">
        <v>247</v>
      </c>
      <c r="O228" s="11" t="s">
        <v>118</v>
      </c>
      <c r="P228" s="11" t="s">
        <v>776</v>
      </c>
      <c r="Q228" s="11" t="s">
        <v>126</v>
      </c>
      <c r="R228" s="11" t="s">
        <v>150</v>
      </c>
      <c r="T228" s="11" t="s">
        <v>126</v>
      </c>
      <c r="U228" s="11" t="s">
        <v>992</v>
      </c>
      <c r="AE228" s="11" t="s">
        <v>1768</v>
      </c>
    </row>
    <row r="229" spans="2:31" x14ac:dyDescent="0.35">
      <c r="B229" s="24" t="s">
        <v>49</v>
      </c>
      <c r="C229" s="12">
        <v>224</v>
      </c>
      <c r="D229" s="11" t="s">
        <v>779</v>
      </c>
      <c r="E229" s="11" t="s">
        <v>774</v>
      </c>
      <c r="F229" s="12" t="s">
        <v>557</v>
      </c>
      <c r="G229" s="12" t="s">
        <v>246</v>
      </c>
      <c r="H229" s="12" t="s">
        <v>246</v>
      </c>
      <c r="I229" s="12" t="s">
        <v>60</v>
      </c>
      <c r="J229" s="12" t="s">
        <v>774</v>
      </c>
      <c r="K229" s="12" t="s">
        <v>118</v>
      </c>
      <c r="L229" s="12" t="s">
        <v>247</v>
      </c>
      <c r="O229" s="11" t="s">
        <v>118</v>
      </c>
      <c r="P229" s="11" t="s">
        <v>776</v>
      </c>
      <c r="Q229" s="11" t="s">
        <v>126</v>
      </c>
      <c r="R229" s="11" t="s">
        <v>150</v>
      </c>
      <c r="T229" s="11" t="s">
        <v>126</v>
      </c>
      <c r="U229" s="11" t="s">
        <v>992</v>
      </c>
      <c r="AE229" s="11" t="s">
        <v>1768</v>
      </c>
    </row>
    <row r="230" spans="2:31" x14ac:dyDescent="0.35">
      <c r="B230" s="24" t="s">
        <v>49</v>
      </c>
      <c r="C230" s="12">
        <v>225</v>
      </c>
      <c r="D230" s="11" t="s">
        <v>781</v>
      </c>
      <c r="E230" s="11" t="s">
        <v>774</v>
      </c>
      <c r="F230" s="12" t="s">
        <v>447</v>
      </c>
      <c r="G230" s="12" t="s">
        <v>246</v>
      </c>
      <c r="H230" s="12" t="s">
        <v>246</v>
      </c>
      <c r="I230" s="12" t="s">
        <v>60</v>
      </c>
      <c r="J230" s="12" t="s">
        <v>774</v>
      </c>
      <c r="K230" s="12" t="s">
        <v>118</v>
      </c>
      <c r="L230" s="12" t="s">
        <v>247</v>
      </c>
      <c r="O230" s="11" t="s">
        <v>118</v>
      </c>
      <c r="P230" s="11" t="s">
        <v>776</v>
      </c>
      <c r="Q230" s="11" t="s">
        <v>126</v>
      </c>
      <c r="R230" s="11" t="s">
        <v>150</v>
      </c>
      <c r="T230" s="11" t="s">
        <v>126</v>
      </c>
      <c r="U230" s="11" t="s">
        <v>992</v>
      </c>
      <c r="AE230" s="11" t="s">
        <v>1768</v>
      </c>
    </row>
    <row r="231" spans="2:31" x14ac:dyDescent="0.35">
      <c r="B231" s="24" t="s">
        <v>49</v>
      </c>
      <c r="C231" s="12">
        <v>226</v>
      </c>
      <c r="D231" s="11" t="s">
        <v>782</v>
      </c>
      <c r="E231" s="11" t="s">
        <v>774</v>
      </c>
      <c r="F231" s="12" t="s">
        <v>450</v>
      </c>
      <c r="G231" s="12" t="s">
        <v>246</v>
      </c>
      <c r="H231" s="12" t="s">
        <v>246</v>
      </c>
      <c r="I231" s="12" t="s">
        <v>60</v>
      </c>
      <c r="J231" s="12" t="s">
        <v>774</v>
      </c>
      <c r="K231" s="12" t="s">
        <v>118</v>
      </c>
      <c r="L231" s="12" t="s">
        <v>247</v>
      </c>
      <c r="N231" s="13">
        <v>936270811</v>
      </c>
      <c r="O231" s="11" t="s">
        <v>118</v>
      </c>
      <c r="P231" s="11" t="s">
        <v>776</v>
      </c>
      <c r="Q231" s="11" t="s">
        <v>126</v>
      </c>
      <c r="R231" s="11" t="s">
        <v>150</v>
      </c>
      <c r="T231" s="11" t="s">
        <v>126</v>
      </c>
      <c r="U231" s="11" t="s">
        <v>992</v>
      </c>
      <c r="AE231" s="11" t="s">
        <v>1768</v>
      </c>
    </row>
    <row r="232" spans="2:31" x14ac:dyDescent="0.35">
      <c r="B232" s="24" t="s">
        <v>49</v>
      </c>
      <c r="C232" s="12">
        <v>227</v>
      </c>
      <c r="D232" s="11" t="s">
        <v>784</v>
      </c>
      <c r="E232" s="11" t="s">
        <v>774</v>
      </c>
      <c r="F232" s="12" t="s">
        <v>450</v>
      </c>
      <c r="G232" s="12" t="s">
        <v>246</v>
      </c>
      <c r="H232" s="12" t="s">
        <v>246</v>
      </c>
      <c r="I232" s="12" t="s">
        <v>60</v>
      </c>
      <c r="J232" s="12" t="s">
        <v>774</v>
      </c>
      <c r="K232" s="12" t="s">
        <v>118</v>
      </c>
      <c r="L232" s="12" t="s">
        <v>247</v>
      </c>
      <c r="N232" s="13">
        <v>945425681</v>
      </c>
      <c r="O232" s="11" t="s">
        <v>118</v>
      </c>
      <c r="P232" s="11" t="s">
        <v>776</v>
      </c>
      <c r="Q232" s="11" t="s">
        <v>126</v>
      </c>
      <c r="R232" s="11" t="s">
        <v>150</v>
      </c>
      <c r="T232" s="11" t="s">
        <v>126</v>
      </c>
      <c r="U232" s="11" t="s">
        <v>992</v>
      </c>
      <c r="AE232" s="11" t="s">
        <v>1768</v>
      </c>
    </row>
    <row r="233" spans="2:31" x14ac:dyDescent="0.35">
      <c r="B233" s="24" t="s">
        <v>291</v>
      </c>
      <c r="C233" s="12">
        <v>228</v>
      </c>
      <c r="D233" s="11" t="s">
        <v>1412</v>
      </c>
      <c r="E233" s="11" t="s">
        <v>774</v>
      </c>
      <c r="F233" s="12" t="s">
        <v>291</v>
      </c>
      <c r="G233" s="12" t="s">
        <v>246</v>
      </c>
      <c r="H233" s="12" t="s">
        <v>246</v>
      </c>
      <c r="I233" s="12" t="s">
        <v>60</v>
      </c>
      <c r="J233" s="12" t="s">
        <v>774</v>
      </c>
      <c r="K233" s="12" t="s">
        <v>118</v>
      </c>
      <c r="L233" s="12" t="s">
        <v>247</v>
      </c>
      <c r="N233" s="13">
        <v>930783537</v>
      </c>
      <c r="O233" s="11" t="s">
        <v>118</v>
      </c>
      <c r="P233" s="11" t="s">
        <v>776</v>
      </c>
      <c r="Q233" s="11" t="s">
        <v>125</v>
      </c>
      <c r="R233" s="11" t="s">
        <v>150</v>
      </c>
      <c r="T233" s="11" t="s">
        <v>125</v>
      </c>
      <c r="U233" s="11" t="s">
        <v>38</v>
      </c>
      <c r="V233" s="11">
        <v>46120</v>
      </c>
      <c r="AE233" s="11" t="s">
        <v>993</v>
      </c>
    </row>
    <row r="234" spans="2:31" x14ac:dyDescent="0.35">
      <c r="B234" s="24" t="s">
        <v>278</v>
      </c>
      <c r="C234" s="12">
        <v>229</v>
      </c>
      <c r="D234" s="11" t="s">
        <v>786</v>
      </c>
      <c r="E234" s="11" t="s">
        <v>774</v>
      </c>
      <c r="F234" s="12" t="s">
        <v>278</v>
      </c>
      <c r="G234" s="12" t="s">
        <v>246</v>
      </c>
      <c r="H234" s="12" t="s">
        <v>246</v>
      </c>
      <c r="I234" s="12" t="s">
        <v>60</v>
      </c>
      <c r="J234" s="12" t="s">
        <v>774</v>
      </c>
      <c r="K234" s="12" t="s">
        <v>118</v>
      </c>
      <c r="L234" s="12" t="s">
        <v>247</v>
      </c>
      <c r="N234" s="13">
        <v>922705584</v>
      </c>
      <c r="O234" s="11" t="s">
        <v>118</v>
      </c>
      <c r="P234" s="11" t="s">
        <v>776</v>
      </c>
      <c r="Q234" s="11" t="s">
        <v>126</v>
      </c>
      <c r="R234" s="11" t="s">
        <v>150</v>
      </c>
      <c r="T234" s="11" t="s">
        <v>126</v>
      </c>
      <c r="U234" s="11" t="s">
        <v>992</v>
      </c>
      <c r="AE234" s="11" t="s">
        <v>1768</v>
      </c>
    </row>
    <row r="235" spans="2:31" x14ac:dyDescent="0.35">
      <c r="B235" s="24" t="s">
        <v>49</v>
      </c>
      <c r="C235" s="12">
        <v>230</v>
      </c>
      <c r="D235" s="11" t="s">
        <v>787</v>
      </c>
      <c r="E235" s="11" t="s">
        <v>774</v>
      </c>
      <c r="F235" s="12" t="s">
        <v>374</v>
      </c>
      <c r="G235" s="12" t="s">
        <v>246</v>
      </c>
      <c r="H235" s="12" t="s">
        <v>246</v>
      </c>
      <c r="I235" s="12" t="s">
        <v>60</v>
      </c>
      <c r="J235" s="12" t="s">
        <v>774</v>
      </c>
      <c r="K235" s="12" t="s">
        <v>118</v>
      </c>
      <c r="L235" s="12" t="s">
        <v>247</v>
      </c>
      <c r="N235" s="13">
        <v>976121238</v>
      </c>
      <c r="O235" s="11" t="s">
        <v>118</v>
      </c>
      <c r="P235" s="11" t="s">
        <v>776</v>
      </c>
      <c r="Q235" s="11" t="s">
        <v>126</v>
      </c>
      <c r="R235" s="11" t="s">
        <v>150</v>
      </c>
      <c r="T235" s="11" t="s">
        <v>126</v>
      </c>
      <c r="U235" s="11" t="s">
        <v>992</v>
      </c>
      <c r="AE235" s="11" t="s">
        <v>1768</v>
      </c>
    </row>
    <row r="236" spans="2:31" x14ac:dyDescent="0.35">
      <c r="B236" s="24" t="s">
        <v>49</v>
      </c>
      <c r="C236" s="12">
        <v>231</v>
      </c>
      <c r="D236" s="11" t="s">
        <v>788</v>
      </c>
      <c r="E236" s="11" t="s">
        <v>774</v>
      </c>
      <c r="F236" s="12" t="s">
        <v>411</v>
      </c>
      <c r="G236" s="12" t="s">
        <v>246</v>
      </c>
      <c r="H236" s="12" t="s">
        <v>246</v>
      </c>
      <c r="I236" s="12" t="s">
        <v>60</v>
      </c>
      <c r="J236" s="12" t="s">
        <v>774</v>
      </c>
      <c r="K236" s="12" t="s">
        <v>118</v>
      </c>
      <c r="L236" s="12" t="s">
        <v>247</v>
      </c>
      <c r="N236" s="13">
        <v>950741980</v>
      </c>
      <c r="O236" s="11" t="s">
        <v>118</v>
      </c>
      <c r="P236" s="11" t="s">
        <v>776</v>
      </c>
      <c r="Q236" s="11" t="s">
        <v>126</v>
      </c>
      <c r="R236" s="11" t="s">
        <v>150</v>
      </c>
      <c r="T236" s="11" t="s">
        <v>126</v>
      </c>
      <c r="U236" s="11" t="s">
        <v>992</v>
      </c>
      <c r="AE236" s="11" t="s">
        <v>1768</v>
      </c>
    </row>
    <row r="237" spans="2:31" x14ac:dyDescent="0.35">
      <c r="B237" s="24" t="s">
        <v>49</v>
      </c>
      <c r="C237" s="12">
        <v>232</v>
      </c>
      <c r="D237" s="11" t="s">
        <v>789</v>
      </c>
      <c r="E237" s="11" t="s">
        <v>774</v>
      </c>
      <c r="F237" s="12" t="s">
        <v>332</v>
      </c>
      <c r="G237" s="12" t="s">
        <v>246</v>
      </c>
      <c r="H237" s="12" t="s">
        <v>246</v>
      </c>
      <c r="I237" s="12" t="s">
        <v>60</v>
      </c>
      <c r="J237" s="12" t="s">
        <v>774</v>
      </c>
      <c r="K237" s="12" t="s">
        <v>118</v>
      </c>
      <c r="L237" s="12" t="s">
        <v>247</v>
      </c>
      <c r="N237" s="13">
        <v>984350315</v>
      </c>
      <c r="O237" s="11" t="s">
        <v>118</v>
      </c>
      <c r="P237" s="11" t="s">
        <v>776</v>
      </c>
      <c r="Q237" s="11" t="s">
        <v>126</v>
      </c>
      <c r="R237" s="11" t="s">
        <v>150</v>
      </c>
      <c r="T237" s="11" t="s">
        <v>126</v>
      </c>
      <c r="U237" s="11" t="s">
        <v>992</v>
      </c>
      <c r="AE237" s="11" t="s">
        <v>1768</v>
      </c>
    </row>
    <row r="238" spans="2:31" x14ac:dyDescent="0.35">
      <c r="B238" s="24" t="s">
        <v>49</v>
      </c>
      <c r="C238" s="12">
        <v>233</v>
      </c>
      <c r="D238" s="11" t="s">
        <v>790</v>
      </c>
      <c r="E238" s="11" t="s">
        <v>774</v>
      </c>
      <c r="F238" s="12" t="s">
        <v>374</v>
      </c>
      <c r="G238" s="12" t="s">
        <v>246</v>
      </c>
      <c r="H238" s="12" t="s">
        <v>246</v>
      </c>
      <c r="I238" s="12" t="s">
        <v>60</v>
      </c>
      <c r="J238" s="12" t="s">
        <v>774</v>
      </c>
      <c r="K238" s="12" t="s">
        <v>118</v>
      </c>
      <c r="L238" s="12" t="s">
        <v>247</v>
      </c>
      <c r="N238" s="13">
        <v>983929921</v>
      </c>
      <c r="O238" s="11" t="s">
        <v>118</v>
      </c>
      <c r="P238" s="11" t="s">
        <v>776</v>
      </c>
      <c r="Q238" s="11" t="s">
        <v>126</v>
      </c>
      <c r="R238" s="11" t="s">
        <v>150</v>
      </c>
      <c r="T238" s="11" t="s">
        <v>126</v>
      </c>
      <c r="U238" s="11" t="s">
        <v>992</v>
      </c>
      <c r="AE238" s="11" t="s">
        <v>1768</v>
      </c>
    </row>
    <row r="239" spans="2:31" x14ac:dyDescent="0.35">
      <c r="B239" s="24" t="s">
        <v>49</v>
      </c>
      <c r="C239" s="12">
        <v>234</v>
      </c>
      <c r="D239" s="11" t="s">
        <v>791</v>
      </c>
      <c r="E239" s="11" t="s">
        <v>774</v>
      </c>
      <c r="F239" s="12" t="s">
        <v>557</v>
      </c>
      <c r="G239" s="12" t="s">
        <v>246</v>
      </c>
      <c r="H239" s="12" t="s">
        <v>246</v>
      </c>
      <c r="I239" s="12" t="s">
        <v>60</v>
      </c>
      <c r="J239" s="12" t="s">
        <v>774</v>
      </c>
      <c r="K239" s="12" t="s">
        <v>118</v>
      </c>
      <c r="L239" s="12" t="s">
        <v>247</v>
      </c>
      <c r="N239" s="13">
        <v>966116781</v>
      </c>
      <c r="O239" s="11" t="s">
        <v>118</v>
      </c>
      <c r="P239" s="11" t="s">
        <v>776</v>
      </c>
      <c r="Q239" s="11" t="s">
        <v>126</v>
      </c>
      <c r="R239" s="11" t="s">
        <v>150</v>
      </c>
      <c r="T239" s="11" t="s">
        <v>126</v>
      </c>
      <c r="U239" s="11" t="s">
        <v>992</v>
      </c>
      <c r="AE239" s="11" t="s">
        <v>1768</v>
      </c>
    </row>
    <row r="240" spans="2:31" x14ac:dyDescent="0.35">
      <c r="B240" s="24" t="s">
        <v>49</v>
      </c>
      <c r="C240" s="12">
        <v>235</v>
      </c>
      <c r="D240" s="11" t="s">
        <v>792</v>
      </c>
      <c r="E240" s="11" t="s">
        <v>774</v>
      </c>
      <c r="F240" s="12" t="s">
        <v>775</v>
      </c>
      <c r="G240" s="12" t="s">
        <v>246</v>
      </c>
      <c r="H240" s="12" t="s">
        <v>246</v>
      </c>
      <c r="I240" s="12" t="s">
        <v>60</v>
      </c>
      <c r="J240" s="12" t="s">
        <v>774</v>
      </c>
      <c r="K240" s="12" t="s">
        <v>118</v>
      </c>
      <c r="L240" s="12" t="s">
        <v>247</v>
      </c>
      <c r="N240" s="13">
        <v>916199128</v>
      </c>
      <c r="O240" s="11" t="s">
        <v>118</v>
      </c>
      <c r="P240" s="11" t="s">
        <v>776</v>
      </c>
      <c r="Q240" s="11" t="s">
        <v>126</v>
      </c>
      <c r="R240" s="11" t="s">
        <v>150</v>
      </c>
      <c r="T240" s="11" t="s">
        <v>126</v>
      </c>
      <c r="U240" s="11" t="s">
        <v>992</v>
      </c>
      <c r="AE240" s="11" t="s">
        <v>1768</v>
      </c>
    </row>
    <row r="241" spans="2:31" x14ac:dyDescent="0.35">
      <c r="B241" s="24" t="s">
        <v>49</v>
      </c>
      <c r="C241" s="12">
        <v>236</v>
      </c>
      <c r="D241" s="11" t="s">
        <v>793</v>
      </c>
      <c r="E241" s="11" t="s">
        <v>774</v>
      </c>
      <c r="F241" s="12" t="s">
        <v>499</v>
      </c>
      <c r="G241" s="12" t="s">
        <v>246</v>
      </c>
      <c r="H241" s="12" t="s">
        <v>246</v>
      </c>
      <c r="I241" s="12" t="s">
        <v>60</v>
      </c>
      <c r="J241" s="12" t="s">
        <v>774</v>
      </c>
      <c r="K241" s="12" t="s">
        <v>118</v>
      </c>
      <c r="L241" s="12" t="s">
        <v>247</v>
      </c>
      <c r="N241" s="13">
        <v>943443230</v>
      </c>
      <c r="O241" s="11" t="s">
        <v>118</v>
      </c>
      <c r="P241" s="11" t="s">
        <v>776</v>
      </c>
      <c r="Q241" s="11" t="s">
        <v>126</v>
      </c>
      <c r="R241" s="11" t="s">
        <v>150</v>
      </c>
      <c r="T241" s="11" t="s">
        <v>126</v>
      </c>
      <c r="U241" s="11" t="s">
        <v>992</v>
      </c>
      <c r="AE241" s="11" t="s">
        <v>1768</v>
      </c>
    </row>
    <row r="242" spans="2:31" x14ac:dyDescent="0.35">
      <c r="B242" s="24" t="s">
        <v>49</v>
      </c>
      <c r="C242" s="12">
        <v>237</v>
      </c>
      <c r="D242" s="11" t="s">
        <v>794</v>
      </c>
      <c r="E242" s="11" t="s">
        <v>774</v>
      </c>
      <c r="F242" s="12" t="s">
        <v>286</v>
      </c>
      <c r="G242" s="12" t="s">
        <v>246</v>
      </c>
      <c r="H242" s="12" t="s">
        <v>246</v>
      </c>
      <c r="I242" s="12" t="s">
        <v>60</v>
      </c>
      <c r="J242" s="12" t="s">
        <v>774</v>
      </c>
      <c r="K242" s="12" t="s">
        <v>118</v>
      </c>
      <c r="L242" s="12" t="s">
        <v>247</v>
      </c>
      <c r="N242" s="13">
        <v>983935967</v>
      </c>
      <c r="O242" s="11" t="s">
        <v>118</v>
      </c>
      <c r="P242" s="11" t="s">
        <v>776</v>
      </c>
      <c r="Q242" s="11" t="s">
        <v>126</v>
      </c>
      <c r="R242" s="11" t="s">
        <v>150</v>
      </c>
      <c r="T242" s="11" t="s">
        <v>126</v>
      </c>
      <c r="U242" s="11" t="s">
        <v>992</v>
      </c>
      <c r="AE242" s="11" t="s">
        <v>1768</v>
      </c>
    </row>
    <row r="243" spans="2:31" x14ac:dyDescent="0.35">
      <c r="B243" s="24" t="s">
        <v>49</v>
      </c>
      <c r="C243" s="12">
        <v>238</v>
      </c>
      <c r="D243" s="11" t="s">
        <v>795</v>
      </c>
      <c r="E243" s="11" t="s">
        <v>774</v>
      </c>
      <c r="F243" s="12" t="s">
        <v>447</v>
      </c>
      <c r="G243" s="12" t="s">
        <v>246</v>
      </c>
      <c r="H243" s="12" t="s">
        <v>246</v>
      </c>
      <c r="I243" s="12" t="s">
        <v>60</v>
      </c>
      <c r="J243" s="12" t="s">
        <v>774</v>
      </c>
      <c r="K243" s="12" t="s">
        <v>118</v>
      </c>
      <c r="L243" s="12" t="s">
        <v>247</v>
      </c>
      <c r="N243" s="13">
        <v>971434174</v>
      </c>
      <c r="O243" s="11" t="s">
        <v>118</v>
      </c>
      <c r="P243" s="11" t="s">
        <v>776</v>
      </c>
      <c r="Q243" s="11" t="s">
        <v>126</v>
      </c>
      <c r="R243" s="11" t="s">
        <v>150</v>
      </c>
      <c r="T243" s="11" t="s">
        <v>126</v>
      </c>
      <c r="U243" s="11" t="s">
        <v>992</v>
      </c>
      <c r="AE243" s="11" t="s">
        <v>1768</v>
      </c>
    </row>
    <row r="244" spans="2:31" x14ac:dyDescent="0.35">
      <c r="B244" s="24" t="s">
        <v>49</v>
      </c>
      <c r="C244" s="12">
        <v>239</v>
      </c>
      <c r="D244" s="11" t="s">
        <v>796</v>
      </c>
      <c r="E244" s="11" t="s">
        <v>774</v>
      </c>
      <c r="F244" s="12" t="s">
        <v>780</v>
      </c>
      <c r="G244" s="12" t="s">
        <v>246</v>
      </c>
      <c r="H244" s="12" t="s">
        <v>246</v>
      </c>
      <c r="I244" s="12" t="s">
        <v>60</v>
      </c>
      <c r="J244" s="12" t="s">
        <v>774</v>
      </c>
      <c r="K244" s="12" t="s">
        <v>118</v>
      </c>
      <c r="L244" s="12" t="s">
        <v>247</v>
      </c>
      <c r="N244" s="13">
        <v>946568496</v>
      </c>
      <c r="O244" s="11" t="s">
        <v>118</v>
      </c>
      <c r="P244" s="11" t="s">
        <v>776</v>
      </c>
      <c r="Q244" s="11" t="s">
        <v>126</v>
      </c>
      <c r="R244" s="11" t="s">
        <v>150</v>
      </c>
      <c r="T244" s="11" t="s">
        <v>126</v>
      </c>
      <c r="U244" s="11" t="s">
        <v>992</v>
      </c>
      <c r="AE244" s="11" t="s">
        <v>1768</v>
      </c>
    </row>
    <row r="245" spans="2:31" x14ac:dyDescent="0.35">
      <c r="B245" s="24" t="s">
        <v>49</v>
      </c>
      <c r="C245" s="12">
        <v>240</v>
      </c>
      <c r="D245" s="11" t="s">
        <v>797</v>
      </c>
      <c r="E245" s="11" t="s">
        <v>774</v>
      </c>
      <c r="F245" s="12" t="s">
        <v>554</v>
      </c>
      <c r="G245" s="12" t="s">
        <v>246</v>
      </c>
      <c r="H245" s="12" t="s">
        <v>246</v>
      </c>
      <c r="I245" s="12" t="s">
        <v>60</v>
      </c>
      <c r="J245" s="12" t="s">
        <v>774</v>
      </c>
      <c r="K245" s="12" t="s">
        <v>118</v>
      </c>
      <c r="L245" s="12" t="s">
        <v>247</v>
      </c>
      <c r="N245" s="13">
        <v>950335345</v>
      </c>
      <c r="O245" s="11" t="s">
        <v>118</v>
      </c>
      <c r="P245" s="11" t="s">
        <v>776</v>
      </c>
      <c r="Q245" s="11" t="s">
        <v>126</v>
      </c>
      <c r="R245" s="11" t="s">
        <v>150</v>
      </c>
      <c r="T245" s="11" t="s">
        <v>126</v>
      </c>
      <c r="U245" s="11" t="s">
        <v>992</v>
      </c>
      <c r="AE245" s="11" t="s">
        <v>1768</v>
      </c>
    </row>
    <row r="246" spans="2:31" x14ac:dyDescent="0.35">
      <c r="B246" s="24" t="s">
        <v>49</v>
      </c>
      <c r="C246" s="12">
        <v>241</v>
      </c>
      <c r="D246" s="11" t="s">
        <v>798</v>
      </c>
      <c r="E246" s="11" t="s">
        <v>774</v>
      </c>
      <c r="F246" s="12" t="s">
        <v>435</v>
      </c>
      <c r="G246" s="12" t="s">
        <v>246</v>
      </c>
      <c r="H246" s="12" t="s">
        <v>246</v>
      </c>
      <c r="I246" s="12" t="s">
        <v>60</v>
      </c>
      <c r="J246" s="12" t="s">
        <v>774</v>
      </c>
      <c r="K246" s="12" t="s">
        <v>118</v>
      </c>
      <c r="L246" s="12" t="s">
        <v>247</v>
      </c>
      <c r="N246" s="13">
        <v>984994805</v>
      </c>
      <c r="O246" s="11" t="s">
        <v>118</v>
      </c>
      <c r="P246" s="11" t="s">
        <v>776</v>
      </c>
      <c r="Q246" s="11" t="s">
        <v>126</v>
      </c>
      <c r="R246" s="11" t="s">
        <v>150</v>
      </c>
      <c r="T246" s="11" t="s">
        <v>126</v>
      </c>
      <c r="U246" s="11" t="s">
        <v>992</v>
      </c>
      <c r="AE246" s="11" t="s">
        <v>1768</v>
      </c>
    </row>
    <row r="247" spans="2:31" x14ac:dyDescent="0.35">
      <c r="B247" s="24" t="s">
        <v>49</v>
      </c>
      <c r="C247" s="12">
        <v>242</v>
      </c>
      <c r="D247" s="11" t="s">
        <v>799</v>
      </c>
      <c r="E247" s="11" t="s">
        <v>774</v>
      </c>
      <c r="F247" s="12" t="s">
        <v>783</v>
      </c>
      <c r="G247" s="12" t="s">
        <v>246</v>
      </c>
      <c r="H247" s="12" t="s">
        <v>246</v>
      </c>
      <c r="I247" s="12" t="s">
        <v>60</v>
      </c>
      <c r="J247" s="12" t="s">
        <v>774</v>
      </c>
      <c r="K247" s="12" t="s">
        <v>118</v>
      </c>
      <c r="L247" s="12" t="s">
        <v>247</v>
      </c>
      <c r="N247" s="13">
        <v>951058296</v>
      </c>
      <c r="O247" s="11" t="s">
        <v>118</v>
      </c>
      <c r="P247" s="11" t="s">
        <v>776</v>
      </c>
      <c r="Q247" s="11" t="s">
        <v>126</v>
      </c>
      <c r="R247" s="11" t="s">
        <v>150</v>
      </c>
      <c r="T247" s="11" t="s">
        <v>126</v>
      </c>
      <c r="U247" s="11" t="s">
        <v>992</v>
      </c>
      <c r="AE247" s="11" t="s">
        <v>1768</v>
      </c>
    </row>
    <row r="248" spans="2:31" x14ac:dyDescent="0.35">
      <c r="B248" s="24" t="s">
        <v>295</v>
      </c>
      <c r="C248" s="12">
        <v>243</v>
      </c>
      <c r="D248" s="11" t="s">
        <v>800</v>
      </c>
      <c r="E248" s="11" t="s">
        <v>774</v>
      </c>
      <c r="F248" s="12" t="s">
        <v>295</v>
      </c>
      <c r="G248" s="12" t="s">
        <v>246</v>
      </c>
      <c r="H248" s="12" t="s">
        <v>246</v>
      </c>
      <c r="I248" s="12" t="s">
        <v>60</v>
      </c>
      <c r="J248" s="12" t="s">
        <v>774</v>
      </c>
      <c r="K248" s="12" t="s">
        <v>118</v>
      </c>
      <c r="L248" s="12" t="s">
        <v>247</v>
      </c>
      <c r="N248" s="13">
        <v>985306490</v>
      </c>
      <c r="O248" s="11" t="s">
        <v>118</v>
      </c>
      <c r="P248" s="11" t="s">
        <v>776</v>
      </c>
      <c r="Q248" s="11" t="s">
        <v>126</v>
      </c>
      <c r="R248" s="11" t="s">
        <v>150</v>
      </c>
      <c r="T248" s="11" t="s">
        <v>126</v>
      </c>
      <c r="U248" s="11" t="s">
        <v>992</v>
      </c>
      <c r="AE248" s="11" t="s">
        <v>1768</v>
      </c>
    </row>
    <row r="249" spans="2:31" x14ac:dyDescent="0.35">
      <c r="B249" s="24" t="s">
        <v>49</v>
      </c>
      <c r="C249" s="12">
        <v>244</v>
      </c>
      <c r="D249" s="11" t="s">
        <v>801</v>
      </c>
      <c r="E249" s="11" t="s">
        <v>774</v>
      </c>
      <c r="F249" s="12" t="s">
        <v>785</v>
      </c>
      <c r="G249" s="12" t="s">
        <v>246</v>
      </c>
      <c r="H249" s="12" t="s">
        <v>246</v>
      </c>
      <c r="I249" s="12" t="s">
        <v>60</v>
      </c>
      <c r="J249" s="12" t="s">
        <v>774</v>
      </c>
      <c r="K249" s="12" t="s">
        <v>118</v>
      </c>
      <c r="L249" s="12" t="s">
        <v>247</v>
      </c>
      <c r="N249" s="13">
        <v>901233722</v>
      </c>
      <c r="O249" s="11" t="s">
        <v>118</v>
      </c>
      <c r="P249" s="11" t="s">
        <v>776</v>
      </c>
      <c r="Q249" s="11" t="s">
        <v>126</v>
      </c>
      <c r="R249" s="11" t="s">
        <v>150</v>
      </c>
      <c r="T249" s="11" t="s">
        <v>126</v>
      </c>
      <c r="U249" s="11" t="s">
        <v>992</v>
      </c>
      <c r="AE249" s="11" t="s">
        <v>1768</v>
      </c>
    </row>
    <row r="250" spans="2:31" x14ac:dyDescent="0.35">
      <c r="B250" s="24" t="s">
        <v>49</v>
      </c>
      <c r="C250" s="12">
        <v>245</v>
      </c>
      <c r="D250" s="11" t="s">
        <v>802</v>
      </c>
      <c r="E250" s="11" t="s">
        <v>774</v>
      </c>
      <c r="F250" s="12" t="s">
        <v>305</v>
      </c>
      <c r="G250" s="12" t="s">
        <v>246</v>
      </c>
      <c r="H250" s="12" t="s">
        <v>246</v>
      </c>
      <c r="I250" s="12" t="s">
        <v>60</v>
      </c>
      <c r="J250" s="12" t="s">
        <v>774</v>
      </c>
      <c r="K250" s="12" t="s">
        <v>118</v>
      </c>
      <c r="L250" s="12" t="s">
        <v>247</v>
      </c>
      <c r="N250" s="13">
        <v>992949717</v>
      </c>
      <c r="O250" s="11" t="s">
        <v>118</v>
      </c>
      <c r="P250" s="11" t="s">
        <v>776</v>
      </c>
      <c r="Q250" s="11" t="s">
        <v>126</v>
      </c>
      <c r="R250" s="11" t="s">
        <v>150</v>
      </c>
      <c r="T250" s="11" t="s">
        <v>126</v>
      </c>
      <c r="U250" s="11" t="s">
        <v>992</v>
      </c>
      <c r="AE250" s="11" t="s">
        <v>1768</v>
      </c>
    </row>
    <row r="251" spans="2:31" x14ac:dyDescent="0.35">
      <c r="B251" s="24" t="s">
        <v>49</v>
      </c>
      <c r="C251" s="12">
        <v>246</v>
      </c>
      <c r="D251" s="11" t="s">
        <v>803</v>
      </c>
      <c r="E251" s="11" t="s">
        <v>774</v>
      </c>
      <c r="F251" s="12" t="s">
        <v>305</v>
      </c>
      <c r="G251" s="12" t="s">
        <v>246</v>
      </c>
      <c r="H251" s="12" t="s">
        <v>246</v>
      </c>
      <c r="I251" s="12" t="s">
        <v>60</v>
      </c>
      <c r="J251" s="12" t="s">
        <v>774</v>
      </c>
      <c r="K251" s="12" t="s">
        <v>118</v>
      </c>
      <c r="L251" s="12" t="s">
        <v>247</v>
      </c>
      <c r="N251" s="13">
        <v>996014524</v>
      </c>
      <c r="O251" s="11" t="s">
        <v>118</v>
      </c>
      <c r="P251" s="11" t="s">
        <v>776</v>
      </c>
      <c r="Q251" s="11" t="s">
        <v>126</v>
      </c>
      <c r="R251" s="11" t="s">
        <v>150</v>
      </c>
      <c r="T251" s="11" t="s">
        <v>126</v>
      </c>
      <c r="U251" s="11" t="s">
        <v>992</v>
      </c>
      <c r="AE251" s="11" t="s">
        <v>1768</v>
      </c>
    </row>
    <row r="252" spans="2:31" x14ac:dyDescent="0.35">
      <c r="B252" s="24" t="s">
        <v>295</v>
      </c>
      <c r="C252" s="12">
        <v>247</v>
      </c>
      <c r="D252" s="11" t="s">
        <v>804</v>
      </c>
      <c r="E252" s="11" t="s">
        <v>774</v>
      </c>
      <c r="F252" s="12" t="s">
        <v>295</v>
      </c>
      <c r="G252" s="12" t="s">
        <v>246</v>
      </c>
      <c r="H252" s="12" t="s">
        <v>246</v>
      </c>
      <c r="I252" s="12" t="s">
        <v>60</v>
      </c>
      <c r="J252" s="12" t="s">
        <v>774</v>
      </c>
      <c r="K252" s="12" t="s">
        <v>118</v>
      </c>
      <c r="L252" s="12" t="s">
        <v>247</v>
      </c>
      <c r="N252" s="13">
        <v>987208362</v>
      </c>
      <c r="O252" s="11" t="s">
        <v>118</v>
      </c>
      <c r="P252" s="11" t="s">
        <v>776</v>
      </c>
      <c r="Q252" s="11" t="s">
        <v>126</v>
      </c>
      <c r="R252" s="11" t="s">
        <v>150</v>
      </c>
      <c r="T252" s="11" t="s">
        <v>126</v>
      </c>
      <c r="U252" s="11" t="s">
        <v>992</v>
      </c>
      <c r="AE252" s="11" t="s">
        <v>1768</v>
      </c>
    </row>
    <row r="253" spans="2:31" x14ac:dyDescent="0.35">
      <c r="B253" s="24" t="s">
        <v>314</v>
      </c>
      <c r="C253" s="12">
        <v>248</v>
      </c>
      <c r="D253" s="11" t="s">
        <v>1000</v>
      </c>
      <c r="E253" s="11" t="s">
        <v>774</v>
      </c>
      <c r="F253" s="12" t="s">
        <v>314</v>
      </c>
      <c r="G253" s="12" t="s">
        <v>246</v>
      </c>
      <c r="H253" s="12" t="s">
        <v>246</v>
      </c>
      <c r="I253" s="12" t="s">
        <v>60</v>
      </c>
      <c r="J253" s="12" t="s">
        <v>774</v>
      </c>
      <c r="K253" s="12" t="s">
        <v>118</v>
      </c>
      <c r="L253" s="12" t="s">
        <v>247</v>
      </c>
      <c r="N253" s="13">
        <v>945054854</v>
      </c>
      <c r="O253" s="11" t="s">
        <v>118</v>
      </c>
      <c r="P253" s="11" t="s">
        <v>776</v>
      </c>
      <c r="Q253" s="11" t="s">
        <v>126</v>
      </c>
      <c r="R253" s="11" t="s">
        <v>150</v>
      </c>
      <c r="S253" s="11" t="s">
        <v>126</v>
      </c>
      <c r="T253" s="11" t="s">
        <v>125</v>
      </c>
      <c r="U253" s="11" t="s">
        <v>1014</v>
      </c>
      <c r="V253" s="11">
        <v>46120</v>
      </c>
      <c r="Y253" s="11">
        <v>46121</v>
      </c>
      <c r="Z253" s="11">
        <v>46121</v>
      </c>
      <c r="AA253" s="11">
        <v>46121</v>
      </c>
      <c r="AB253" s="11" t="s">
        <v>30</v>
      </c>
      <c r="AC253" s="11">
        <v>44</v>
      </c>
      <c r="AD253" s="11" t="s">
        <v>1003</v>
      </c>
      <c r="AE253" s="11" t="s">
        <v>993</v>
      </c>
    </row>
    <row r="254" spans="2:31" x14ac:dyDescent="0.35">
      <c r="B254" s="24" t="s">
        <v>283</v>
      </c>
      <c r="C254" s="12">
        <v>249</v>
      </c>
      <c r="D254" s="11" t="s">
        <v>805</v>
      </c>
      <c r="E254" s="11" t="s">
        <v>774</v>
      </c>
      <c r="F254" s="12" t="s">
        <v>283</v>
      </c>
      <c r="G254" s="12" t="s">
        <v>246</v>
      </c>
      <c r="H254" s="12" t="s">
        <v>246</v>
      </c>
      <c r="I254" s="12" t="s">
        <v>60</v>
      </c>
      <c r="J254" s="12" t="s">
        <v>774</v>
      </c>
      <c r="K254" s="12" t="s">
        <v>118</v>
      </c>
      <c r="L254" s="12" t="s">
        <v>247</v>
      </c>
      <c r="N254" s="13">
        <v>993376177</v>
      </c>
      <c r="O254" s="11" t="s">
        <v>118</v>
      </c>
      <c r="P254" s="11" t="s">
        <v>776</v>
      </c>
      <c r="Q254" s="11" t="s">
        <v>126</v>
      </c>
      <c r="R254" s="11" t="s">
        <v>150</v>
      </c>
      <c r="T254" s="11" t="s">
        <v>126</v>
      </c>
      <c r="U254" s="11" t="s">
        <v>992</v>
      </c>
      <c r="AE254" s="11" t="s">
        <v>1768</v>
      </c>
    </row>
    <row r="255" spans="2:31" x14ac:dyDescent="0.35">
      <c r="B255" s="24" t="s">
        <v>49</v>
      </c>
      <c r="C255" s="12">
        <v>250</v>
      </c>
      <c r="D255" s="11" t="s">
        <v>806</v>
      </c>
      <c r="E255" s="11" t="s">
        <v>774</v>
      </c>
      <c r="F255" s="12" t="s">
        <v>419</v>
      </c>
      <c r="G255" s="12" t="s">
        <v>246</v>
      </c>
      <c r="H255" s="12" t="s">
        <v>246</v>
      </c>
      <c r="I255" s="12" t="s">
        <v>60</v>
      </c>
      <c r="J255" s="12" t="s">
        <v>774</v>
      </c>
      <c r="K255" s="12" t="s">
        <v>118</v>
      </c>
      <c r="L255" s="12" t="s">
        <v>247</v>
      </c>
      <c r="N255" s="13">
        <v>977917888</v>
      </c>
      <c r="O255" s="11" t="s">
        <v>118</v>
      </c>
      <c r="P255" s="11" t="s">
        <v>776</v>
      </c>
      <c r="Q255" s="11" t="s">
        <v>126</v>
      </c>
      <c r="R255" s="11" t="s">
        <v>150</v>
      </c>
      <c r="T255" s="11" t="s">
        <v>126</v>
      </c>
      <c r="U255" s="11" t="s">
        <v>992</v>
      </c>
      <c r="AE255" s="11" t="s">
        <v>1768</v>
      </c>
    </row>
    <row r="256" spans="2:31" x14ac:dyDescent="0.35">
      <c r="B256" s="24" t="s">
        <v>49</v>
      </c>
      <c r="C256" s="12">
        <v>251</v>
      </c>
      <c r="D256" s="11" t="s">
        <v>807</v>
      </c>
      <c r="E256" s="11" t="s">
        <v>774</v>
      </c>
      <c r="F256" s="12" t="s">
        <v>543</v>
      </c>
      <c r="G256" s="12" t="s">
        <v>246</v>
      </c>
      <c r="H256" s="12" t="s">
        <v>246</v>
      </c>
      <c r="I256" s="12" t="s">
        <v>60</v>
      </c>
      <c r="J256" s="12" t="s">
        <v>774</v>
      </c>
      <c r="K256" s="12" t="s">
        <v>118</v>
      </c>
      <c r="L256" s="12" t="s">
        <v>247</v>
      </c>
      <c r="N256" s="13">
        <v>929298053</v>
      </c>
      <c r="O256" s="11" t="s">
        <v>118</v>
      </c>
      <c r="P256" s="11" t="s">
        <v>776</v>
      </c>
      <c r="Q256" s="11" t="s">
        <v>126</v>
      </c>
      <c r="R256" s="11" t="s">
        <v>150</v>
      </c>
      <c r="T256" s="11" t="s">
        <v>126</v>
      </c>
      <c r="U256" s="11" t="s">
        <v>992</v>
      </c>
      <c r="AE256" s="11" t="s">
        <v>1768</v>
      </c>
    </row>
    <row r="257" spans="2:31" x14ac:dyDescent="0.35">
      <c r="B257" s="24" t="s">
        <v>283</v>
      </c>
      <c r="C257" s="12">
        <v>252</v>
      </c>
      <c r="D257" s="11" t="s">
        <v>808</v>
      </c>
      <c r="E257" s="11" t="s">
        <v>774</v>
      </c>
      <c r="F257" s="12" t="s">
        <v>283</v>
      </c>
      <c r="G257" s="12" t="s">
        <v>246</v>
      </c>
      <c r="H257" s="12" t="s">
        <v>246</v>
      </c>
      <c r="I257" s="12" t="s">
        <v>60</v>
      </c>
      <c r="J257" s="12" t="s">
        <v>774</v>
      </c>
      <c r="K257" s="12" t="s">
        <v>118</v>
      </c>
      <c r="L257" s="12" t="s">
        <v>247</v>
      </c>
      <c r="N257" s="13">
        <v>929298053</v>
      </c>
      <c r="O257" s="11" t="s">
        <v>118</v>
      </c>
      <c r="P257" s="11" t="s">
        <v>776</v>
      </c>
      <c r="Q257" s="11" t="s">
        <v>126</v>
      </c>
      <c r="R257" s="11" t="s">
        <v>150</v>
      </c>
      <c r="T257" s="11" t="s">
        <v>125</v>
      </c>
      <c r="U257" s="11" t="s">
        <v>1014</v>
      </c>
      <c r="V257" s="11">
        <v>46120</v>
      </c>
      <c r="Y257" s="11">
        <v>46122</v>
      </c>
      <c r="Z257" s="11">
        <v>46122</v>
      </c>
      <c r="AA257" s="11">
        <v>46122</v>
      </c>
      <c r="AB257" s="11" t="s">
        <v>30</v>
      </c>
      <c r="AC257" s="11">
        <v>52</v>
      </c>
      <c r="AE257" s="11" t="s">
        <v>993</v>
      </c>
    </row>
    <row r="258" spans="2:31" x14ac:dyDescent="0.35">
      <c r="B258" s="24" t="s">
        <v>283</v>
      </c>
      <c r="C258" s="12">
        <v>253</v>
      </c>
      <c r="D258" s="11" t="s">
        <v>809</v>
      </c>
      <c r="E258" s="11" t="s">
        <v>774</v>
      </c>
      <c r="F258" s="12" t="s">
        <v>283</v>
      </c>
      <c r="G258" s="12" t="s">
        <v>246</v>
      </c>
      <c r="H258" s="12" t="s">
        <v>246</v>
      </c>
      <c r="I258" s="12" t="s">
        <v>60</v>
      </c>
      <c r="J258" s="12" t="s">
        <v>774</v>
      </c>
      <c r="K258" s="12" t="s">
        <v>118</v>
      </c>
      <c r="L258" s="12" t="s">
        <v>247</v>
      </c>
      <c r="N258" s="13">
        <v>954450819</v>
      </c>
      <c r="O258" s="11" t="s">
        <v>118</v>
      </c>
      <c r="P258" s="11" t="s">
        <v>776</v>
      </c>
      <c r="Q258" s="11" t="s">
        <v>126</v>
      </c>
      <c r="R258" s="11" t="s">
        <v>150</v>
      </c>
      <c r="T258" s="11" t="s">
        <v>126</v>
      </c>
      <c r="U258" s="11" t="s">
        <v>992</v>
      </c>
      <c r="AE258" s="11" t="s">
        <v>1768</v>
      </c>
    </row>
    <row r="259" spans="2:31" x14ac:dyDescent="0.35">
      <c r="B259" s="24" t="s">
        <v>49</v>
      </c>
      <c r="C259" s="12">
        <v>254</v>
      </c>
      <c r="D259" s="11" t="s">
        <v>810</v>
      </c>
      <c r="E259" s="11" t="s">
        <v>774</v>
      </c>
      <c r="F259" s="12" t="s">
        <v>377</v>
      </c>
      <c r="G259" s="12" t="s">
        <v>246</v>
      </c>
      <c r="H259" s="12" t="s">
        <v>246</v>
      </c>
      <c r="I259" s="12" t="s">
        <v>60</v>
      </c>
      <c r="J259" s="12" t="s">
        <v>774</v>
      </c>
      <c r="K259" s="12" t="s">
        <v>118</v>
      </c>
      <c r="L259" s="12" t="s">
        <v>247</v>
      </c>
      <c r="N259" s="13">
        <v>932787595</v>
      </c>
      <c r="O259" s="11" t="s">
        <v>118</v>
      </c>
      <c r="P259" s="11" t="s">
        <v>776</v>
      </c>
      <c r="Q259" s="11" t="s">
        <v>126</v>
      </c>
      <c r="R259" s="11" t="s">
        <v>150</v>
      </c>
      <c r="T259" s="11" t="s">
        <v>126</v>
      </c>
      <c r="U259" s="11" t="s">
        <v>992</v>
      </c>
      <c r="AE259" s="11" t="s">
        <v>1768</v>
      </c>
    </row>
    <row r="260" spans="2:31" x14ac:dyDescent="0.35">
      <c r="B260" s="24" t="s">
        <v>308</v>
      </c>
      <c r="C260" s="12">
        <v>255</v>
      </c>
      <c r="D260" s="11" t="s">
        <v>1026</v>
      </c>
      <c r="E260" s="11" t="s">
        <v>774</v>
      </c>
      <c r="F260" s="12" t="s">
        <v>308</v>
      </c>
      <c r="G260" s="12" t="s">
        <v>246</v>
      </c>
      <c r="H260" s="12" t="s">
        <v>246</v>
      </c>
      <c r="I260" s="12" t="s">
        <v>60</v>
      </c>
      <c r="J260" s="12" t="s">
        <v>774</v>
      </c>
      <c r="K260" s="12" t="s">
        <v>118</v>
      </c>
      <c r="L260" s="12" t="s">
        <v>247</v>
      </c>
      <c r="N260" s="13" t="s">
        <v>1027</v>
      </c>
      <c r="O260" s="11" t="s">
        <v>118</v>
      </c>
      <c r="P260" s="11" t="s">
        <v>776</v>
      </c>
      <c r="Q260" s="11" t="s">
        <v>126</v>
      </c>
      <c r="R260" s="11" t="s">
        <v>150</v>
      </c>
      <c r="T260" s="11" t="s">
        <v>125</v>
      </c>
      <c r="U260" s="11" t="s">
        <v>1014</v>
      </c>
      <c r="Z260" s="11">
        <v>46122</v>
      </c>
      <c r="AA260" s="11">
        <v>46122</v>
      </c>
      <c r="AB260" s="11" t="s">
        <v>30</v>
      </c>
      <c r="AC260" s="11">
        <v>48</v>
      </c>
      <c r="AD260" s="11" t="s">
        <v>1028</v>
      </c>
      <c r="AE260" s="11" t="s">
        <v>993</v>
      </c>
    </row>
    <row r="261" spans="2:31" x14ac:dyDescent="0.35">
      <c r="B261" s="24" t="s">
        <v>49</v>
      </c>
      <c r="C261" s="12">
        <v>256</v>
      </c>
      <c r="D261" s="11" t="s">
        <v>1108</v>
      </c>
      <c r="E261" s="11" t="s">
        <v>774</v>
      </c>
      <c r="F261" s="12" t="s">
        <v>694</v>
      </c>
      <c r="G261" s="12" t="s">
        <v>246</v>
      </c>
      <c r="H261" s="12" t="s">
        <v>246</v>
      </c>
      <c r="I261" s="12" t="s">
        <v>60</v>
      </c>
      <c r="J261" s="12" t="s">
        <v>774</v>
      </c>
      <c r="K261" s="12" t="s">
        <v>118</v>
      </c>
      <c r="L261" s="12" t="s">
        <v>247</v>
      </c>
      <c r="N261" s="13">
        <v>947129006</v>
      </c>
      <c r="O261" s="11" t="s">
        <v>118</v>
      </c>
      <c r="P261" s="11" t="s">
        <v>776</v>
      </c>
      <c r="Q261" s="11" t="s">
        <v>126</v>
      </c>
      <c r="R261" s="11" t="s">
        <v>150</v>
      </c>
      <c r="S261" s="11" t="s">
        <v>126</v>
      </c>
      <c r="T261" s="11" t="s">
        <v>125</v>
      </c>
      <c r="U261" s="11" t="s">
        <v>1014</v>
      </c>
      <c r="V261" s="11">
        <v>46120</v>
      </c>
      <c r="Y261" s="11">
        <v>46125</v>
      </c>
      <c r="Z261" s="11">
        <v>46126</v>
      </c>
      <c r="AA261" s="11">
        <v>46126</v>
      </c>
      <c r="AB261" s="11" t="s">
        <v>30</v>
      </c>
      <c r="AC261" s="11">
        <v>45</v>
      </c>
      <c r="AD261" s="11" t="s">
        <v>1029</v>
      </c>
      <c r="AE261" s="11" t="s">
        <v>993</v>
      </c>
    </row>
    <row r="262" spans="2:31" x14ac:dyDescent="0.35">
      <c r="B262" s="24" t="s">
        <v>49</v>
      </c>
      <c r="C262" s="12">
        <v>257</v>
      </c>
      <c r="D262" s="11" t="s">
        <v>811</v>
      </c>
      <c r="E262" s="11" t="s">
        <v>774</v>
      </c>
      <c r="F262" s="12" t="s">
        <v>785</v>
      </c>
      <c r="G262" s="12" t="s">
        <v>246</v>
      </c>
      <c r="H262" s="12" t="s">
        <v>246</v>
      </c>
      <c r="I262" s="12" t="s">
        <v>60</v>
      </c>
      <c r="J262" s="12" t="s">
        <v>774</v>
      </c>
      <c r="K262" s="12" t="s">
        <v>118</v>
      </c>
      <c r="L262" s="12" t="s">
        <v>247</v>
      </c>
      <c r="N262" s="13">
        <v>989871865</v>
      </c>
      <c r="O262" s="11" t="s">
        <v>118</v>
      </c>
      <c r="P262" s="11" t="s">
        <v>776</v>
      </c>
      <c r="Q262" s="11" t="s">
        <v>126</v>
      </c>
      <c r="R262" s="11" t="s">
        <v>150</v>
      </c>
      <c r="S262" s="11" t="s">
        <v>125</v>
      </c>
      <c r="T262" s="11" t="s">
        <v>126</v>
      </c>
      <c r="U262" s="11" t="s">
        <v>38</v>
      </c>
      <c r="V262" s="11">
        <v>46171</v>
      </c>
      <c r="AE262" s="11" t="s">
        <v>993</v>
      </c>
    </row>
    <row r="263" spans="2:31" x14ac:dyDescent="0.35">
      <c r="B263" s="24" t="s">
        <v>49</v>
      </c>
      <c r="C263" s="12">
        <v>258</v>
      </c>
      <c r="D263" s="11" t="s">
        <v>812</v>
      </c>
      <c r="E263" s="11" t="s">
        <v>774</v>
      </c>
      <c r="F263" s="12" t="s">
        <v>694</v>
      </c>
      <c r="G263" s="12" t="s">
        <v>246</v>
      </c>
      <c r="H263" s="12" t="s">
        <v>246</v>
      </c>
      <c r="I263" s="12" t="s">
        <v>60</v>
      </c>
      <c r="J263" s="12" t="s">
        <v>774</v>
      </c>
      <c r="K263" s="12" t="s">
        <v>118</v>
      </c>
      <c r="L263" s="12" t="s">
        <v>247</v>
      </c>
      <c r="N263" s="13">
        <v>977551307</v>
      </c>
      <c r="O263" s="11" t="s">
        <v>118</v>
      </c>
      <c r="P263" s="11" t="s">
        <v>776</v>
      </c>
      <c r="Q263" s="11" t="s">
        <v>126</v>
      </c>
      <c r="R263" s="11" t="s">
        <v>150</v>
      </c>
      <c r="T263" s="11" t="s">
        <v>126</v>
      </c>
      <c r="U263" s="11" t="s">
        <v>992</v>
      </c>
      <c r="AE263" s="11" t="s">
        <v>1768</v>
      </c>
    </row>
    <row r="264" spans="2:31" x14ac:dyDescent="0.35">
      <c r="B264" s="24" t="s">
        <v>49</v>
      </c>
      <c r="C264" s="12">
        <v>259</v>
      </c>
      <c r="D264" s="11" t="s">
        <v>813</v>
      </c>
      <c r="E264" s="11" t="s">
        <v>774</v>
      </c>
      <c r="F264" s="12" t="s">
        <v>286</v>
      </c>
      <c r="G264" s="12" t="s">
        <v>246</v>
      </c>
      <c r="H264" s="12" t="s">
        <v>246</v>
      </c>
      <c r="I264" s="12" t="s">
        <v>60</v>
      </c>
      <c r="J264" s="12" t="s">
        <v>774</v>
      </c>
      <c r="K264" s="12" t="s">
        <v>118</v>
      </c>
      <c r="L264" s="12" t="s">
        <v>247</v>
      </c>
      <c r="N264" s="13">
        <v>935045398</v>
      </c>
      <c r="O264" s="11" t="s">
        <v>118</v>
      </c>
      <c r="P264" s="11" t="s">
        <v>776</v>
      </c>
      <c r="Q264" s="11" t="s">
        <v>126</v>
      </c>
      <c r="R264" s="11" t="s">
        <v>150</v>
      </c>
      <c r="T264" s="11" t="s">
        <v>126</v>
      </c>
      <c r="U264" s="11" t="s">
        <v>992</v>
      </c>
      <c r="AE264" s="11" t="s">
        <v>1768</v>
      </c>
    </row>
    <row r="265" spans="2:31" x14ac:dyDescent="0.35">
      <c r="B265" s="24" t="s">
        <v>49</v>
      </c>
      <c r="C265" s="12">
        <v>260</v>
      </c>
      <c r="D265" s="11" t="s">
        <v>814</v>
      </c>
      <c r="E265" s="11" t="s">
        <v>69</v>
      </c>
      <c r="F265" s="12" t="s">
        <v>494</v>
      </c>
      <c r="G265" s="12" t="s">
        <v>246</v>
      </c>
      <c r="H265" s="12" t="s">
        <v>246</v>
      </c>
      <c r="I265" s="12" t="s">
        <v>430</v>
      </c>
      <c r="J265" s="12" t="s">
        <v>1024</v>
      </c>
      <c r="K265" s="12" t="s">
        <v>69</v>
      </c>
      <c r="L265" s="12" t="s">
        <v>247</v>
      </c>
      <c r="N265" s="13" t="s">
        <v>815</v>
      </c>
      <c r="O265" s="11" t="s">
        <v>816</v>
      </c>
      <c r="P265" s="11" t="s">
        <v>600</v>
      </c>
      <c r="Q265" s="11" t="s">
        <v>125</v>
      </c>
      <c r="R265" s="11" t="s">
        <v>150</v>
      </c>
      <c r="S265" s="11" t="s">
        <v>125</v>
      </c>
      <c r="T265" s="11" t="s">
        <v>125</v>
      </c>
      <c r="U265" s="11" t="s">
        <v>38</v>
      </c>
      <c r="V265" s="11">
        <v>46147</v>
      </c>
      <c r="AE265" s="11" t="s">
        <v>993</v>
      </c>
    </row>
    <row r="266" spans="2:31" x14ac:dyDescent="0.35">
      <c r="B266" s="24" t="s">
        <v>49</v>
      </c>
      <c r="C266" s="12">
        <v>261</v>
      </c>
      <c r="D266" s="11" t="s">
        <v>817</v>
      </c>
      <c r="E266" s="11" t="s">
        <v>69</v>
      </c>
      <c r="F266" s="12" t="s">
        <v>286</v>
      </c>
      <c r="G266" s="12" t="s">
        <v>246</v>
      </c>
      <c r="H266" s="12" t="s">
        <v>246</v>
      </c>
      <c r="I266" s="12" t="s">
        <v>430</v>
      </c>
      <c r="J266" s="12" t="s">
        <v>1024</v>
      </c>
      <c r="K266" s="12" t="s">
        <v>69</v>
      </c>
      <c r="L266" s="12" t="s">
        <v>247</v>
      </c>
      <c r="N266" s="13" t="s">
        <v>818</v>
      </c>
      <c r="O266" s="11" t="s">
        <v>816</v>
      </c>
      <c r="P266" s="11" t="s">
        <v>600</v>
      </c>
      <c r="Q266" s="11" t="s">
        <v>125</v>
      </c>
      <c r="R266" s="11" t="s">
        <v>150</v>
      </c>
      <c r="S266" s="11" t="s">
        <v>125</v>
      </c>
      <c r="T266" s="11" t="s">
        <v>125</v>
      </c>
      <c r="U266" s="11" t="s">
        <v>38</v>
      </c>
      <c r="V266" s="11">
        <v>46147</v>
      </c>
      <c r="AE266" s="11" t="s">
        <v>993</v>
      </c>
    </row>
    <row r="267" spans="2:31" x14ac:dyDescent="0.35">
      <c r="B267" s="24" t="s">
        <v>49</v>
      </c>
      <c r="C267" s="12">
        <v>262</v>
      </c>
      <c r="D267" s="11" t="s">
        <v>819</v>
      </c>
      <c r="E267" s="11" t="s">
        <v>69</v>
      </c>
      <c r="F267" s="12" t="s">
        <v>305</v>
      </c>
      <c r="G267" s="12" t="s">
        <v>246</v>
      </c>
      <c r="H267" s="12" t="s">
        <v>246</v>
      </c>
      <c r="I267" s="12" t="s">
        <v>430</v>
      </c>
      <c r="J267" s="12" t="s">
        <v>1024</v>
      </c>
      <c r="K267" s="12" t="s">
        <v>69</v>
      </c>
      <c r="L267" s="12" t="s">
        <v>247</v>
      </c>
      <c r="N267" s="13" t="s">
        <v>820</v>
      </c>
      <c r="O267" s="11" t="s">
        <v>816</v>
      </c>
      <c r="P267" s="11" t="s">
        <v>600</v>
      </c>
      <c r="Q267" s="11" t="s">
        <v>125</v>
      </c>
      <c r="R267" s="11" t="s">
        <v>150</v>
      </c>
      <c r="S267" s="11" t="s">
        <v>125</v>
      </c>
      <c r="T267" s="11" t="s">
        <v>125</v>
      </c>
      <c r="U267" s="11" t="s">
        <v>38</v>
      </c>
      <c r="V267" s="11">
        <v>46147</v>
      </c>
      <c r="AE267" s="11" t="s">
        <v>993</v>
      </c>
    </row>
    <row r="268" spans="2:31" x14ac:dyDescent="0.35">
      <c r="B268" s="24" t="s">
        <v>295</v>
      </c>
      <c r="C268" s="12">
        <v>263</v>
      </c>
      <c r="D268" s="11" t="s">
        <v>821</v>
      </c>
      <c r="E268" s="11" t="s">
        <v>69</v>
      </c>
      <c r="F268" s="12" t="s">
        <v>295</v>
      </c>
      <c r="G268" s="12" t="s">
        <v>246</v>
      </c>
      <c r="H268" s="12" t="s">
        <v>246</v>
      </c>
      <c r="I268" s="12" t="s">
        <v>430</v>
      </c>
      <c r="J268" s="12" t="s">
        <v>1024</v>
      </c>
      <c r="K268" s="12" t="s">
        <v>69</v>
      </c>
      <c r="L268" s="12" t="s">
        <v>247</v>
      </c>
      <c r="N268" s="13" t="s">
        <v>822</v>
      </c>
      <c r="O268" s="11" t="s">
        <v>816</v>
      </c>
      <c r="P268" s="11" t="s">
        <v>600</v>
      </c>
      <c r="Q268" s="11" t="s">
        <v>125</v>
      </c>
      <c r="R268" s="11" t="s">
        <v>150</v>
      </c>
      <c r="S268" s="11" t="s">
        <v>125</v>
      </c>
      <c r="T268" s="11" t="s">
        <v>125</v>
      </c>
      <c r="U268" s="11" t="s">
        <v>29</v>
      </c>
      <c r="V268" s="11" t="s">
        <v>38</v>
      </c>
      <c r="W268" s="11">
        <v>46179</v>
      </c>
      <c r="AE268" s="11" t="s">
        <v>993</v>
      </c>
    </row>
    <row r="269" spans="2:31" x14ac:dyDescent="0.35">
      <c r="B269" s="24" t="s">
        <v>49</v>
      </c>
      <c r="C269" s="12">
        <v>264</v>
      </c>
      <c r="D269" s="11" t="s">
        <v>823</v>
      </c>
      <c r="E269" s="11" t="s">
        <v>69</v>
      </c>
      <c r="F269" s="12" t="s">
        <v>374</v>
      </c>
      <c r="G269" s="12" t="s">
        <v>246</v>
      </c>
      <c r="H269" s="12" t="s">
        <v>246</v>
      </c>
      <c r="I269" s="12" t="s">
        <v>430</v>
      </c>
      <c r="J269" s="12" t="s">
        <v>1024</v>
      </c>
      <c r="K269" s="12" t="s">
        <v>69</v>
      </c>
      <c r="L269" s="12" t="s">
        <v>247</v>
      </c>
      <c r="N269" s="13" t="s">
        <v>824</v>
      </c>
      <c r="O269" s="11" t="s">
        <v>816</v>
      </c>
      <c r="P269" s="11" t="s">
        <v>600</v>
      </c>
      <c r="Q269" s="11" t="s">
        <v>125</v>
      </c>
      <c r="R269" s="11" t="s">
        <v>150</v>
      </c>
      <c r="S269" s="11" t="s">
        <v>125</v>
      </c>
      <c r="T269" s="11" t="s">
        <v>125</v>
      </c>
      <c r="U269" s="11" t="s">
        <v>1014</v>
      </c>
      <c r="V269" s="11">
        <v>46147</v>
      </c>
      <c r="Z269" s="11">
        <v>46136</v>
      </c>
      <c r="AA269" s="11">
        <v>46136</v>
      </c>
      <c r="AB269" s="11" t="s">
        <v>30</v>
      </c>
      <c r="AC269" s="11">
        <v>30</v>
      </c>
      <c r="AE269" s="11" t="s">
        <v>993</v>
      </c>
    </row>
    <row r="270" spans="2:31" x14ac:dyDescent="0.35">
      <c r="B270" s="24" t="s">
        <v>314</v>
      </c>
      <c r="C270" s="12">
        <v>265</v>
      </c>
      <c r="D270" s="11" t="s">
        <v>825</v>
      </c>
      <c r="E270" s="11" t="s">
        <v>69</v>
      </c>
      <c r="F270" s="12" t="s">
        <v>314</v>
      </c>
      <c r="G270" s="12" t="s">
        <v>246</v>
      </c>
      <c r="H270" s="12" t="s">
        <v>246</v>
      </c>
      <c r="I270" s="12" t="s">
        <v>430</v>
      </c>
      <c r="J270" s="12" t="s">
        <v>1024</v>
      </c>
      <c r="K270" s="12" t="s">
        <v>69</v>
      </c>
      <c r="L270" s="12" t="s">
        <v>247</v>
      </c>
      <c r="N270" s="13" t="s">
        <v>826</v>
      </c>
      <c r="O270" s="11" t="s">
        <v>816</v>
      </c>
      <c r="P270" s="11" t="s">
        <v>600</v>
      </c>
      <c r="Q270" s="11" t="s">
        <v>125</v>
      </c>
      <c r="R270" s="11" t="s">
        <v>150</v>
      </c>
      <c r="S270" s="11" t="s">
        <v>125</v>
      </c>
      <c r="T270" s="11" t="s">
        <v>125</v>
      </c>
      <c r="U270" s="11" t="s">
        <v>38</v>
      </c>
      <c r="V270" s="11">
        <v>46147</v>
      </c>
      <c r="AE270" s="11" t="s">
        <v>993</v>
      </c>
    </row>
    <row r="271" spans="2:31" x14ac:dyDescent="0.35">
      <c r="B271" s="24" t="s">
        <v>314</v>
      </c>
      <c r="C271" s="12">
        <v>266</v>
      </c>
      <c r="D271" s="11" t="s">
        <v>827</v>
      </c>
      <c r="E271" s="11" t="s">
        <v>69</v>
      </c>
      <c r="F271" s="12" t="s">
        <v>314</v>
      </c>
      <c r="G271" s="12" t="s">
        <v>246</v>
      </c>
      <c r="H271" s="12" t="s">
        <v>246</v>
      </c>
      <c r="I271" s="12" t="s">
        <v>430</v>
      </c>
      <c r="J271" s="12" t="s">
        <v>1024</v>
      </c>
      <c r="K271" s="12" t="s">
        <v>69</v>
      </c>
      <c r="L271" s="12" t="s">
        <v>247</v>
      </c>
      <c r="N271" s="13" t="s">
        <v>828</v>
      </c>
      <c r="O271" s="11" t="s">
        <v>816</v>
      </c>
      <c r="P271" s="11" t="s">
        <v>600</v>
      </c>
      <c r="Q271" s="11" t="s">
        <v>125</v>
      </c>
      <c r="R271" s="11" t="s">
        <v>150</v>
      </c>
      <c r="S271" s="11" t="s">
        <v>125</v>
      </c>
      <c r="T271" s="11" t="s">
        <v>125</v>
      </c>
      <c r="U271" s="11" t="s">
        <v>38</v>
      </c>
      <c r="V271" s="11">
        <v>46147</v>
      </c>
      <c r="AE271" s="11" t="s">
        <v>993</v>
      </c>
    </row>
    <row r="272" spans="2:31" x14ac:dyDescent="0.35">
      <c r="B272" s="24" t="s">
        <v>49</v>
      </c>
      <c r="C272" s="12">
        <v>267</v>
      </c>
      <c r="D272" s="11" t="s">
        <v>829</v>
      </c>
      <c r="E272" s="11" t="s">
        <v>69</v>
      </c>
      <c r="F272" s="12" t="s">
        <v>554</v>
      </c>
      <c r="G272" s="12" t="s">
        <v>246</v>
      </c>
      <c r="H272" s="12" t="s">
        <v>246</v>
      </c>
      <c r="I272" s="12" t="s">
        <v>430</v>
      </c>
      <c r="J272" s="12" t="s">
        <v>1024</v>
      </c>
      <c r="K272" s="12" t="s">
        <v>69</v>
      </c>
      <c r="L272" s="12" t="s">
        <v>247</v>
      </c>
      <c r="N272" s="13" t="s">
        <v>830</v>
      </c>
      <c r="O272" s="11" t="s">
        <v>816</v>
      </c>
      <c r="P272" s="11" t="s">
        <v>600</v>
      </c>
      <c r="Q272" s="11" t="s">
        <v>125</v>
      </c>
      <c r="R272" s="11" t="s">
        <v>150</v>
      </c>
      <c r="S272" s="11" t="s">
        <v>125</v>
      </c>
      <c r="T272" s="11" t="s">
        <v>125</v>
      </c>
      <c r="U272" s="11" t="s">
        <v>29</v>
      </c>
      <c r="V272" s="11">
        <v>46147</v>
      </c>
      <c r="W272" s="11">
        <v>46176</v>
      </c>
      <c r="AD272" s="11" t="s">
        <v>1290</v>
      </c>
      <c r="AE272" s="11" t="s">
        <v>993</v>
      </c>
    </row>
    <row r="273" spans="2:31" x14ac:dyDescent="0.35">
      <c r="B273" s="24" t="s">
        <v>49</v>
      </c>
      <c r="C273" s="12">
        <v>268</v>
      </c>
      <c r="D273" s="11" t="s">
        <v>831</v>
      </c>
      <c r="E273" s="11" t="s">
        <v>69</v>
      </c>
      <c r="F273" s="12" t="s">
        <v>557</v>
      </c>
      <c r="G273" s="12" t="s">
        <v>246</v>
      </c>
      <c r="H273" s="12" t="s">
        <v>246</v>
      </c>
      <c r="I273" s="12" t="s">
        <v>430</v>
      </c>
      <c r="J273" s="12" t="s">
        <v>1024</v>
      </c>
      <c r="K273" s="12" t="s">
        <v>69</v>
      </c>
      <c r="L273" s="12" t="s">
        <v>247</v>
      </c>
      <c r="N273" s="13" t="s">
        <v>832</v>
      </c>
      <c r="O273" s="11" t="s">
        <v>816</v>
      </c>
      <c r="P273" s="11" t="s">
        <v>600</v>
      </c>
      <c r="Q273" s="11" t="s">
        <v>125</v>
      </c>
      <c r="R273" s="11" t="s">
        <v>150</v>
      </c>
      <c r="S273" s="11" t="s">
        <v>125</v>
      </c>
      <c r="T273" s="11" t="s">
        <v>125</v>
      </c>
      <c r="U273" s="11" t="s">
        <v>38</v>
      </c>
      <c r="V273" s="11">
        <v>46147</v>
      </c>
      <c r="AE273" s="11" t="s">
        <v>993</v>
      </c>
    </row>
    <row r="274" spans="2:31" x14ac:dyDescent="0.35">
      <c r="B274" s="24" t="s">
        <v>49</v>
      </c>
      <c r="C274" s="12">
        <v>269</v>
      </c>
      <c r="D274" s="11" t="s">
        <v>833</v>
      </c>
      <c r="E274" s="11" t="s">
        <v>69</v>
      </c>
      <c r="F274" s="12" t="s">
        <v>407</v>
      </c>
      <c r="G274" s="12" t="s">
        <v>246</v>
      </c>
      <c r="H274" s="12" t="s">
        <v>246</v>
      </c>
      <c r="I274" s="12" t="s">
        <v>60</v>
      </c>
      <c r="J274" s="12" t="s">
        <v>1024</v>
      </c>
      <c r="K274" s="12" t="s">
        <v>69</v>
      </c>
      <c r="L274" s="12" t="s">
        <v>247</v>
      </c>
      <c r="N274" s="13" t="s">
        <v>834</v>
      </c>
      <c r="O274" s="11" t="s">
        <v>816</v>
      </c>
      <c r="P274" s="11" t="s">
        <v>600</v>
      </c>
      <c r="Q274" s="11" t="s">
        <v>125</v>
      </c>
      <c r="R274" s="11" t="s">
        <v>150</v>
      </c>
      <c r="T274" s="11" t="s">
        <v>126</v>
      </c>
      <c r="U274" s="11" t="s">
        <v>992</v>
      </c>
      <c r="AE274" s="11" t="s">
        <v>1768</v>
      </c>
    </row>
    <row r="275" spans="2:31" x14ac:dyDescent="0.35">
      <c r="B275" s="24" t="s">
        <v>49</v>
      </c>
      <c r="C275" s="12">
        <v>270</v>
      </c>
      <c r="D275" s="11" t="s">
        <v>835</v>
      </c>
      <c r="E275" s="11" t="s">
        <v>69</v>
      </c>
      <c r="F275" s="12" t="s">
        <v>411</v>
      </c>
      <c r="G275" s="12" t="s">
        <v>246</v>
      </c>
      <c r="H275" s="12" t="s">
        <v>246</v>
      </c>
      <c r="I275" s="12" t="s">
        <v>60</v>
      </c>
      <c r="J275" s="12" t="s">
        <v>1024</v>
      </c>
      <c r="K275" s="12" t="s">
        <v>69</v>
      </c>
      <c r="L275" s="12" t="s">
        <v>247</v>
      </c>
      <c r="N275" s="13" t="s">
        <v>836</v>
      </c>
      <c r="O275" s="11" t="s">
        <v>816</v>
      </c>
      <c r="P275" s="11" t="s">
        <v>600</v>
      </c>
      <c r="Q275" s="11" t="s">
        <v>125</v>
      </c>
      <c r="R275" s="11" t="s">
        <v>150</v>
      </c>
      <c r="T275" s="11" t="s">
        <v>126</v>
      </c>
      <c r="U275" s="11" t="s">
        <v>992</v>
      </c>
      <c r="AE275" s="11" t="s">
        <v>1768</v>
      </c>
    </row>
    <row r="276" spans="2:31" x14ac:dyDescent="0.35">
      <c r="B276" s="24" t="s">
        <v>49</v>
      </c>
      <c r="C276" s="12">
        <v>271</v>
      </c>
      <c r="D276" s="11" t="s">
        <v>837</v>
      </c>
      <c r="E276" s="11" t="s">
        <v>69</v>
      </c>
      <c r="F276" s="12" t="s">
        <v>606</v>
      </c>
      <c r="G276" s="12" t="s">
        <v>246</v>
      </c>
      <c r="H276" s="12" t="s">
        <v>246</v>
      </c>
      <c r="I276" s="12" t="s">
        <v>60</v>
      </c>
      <c r="J276" s="12" t="s">
        <v>1024</v>
      </c>
      <c r="K276" s="12" t="s">
        <v>69</v>
      </c>
      <c r="L276" s="12" t="s">
        <v>247</v>
      </c>
      <c r="N276" s="13" t="s">
        <v>838</v>
      </c>
      <c r="O276" s="11" t="s">
        <v>816</v>
      </c>
      <c r="P276" s="11" t="s">
        <v>600</v>
      </c>
      <c r="Q276" s="11" t="s">
        <v>125</v>
      </c>
      <c r="R276" s="11" t="s">
        <v>150</v>
      </c>
      <c r="T276" s="11" t="s">
        <v>126</v>
      </c>
      <c r="U276" s="11" t="s">
        <v>992</v>
      </c>
      <c r="AE276" s="11" t="s">
        <v>1768</v>
      </c>
    </row>
    <row r="277" spans="2:31" x14ac:dyDescent="0.35">
      <c r="B277" s="24" t="s">
        <v>49</v>
      </c>
      <c r="C277" s="12">
        <v>272</v>
      </c>
      <c r="D277" s="11" t="s">
        <v>839</v>
      </c>
      <c r="E277" s="11" t="s">
        <v>69</v>
      </c>
      <c r="F277" s="12" t="s">
        <v>840</v>
      </c>
      <c r="G277" s="12" t="s">
        <v>246</v>
      </c>
      <c r="H277" s="12" t="s">
        <v>246</v>
      </c>
      <c r="I277" s="12" t="s">
        <v>60</v>
      </c>
      <c r="J277" s="12" t="s">
        <v>1024</v>
      </c>
      <c r="K277" s="12" t="s">
        <v>69</v>
      </c>
      <c r="L277" s="12" t="s">
        <v>247</v>
      </c>
      <c r="N277" s="13" t="s">
        <v>841</v>
      </c>
      <c r="O277" s="11" t="s">
        <v>816</v>
      </c>
      <c r="P277" s="11" t="s">
        <v>600</v>
      </c>
      <c r="Q277" s="11" t="s">
        <v>125</v>
      </c>
      <c r="R277" s="11" t="s">
        <v>150</v>
      </c>
      <c r="T277" s="11" t="s">
        <v>126</v>
      </c>
      <c r="U277" s="11" t="s">
        <v>992</v>
      </c>
      <c r="AE277" s="11" t="s">
        <v>1768</v>
      </c>
    </row>
    <row r="278" spans="2:31" x14ac:dyDescent="0.35">
      <c r="B278" s="24" t="s">
        <v>49</v>
      </c>
      <c r="C278" s="12">
        <v>273</v>
      </c>
      <c r="D278" s="11" t="s">
        <v>842</v>
      </c>
      <c r="E278" s="11" t="s">
        <v>69</v>
      </c>
      <c r="F278" s="12" t="s">
        <v>543</v>
      </c>
      <c r="G278" s="12" t="s">
        <v>246</v>
      </c>
      <c r="H278" s="12" t="s">
        <v>246</v>
      </c>
      <c r="I278" s="12" t="s">
        <v>60</v>
      </c>
      <c r="J278" s="12" t="s">
        <v>1024</v>
      </c>
      <c r="K278" s="12" t="s">
        <v>69</v>
      </c>
      <c r="L278" s="12" t="s">
        <v>247</v>
      </c>
      <c r="N278" s="13" t="s">
        <v>843</v>
      </c>
      <c r="O278" s="11" t="s">
        <v>816</v>
      </c>
      <c r="P278" s="11" t="s">
        <v>600</v>
      </c>
      <c r="Q278" s="11" t="s">
        <v>125</v>
      </c>
      <c r="R278" s="11" t="s">
        <v>150</v>
      </c>
      <c r="T278" s="11" t="s">
        <v>126</v>
      </c>
      <c r="U278" s="11" t="s">
        <v>992</v>
      </c>
      <c r="AE278" s="11" t="s">
        <v>1768</v>
      </c>
    </row>
    <row r="279" spans="2:31" x14ac:dyDescent="0.35">
      <c r="B279" s="24" t="s">
        <v>49</v>
      </c>
      <c r="C279" s="12">
        <v>274</v>
      </c>
      <c r="D279" s="11" t="s">
        <v>844</v>
      </c>
      <c r="E279" s="11" t="s">
        <v>69</v>
      </c>
      <c r="F279" s="12" t="s">
        <v>435</v>
      </c>
      <c r="G279" s="12" t="s">
        <v>246</v>
      </c>
      <c r="H279" s="12" t="s">
        <v>246</v>
      </c>
      <c r="I279" s="12" t="s">
        <v>60</v>
      </c>
      <c r="J279" s="12" t="s">
        <v>1024</v>
      </c>
      <c r="K279" s="12" t="s">
        <v>69</v>
      </c>
      <c r="L279" s="12" t="s">
        <v>247</v>
      </c>
      <c r="N279" s="13" t="s">
        <v>845</v>
      </c>
      <c r="O279" s="11" t="s">
        <v>816</v>
      </c>
      <c r="P279" s="11" t="s">
        <v>600</v>
      </c>
      <c r="Q279" s="11" t="s">
        <v>125</v>
      </c>
      <c r="R279" s="11" t="s">
        <v>150</v>
      </c>
      <c r="T279" s="11" t="s">
        <v>126</v>
      </c>
      <c r="U279" s="11" t="s">
        <v>992</v>
      </c>
      <c r="AE279" s="11" t="s">
        <v>1768</v>
      </c>
    </row>
    <row r="280" spans="2:31" x14ac:dyDescent="0.35">
      <c r="B280" s="24" t="s">
        <v>49</v>
      </c>
      <c r="C280" s="12">
        <v>275</v>
      </c>
      <c r="D280" s="11" t="s">
        <v>846</v>
      </c>
      <c r="E280" s="11" t="s">
        <v>69</v>
      </c>
      <c r="F280" s="12" t="s">
        <v>447</v>
      </c>
      <c r="G280" s="12" t="s">
        <v>246</v>
      </c>
      <c r="H280" s="12" t="s">
        <v>246</v>
      </c>
      <c r="I280" s="12" t="s">
        <v>60</v>
      </c>
      <c r="J280" s="12" t="s">
        <v>1024</v>
      </c>
      <c r="K280" s="12" t="s">
        <v>69</v>
      </c>
      <c r="L280" s="12" t="s">
        <v>247</v>
      </c>
      <c r="N280" s="13" t="s">
        <v>847</v>
      </c>
      <c r="O280" s="11" t="s">
        <v>816</v>
      </c>
      <c r="P280" s="11" t="s">
        <v>600</v>
      </c>
      <c r="Q280" s="11" t="s">
        <v>125</v>
      </c>
      <c r="R280" s="11" t="s">
        <v>150</v>
      </c>
      <c r="S280" s="11" t="s">
        <v>125</v>
      </c>
      <c r="T280" s="11" t="s">
        <v>126</v>
      </c>
      <c r="U280" s="11" t="s">
        <v>38</v>
      </c>
      <c r="V280" s="11">
        <v>46171</v>
      </c>
      <c r="AE280" s="11" t="s">
        <v>993</v>
      </c>
    </row>
    <row r="281" spans="2:31" x14ac:dyDescent="0.35">
      <c r="B281" s="24" t="s">
        <v>49</v>
      </c>
      <c r="C281" s="12">
        <v>276</v>
      </c>
      <c r="D281" s="11" t="s">
        <v>848</v>
      </c>
      <c r="E281" s="11" t="s">
        <v>69</v>
      </c>
      <c r="F281" s="12" t="s">
        <v>783</v>
      </c>
      <c r="G281" s="12" t="s">
        <v>246</v>
      </c>
      <c r="H281" s="12" t="s">
        <v>246</v>
      </c>
      <c r="I281" s="12" t="s">
        <v>60</v>
      </c>
      <c r="J281" s="12" t="s">
        <v>1024</v>
      </c>
      <c r="K281" s="12" t="s">
        <v>69</v>
      </c>
      <c r="L281" s="12" t="s">
        <v>247</v>
      </c>
      <c r="N281" s="13" t="s">
        <v>849</v>
      </c>
      <c r="O281" s="11" t="s">
        <v>816</v>
      </c>
      <c r="P281" s="11" t="s">
        <v>600</v>
      </c>
      <c r="Q281" s="11" t="s">
        <v>125</v>
      </c>
      <c r="R281" s="11" t="s">
        <v>150</v>
      </c>
      <c r="S281" s="11" t="s">
        <v>125</v>
      </c>
      <c r="T281" s="11" t="s">
        <v>126</v>
      </c>
      <c r="U281" s="11" t="s">
        <v>38</v>
      </c>
      <c r="V281" s="11">
        <v>46171</v>
      </c>
      <c r="AE281" s="11" t="s">
        <v>993</v>
      </c>
    </row>
    <row r="282" spans="2:31" x14ac:dyDescent="0.35">
      <c r="B282" s="24" t="s">
        <v>283</v>
      </c>
      <c r="C282" s="12">
        <v>277</v>
      </c>
      <c r="D282" s="11" t="s">
        <v>850</v>
      </c>
      <c r="E282" s="11" t="s">
        <v>69</v>
      </c>
      <c r="F282" s="12" t="s">
        <v>283</v>
      </c>
      <c r="G282" s="12" t="s">
        <v>246</v>
      </c>
      <c r="H282" s="12" t="s">
        <v>246</v>
      </c>
      <c r="I282" s="12" t="s">
        <v>60</v>
      </c>
      <c r="J282" s="12" t="s">
        <v>1024</v>
      </c>
      <c r="K282" s="12" t="s">
        <v>69</v>
      </c>
      <c r="L282" s="12" t="s">
        <v>247</v>
      </c>
      <c r="N282" s="13" t="s">
        <v>851</v>
      </c>
      <c r="O282" s="11" t="s">
        <v>816</v>
      </c>
      <c r="P282" s="11" t="s">
        <v>600</v>
      </c>
      <c r="Q282" s="11" t="s">
        <v>125</v>
      </c>
      <c r="R282" s="11" t="s">
        <v>150</v>
      </c>
      <c r="S282" s="11" t="s">
        <v>125</v>
      </c>
      <c r="T282" s="11" t="s">
        <v>126</v>
      </c>
      <c r="U282" s="11" t="s">
        <v>38</v>
      </c>
      <c r="V282" s="11">
        <v>46171</v>
      </c>
      <c r="AE282" s="11" t="s">
        <v>993</v>
      </c>
    </row>
    <row r="283" spans="2:31" x14ac:dyDescent="0.35">
      <c r="B283" s="24" t="s">
        <v>291</v>
      </c>
      <c r="C283" s="12">
        <v>278</v>
      </c>
      <c r="D283" s="11" t="s">
        <v>852</v>
      </c>
      <c r="E283" s="11" t="s">
        <v>69</v>
      </c>
      <c r="F283" s="12" t="s">
        <v>291</v>
      </c>
      <c r="G283" s="12" t="s">
        <v>246</v>
      </c>
      <c r="H283" s="12" t="s">
        <v>246</v>
      </c>
      <c r="I283" s="12" t="s">
        <v>60</v>
      </c>
      <c r="J283" s="12" t="s">
        <v>1024</v>
      </c>
      <c r="K283" s="12" t="s">
        <v>69</v>
      </c>
      <c r="L283" s="12" t="s">
        <v>247</v>
      </c>
      <c r="N283" s="13" t="s">
        <v>853</v>
      </c>
      <c r="O283" s="11" t="s">
        <v>816</v>
      </c>
      <c r="P283" s="11" t="s">
        <v>600</v>
      </c>
      <c r="Q283" s="11" t="s">
        <v>125</v>
      </c>
      <c r="R283" s="11" t="s">
        <v>150</v>
      </c>
      <c r="S283" s="11" t="s">
        <v>125</v>
      </c>
      <c r="T283" s="11" t="s">
        <v>126</v>
      </c>
      <c r="U283" s="11" t="s">
        <v>38</v>
      </c>
      <c r="V283" s="11">
        <v>46171</v>
      </c>
      <c r="AE283" s="11" t="s">
        <v>993</v>
      </c>
    </row>
    <row r="284" spans="2:31" x14ac:dyDescent="0.35">
      <c r="B284" s="24" t="s">
        <v>308</v>
      </c>
      <c r="C284" s="12">
        <v>279</v>
      </c>
      <c r="D284" s="11" t="s">
        <v>854</v>
      </c>
      <c r="E284" s="11" t="s">
        <v>69</v>
      </c>
      <c r="F284" s="12" t="s">
        <v>308</v>
      </c>
      <c r="G284" s="12" t="s">
        <v>246</v>
      </c>
      <c r="H284" s="12" t="s">
        <v>246</v>
      </c>
      <c r="I284" s="12" t="s">
        <v>60</v>
      </c>
      <c r="J284" s="12" t="s">
        <v>1024</v>
      </c>
      <c r="K284" s="12" t="s">
        <v>69</v>
      </c>
      <c r="L284" s="12" t="s">
        <v>247</v>
      </c>
      <c r="N284" s="13" t="s">
        <v>855</v>
      </c>
      <c r="O284" s="11" t="s">
        <v>816</v>
      </c>
      <c r="P284" s="11" t="s">
        <v>600</v>
      </c>
      <c r="Q284" s="11" t="s">
        <v>125</v>
      </c>
      <c r="R284" s="11" t="s">
        <v>150</v>
      </c>
      <c r="T284" s="11" t="s">
        <v>126</v>
      </c>
      <c r="U284" s="11" t="s">
        <v>992</v>
      </c>
      <c r="AE284" s="11" t="s">
        <v>1768</v>
      </c>
    </row>
    <row r="285" spans="2:31" x14ac:dyDescent="0.35">
      <c r="B285" s="24" t="s">
        <v>278</v>
      </c>
      <c r="C285" s="12">
        <v>280</v>
      </c>
      <c r="D285" s="11" t="s">
        <v>856</v>
      </c>
      <c r="E285" s="11" t="s">
        <v>69</v>
      </c>
      <c r="F285" s="12" t="s">
        <v>278</v>
      </c>
      <c r="G285" s="12" t="s">
        <v>246</v>
      </c>
      <c r="H285" s="12" t="s">
        <v>246</v>
      </c>
      <c r="I285" s="12" t="s">
        <v>60</v>
      </c>
      <c r="J285" s="12" t="s">
        <v>1024</v>
      </c>
      <c r="K285" s="12" t="s">
        <v>69</v>
      </c>
      <c r="L285" s="12" t="s">
        <v>247</v>
      </c>
      <c r="N285" s="13" t="s">
        <v>857</v>
      </c>
      <c r="O285" s="11" t="s">
        <v>816</v>
      </c>
      <c r="P285" s="11" t="s">
        <v>600</v>
      </c>
      <c r="Q285" s="11" t="s">
        <v>125</v>
      </c>
      <c r="R285" s="11" t="s">
        <v>150</v>
      </c>
      <c r="S285" s="11" t="s">
        <v>125</v>
      </c>
      <c r="T285" s="11" t="s">
        <v>126</v>
      </c>
      <c r="U285" s="11" t="s">
        <v>38</v>
      </c>
      <c r="V285" s="11">
        <v>46171</v>
      </c>
      <c r="AE285" s="11" t="s">
        <v>993</v>
      </c>
    </row>
    <row r="286" spans="2:31" x14ac:dyDescent="0.35">
      <c r="B286" s="24" t="s">
        <v>295</v>
      </c>
      <c r="C286" s="12">
        <v>281</v>
      </c>
      <c r="D286" s="11" t="s">
        <v>858</v>
      </c>
      <c r="E286" s="11" t="s">
        <v>69</v>
      </c>
      <c r="F286" s="12" t="s">
        <v>295</v>
      </c>
      <c r="G286" s="12" t="s">
        <v>246</v>
      </c>
      <c r="H286" s="12" t="s">
        <v>246</v>
      </c>
      <c r="I286" s="12" t="s">
        <v>60</v>
      </c>
      <c r="J286" s="12" t="s">
        <v>1024</v>
      </c>
      <c r="K286" s="12" t="s">
        <v>69</v>
      </c>
      <c r="L286" s="12" t="s">
        <v>247</v>
      </c>
      <c r="N286" s="13" t="s">
        <v>859</v>
      </c>
      <c r="O286" s="11" t="s">
        <v>816</v>
      </c>
      <c r="P286" s="11" t="s">
        <v>600</v>
      </c>
      <c r="Q286" s="11" t="s">
        <v>125</v>
      </c>
      <c r="R286" s="11" t="s">
        <v>150</v>
      </c>
      <c r="S286" s="11" t="s">
        <v>125</v>
      </c>
      <c r="T286" s="11" t="s">
        <v>126</v>
      </c>
      <c r="U286" s="11" t="s">
        <v>38</v>
      </c>
      <c r="V286" s="11">
        <v>46171</v>
      </c>
      <c r="AE286" s="11" t="s">
        <v>993</v>
      </c>
    </row>
    <row r="287" spans="2:31" x14ac:dyDescent="0.35">
      <c r="B287" s="24" t="s">
        <v>49</v>
      </c>
      <c r="C287" s="12">
        <v>282</v>
      </c>
      <c r="D287" s="11" t="s">
        <v>860</v>
      </c>
      <c r="E287" s="11" t="s">
        <v>69</v>
      </c>
      <c r="F287" s="12" t="s">
        <v>419</v>
      </c>
      <c r="G287" s="12" t="s">
        <v>246</v>
      </c>
      <c r="H287" s="12" t="s">
        <v>246</v>
      </c>
      <c r="I287" s="12" t="s">
        <v>60</v>
      </c>
      <c r="J287" s="12" t="s">
        <v>1024</v>
      </c>
      <c r="K287" s="12" t="s">
        <v>69</v>
      </c>
      <c r="L287" s="12" t="s">
        <v>247</v>
      </c>
      <c r="N287" s="13" t="s">
        <v>861</v>
      </c>
      <c r="O287" s="11" t="s">
        <v>816</v>
      </c>
      <c r="P287" s="11" t="s">
        <v>600</v>
      </c>
      <c r="Q287" s="11" t="s">
        <v>125</v>
      </c>
      <c r="R287" s="11" t="s">
        <v>150</v>
      </c>
      <c r="S287" s="11" t="s">
        <v>125</v>
      </c>
      <c r="T287" s="11" t="s">
        <v>125</v>
      </c>
      <c r="U287" s="11" t="s">
        <v>29</v>
      </c>
      <c r="V287" s="11">
        <v>46202</v>
      </c>
      <c r="AD287" s="11" t="s">
        <v>1291</v>
      </c>
      <c r="AE287" s="11" t="s">
        <v>993</v>
      </c>
    </row>
    <row r="288" spans="2:31" x14ac:dyDescent="0.35">
      <c r="B288" s="24" t="s">
        <v>49</v>
      </c>
      <c r="C288" s="12">
        <v>283</v>
      </c>
      <c r="D288" s="11" t="s">
        <v>862</v>
      </c>
      <c r="E288" s="11" t="s">
        <v>69</v>
      </c>
      <c r="F288" s="12" t="s">
        <v>49</v>
      </c>
      <c r="G288" s="12" t="s">
        <v>246</v>
      </c>
      <c r="H288" s="12" t="s">
        <v>246</v>
      </c>
      <c r="I288" s="12" t="s">
        <v>60</v>
      </c>
      <c r="J288" s="12" t="s">
        <v>1024</v>
      </c>
      <c r="K288" s="12" t="s">
        <v>69</v>
      </c>
      <c r="L288" s="12" t="s">
        <v>247</v>
      </c>
      <c r="N288" s="13" t="s">
        <v>863</v>
      </c>
      <c r="O288" s="11" t="s">
        <v>816</v>
      </c>
      <c r="P288" s="11" t="s">
        <v>600</v>
      </c>
      <c r="Q288" s="11" t="s">
        <v>125</v>
      </c>
      <c r="R288" s="11" t="s">
        <v>150</v>
      </c>
      <c r="S288" s="11" t="s">
        <v>125</v>
      </c>
      <c r="T288" s="11" t="s">
        <v>126</v>
      </c>
      <c r="U288" s="11" t="s">
        <v>38</v>
      </c>
      <c r="V288" s="11">
        <v>46171</v>
      </c>
      <c r="AE288" s="11" t="s">
        <v>993</v>
      </c>
    </row>
    <row r="289" spans="2:31" x14ac:dyDescent="0.35">
      <c r="B289" s="24" t="s">
        <v>49</v>
      </c>
      <c r="C289" s="12">
        <v>284</v>
      </c>
      <c r="D289" s="11" t="s">
        <v>864</v>
      </c>
      <c r="E289" s="11" t="s">
        <v>69</v>
      </c>
      <c r="F289" s="12" t="s">
        <v>130</v>
      </c>
      <c r="G289" s="12" t="s">
        <v>246</v>
      </c>
      <c r="H289" s="12" t="s">
        <v>246</v>
      </c>
      <c r="I289" s="12" t="s">
        <v>60</v>
      </c>
      <c r="J289" s="12" t="s">
        <v>1024</v>
      </c>
      <c r="K289" s="12" t="s">
        <v>69</v>
      </c>
      <c r="L289" s="12" t="s">
        <v>247</v>
      </c>
      <c r="N289" s="13" t="s">
        <v>865</v>
      </c>
      <c r="O289" s="11" t="s">
        <v>816</v>
      </c>
      <c r="P289" s="11" t="s">
        <v>600</v>
      </c>
      <c r="Q289" s="11" t="s">
        <v>125</v>
      </c>
      <c r="R289" s="11" t="s">
        <v>150</v>
      </c>
      <c r="S289" s="11" t="s">
        <v>125</v>
      </c>
      <c r="T289" s="11" t="s">
        <v>126</v>
      </c>
      <c r="U289" s="11" t="s">
        <v>38</v>
      </c>
      <c r="V289" s="11">
        <v>46171</v>
      </c>
      <c r="AE289" s="11" t="s">
        <v>993</v>
      </c>
    </row>
    <row r="290" spans="2:31" x14ac:dyDescent="0.35">
      <c r="B290" s="24" t="s">
        <v>49</v>
      </c>
      <c r="C290" s="12">
        <v>285</v>
      </c>
      <c r="D290" s="11" t="s">
        <v>866</v>
      </c>
      <c r="E290" s="11" t="s">
        <v>69</v>
      </c>
      <c r="F290" s="12" t="s">
        <v>130</v>
      </c>
      <c r="G290" s="12" t="s">
        <v>246</v>
      </c>
      <c r="H290" s="12" t="s">
        <v>246</v>
      </c>
      <c r="I290" s="12" t="s">
        <v>60</v>
      </c>
      <c r="J290" s="12" t="s">
        <v>1024</v>
      </c>
      <c r="K290" s="12" t="s">
        <v>69</v>
      </c>
      <c r="L290" s="12" t="s">
        <v>247</v>
      </c>
      <c r="N290" s="13" t="s">
        <v>867</v>
      </c>
      <c r="O290" s="11" t="s">
        <v>816</v>
      </c>
      <c r="P290" s="11" t="s">
        <v>600</v>
      </c>
      <c r="Q290" s="11" t="s">
        <v>125</v>
      </c>
      <c r="R290" s="11" t="s">
        <v>150</v>
      </c>
      <c r="S290" s="11" t="s">
        <v>125</v>
      </c>
      <c r="T290" s="11" t="s">
        <v>126</v>
      </c>
      <c r="U290" s="11" t="s">
        <v>38</v>
      </c>
      <c r="V290" s="11">
        <v>46171</v>
      </c>
      <c r="AE290" s="11" t="s">
        <v>993</v>
      </c>
    </row>
    <row r="291" spans="2:31" x14ac:dyDescent="0.35">
      <c r="B291" s="24" t="s">
        <v>49</v>
      </c>
      <c r="C291" s="12">
        <v>286</v>
      </c>
      <c r="D291" s="11" t="s">
        <v>868</v>
      </c>
      <c r="E291" s="11" t="s">
        <v>69</v>
      </c>
      <c r="F291" s="12" t="s">
        <v>130</v>
      </c>
      <c r="G291" s="12" t="s">
        <v>246</v>
      </c>
      <c r="H291" s="12" t="s">
        <v>246</v>
      </c>
      <c r="I291" s="12" t="s">
        <v>60</v>
      </c>
      <c r="J291" s="12" t="s">
        <v>1024</v>
      </c>
      <c r="K291" s="12" t="s">
        <v>69</v>
      </c>
      <c r="L291" s="12" t="s">
        <v>247</v>
      </c>
      <c r="N291" s="13" t="s">
        <v>869</v>
      </c>
      <c r="O291" s="11" t="s">
        <v>816</v>
      </c>
      <c r="P291" s="11" t="s">
        <v>600</v>
      </c>
      <c r="Q291" s="11" t="s">
        <v>125</v>
      </c>
      <c r="R291" s="11" t="s">
        <v>150</v>
      </c>
      <c r="S291" s="11" t="s">
        <v>125</v>
      </c>
      <c r="T291" s="11" t="s">
        <v>126</v>
      </c>
      <c r="U291" s="11" t="s">
        <v>38</v>
      </c>
      <c r="V291" s="11">
        <v>46171</v>
      </c>
      <c r="AE291" s="11" t="s">
        <v>993</v>
      </c>
    </row>
    <row r="292" spans="2:31" x14ac:dyDescent="0.35">
      <c r="B292" s="24" t="s">
        <v>49</v>
      </c>
      <c r="C292" s="12">
        <v>287</v>
      </c>
      <c r="D292" s="11" t="s">
        <v>870</v>
      </c>
      <c r="E292" s="11" t="s">
        <v>69</v>
      </c>
      <c r="F292" s="12" t="s">
        <v>130</v>
      </c>
      <c r="G292" s="12" t="s">
        <v>246</v>
      </c>
      <c r="H292" s="12" t="s">
        <v>246</v>
      </c>
      <c r="I292" s="12" t="s">
        <v>60</v>
      </c>
      <c r="J292" s="12" t="s">
        <v>1024</v>
      </c>
      <c r="K292" s="12" t="s">
        <v>69</v>
      </c>
      <c r="L292" s="12" t="s">
        <v>247</v>
      </c>
      <c r="N292" s="13" t="s">
        <v>871</v>
      </c>
      <c r="O292" s="11" t="s">
        <v>816</v>
      </c>
      <c r="P292" s="11" t="s">
        <v>600</v>
      </c>
      <c r="Q292" s="11" t="s">
        <v>125</v>
      </c>
      <c r="R292" s="11" t="s">
        <v>150</v>
      </c>
      <c r="S292" s="11" t="s">
        <v>125</v>
      </c>
      <c r="T292" s="11" t="s">
        <v>126</v>
      </c>
      <c r="U292" s="11" t="s">
        <v>38</v>
      </c>
      <c r="V292" s="11">
        <v>46171</v>
      </c>
      <c r="AE292" s="11" t="s">
        <v>993</v>
      </c>
    </row>
    <row r="293" spans="2:31" x14ac:dyDescent="0.35">
      <c r="B293" s="24" t="s">
        <v>49</v>
      </c>
      <c r="C293" s="12">
        <v>288</v>
      </c>
      <c r="D293" s="11" t="s">
        <v>872</v>
      </c>
      <c r="E293" s="11" t="s">
        <v>69</v>
      </c>
      <c r="F293" s="12" t="s">
        <v>49</v>
      </c>
      <c r="G293" s="12" t="s">
        <v>246</v>
      </c>
      <c r="H293" s="12" t="s">
        <v>246</v>
      </c>
      <c r="I293" s="12" t="s">
        <v>60</v>
      </c>
      <c r="J293" s="12" t="s">
        <v>1024</v>
      </c>
      <c r="K293" s="12" t="s">
        <v>69</v>
      </c>
      <c r="L293" s="12" t="s">
        <v>247</v>
      </c>
      <c r="N293" s="13" t="s">
        <v>873</v>
      </c>
      <c r="O293" s="11" t="s">
        <v>816</v>
      </c>
      <c r="P293" s="11" t="s">
        <v>600</v>
      </c>
      <c r="Q293" s="11" t="s">
        <v>125</v>
      </c>
      <c r="R293" s="11" t="s">
        <v>150</v>
      </c>
      <c r="S293" s="11" t="s">
        <v>125</v>
      </c>
      <c r="T293" s="11" t="s">
        <v>126</v>
      </c>
      <c r="U293" s="11" t="s">
        <v>38</v>
      </c>
      <c r="V293" s="11">
        <v>46171</v>
      </c>
      <c r="AE293" s="11" t="s">
        <v>993</v>
      </c>
    </row>
    <row r="294" spans="2:31" x14ac:dyDescent="0.35">
      <c r="B294" s="24" t="s">
        <v>49</v>
      </c>
      <c r="C294" s="12">
        <v>289</v>
      </c>
      <c r="D294" s="11" t="s">
        <v>874</v>
      </c>
      <c r="E294" s="11" t="s">
        <v>69</v>
      </c>
      <c r="F294" s="12" t="s">
        <v>286</v>
      </c>
      <c r="G294" s="12" t="s">
        <v>246</v>
      </c>
      <c r="H294" s="12" t="s">
        <v>246</v>
      </c>
      <c r="I294" s="12" t="s">
        <v>60</v>
      </c>
      <c r="J294" s="12" t="s">
        <v>1024</v>
      </c>
      <c r="K294" s="12" t="s">
        <v>69</v>
      </c>
      <c r="L294" s="12" t="s">
        <v>247</v>
      </c>
      <c r="N294" s="13" t="s">
        <v>875</v>
      </c>
      <c r="O294" s="11" t="s">
        <v>816</v>
      </c>
      <c r="P294" s="11" t="s">
        <v>600</v>
      </c>
      <c r="Q294" s="11" t="s">
        <v>125</v>
      </c>
      <c r="R294" s="11" t="s">
        <v>150</v>
      </c>
      <c r="S294" s="11" t="s">
        <v>125</v>
      </c>
      <c r="T294" s="11" t="s">
        <v>126</v>
      </c>
      <c r="U294" s="11" t="s">
        <v>38</v>
      </c>
      <c r="V294" s="11">
        <v>46171</v>
      </c>
      <c r="AE294" s="11" t="s">
        <v>993</v>
      </c>
    </row>
    <row r="295" spans="2:31" x14ac:dyDescent="0.35">
      <c r="B295" s="24" t="s">
        <v>49</v>
      </c>
      <c r="C295" s="12">
        <v>290</v>
      </c>
      <c r="D295" s="11" t="s">
        <v>876</v>
      </c>
      <c r="E295" s="11" t="s">
        <v>69</v>
      </c>
      <c r="F295" s="12" t="s">
        <v>49</v>
      </c>
      <c r="G295" s="12" t="s">
        <v>246</v>
      </c>
      <c r="H295" s="12" t="s">
        <v>246</v>
      </c>
      <c r="I295" s="12" t="s">
        <v>60</v>
      </c>
      <c r="J295" s="12" t="s">
        <v>1024</v>
      </c>
      <c r="K295" s="12" t="s">
        <v>69</v>
      </c>
      <c r="L295" s="12" t="s">
        <v>247</v>
      </c>
      <c r="N295" s="13" t="s">
        <v>877</v>
      </c>
      <c r="O295" s="11" t="s">
        <v>816</v>
      </c>
      <c r="P295" s="11" t="s">
        <v>600</v>
      </c>
      <c r="Q295" s="11" t="s">
        <v>125</v>
      </c>
      <c r="R295" s="11" t="s">
        <v>150</v>
      </c>
      <c r="S295" s="11" t="s">
        <v>125</v>
      </c>
      <c r="T295" s="11" t="s">
        <v>126</v>
      </c>
      <c r="U295" s="11" t="s">
        <v>38</v>
      </c>
      <c r="V295" s="11">
        <v>46171</v>
      </c>
      <c r="AE295" s="11" t="s">
        <v>993</v>
      </c>
    </row>
    <row r="296" spans="2:31" x14ac:dyDescent="0.35">
      <c r="B296" s="24" t="s">
        <v>278</v>
      </c>
      <c r="C296" s="12">
        <v>291</v>
      </c>
      <c r="D296" s="11" t="s">
        <v>878</v>
      </c>
      <c r="E296" s="11" t="s">
        <v>69</v>
      </c>
      <c r="F296" s="12" t="s">
        <v>278</v>
      </c>
      <c r="G296" s="12" t="s">
        <v>246</v>
      </c>
      <c r="H296" s="12" t="s">
        <v>246</v>
      </c>
      <c r="I296" s="12" t="s">
        <v>60</v>
      </c>
      <c r="J296" s="12" t="s">
        <v>1024</v>
      </c>
      <c r="K296" s="12" t="s">
        <v>69</v>
      </c>
      <c r="L296" s="12" t="s">
        <v>247</v>
      </c>
      <c r="N296" s="13" t="s">
        <v>879</v>
      </c>
      <c r="O296" s="11" t="s">
        <v>816</v>
      </c>
      <c r="P296" s="11" t="s">
        <v>600</v>
      </c>
      <c r="Q296" s="11" t="s">
        <v>125</v>
      </c>
      <c r="R296" s="11" t="s">
        <v>150</v>
      </c>
      <c r="S296" s="11" t="s">
        <v>125</v>
      </c>
      <c r="T296" s="11" t="s">
        <v>126</v>
      </c>
      <c r="U296" s="11" t="s">
        <v>38</v>
      </c>
      <c r="V296" s="11">
        <v>46171</v>
      </c>
      <c r="AE296" s="11" t="s">
        <v>993</v>
      </c>
    </row>
    <row r="297" spans="2:31" x14ac:dyDescent="0.35">
      <c r="B297" s="24" t="s">
        <v>295</v>
      </c>
      <c r="C297" s="12">
        <v>292</v>
      </c>
      <c r="D297" s="11" t="s">
        <v>880</v>
      </c>
      <c r="E297" s="11" t="s">
        <v>69</v>
      </c>
      <c r="F297" s="12" t="s">
        <v>295</v>
      </c>
      <c r="G297" s="12" t="s">
        <v>246</v>
      </c>
      <c r="H297" s="12" t="s">
        <v>246</v>
      </c>
      <c r="I297" s="12" t="s">
        <v>60</v>
      </c>
      <c r="J297" s="12" t="s">
        <v>1024</v>
      </c>
      <c r="K297" s="12" t="s">
        <v>69</v>
      </c>
      <c r="L297" s="12" t="s">
        <v>247</v>
      </c>
      <c r="N297" s="13" t="s">
        <v>881</v>
      </c>
      <c r="O297" s="11" t="s">
        <v>816</v>
      </c>
      <c r="P297" s="11" t="s">
        <v>600</v>
      </c>
      <c r="Q297" s="11" t="s">
        <v>125</v>
      </c>
      <c r="R297" s="11" t="s">
        <v>150</v>
      </c>
      <c r="S297" s="11" t="s">
        <v>125</v>
      </c>
      <c r="T297" s="11" t="s">
        <v>126</v>
      </c>
      <c r="U297" s="11" t="s">
        <v>38</v>
      </c>
      <c r="V297" s="11">
        <v>46171</v>
      </c>
      <c r="AE297" s="11" t="s">
        <v>993</v>
      </c>
    </row>
    <row r="298" spans="2:31" x14ac:dyDescent="0.35">
      <c r="B298" s="24" t="s">
        <v>311</v>
      </c>
      <c r="C298" s="12">
        <v>293</v>
      </c>
      <c r="D298" s="11" t="s">
        <v>882</v>
      </c>
      <c r="E298" s="11" t="s">
        <v>69</v>
      </c>
      <c r="F298" s="12" t="s">
        <v>311</v>
      </c>
      <c r="G298" s="12" t="s">
        <v>246</v>
      </c>
      <c r="H298" s="12" t="s">
        <v>246</v>
      </c>
      <c r="I298" s="12" t="s">
        <v>60</v>
      </c>
      <c r="J298" s="12" t="s">
        <v>1024</v>
      </c>
      <c r="K298" s="12" t="s">
        <v>69</v>
      </c>
      <c r="L298" s="12" t="s">
        <v>247</v>
      </c>
      <c r="N298" s="13" t="s">
        <v>883</v>
      </c>
      <c r="O298" s="11" t="s">
        <v>816</v>
      </c>
      <c r="P298" s="11" t="s">
        <v>600</v>
      </c>
      <c r="Q298" s="11" t="s">
        <v>125</v>
      </c>
      <c r="R298" s="11" t="s">
        <v>150</v>
      </c>
      <c r="S298" s="11" t="s">
        <v>125</v>
      </c>
      <c r="T298" s="11" t="s">
        <v>125</v>
      </c>
      <c r="U298" s="11" t="s">
        <v>1014</v>
      </c>
      <c r="V298" s="11">
        <v>46171</v>
      </c>
      <c r="Z298" s="11">
        <v>46223</v>
      </c>
      <c r="AA298" s="11">
        <v>46223</v>
      </c>
      <c r="AB298" s="11" t="s">
        <v>30</v>
      </c>
      <c r="AC298" s="11">
        <v>41</v>
      </c>
      <c r="AE298" s="11" t="s">
        <v>993</v>
      </c>
    </row>
    <row r="299" spans="2:31" x14ac:dyDescent="0.35">
      <c r="B299" s="24" t="s">
        <v>49</v>
      </c>
      <c r="C299" s="12">
        <v>294</v>
      </c>
      <c r="D299" s="11" t="s">
        <v>884</v>
      </c>
      <c r="E299" s="11" t="s">
        <v>69</v>
      </c>
      <c r="F299" s="12" t="s">
        <v>694</v>
      </c>
      <c r="G299" s="12" t="s">
        <v>246</v>
      </c>
      <c r="H299" s="12" t="s">
        <v>246</v>
      </c>
      <c r="I299" s="12" t="s">
        <v>60</v>
      </c>
      <c r="J299" s="12" t="s">
        <v>1024</v>
      </c>
      <c r="K299" s="12" t="s">
        <v>69</v>
      </c>
      <c r="L299" s="12" t="s">
        <v>247</v>
      </c>
      <c r="N299" s="13">
        <v>983756743</v>
      </c>
      <c r="O299" s="11" t="s">
        <v>816</v>
      </c>
      <c r="P299" s="11" t="s">
        <v>600</v>
      </c>
      <c r="Q299" s="11" t="s">
        <v>125</v>
      </c>
      <c r="R299" s="11" t="s">
        <v>150</v>
      </c>
      <c r="T299" s="11" t="s">
        <v>126</v>
      </c>
      <c r="U299" s="11" t="s">
        <v>992</v>
      </c>
      <c r="AE299" s="11" t="s">
        <v>1768</v>
      </c>
    </row>
    <row r="300" spans="2:31" x14ac:dyDescent="0.35">
      <c r="B300" s="24" t="s">
        <v>49</v>
      </c>
      <c r="C300" s="12">
        <v>295</v>
      </c>
      <c r="D300" s="11" t="s">
        <v>885</v>
      </c>
      <c r="E300" s="11" t="s">
        <v>69</v>
      </c>
      <c r="F300" s="12" t="s">
        <v>49</v>
      </c>
      <c r="G300" s="12" t="s">
        <v>246</v>
      </c>
      <c r="H300" s="12" t="s">
        <v>246</v>
      </c>
      <c r="I300" s="12" t="s">
        <v>60</v>
      </c>
      <c r="J300" s="12" t="s">
        <v>1024</v>
      </c>
      <c r="K300" s="12" t="s">
        <v>69</v>
      </c>
      <c r="L300" s="12" t="s">
        <v>247</v>
      </c>
      <c r="N300" s="13">
        <v>966929800</v>
      </c>
      <c r="O300" s="11" t="s">
        <v>816</v>
      </c>
      <c r="P300" s="11" t="s">
        <v>600</v>
      </c>
      <c r="Q300" s="11" t="s">
        <v>125</v>
      </c>
      <c r="R300" s="11" t="s">
        <v>150</v>
      </c>
      <c r="T300" s="11" t="s">
        <v>126</v>
      </c>
      <c r="U300" s="11" t="s">
        <v>992</v>
      </c>
      <c r="AE300" s="11" t="s">
        <v>1768</v>
      </c>
    </row>
    <row r="301" spans="2:31" x14ac:dyDescent="0.35">
      <c r="B301" s="24" t="s">
        <v>49</v>
      </c>
      <c r="C301" s="12">
        <v>296</v>
      </c>
      <c r="D301" s="11" t="s">
        <v>886</v>
      </c>
      <c r="E301" s="11" t="s">
        <v>69</v>
      </c>
      <c r="F301" s="12" t="s">
        <v>49</v>
      </c>
      <c r="G301" s="12" t="s">
        <v>246</v>
      </c>
      <c r="H301" s="12" t="s">
        <v>246</v>
      </c>
      <c r="I301" s="12" t="s">
        <v>430</v>
      </c>
      <c r="J301" s="12" t="s">
        <v>1024</v>
      </c>
      <c r="K301" s="12" t="s">
        <v>69</v>
      </c>
      <c r="L301" s="12" t="s">
        <v>247</v>
      </c>
      <c r="N301" s="13">
        <v>984555100</v>
      </c>
      <c r="O301" s="11" t="s">
        <v>816</v>
      </c>
      <c r="P301" s="11" t="s">
        <v>600</v>
      </c>
      <c r="Q301" s="11" t="s">
        <v>125</v>
      </c>
      <c r="R301" s="11" t="s">
        <v>150</v>
      </c>
      <c r="T301" s="11" t="s">
        <v>125</v>
      </c>
      <c r="U301" s="11" t="s">
        <v>1014</v>
      </c>
      <c r="V301" s="11">
        <v>46107</v>
      </c>
      <c r="Z301" s="11">
        <v>46111</v>
      </c>
      <c r="AA301" s="11">
        <v>46111</v>
      </c>
      <c r="AB301" s="11" t="s">
        <v>30</v>
      </c>
      <c r="AC301" s="11">
        <v>45</v>
      </c>
      <c r="AD301" s="11" t="s">
        <v>990</v>
      </c>
      <c r="AE301" s="11" t="s">
        <v>993</v>
      </c>
    </row>
    <row r="302" spans="2:31" x14ac:dyDescent="0.35">
      <c r="B302" s="24" t="s">
        <v>49</v>
      </c>
      <c r="C302" s="12">
        <v>297</v>
      </c>
      <c r="D302" s="11" t="s">
        <v>887</v>
      </c>
      <c r="E302" s="11" t="s">
        <v>69</v>
      </c>
      <c r="F302" s="12" t="s">
        <v>49</v>
      </c>
      <c r="G302" s="12" t="s">
        <v>246</v>
      </c>
      <c r="H302" s="12" t="s">
        <v>246</v>
      </c>
      <c r="I302" s="12" t="s">
        <v>430</v>
      </c>
      <c r="J302" s="12" t="s">
        <v>1024</v>
      </c>
      <c r="K302" s="12" t="s">
        <v>69</v>
      </c>
      <c r="L302" s="12" t="s">
        <v>247</v>
      </c>
      <c r="N302" s="13">
        <v>960826045</v>
      </c>
      <c r="O302" s="11" t="s">
        <v>816</v>
      </c>
      <c r="P302" s="11" t="s">
        <v>600</v>
      </c>
      <c r="Q302" s="11" t="s">
        <v>125</v>
      </c>
      <c r="R302" s="11" t="s">
        <v>150</v>
      </c>
      <c r="T302" s="11" t="s">
        <v>125</v>
      </c>
      <c r="U302" s="11" t="s">
        <v>1014</v>
      </c>
      <c r="V302" s="11">
        <v>46107</v>
      </c>
      <c r="W302" s="11">
        <v>46111</v>
      </c>
      <c r="Z302" s="11">
        <v>46114</v>
      </c>
      <c r="AA302" s="11">
        <v>46120</v>
      </c>
      <c r="AB302" s="11" t="s">
        <v>30</v>
      </c>
      <c r="AC302" s="11">
        <v>38</v>
      </c>
      <c r="AD302" s="11" t="s">
        <v>1004</v>
      </c>
      <c r="AE302" s="11" t="s">
        <v>993</v>
      </c>
    </row>
    <row r="303" spans="2:31" x14ac:dyDescent="0.35">
      <c r="B303" s="24" t="s">
        <v>49</v>
      </c>
      <c r="C303" s="12">
        <v>298</v>
      </c>
      <c r="D303" s="11" t="s">
        <v>888</v>
      </c>
      <c r="E303" s="11" t="s">
        <v>69</v>
      </c>
      <c r="F303" s="12" t="s">
        <v>49</v>
      </c>
      <c r="G303" s="12" t="s">
        <v>246</v>
      </c>
      <c r="H303" s="12" t="s">
        <v>246</v>
      </c>
      <c r="I303" s="12" t="s">
        <v>430</v>
      </c>
      <c r="J303" s="12" t="s">
        <v>1024</v>
      </c>
      <c r="K303" s="12" t="s">
        <v>69</v>
      </c>
      <c r="L303" s="12" t="s">
        <v>247</v>
      </c>
      <c r="N303" s="13" t="s">
        <v>889</v>
      </c>
      <c r="O303" s="11" t="s">
        <v>816</v>
      </c>
      <c r="P303" s="11" t="s">
        <v>600</v>
      </c>
      <c r="Q303" s="11" t="s">
        <v>125</v>
      </c>
      <c r="R303" s="11" t="s">
        <v>150</v>
      </c>
      <c r="T303" s="11" t="s">
        <v>125</v>
      </c>
      <c r="U303" s="11" t="s">
        <v>38</v>
      </c>
      <c r="V303" s="11">
        <v>46107</v>
      </c>
      <c r="W303" s="11">
        <v>46171</v>
      </c>
      <c r="AD303" s="11" t="s">
        <v>971</v>
      </c>
      <c r="AE303" s="11" t="s">
        <v>993</v>
      </c>
    </row>
    <row r="304" spans="2:31" x14ac:dyDescent="0.35">
      <c r="B304" s="24" t="s">
        <v>49</v>
      </c>
      <c r="C304" s="12">
        <v>299</v>
      </c>
      <c r="D304" s="11" t="s">
        <v>130</v>
      </c>
      <c r="E304" s="11" t="s">
        <v>890</v>
      </c>
      <c r="F304" s="12" t="s">
        <v>49</v>
      </c>
      <c r="G304" s="12" t="s">
        <v>246</v>
      </c>
      <c r="H304" s="12" t="s">
        <v>246</v>
      </c>
      <c r="I304" s="12" t="s">
        <v>60</v>
      </c>
      <c r="J304" s="12" t="s">
        <v>1030</v>
      </c>
      <c r="K304" s="12" t="s">
        <v>118</v>
      </c>
      <c r="L304" s="12" t="s">
        <v>247</v>
      </c>
      <c r="O304" s="11" t="s">
        <v>118</v>
      </c>
      <c r="P304" s="11" t="s">
        <v>323</v>
      </c>
      <c r="Q304" s="11" t="s">
        <v>126</v>
      </c>
      <c r="R304" s="11" t="s">
        <v>150</v>
      </c>
      <c r="T304" s="11" t="s">
        <v>126</v>
      </c>
      <c r="U304" s="11" t="s">
        <v>992</v>
      </c>
      <c r="AE304" s="11" t="s">
        <v>1768</v>
      </c>
    </row>
    <row r="305" spans="2:31" x14ac:dyDescent="0.35">
      <c r="B305" s="24" t="s">
        <v>49</v>
      </c>
      <c r="C305" s="12">
        <v>300</v>
      </c>
      <c r="D305" s="11" t="s">
        <v>130</v>
      </c>
      <c r="E305" s="11" t="s">
        <v>890</v>
      </c>
      <c r="F305" s="12" t="s">
        <v>49</v>
      </c>
      <c r="G305" s="12" t="s">
        <v>246</v>
      </c>
      <c r="H305" s="12" t="s">
        <v>246</v>
      </c>
      <c r="I305" s="12" t="s">
        <v>60</v>
      </c>
      <c r="J305" s="12" t="s">
        <v>1030</v>
      </c>
      <c r="K305" s="12" t="s">
        <v>118</v>
      </c>
      <c r="L305" s="12" t="s">
        <v>247</v>
      </c>
      <c r="O305" s="11" t="s">
        <v>118</v>
      </c>
      <c r="P305" s="11" t="s">
        <v>323</v>
      </c>
      <c r="Q305" s="11" t="s">
        <v>126</v>
      </c>
      <c r="R305" s="11" t="s">
        <v>150</v>
      </c>
      <c r="T305" s="11" t="s">
        <v>126</v>
      </c>
      <c r="U305" s="11" t="s">
        <v>992</v>
      </c>
      <c r="AE305" s="11" t="s">
        <v>1768</v>
      </c>
    </row>
    <row r="306" spans="2:31" x14ac:dyDescent="0.35">
      <c r="B306" s="24" t="s">
        <v>49</v>
      </c>
      <c r="C306" s="12">
        <v>301</v>
      </c>
      <c r="D306" s="11" t="s">
        <v>130</v>
      </c>
      <c r="E306" s="11" t="s">
        <v>890</v>
      </c>
      <c r="F306" s="12" t="s">
        <v>49</v>
      </c>
      <c r="G306" s="12" t="s">
        <v>246</v>
      </c>
      <c r="H306" s="12" t="s">
        <v>246</v>
      </c>
      <c r="I306" s="12" t="s">
        <v>60</v>
      </c>
      <c r="J306" s="12" t="s">
        <v>1030</v>
      </c>
      <c r="K306" s="12" t="s">
        <v>118</v>
      </c>
      <c r="L306" s="12" t="s">
        <v>247</v>
      </c>
      <c r="O306" s="11" t="s">
        <v>118</v>
      </c>
      <c r="P306" s="11" t="s">
        <v>323</v>
      </c>
      <c r="Q306" s="11" t="s">
        <v>126</v>
      </c>
      <c r="R306" s="11" t="s">
        <v>150</v>
      </c>
      <c r="T306" s="11" t="s">
        <v>126</v>
      </c>
      <c r="U306" s="11" t="s">
        <v>992</v>
      </c>
      <c r="AE306" s="11" t="s">
        <v>1768</v>
      </c>
    </row>
    <row r="307" spans="2:31" x14ac:dyDescent="0.35">
      <c r="B307" s="24" t="s">
        <v>49</v>
      </c>
      <c r="C307" s="12">
        <v>302</v>
      </c>
      <c r="D307" s="11" t="s">
        <v>130</v>
      </c>
      <c r="E307" s="11" t="s">
        <v>890</v>
      </c>
      <c r="F307" s="12" t="s">
        <v>49</v>
      </c>
      <c r="G307" s="12" t="s">
        <v>246</v>
      </c>
      <c r="H307" s="12" t="s">
        <v>246</v>
      </c>
      <c r="I307" s="12" t="s">
        <v>60</v>
      </c>
      <c r="J307" s="12" t="s">
        <v>1030</v>
      </c>
      <c r="K307" s="12" t="s">
        <v>118</v>
      </c>
      <c r="L307" s="12" t="s">
        <v>247</v>
      </c>
      <c r="O307" s="11" t="s">
        <v>118</v>
      </c>
      <c r="P307" s="11" t="s">
        <v>323</v>
      </c>
      <c r="Q307" s="11" t="s">
        <v>126</v>
      </c>
      <c r="R307" s="11" t="s">
        <v>150</v>
      </c>
      <c r="T307" s="11" t="s">
        <v>126</v>
      </c>
      <c r="U307" s="11" t="s">
        <v>992</v>
      </c>
      <c r="AE307" s="11" t="s">
        <v>1768</v>
      </c>
    </row>
    <row r="308" spans="2:31" x14ac:dyDescent="0.35">
      <c r="B308" s="24" t="s">
        <v>49</v>
      </c>
      <c r="C308" s="12">
        <v>303</v>
      </c>
      <c r="D308" s="11" t="s">
        <v>891</v>
      </c>
      <c r="E308" s="11" t="s">
        <v>77</v>
      </c>
      <c r="F308" s="12" t="s">
        <v>49</v>
      </c>
      <c r="G308" s="12" t="s">
        <v>246</v>
      </c>
      <c r="H308" s="12" t="s">
        <v>246</v>
      </c>
      <c r="I308" s="12" t="s">
        <v>430</v>
      </c>
      <c r="J308" s="12" t="s">
        <v>1024</v>
      </c>
      <c r="K308" s="12" t="s">
        <v>77</v>
      </c>
      <c r="L308" s="12" t="s">
        <v>247</v>
      </c>
      <c r="N308" s="13" t="s">
        <v>892</v>
      </c>
      <c r="O308" s="11" t="s">
        <v>893</v>
      </c>
      <c r="P308" s="11" t="s">
        <v>600</v>
      </c>
      <c r="Q308" s="11" t="s">
        <v>125</v>
      </c>
      <c r="R308" s="11" t="s">
        <v>150</v>
      </c>
      <c r="S308" s="11" t="s">
        <v>125</v>
      </c>
      <c r="T308" s="11" t="s">
        <v>125</v>
      </c>
      <c r="U308" s="11" t="s">
        <v>38</v>
      </c>
      <c r="V308" s="11">
        <v>46147</v>
      </c>
      <c r="AE308" s="11" t="s">
        <v>993</v>
      </c>
    </row>
    <row r="309" spans="2:31" x14ac:dyDescent="0.35">
      <c r="B309" s="24" t="s">
        <v>49</v>
      </c>
      <c r="C309" s="12">
        <v>304</v>
      </c>
      <c r="D309" s="11" t="s">
        <v>894</v>
      </c>
      <c r="E309" s="11" t="s">
        <v>77</v>
      </c>
      <c r="F309" s="12" t="s">
        <v>49</v>
      </c>
      <c r="G309" s="12" t="s">
        <v>246</v>
      </c>
      <c r="H309" s="12" t="s">
        <v>246</v>
      </c>
      <c r="I309" s="12" t="s">
        <v>60</v>
      </c>
      <c r="J309" s="12" t="s">
        <v>1024</v>
      </c>
      <c r="K309" s="12" t="s">
        <v>77</v>
      </c>
      <c r="L309" s="12" t="s">
        <v>247</v>
      </c>
      <c r="N309" s="13" t="s">
        <v>895</v>
      </c>
      <c r="O309" s="11" t="s">
        <v>893</v>
      </c>
      <c r="P309" s="11" t="s">
        <v>600</v>
      </c>
      <c r="Q309" s="11" t="s">
        <v>125</v>
      </c>
      <c r="R309" s="11" t="s">
        <v>150</v>
      </c>
      <c r="S309" s="11" t="s">
        <v>125</v>
      </c>
      <c r="T309" s="11" t="s">
        <v>126</v>
      </c>
      <c r="U309" s="11" t="s">
        <v>38</v>
      </c>
      <c r="V309" s="11">
        <v>46171</v>
      </c>
      <c r="AE309" s="11" t="s">
        <v>993</v>
      </c>
    </row>
    <row r="310" spans="2:31" x14ac:dyDescent="0.35">
      <c r="B310" s="24" t="s">
        <v>49</v>
      </c>
      <c r="C310" s="12">
        <v>305</v>
      </c>
      <c r="D310" s="11" t="s">
        <v>896</v>
      </c>
      <c r="E310" s="11" t="s">
        <v>77</v>
      </c>
      <c r="F310" s="12" t="s">
        <v>49</v>
      </c>
      <c r="G310" s="12" t="s">
        <v>246</v>
      </c>
      <c r="H310" s="12" t="s">
        <v>246</v>
      </c>
      <c r="I310" s="12" t="s">
        <v>430</v>
      </c>
      <c r="J310" s="12" t="s">
        <v>1024</v>
      </c>
      <c r="K310" s="12" t="s">
        <v>77</v>
      </c>
      <c r="L310" s="12" t="s">
        <v>247</v>
      </c>
      <c r="N310" s="13" t="s">
        <v>897</v>
      </c>
      <c r="O310" s="11" t="s">
        <v>893</v>
      </c>
      <c r="P310" s="11" t="s">
        <v>600</v>
      </c>
      <c r="Q310" s="11" t="s">
        <v>125</v>
      </c>
      <c r="R310" s="11" t="s">
        <v>150</v>
      </c>
      <c r="S310" s="11" t="s">
        <v>125</v>
      </c>
      <c r="T310" s="11" t="s">
        <v>125</v>
      </c>
      <c r="U310" s="11" t="s">
        <v>38</v>
      </c>
      <c r="V310" s="11">
        <v>46147</v>
      </c>
      <c r="AE310" s="11" t="s">
        <v>993</v>
      </c>
    </row>
    <row r="311" spans="2:31" x14ac:dyDescent="0.35">
      <c r="B311" s="24" t="s">
        <v>49</v>
      </c>
      <c r="C311" s="12">
        <v>306</v>
      </c>
      <c r="D311" s="11" t="s">
        <v>898</v>
      </c>
      <c r="E311" s="11" t="s">
        <v>77</v>
      </c>
      <c r="F311" s="12" t="s">
        <v>49</v>
      </c>
      <c r="G311" s="12" t="s">
        <v>246</v>
      </c>
      <c r="H311" s="12" t="s">
        <v>246</v>
      </c>
      <c r="I311" s="12" t="s">
        <v>430</v>
      </c>
      <c r="J311" s="12" t="s">
        <v>1024</v>
      </c>
      <c r="K311" s="12" t="s">
        <v>77</v>
      </c>
      <c r="L311" s="12" t="s">
        <v>247</v>
      </c>
      <c r="N311" s="13" t="s">
        <v>899</v>
      </c>
      <c r="O311" s="11" t="s">
        <v>893</v>
      </c>
      <c r="P311" s="11" t="s">
        <v>600</v>
      </c>
      <c r="Q311" s="11" t="s">
        <v>125</v>
      </c>
      <c r="R311" s="11" t="s">
        <v>150</v>
      </c>
      <c r="S311" s="11" t="s">
        <v>125</v>
      </c>
      <c r="T311" s="11" t="s">
        <v>125</v>
      </c>
      <c r="U311" s="11" t="s">
        <v>38</v>
      </c>
      <c r="V311" s="11">
        <v>46147</v>
      </c>
      <c r="AE311" s="11" t="s">
        <v>993</v>
      </c>
    </row>
    <row r="312" spans="2:31" x14ac:dyDescent="0.35">
      <c r="B312" s="24" t="s">
        <v>49</v>
      </c>
      <c r="C312" s="12">
        <v>307</v>
      </c>
      <c r="D312" s="11" t="s">
        <v>900</v>
      </c>
      <c r="E312" s="11" t="s">
        <v>77</v>
      </c>
      <c r="F312" s="12" t="s">
        <v>49</v>
      </c>
      <c r="G312" s="12" t="s">
        <v>246</v>
      </c>
      <c r="H312" s="12" t="s">
        <v>246</v>
      </c>
      <c r="I312" s="12" t="s">
        <v>60</v>
      </c>
      <c r="J312" s="12" t="s">
        <v>1024</v>
      </c>
      <c r="K312" s="12" t="s">
        <v>77</v>
      </c>
      <c r="L312" s="12" t="s">
        <v>247</v>
      </c>
      <c r="N312" s="13" t="s">
        <v>901</v>
      </c>
      <c r="O312" s="11" t="s">
        <v>893</v>
      </c>
      <c r="P312" s="11" t="s">
        <v>600</v>
      </c>
      <c r="Q312" s="11" t="s">
        <v>125</v>
      </c>
      <c r="R312" s="11" t="s">
        <v>150</v>
      </c>
      <c r="S312" s="11" t="s">
        <v>125</v>
      </c>
      <c r="T312" s="11" t="s">
        <v>126</v>
      </c>
      <c r="U312" s="11" t="s">
        <v>38</v>
      </c>
      <c r="V312" s="11">
        <v>46171</v>
      </c>
      <c r="AE312" s="11" t="s">
        <v>993</v>
      </c>
    </row>
    <row r="313" spans="2:31" x14ac:dyDescent="0.35">
      <c r="B313" s="24" t="s">
        <v>49</v>
      </c>
      <c r="C313" s="12">
        <v>308</v>
      </c>
      <c r="D313" s="11" t="s">
        <v>902</v>
      </c>
      <c r="E313" s="11" t="s">
        <v>77</v>
      </c>
      <c r="F313" s="12" t="s">
        <v>49</v>
      </c>
      <c r="G313" s="12" t="s">
        <v>246</v>
      </c>
      <c r="H313" s="12" t="s">
        <v>246</v>
      </c>
      <c r="I313" s="12" t="s">
        <v>60</v>
      </c>
      <c r="J313" s="12" t="s">
        <v>1024</v>
      </c>
      <c r="K313" s="12" t="s">
        <v>77</v>
      </c>
      <c r="L313" s="12" t="s">
        <v>247</v>
      </c>
      <c r="N313" s="13" t="s">
        <v>903</v>
      </c>
      <c r="O313" s="11" t="s">
        <v>893</v>
      </c>
      <c r="P313" s="11" t="s">
        <v>600</v>
      </c>
      <c r="Q313" s="11" t="s">
        <v>125</v>
      </c>
      <c r="R313" s="11" t="s">
        <v>150</v>
      </c>
      <c r="S313" s="11" t="s">
        <v>125</v>
      </c>
      <c r="T313" s="11" t="s">
        <v>126</v>
      </c>
      <c r="U313" s="11" t="s">
        <v>38</v>
      </c>
      <c r="V313" s="11">
        <v>46171</v>
      </c>
      <c r="AE313" s="11" t="s">
        <v>993</v>
      </c>
    </row>
    <row r="314" spans="2:31" x14ac:dyDescent="0.35">
      <c r="B314" s="24" t="s">
        <v>49</v>
      </c>
      <c r="C314" s="12">
        <v>309</v>
      </c>
      <c r="D314" s="11" t="s">
        <v>904</v>
      </c>
      <c r="E314" s="11" t="s">
        <v>905</v>
      </c>
      <c r="F314" s="12" t="s">
        <v>49</v>
      </c>
      <c r="G314" s="12" t="s">
        <v>246</v>
      </c>
      <c r="H314" s="12" t="s">
        <v>246</v>
      </c>
      <c r="I314" s="12" t="s">
        <v>111</v>
      </c>
      <c r="J314" s="12" t="s">
        <v>1031</v>
      </c>
      <c r="K314" s="12" t="s">
        <v>118</v>
      </c>
      <c r="L314" s="12" t="s">
        <v>247</v>
      </c>
      <c r="N314" s="13" t="s">
        <v>1292</v>
      </c>
      <c r="O314" s="11" t="s">
        <v>118</v>
      </c>
      <c r="P314" s="11" t="s">
        <v>323</v>
      </c>
      <c r="Q314" s="11" t="s">
        <v>126</v>
      </c>
      <c r="R314" s="11" t="s">
        <v>150</v>
      </c>
      <c r="T314" s="11" t="s">
        <v>126</v>
      </c>
      <c r="U314" s="11" t="s">
        <v>992</v>
      </c>
      <c r="AE314" s="11" t="s">
        <v>1768</v>
      </c>
    </row>
    <row r="315" spans="2:31" x14ac:dyDescent="0.35">
      <c r="B315" s="24" t="s">
        <v>49</v>
      </c>
      <c r="C315" s="12">
        <v>310</v>
      </c>
      <c r="D315" s="11" t="s">
        <v>906</v>
      </c>
      <c r="E315" s="11" t="s">
        <v>907</v>
      </c>
      <c r="F315" s="12" t="s">
        <v>49</v>
      </c>
      <c r="G315" s="12" t="s">
        <v>246</v>
      </c>
      <c r="H315" s="12" t="s">
        <v>246</v>
      </c>
      <c r="I315" s="12" t="s">
        <v>111</v>
      </c>
      <c r="J315" s="12" t="s">
        <v>1031</v>
      </c>
      <c r="K315" s="12" t="s">
        <v>118</v>
      </c>
      <c r="L315" s="12" t="s">
        <v>247</v>
      </c>
      <c r="N315" s="13" t="s">
        <v>908</v>
      </c>
      <c r="O315" s="11" t="s">
        <v>118</v>
      </c>
      <c r="P315" s="11" t="s">
        <v>323</v>
      </c>
      <c r="Q315" s="11" t="s">
        <v>126</v>
      </c>
      <c r="R315" s="11" t="s">
        <v>150</v>
      </c>
      <c r="T315" s="11" t="s">
        <v>126</v>
      </c>
      <c r="U315" s="11" t="s">
        <v>992</v>
      </c>
      <c r="AE315" s="11" t="s">
        <v>1768</v>
      </c>
    </row>
    <row r="316" spans="2:31" x14ac:dyDescent="0.35">
      <c r="B316" s="24" t="s">
        <v>49</v>
      </c>
      <c r="C316" s="12">
        <v>311</v>
      </c>
      <c r="D316" s="11" t="s">
        <v>909</v>
      </c>
      <c r="E316" s="11" t="s">
        <v>910</v>
      </c>
      <c r="F316" s="12" t="s">
        <v>49</v>
      </c>
      <c r="G316" s="12" t="s">
        <v>246</v>
      </c>
      <c r="H316" s="12" t="s">
        <v>246</v>
      </c>
      <c r="I316" s="12" t="s">
        <v>111</v>
      </c>
      <c r="J316" s="12" t="s">
        <v>1031</v>
      </c>
      <c r="K316" s="12" t="s">
        <v>118</v>
      </c>
      <c r="L316" s="12" t="s">
        <v>247</v>
      </c>
      <c r="N316" s="13" t="s">
        <v>911</v>
      </c>
      <c r="O316" s="11" t="s">
        <v>118</v>
      </c>
      <c r="P316" s="11" t="s">
        <v>323</v>
      </c>
      <c r="Q316" s="11" t="s">
        <v>126</v>
      </c>
      <c r="R316" s="11" t="s">
        <v>150</v>
      </c>
      <c r="T316" s="11" t="s">
        <v>126</v>
      </c>
      <c r="U316" s="11" t="s">
        <v>992</v>
      </c>
      <c r="AE316" s="11" t="s">
        <v>1768</v>
      </c>
    </row>
    <row r="317" spans="2:31" x14ac:dyDescent="0.35">
      <c r="B317" s="24" t="s">
        <v>49</v>
      </c>
      <c r="C317" s="12">
        <v>312</v>
      </c>
      <c r="D317" s="11" t="s">
        <v>912</v>
      </c>
      <c r="E317" s="11" t="s">
        <v>910</v>
      </c>
      <c r="F317" s="12" t="s">
        <v>49</v>
      </c>
      <c r="G317" s="12" t="s">
        <v>246</v>
      </c>
      <c r="H317" s="12" t="s">
        <v>246</v>
      </c>
      <c r="I317" s="12" t="s">
        <v>111</v>
      </c>
      <c r="J317" s="12" t="s">
        <v>1031</v>
      </c>
      <c r="K317" s="12" t="s">
        <v>118</v>
      </c>
      <c r="L317" s="12" t="s">
        <v>247</v>
      </c>
      <c r="N317" s="13" t="s">
        <v>913</v>
      </c>
      <c r="O317" s="11" t="s">
        <v>118</v>
      </c>
      <c r="P317" s="11" t="s">
        <v>323</v>
      </c>
      <c r="Q317" s="11" t="s">
        <v>126</v>
      </c>
      <c r="R317" s="11" t="s">
        <v>150</v>
      </c>
      <c r="T317" s="11" t="s">
        <v>126</v>
      </c>
      <c r="U317" s="11" t="s">
        <v>992</v>
      </c>
      <c r="AE317" s="11" t="s">
        <v>1768</v>
      </c>
    </row>
    <row r="318" spans="2:31" x14ac:dyDescent="0.35">
      <c r="B318" s="24" t="s">
        <v>49</v>
      </c>
      <c r="C318" s="12">
        <v>313</v>
      </c>
      <c r="D318" s="11" t="s">
        <v>914</v>
      </c>
      <c r="E318" s="11" t="s">
        <v>910</v>
      </c>
      <c r="F318" s="12" t="s">
        <v>49</v>
      </c>
      <c r="G318" s="12" t="s">
        <v>246</v>
      </c>
      <c r="H318" s="12" t="s">
        <v>246</v>
      </c>
      <c r="I318" s="12" t="s">
        <v>111</v>
      </c>
      <c r="J318" s="12" t="s">
        <v>1032</v>
      </c>
      <c r="K318" s="12" t="s">
        <v>118</v>
      </c>
      <c r="L318" s="12" t="s">
        <v>247</v>
      </c>
      <c r="N318" s="13" t="s">
        <v>915</v>
      </c>
      <c r="O318" s="11" t="s">
        <v>118</v>
      </c>
      <c r="P318" s="11" t="s">
        <v>323</v>
      </c>
      <c r="Q318" s="11" t="s">
        <v>126</v>
      </c>
      <c r="R318" s="11" t="s">
        <v>150</v>
      </c>
      <c r="T318" s="11" t="s">
        <v>125</v>
      </c>
      <c r="U318" s="11" t="s">
        <v>1014</v>
      </c>
      <c r="V318" s="11">
        <v>46154</v>
      </c>
      <c r="Y318" s="11">
        <v>46154</v>
      </c>
      <c r="Z318" s="11">
        <v>46175</v>
      </c>
      <c r="AA318" s="11">
        <v>46175</v>
      </c>
      <c r="AB318" s="11" t="s">
        <v>30</v>
      </c>
      <c r="AC318" s="11">
        <v>44</v>
      </c>
      <c r="AD318" s="11" t="s">
        <v>1205</v>
      </c>
      <c r="AE318" s="11" t="s">
        <v>993</v>
      </c>
    </row>
    <row r="319" spans="2:31" x14ac:dyDescent="0.35">
      <c r="B319" s="24" t="s">
        <v>49</v>
      </c>
      <c r="C319" s="12">
        <v>314</v>
      </c>
      <c r="D319" s="11" t="s">
        <v>916</v>
      </c>
      <c r="E319" s="11" t="s">
        <v>917</v>
      </c>
      <c r="F319" s="12" t="s">
        <v>49</v>
      </c>
      <c r="G319" s="12" t="s">
        <v>246</v>
      </c>
      <c r="H319" s="12" t="s">
        <v>246</v>
      </c>
      <c r="I319" s="12" t="s">
        <v>111</v>
      </c>
      <c r="J319" s="12" t="s">
        <v>1031</v>
      </c>
      <c r="K319" s="12" t="s">
        <v>118</v>
      </c>
      <c r="L319" s="12" t="s">
        <v>247</v>
      </c>
      <c r="N319" s="13" t="s">
        <v>918</v>
      </c>
      <c r="O319" s="11" t="s">
        <v>118</v>
      </c>
      <c r="P319" s="11" t="s">
        <v>323</v>
      </c>
      <c r="Q319" s="11" t="s">
        <v>125</v>
      </c>
      <c r="R319" s="11" t="s">
        <v>150</v>
      </c>
      <c r="S319" s="11" t="s">
        <v>125</v>
      </c>
      <c r="T319" s="11" t="s">
        <v>126</v>
      </c>
      <c r="U319" s="11" t="s">
        <v>38</v>
      </c>
      <c r="V319" s="11">
        <v>46171</v>
      </c>
      <c r="AE319" s="11" t="s">
        <v>993</v>
      </c>
    </row>
    <row r="320" spans="2:31" x14ac:dyDescent="0.35">
      <c r="B320" s="24" t="s">
        <v>49</v>
      </c>
      <c r="C320" s="12">
        <v>315</v>
      </c>
      <c r="D320" s="11" t="s">
        <v>919</v>
      </c>
      <c r="E320" s="11" t="s">
        <v>917</v>
      </c>
      <c r="F320" s="12" t="s">
        <v>49</v>
      </c>
      <c r="G320" s="12" t="s">
        <v>246</v>
      </c>
      <c r="H320" s="12" t="s">
        <v>246</v>
      </c>
      <c r="I320" s="12" t="s">
        <v>111</v>
      </c>
      <c r="J320" s="12" t="s">
        <v>1031</v>
      </c>
      <c r="K320" s="12" t="s">
        <v>118</v>
      </c>
      <c r="L320" s="12" t="s">
        <v>247</v>
      </c>
      <c r="N320" s="13" t="s">
        <v>920</v>
      </c>
      <c r="O320" s="11" t="s">
        <v>118</v>
      </c>
      <c r="P320" s="11" t="s">
        <v>323</v>
      </c>
      <c r="Q320" s="11" t="s">
        <v>125</v>
      </c>
      <c r="R320" s="11" t="s">
        <v>150</v>
      </c>
      <c r="S320" s="11" t="s">
        <v>125</v>
      </c>
      <c r="T320" s="11" t="s">
        <v>126</v>
      </c>
      <c r="U320" s="11" t="s">
        <v>38</v>
      </c>
      <c r="V320" s="11">
        <v>46171</v>
      </c>
      <c r="AE320" s="11" t="s">
        <v>993</v>
      </c>
    </row>
    <row r="321" spans="2:31" x14ac:dyDescent="0.35">
      <c r="B321" s="24" t="s">
        <v>49</v>
      </c>
      <c r="C321" s="12">
        <v>316</v>
      </c>
      <c r="D321" s="11" t="s">
        <v>921</v>
      </c>
      <c r="E321" s="11" t="s">
        <v>922</v>
      </c>
      <c r="F321" s="12" t="s">
        <v>49</v>
      </c>
      <c r="G321" s="12" t="s">
        <v>246</v>
      </c>
      <c r="H321" s="12" t="s">
        <v>246</v>
      </c>
      <c r="I321" s="12" t="s">
        <v>111</v>
      </c>
      <c r="J321" s="12" t="s">
        <v>1031</v>
      </c>
      <c r="K321" s="12" t="s">
        <v>118</v>
      </c>
      <c r="L321" s="12" t="s">
        <v>247</v>
      </c>
      <c r="N321" s="13" t="s">
        <v>923</v>
      </c>
      <c r="O321" s="11" t="s">
        <v>118</v>
      </c>
      <c r="P321" s="11" t="s">
        <v>323</v>
      </c>
      <c r="Q321" s="11" t="s">
        <v>126</v>
      </c>
      <c r="R321" s="11" t="s">
        <v>150</v>
      </c>
      <c r="T321" s="11" t="s">
        <v>126</v>
      </c>
      <c r="U321" s="11" t="s">
        <v>992</v>
      </c>
      <c r="AE321" s="11" t="s">
        <v>1768</v>
      </c>
    </row>
    <row r="322" spans="2:31" x14ac:dyDescent="0.35">
      <c r="B322" s="24" t="s">
        <v>49</v>
      </c>
      <c r="C322" s="12">
        <v>317</v>
      </c>
      <c r="D322" s="11" t="s">
        <v>924</v>
      </c>
      <c r="E322" s="11" t="s">
        <v>925</v>
      </c>
      <c r="F322" s="12" t="s">
        <v>49</v>
      </c>
      <c r="G322" s="12" t="s">
        <v>246</v>
      </c>
      <c r="H322" s="12" t="s">
        <v>246</v>
      </c>
      <c r="I322" s="12" t="s">
        <v>111</v>
      </c>
      <c r="J322" s="12" t="s">
        <v>1031</v>
      </c>
      <c r="K322" s="12" t="s">
        <v>118</v>
      </c>
      <c r="L322" s="12" t="s">
        <v>247</v>
      </c>
      <c r="N322" s="13" t="s">
        <v>926</v>
      </c>
      <c r="O322" s="11" t="s">
        <v>118</v>
      </c>
      <c r="P322" s="11" t="s">
        <v>323</v>
      </c>
      <c r="Q322" s="11" t="s">
        <v>126</v>
      </c>
      <c r="R322" s="11" t="s">
        <v>150</v>
      </c>
      <c r="T322" s="11" t="s">
        <v>126</v>
      </c>
      <c r="U322" s="11" t="s">
        <v>992</v>
      </c>
      <c r="AE322" s="11" t="s">
        <v>1768</v>
      </c>
    </row>
    <row r="323" spans="2:31" x14ac:dyDescent="0.35">
      <c r="B323" s="24" t="s">
        <v>49</v>
      </c>
      <c r="C323" s="12">
        <v>318</v>
      </c>
      <c r="D323" s="11" t="s">
        <v>927</v>
      </c>
      <c r="E323" s="11" t="s">
        <v>928</v>
      </c>
      <c r="F323" s="12" t="s">
        <v>49</v>
      </c>
      <c r="G323" s="12" t="s">
        <v>246</v>
      </c>
      <c r="H323" s="12" t="s">
        <v>246</v>
      </c>
      <c r="I323" s="12" t="s">
        <v>111</v>
      </c>
      <c r="J323" s="12" t="s">
        <v>1032</v>
      </c>
      <c r="K323" s="12" t="s">
        <v>118</v>
      </c>
      <c r="L323" s="12" t="s">
        <v>247</v>
      </c>
      <c r="N323" s="13" t="s">
        <v>929</v>
      </c>
      <c r="O323" s="11" t="s">
        <v>118</v>
      </c>
      <c r="P323" s="11" t="s">
        <v>323</v>
      </c>
      <c r="Q323" s="11" t="s">
        <v>126</v>
      </c>
      <c r="R323" s="11" t="s">
        <v>150</v>
      </c>
      <c r="S323" s="11" t="s">
        <v>125</v>
      </c>
      <c r="T323" s="11" t="s">
        <v>125</v>
      </c>
      <c r="U323" s="11" t="s">
        <v>38</v>
      </c>
      <c r="V323" s="11">
        <v>46111</v>
      </c>
      <c r="W323" s="11">
        <v>46147</v>
      </c>
      <c r="AD323" s="11" t="s">
        <v>991</v>
      </c>
      <c r="AE323" s="11" t="s">
        <v>993</v>
      </c>
    </row>
    <row r="324" spans="2:31" x14ac:dyDescent="0.35">
      <c r="B324" s="24" t="s">
        <v>49</v>
      </c>
      <c r="C324" s="12">
        <v>319</v>
      </c>
      <c r="D324" s="11" t="s">
        <v>930</v>
      </c>
      <c r="E324" s="11" t="s">
        <v>931</v>
      </c>
      <c r="F324" s="12" t="s">
        <v>49</v>
      </c>
      <c r="G324" s="12" t="s">
        <v>246</v>
      </c>
      <c r="H324" s="12" t="s">
        <v>246</v>
      </c>
      <c r="I324" s="12" t="s">
        <v>111</v>
      </c>
      <c r="J324" s="12" t="s">
        <v>1032</v>
      </c>
      <c r="K324" s="12" t="s">
        <v>118</v>
      </c>
      <c r="L324" s="12" t="s">
        <v>247</v>
      </c>
      <c r="N324" s="13" t="s">
        <v>932</v>
      </c>
      <c r="O324" s="11" t="s">
        <v>118</v>
      </c>
      <c r="P324" s="11" t="s">
        <v>323</v>
      </c>
      <c r="Q324" s="11" t="s">
        <v>126</v>
      </c>
      <c r="R324" s="11" t="s">
        <v>150</v>
      </c>
      <c r="T324" s="11" t="s">
        <v>126</v>
      </c>
      <c r="U324" s="11" t="s">
        <v>992</v>
      </c>
      <c r="AE324" s="11" t="s">
        <v>1768</v>
      </c>
    </row>
    <row r="325" spans="2:31" x14ac:dyDescent="0.35">
      <c r="B325" s="24" t="s">
        <v>49</v>
      </c>
      <c r="C325" s="12">
        <v>320</v>
      </c>
      <c r="D325" s="11" t="s">
        <v>933</v>
      </c>
      <c r="E325" s="11" t="s">
        <v>931</v>
      </c>
      <c r="F325" s="12" t="s">
        <v>49</v>
      </c>
      <c r="G325" s="12" t="s">
        <v>246</v>
      </c>
      <c r="H325" s="12" t="s">
        <v>246</v>
      </c>
      <c r="I325" s="12" t="s">
        <v>111</v>
      </c>
      <c r="J325" s="12" t="s">
        <v>1032</v>
      </c>
      <c r="K325" s="12" t="s">
        <v>118</v>
      </c>
      <c r="L325" s="12" t="s">
        <v>247</v>
      </c>
      <c r="N325" s="13" t="s">
        <v>934</v>
      </c>
      <c r="O325" s="11" t="s">
        <v>118</v>
      </c>
      <c r="P325" s="11" t="s">
        <v>323</v>
      </c>
      <c r="Q325" s="11" t="s">
        <v>126</v>
      </c>
      <c r="R325" s="11" t="s">
        <v>150</v>
      </c>
      <c r="T325" s="11" t="s">
        <v>126</v>
      </c>
      <c r="U325" s="11" t="s">
        <v>992</v>
      </c>
      <c r="AE325" s="11" t="s">
        <v>1768</v>
      </c>
    </row>
    <row r="326" spans="2:31" x14ac:dyDescent="0.35">
      <c r="B326" s="24" t="s">
        <v>49</v>
      </c>
      <c r="C326" s="12">
        <v>321</v>
      </c>
      <c r="D326" s="11" t="s">
        <v>935</v>
      </c>
      <c r="E326" s="11" t="s">
        <v>936</v>
      </c>
      <c r="F326" s="12" t="s">
        <v>49</v>
      </c>
      <c r="G326" s="12" t="s">
        <v>246</v>
      </c>
      <c r="H326" s="12" t="s">
        <v>246</v>
      </c>
      <c r="I326" s="12" t="s">
        <v>111</v>
      </c>
      <c r="J326" s="12" t="s">
        <v>1032</v>
      </c>
      <c r="K326" s="12" t="s">
        <v>118</v>
      </c>
      <c r="L326" s="12" t="s">
        <v>247</v>
      </c>
      <c r="N326" s="13" t="s">
        <v>937</v>
      </c>
      <c r="O326" s="11" t="s">
        <v>118</v>
      </c>
      <c r="P326" s="11" t="s">
        <v>323</v>
      </c>
      <c r="Q326" s="11" t="s">
        <v>126</v>
      </c>
      <c r="R326" s="11" t="s">
        <v>150</v>
      </c>
      <c r="T326" s="11" t="s">
        <v>126</v>
      </c>
      <c r="U326" s="11" t="s">
        <v>992</v>
      </c>
      <c r="AE326" s="11" t="s">
        <v>1768</v>
      </c>
    </row>
    <row r="327" spans="2:31" x14ac:dyDescent="0.35">
      <c r="B327" s="24" t="s">
        <v>49</v>
      </c>
      <c r="C327" s="12">
        <v>322</v>
      </c>
      <c r="D327" s="11" t="s">
        <v>938</v>
      </c>
      <c r="E327" s="11" t="s">
        <v>939</v>
      </c>
      <c r="F327" s="12" t="s">
        <v>49</v>
      </c>
      <c r="G327" s="12" t="s">
        <v>246</v>
      </c>
      <c r="H327" s="12" t="s">
        <v>246</v>
      </c>
      <c r="I327" s="12" t="s">
        <v>111</v>
      </c>
      <c r="J327" s="12" t="s">
        <v>1031</v>
      </c>
      <c r="K327" s="12" t="s">
        <v>118</v>
      </c>
      <c r="L327" s="12" t="s">
        <v>247</v>
      </c>
      <c r="N327" s="13" t="s">
        <v>940</v>
      </c>
      <c r="O327" s="11" t="s">
        <v>118</v>
      </c>
      <c r="P327" s="11" t="s">
        <v>323</v>
      </c>
      <c r="Q327" s="11" t="s">
        <v>126</v>
      </c>
      <c r="R327" s="11" t="s">
        <v>150</v>
      </c>
      <c r="T327" s="11" t="s">
        <v>126</v>
      </c>
      <c r="U327" s="11" t="s">
        <v>992</v>
      </c>
      <c r="AE327" s="11" t="s">
        <v>1768</v>
      </c>
    </row>
    <row r="328" spans="2:31" x14ac:dyDescent="0.35">
      <c r="B328" s="24" t="s">
        <v>49</v>
      </c>
      <c r="C328" s="12">
        <v>323</v>
      </c>
      <c r="D328" s="11" t="s">
        <v>941</v>
      </c>
      <c r="E328" s="11" t="s">
        <v>942</v>
      </c>
      <c r="F328" s="12" t="s">
        <v>49</v>
      </c>
      <c r="G328" s="12" t="s">
        <v>246</v>
      </c>
      <c r="H328" s="12" t="s">
        <v>246</v>
      </c>
      <c r="I328" s="12" t="s">
        <v>111</v>
      </c>
      <c r="J328" s="12" t="s">
        <v>1031</v>
      </c>
      <c r="K328" s="12" t="s">
        <v>118</v>
      </c>
      <c r="L328" s="12" t="s">
        <v>247</v>
      </c>
      <c r="N328" s="13" t="s">
        <v>943</v>
      </c>
      <c r="O328" s="11" t="s">
        <v>118</v>
      </c>
      <c r="P328" s="11" t="s">
        <v>323</v>
      </c>
      <c r="Q328" s="11" t="s">
        <v>126</v>
      </c>
      <c r="R328" s="11" t="s">
        <v>150</v>
      </c>
      <c r="T328" s="11" t="s">
        <v>126</v>
      </c>
      <c r="U328" s="11" t="s">
        <v>992</v>
      </c>
      <c r="AE328" s="11" t="s">
        <v>1768</v>
      </c>
    </row>
    <row r="329" spans="2:31" x14ac:dyDescent="0.35">
      <c r="B329" s="24" t="s">
        <v>49</v>
      </c>
      <c r="C329" s="12">
        <v>324</v>
      </c>
      <c r="D329" s="11" t="s">
        <v>944</v>
      </c>
      <c r="E329" s="11" t="s">
        <v>945</v>
      </c>
      <c r="F329" s="12" t="s">
        <v>49</v>
      </c>
      <c r="G329" s="12" t="s">
        <v>246</v>
      </c>
      <c r="H329" s="12" t="s">
        <v>246</v>
      </c>
      <c r="I329" s="12" t="s">
        <v>111</v>
      </c>
      <c r="J329" s="12" t="s">
        <v>1031</v>
      </c>
      <c r="K329" s="12" t="s">
        <v>118</v>
      </c>
      <c r="L329" s="12" t="s">
        <v>247</v>
      </c>
      <c r="N329" s="13" t="s">
        <v>946</v>
      </c>
      <c r="O329" s="11" t="s">
        <v>118</v>
      </c>
      <c r="P329" s="11" t="s">
        <v>323</v>
      </c>
      <c r="Q329" s="11" t="s">
        <v>125</v>
      </c>
      <c r="R329" s="11" t="s">
        <v>150</v>
      </c>
      <c r="S329" s="11" t="s">
        <v>125</v>
      </c>
      <c r="T329" s="11" t="s">
        <v>126</v>
      </c>
      <c r="U329" s="11" t="s">
        <v>38</v>
      </c>
      <c r="V329" s="11">
        <v>46171</v>
      </c>
      <c r="AE329" s="11" t="s">
        <v>993</v>
      </c>
    </row>
    <row r="330" spans="2:31" x14ac:dyDescent="0.35">
      <c r="B330" s="24" t="s">
        <v>291</v>
      </c>
      <c r="C330" s="12">
        <v>325</v>
      </c>
      <c r="D330" s="11" t="s">
        <v>1039</v>
      </c>
      <c r="E330" s="11" t="s">
        <v>307</v>
      </c>
      <c r="F330" s="12" t="s">
        <v>291</v>
      </c>
      <c r="G330" s="12" t="s">
        <v>246</v>
      </c>
      <c r="H330" s="12" t="s">
        <v>246</v>
      </c>
      <c r="I330" s="12" t="s">
        <v>430</v>
      </c>
      <c r="J330" s="12" t="s">
        <v>71</v>
      </c>
      <c r="K330" s="12" t="s">
        <v>191</v>
      </c>
      <c r="L330" s="12" t="s">
        <v>247</v>
      </c>
      <c r="N330" s="13" t="s">
        <v>1077</v>
      </c>
      <c r="O330" s="11" t="s">
        <v>309</v>
      </c>
      <c r="P330" s="11" t="s">
        <v>323</v>
      </c>
      <c r="Q330" s="11" t="s">
        <v>125</v>
      </c>
      <c r="R330" s="11" t="s">
        <v>150</v>
      </c>
      <c r="S330" s="11" t="s">
        <v>125</v>
      </c>
      <c r="T330" s="11" t="s">
        <v>126</v>
      </c>
      <c r="U330" s="11" t="s">
        <v>38</v>
      </c>
      <c r="V330" s="11">
        <v>46171</v>
      </c>
      <c r="AE330" s="11" t="s">
        <v>993</v>
      </c>
    </row>
    <row r="331" spans="2:31" x14ac:dyDescent="0.35">
      <c r="B331" s="24" t="s">
        <v>291</v>
      </c>
      <c r="C331" s="12">
        <v>326</v>
      </c>
      <c r="D331" s="11" t="s">
        <v>1040</v>
      </c>
      <c r="E331" s="11" t="s">
        <v>93</v>
      </c>
      <c r="F331" s="12" t="s">
        <v>291</v>
      </c>
      <c r="G331" s="12" t="s">
        <v>246</v>
      </c>
      <c r="H331" s="12" t="s">
        <v>246</v>
      </c>
      <c r="I331" s="12" t="s">
        <v>430</v>
      </c>
      <c r="J331" s="12" t="s">
        <v>93</v>
      </c>
      <c r="K331" s="12" t="s">
        <v>1022</v>
      </c>
      <c r="L331" s="12" t="s">
        <v>247</v>
      </c>
      <c r="N331" s="13">
        <v>976300524</v>
      </c>
      <c r="O331" s="11" t="s">
        <v>532</v>
      </c>
      <c r="P331" s="11" t="s">
        <v>323</v>
      </c>
      <c r="Q331" s="11" t="s">
        <v>125</v>
      </c>
      <c r="R331" s="11" t="s">
        <v>150</v>
      </c>
      <c r="T331" s="11" t="s">
        <v>126</v>
      </c>
      <c r="U331" s="11" t="s">
        <v>992</v>
      </c>
      <c r="AE331" s="11" t="s">
        <v>1768</v>
      </c>
    </row>
    <row r="332" spans="2:31" x14ac:dyDescent="0.35">
      <c r="B332" s="24" t="s">
        <v>291</v>
      </c>
      <c r="C332" s="12">
        <v>327</v>
      </c>
      <c r="D332" s="11" t="s">
        <v>1293</v>
      </c>
      <c r="E332" s="11" t="s">
        <v>1058</v>
      </c>
      <c r="F332" s="12" t="s">
        <v>291</v>
      </c>
      <c r="G332" s="12" t="s">
        <v>246</v>
      </c>
      <c r="H332" s="12" t="s">
        <v>246</v>
      </c>
      <c r="I332" s="12" t="s">
        <v>37</v>
      </c>
      <c r="J332" s="12" t="s">
        <v>1015</v>
      </c>
      <c r="K332" s="12" t="s">
        <v>1021</v>
      </c>
      <c r="L332" s="12" t="s">
        <v>247</v>
      </c>
      <c r="N332" s="13" t="s">
        <v>1078</v>
      </c>
      <c r="O332" s="11" t="s">
        <v>118</v>
      </c>
      <c r="P332" s="11" t="s">
        <v>323</v>
      </c>
      <c r="Q332" s="11" t="s">
        <v>126</v>
      </c>
      <c r="R332" s="11" t="s">
        <v>150</v>
      </c>
      <c r="T332" s="11" t="s">
        <v>126</v>
      </c>
      <c r="U332" s="11" t="s">
        <v>992</v>
      </c>
      <c r="AE332" s="11" t="s">
        <v>1768</v>
      </c>
    </row>
    <row r="333" spans="2:31" x14ac:dyDescent="0.35">
      <c r="B333" s="24" t="s">
        <v>291</v>
      </c>
      <c r="C333" s="12">
        <v>328</v>
      </c>
      <c r="D333" s="11" t="s">
        <v>1294</v>
      </c>
      <c r="E333" s="11" t="s">
        <v>1059</v>
      </c>
      <c r="F333" s="12" t="s">
        <v>291</v>
      </c>
      <c r="G333" s="12" t="s">
        <v>246</v>
      </c>
      <c r="H333" s="12" t="s">
        <v>246</v>
      </c>
      <c r="I333" s="12" t="s">
        <v>111</v>
      </c>
      <c r="J333" s="12" t="s">
        <v>1032</v>
      </c>
      <c r="K333" s="12" t="s">
        <v>118</v>
      </c>
      <c r="L333" s="12" t="s">
        <v>247</v>
      </c>
      <c r="N333" s="13" t="s">
        <v>1295</v>
      </c>
      <c r="O333" s="11" t="s">
        <v>118</v>
      </c>
      <c r="P333" s="11" t="s">
        <v>323</v>
      </c>
      <c r="Q333" s="11" t="s">
        <v>126</v>
      </c>
      <c r="R333" s="11" t="s">
        <v>150</v>
      </c>
      <c r="T333" s="11" t="s">
        <v>126</v>
      </c>
      <c r="U333" s="11" t="s">
        <v>992</v>
      </c>
      <c r="AE333" s="11" t="s">
        <v>1768</v>
      </c>
    </row>
    <row r="334" spans="2:31" x14ac:dyDescent="0.35">
      <c r="B334" s="24" t="s">
        <v>291</v>
      </c>
      <c r="C334" s="12">
        <v>329</v>
      </c>
      <c r="D334" s="11" t="s">
        <v>1296</v>
      </c>
      <c r="E334" s="11" t="s">
        <v>1060</v>
      </c>
      <c r="F334" s="12" t="s">
        <v>291</v>
      </c>
      <c r="G334" s="12" t="s">
        <v>246</v>
      </c>
      <c r="H334" s="12" t="s">
        <v>246</v>
      </c>
      <c r="I334" s="12" t="s">
        <v>37</v>
      </c>
      <c r="J334" s="12" t="s">
        <v>1015</v>
      </c>
      <c r="K334" s="12" t="s">
        <v>1019</v>
      </c>
      <c r="L334" s="12" t="s">
        <v>247</v>
      </c>
      <c r="N334" s="13" t="s">
        <v>1079</v>
      </c>
      <c r="O334" s="11" t="s">
        <v>118</v>
      </c>
      <c r="P334" s="11" t="s">
        <v>323</v>
      </c>
      <c r="Q334" s="11" t="s">
        <v>126</v>
      </c>
      <c r="R334" s="11" t="s">
        <v>150</v>
      </c>
      <c r="T334" s="11" t="s">
        <v>125</v>
      </c>
      <c r="U334" s="11" t="s">
        <v>1014</v>
      </c>
      <c r="Z334" s="11">
        <v>46199</v>
      </c>
      <c r="AA334" s="11">
        <v>46199</v>
      </c>
      <c r="AB334" s="11" t="s">
        <v>30</v>
      </c>
      <c r="AC334" s="11">
        <v>33</v>
      </c>
      <c r="AE334" s="11" t="s">
        <v>993</v>
      </c>
    </row>
    <row r="335" spans="2:31" x14ac:dyDescent="0.35">
      <c r="B335" s="24" t="s">
        <v>291</v>
      </c>
      <c r="C335" s="12">
        <v>330</v>
      </c>
      <c r="D335" s="11" t="s">
        <v>1297</v>
      </c>
      <c r="E335" s="11" t="s">
        <v>1061</v>
      </c>
      <c r="F335" s="12" t="s">
        <v>291</v>
      </c>
      <c r="G335" s="12" t="s">
        <v>246</v>
      </c>
      <c r="H335" s="12" t="s">
        <v>246</v>
      </c>
      <c r="I335" s="12" t="s">
        <v>37</v>
      </c>
      <c r="J335" s="12" t="s">
        <v>1015</v>
      </c>
      <c r="K335" s="12" t="s">
        <v>1021</v>
      </c>
      <c r="L335" s="12" t="s">
        <v>247</v>
      </c>
      <c r="N335" s="13" t="s">
        <v>1298</v>
      </c>
      <c r="O335" s="11" t="s">
        <v>118</v>
      </c>
      <c r="P335" s="11" t="s">
        <v>323</v>
      </c>
      <c r="Q335" s="11" t="s">
        <v>126</v>
      </c>
      <c r="R335" s="11" t="s">
        <v>150</v>
      </c>
      <c r="T335" s="11" t="s">
        <v>126</v>
      </c>
      <c r="U335" s="11" t="s">
        <v>992</v>
      </c>
      <c r="AE335" s="11" t="s">
        <v>1768</v>
      </c>
    </row>
    <row r="336" spans="2:31" x14ac:dyDescent="0.35">
      <c r="B336" s="24" t="s">
        <v>416</v>
      </c>
      <c r="C336" s="12">
        <v>331</v>
      </c>
      <c r="D336" s="11" t="s">
        <v>1041</v>
      </c>
      <c r="E336" s="11" t="s">
        <v>93</v>
      </c>
      <c r="F336" s="12" t="s">
        <v>416</v>
      </c>
      <c r="G336" s="12" t="s">
        <v>246</v>
      </c>
      <c r="H336" s="12" t="s">
        <v>246</v>
      </c>
      <c r="I336" s="12" t="s">
        <v>430</v>
      </c>
      <c r="J336" s="12" t="s">
        <v>93</v>
      </c>
      <c r="K336" s="12" t="s">
        <v>1022</v>
      </c>
      <c r="L336" s="12" t="s">
        <v>247</v>
      </c>
      <c r="N336" s="13" t="s">
        <v>1080</v>
      </c>
      <c r="O336" s="11" t="s">
        <v>532</v>
      </c>
      <c r="P336" s="11" t="s">
        <v>323</v>
      </c>
      <c r="Q336" s="11" t="s">
        <v>125</v>
      </c>
      <c r="R336" s="11" t="s">
        <v>150</v>
      </c>
      <c r="S336" s="11" t="s">
        <v>125</v>
      </c>
      <c r="T336" s="11" t="s">
        <v>126</v>
      </c>
      <c r="U336" s="11" t="s">
        <v>38</v>
      </c>
      <c r="V336" s="11">
        <v>46171</v>
      </c>
      <c r="AE336" s="11" t="s">
        <v>993</v>
      </c>
    </row>
    <row r="337" spans="2:31" x14ac:dyDescent="0.35">
      <c r="B337" s="24" t="s">
        <v>416</v>
      </c>
      <c r="C337" s="12">
        <v>332</v>
      </c>
      <c r="D337" s="11" t="s">
        <v>1042</v>
      </c>
      <c r="E337" s="11" t="s">
        <v>661</v>
      </c>
      <c r="F337" s="12" t="s">
        <v>416</v>
      </c>
      <c r="G337" s="12" t="s">
        <v>246</v>
      </c>
      <c r="H337" s="12" t="s">
        <v>246</v>
      </c>
      <c r="I337" s="12" t="s">
        <v>430</v>
      </c>
      <c r="J337" s="12" t="s">
        <v>71</v>
      </c>
      <c r="K337" s="12" t="s">
        <v>1569</v>
      </c>
      <c r="L337" s="12" t="s">
        <v>247</v>
      </c>
      <c r="N337" s="13" t="s">
        <v>1081</v>
      </c>
      <c r="O337" s="11" t="s">
        <v>118</v>
      </c>
      <c r="P337" s="11" t="s">
        <v>323</v>
      </c>
      <c r="Q337" s="11" t="s">
        <v>125</v>
      </c>
      <c r="R337" s="11" t="s">
        <v>150</v>
      </c>
      <c r="S337" s="11" t="s">
        <v>125</v>
      </c>
      <c r="T337" s="11" t="s">
        <v>125</v>
      </c>
      <c r="U337" s="11" t="s">
        <v>1014</v>
      </c>
      <c r="V337" s="11">
        <v>46171</v>
      </c>
      <c r="Z337" s="11">
        <v>46181</v>
      </c>
      <c r="AA337" s="11">
        <v>46181</v>
      </c>
      <c r="AB337" s="11" t="s">
        <v>30</v>
      </c>
      <c r="AC337" s="11">
        <v>28</v>
      </c>
      <c r="AE337" s="11" t="s">
        <v>993</v>
      </c>
    </row>
    <row r="338" spans="2:31" x14ac:dyDescent="0.35">
      <c r="B338" s="24" t="s">
        <v>308</v>
      </c>
      <c r="C338" s="12">
        <v>333</v>
      </c>
      <c r="D338" s="11" t="s">
        <v>1299</v>
      </c>
      <c r="E338" s="11" t="s">
        <v>1062</v>
      </c>
      <c r="F338" s="12" t="s">
        <v>308</v>
      </c>
      <c r="G338" s="12" t="s">
        <v>246</v>
      </c>
      <c r="H338" s="12" t="s">
        <v>246</v>
      </c>
      <c r="I338" s="12" t="s">
        <v>111</v>
      </c>
      <c r="J338" s="12" t="s">
        <v>1032</v>
      </c>
      <c r="K338" s="12" t="s">
        <v>118</v>
      </c>
      <c r="L338" s="12" t="s">
        <v>247</v>
      </c>
      <c r="N338" s="13" t="s">
        <v>1300</v>
      </c>
      <c r="O338" s="11" t="s">
        <v>118</v>
      </c>
      <c r="P338" s="11" t="s">
        <v>323</v>
      </c>
      <c r="Q338" s="11" t="s">
        <v>126</v>
      </c>
      <c r="R338" s="11" t="s">
        <v>150</v>
      </c>
      <c r="T338" s="11" t="s">
        <v>126</v>
      </c>
      <c r="U338" s="11" t="s">
        <v>992</v>
      </c>
      <c r="AE338" s="11" t="s">
        <v>1768</v>
      </c>
    </row>
    <row r="339" spans="2:31" x14ac:dyDescent="0.35">
      <c r="B339" s="24" t="s">
        <v>314</v>
      </c>
      <c r="C339" s="12">
        <v>334</v>
      </c>
      <c r="D339" s="11" t="s">
        <v>438</v>
      </c>
      <c r="E339" s="11" t="s">
        <v>429</v>
      </c>
      <c r="F339" s="12" t="s">
        <v>314</v>
      </c>
      <c r="G339" s="12" t="s">
        <v>246</v>
      </c>
      <c r="H339" s="12" t="s">
        <v>246</v>
      </c>
      <c r="I339" s="12" t="s">
        <v>430</v>
      </c>
      <c r="J339" s="12" t="s">
        <v>20</v>
      </c>
      <c r="K339" s="12" t="s">
        <v>1022</v>
      </c>
      <c r="L339" s="12" t="s">
        <v>247</v>
      </c>
      <c r="N339" s="13" t="s">
        <v>440</v>
      </c>
      <c r="O339" s="11" t="s">
        <v>1087</v>
      </c>
      <c r="P339" s="11" t="s">
        <v>323</v>
      </c>
      <c r="Q339" s="11" t="s">
        <v>125</v>
      </c>
      <c r="R339" s="11" t="s">
        <v>150</v>
      </c>
      <c r="T339" s="11" t="s">
        <v>125</v>
      </c>
      <c r="U339" s="11" t="s">
        <v>38</v>
      </c>
      <c r="V339" s="11">
        <v>46147</v>
      </c>
      <c r="AE339" s="11" t="s">
        <v>993</v>
      </c>
    </row>
    <row r="340" spans="2:31" x14ac:dyDescent="0.35">
      <c r="B340" s="24" t="s">
        <v>49</v>
      </c>
      <c r="C340" s="12">
        <v>335</v>
      </c>
      <c r="D340" s="11" t="s">
        <v>1043</v>
      </c>
      <c r="E340" s="11" t="s">
        <v>1063</v>
      </c>
      <c r="F340" s="12" t="s">
        <v>49</v>
      </c>
      <c r="G340" s="12" t="s">
        <v>246</v>
      </c>
      <c r="H340" s="12" t="s">
        <v>246</v>
      </c>
      <c r="I340" s="12" t="s">
        <v>82</v>
      </c>
      <c r="J340" s="12" t="s">
        <v>1009</v>
      </c>
      <c r="K340" s="12" t="s">
        <v>118</v>
      </c>
      <c r="L340" s="12" t="s">
        <v>247</v>
      </c>
      <c r="N340" s="13" t="s">
        <v>1082</v>
      </c>
      <c r="O340" s="11" t="s">
        <v>118</v>
      </c>
      <c r="P340" s="11" t="s">
        <v>323</v>
      </c>
      <c r="Q340" s="11" t="s">
        <v>126</v>
      </c>
      <c r="R340" s="11" t="s">
        <v>150</v>
      </c>
      <c r="S340" s="11" t="s">
        <v>125</v>
      </c>
      <c r="T340" s="11" t="s">
        <v>126</v>
      </c>
      <c r="U340" s="11" t="s">
        <v>38</v>
      </c>
      <c r="V340" s="11">
        <v>46171</v>
      </c>
      <c r="AE340" s="11" t="s">
        <v>993</v>
      </c>
    </row>
    <row r="341" spans="2:31" x14ac:dyDescent="0.35">
      <c r="B341" s="24" t="s">
        <v>49</v>
      </c>
      <c r="C341" s="12">
        <v>336</v>
      </c>
      <c r="D341" s="11" t="s">
        <v>1044</v>
      </c>
      <c r="E341" s="11" t="s">
        <v>282</v>
      </c>
      <c r="F341" s="12" t="s">
        <v>49</v>
      </c>
      <c r="G341" s="12" t="s">
        <v>246</v>
      </c>
      <c r="H341" s="12" t="s">
        <v>246</v>
      </c>
      <c r="I341" s="12" t="s">
        <v>82</v>
      </c>
      <c r="J341" s="12" t="s">
        <v>1009</v>
      </c>
      <c r="K341" s="12" t="s">
        <v>118</v>
      </c>
      <c r="L341" s="12" t="s">
        <v>247</v>
      </c>
      <c r="O341" s="11" t="s">
        <v>1088</v>
      </c>
      <c r="P341" s="11" t="s">
        <v>249</v>
      </c>
      <c r="Q341" s="11" t="s">
        <v>125</v>
      </c>
      <c r="R341" s="11" t="s">
        <v>150</v>
      </c>
      <c r="S341" s="11" t="s">
        <v>125</v>
      </c>
      <c r="T341" s="11" t="s">
        <v>126</v>
      </c>
      <c r="U341" s="11" t="s">
        <v>38</v>
      </c>
      <c r="V341" s="11">
        <v>46171</v>
      </c>
      <c r="AE341" s="11" t="s">
        <v>993</v>
      </c>
    </row>
    <row r="342" spans="2:31" x14ac:dyDescent="0.35">
      <c r="B342" s="24" t="s">
        <v>311</v>
      </c>
      <c r="C342" s="12">
        <v>337</v>
      </c>
      <c r="D342" s="11" t="s">
        <v>1045</v>
      </c>
      <c r="E342" s="11" t="s">
        <v>1064</v>
      </c>
      <c r="F342" s="12" t="s">
        <v>311</v>
      </c>
      <c r="G342" s="12" t="s">
        <v>246</v>
      </c>
      <c r="H342" s="12" t="s">
        <v>246</v>
      </c>
      <c r="I342" s="12" t="s">
        <v>82</v>
      </c>
      <c r="J342" s="12" t="s">
        <v>1009</v>
      </c>
      <c r="K342" s="12" t="s">
        <v>118</v>
      </c>
      <c r="L342" s="12" t="s">
        <v>247</v>
      </c>
      <c r="N342" s="13" t="s">
        <v>1083</v>
      </c>
      <c r="O342" s="11" t="s">
        <v>1089</v>
      </c>
      <c r="P342" s="11" t="s">
        <v>1098</v>
      </c>
      <c r="Q342" s="11" t="s">
        <v>126</v>
      </c>
      <c r="R342" s="11" t="s">
        <v>150</v>
      </c>
      <c r="S342" s="11" t="s">
        <v>125</v>
      </c>
      <c r="T342" s="11" t="s">
        <v>125</v>
      </c>
      <c r="U342" s="11" t="s">
        <v>1014</v>
      </c>
      <c r="V342" s="11">
        <v>46178</v>
      </c>
      <c r="Y342" s="11">
        <v>46185</v>
      </c>
      <c r="Z342" s="11">
        <v>46184</v>
      </c>
      <c r="AA342" s="11">
        <v>46184</v>
      </c>
      <c r="AB342" s="11" t="s">
        <v>30</v>
      </c>
      <c r="AC342" s="11">
        <v>38</v>
      </c>
      <c r="AE342" s="11" t="s">
        <v>993</v>
      </c>
    </row>
    <row r="343" spans="2:31" x14ac:dyDescent="0.35">
      <c r="B343" s="24" t="s">
        <v>283</v>
      </c>
      <c r="C343" s="12">
        <v>338</v>
      </c>
      <c r="D343" s="11" t="s">
        <v>1046</v>
      </c>
      <c r="E343" s="11" t="s">
        <v>1301</v>
      </c>
      <c r="F343" s="12" t="s">
        <v>283</v>
      </c>
      <c r="G343" s="12" t="s">
        <v>246</v>
      </c>
      <c r="H343" s="12" t="s">
        <v>246</v>
      </c>
      <c r="I343" s="12" t="s">
        <v>82</v>
      </c>
      <c r="J343" s="12" t="s">
        <v>1009</v>
      </c>
      <c r="K343" s="12" t="s">
        <v>118</v>
      </c>
      <c r="L343" s="12" t="s">
        <v>247</v>
      </c>
      <c r="O343" s="11" t="s">
        <v>1090</v>
      </c>
      <c r="P343" s="11" t="s">
        <v>1098</v>
      </c>
      <c r="Q343" s="11" t="s">
        <v>125</v>
      </c>
      <c r="R343" s="11" t="s">
        <v>150</v>
      </c>
      <c r="S343" s="11" t="s">
        <v>125</v>
      </c>
      <c r="T343" s="11" t="s">
        <v>126</v>
      </c>
      <c r="U343" s="11" t="s">
        <v>38</v>
      </c>
      <c r="V343" s="11">
        <v>46171</v>
      </c>
      <c r="AE343" s="11" t="s">
        <v>993</v>
      </c>
    </row>
    <row r="344" spans="2:31" x14ac:dyDescent="0.35">
      <c r="B344" s="24" t="s">
        <v>49</v>
      </c>
      <c r="C344" s="12">
        <v>339</v>
      </c>
      <c r="D344" s="11" t="s">
        <v>1047</v>
      </c>
      <c r="E344" s="11" t="s">
        <v>1065</v>
      </c>
      <c r="F344" s="12" t="s">
        <v>49</v>
      </c>
      <c r="G344" s="12" t="s">
        <v>246</v>
      </c>
      <c r="H344" s="12" t="s">
        <v>246</v>
      </c>
      <c r="I344" s="12" t="s">
        <v>82</v>
      </c>
      <c r="J344" s="12" t="s">
        <v>1009</v>
      </c>
      <c r="K344" s="12" t="s">
        <v>118</v>
      </c>
      <c r="L344" s="12" t="s">
        <v>247</v>
      </c>
      <c r="O344" s="11" t="s">
        <v>1091</v>
      </c>
      <c r="P344" s="11" t="s">
        <v>1098</v>
      </c>
      <c r="Q344" s="11" t="s">
        <v>125</v>
      </c>
      <c r="R344" s="11" t="s">
        <v>150</v>
      </c>
      <c r="S344" s="11" t="s">
        <v>125</v>
      </c>
      <c r="T344" s="11" t="s">
        <v>125</v>
      </c>
      <c r="U344" s="11" t="s">
        <v>132</v>
      </c>
      <c r="AD344" s="11" t="s">
        <v>1258</v>
      </c>
      <c r="AE344" s="11" t="s">
        <v>993</v>
      </c>
    </row>
    <row r="345" spans="2:31" x14ac:dyDescent="0.35">
      <c r="B345" s="24" t="s">
        <v>49</v>
      </c>
      <c r="C345" s="12">
        <v>340</v>
      </c>
      <c r="D345" s="11" t="s">
        <v>1048</v>
      </c>
      <c r="E345" s="11" t="s">
        <v>1066</v>
      </c>
      <c r="F345" s="12" t="s">
        <v>49</v>
      </c>
      <c r="G345" s="12" t="s">
        <v>246</v>
      </c>
      <c r="H345" s="12" t="s">
        <v>246</v>
      </c>
      <c r="I345" s="12" t="s">
        <v>111</v>
      </c>
      <c r="J345" s="12" t="s">
        <v>1032</v>
      </c>
      <c r="K345" s="12" t="s">
        <v>118</v>
      </c>
      <c r="L345" s="12" t="s">
        <v>247</v>
      </c>
      <c r="N345" s="13" t="s">
        <v>1084</v>
      </c>
      <c r="P345" s="11" t="s">
        <v>1098</v>
      </c>
      <c r="Q345" s="11" t="s">
        <v>126</v>
      </c>
      <c r="R345" s="11" t="s">
        <v>150</v>
      </c>
      <c r="S345" s="11" t="s">
        <v>125</v>
      </c>
      <c r="T345" s="11" t="s">
        <v>126</v>
      </c>
      <c r="U345" s="11" t="s">
        <v>38</v>
      </c>
      <c r="V345" s="11">
        <v>46171</v>
      </c>
      <c r="AE345" s="11" t="s">
        <v>993</v>
      </c>
    </row>
    <row r="346" spans="2:31" x14ac:dyDescent="0.35">
      <c r="B346" s="24" t="s">
        <v>314</v>
      </c>
      <c r="C346" s="12">
        <v>341</v>
      </c>
      <c r="D346" s="11" t="s">
        <v>1049</v>
      </c>
      <c r="E346" s="11" t="s">
        <v>1067</v>
      </c>
      <c r="F346" s="12" t="s">
        <v>314</v>
      </c>
      <c r="G346" s="12" t="s">
        <v>246</v>
      </c>
      <c r="H346" s="12" t="s">
        <v>246</v>
      </c>
      <c r="I346" s="12" t="s">
        <v>37</v>
      </c>
      <c r="J346" s="12" t="s">
        <v>1013</v>
      </c>
      <c r="K346" s="12" t="s">
        <v>118</v>
      </c>
      <c r="L346" s="12" t="s">
        <v>247</v>
      </c>
      <c r="O346" s="11" t="s">
        <v>1092</v>
      </c>
      <c r="P346" s="11" t="s">
        <v>1098</v>
      </c>
      <c r="Q346" s="11" t="s">
        <v>125</v>
      </c>
      <c r="R346" s="11" t="s">
        <v>150</v>
      </c>
      <c r="S346" s="11" t="s">
        <v>125</v>
      </c>
      <c r="T346" s="11" t="s">
        <v>126</v>
      </c>
      <c r="U346" s="11" t="s">
        <v>38</v>
      </c>
      <c r="V346" s="11">
        <v>46171</v>
      </c>
      <c r="AE346" s="11" t="s">
        <v>993</v>
      </c>
    </row>
    <row r="347" spans="2:31" x14ac:dyDescent="0.35">
      <c r="B347" s="24" t="s">
        <v>283</v>
      </c>
      <c r="C347" s="12">
        <v>342</v>
      </c>
      <c r="D347" s="11" t="s">
        <v>1050</v>
      </c>
      <c r="E347" s="11" t="s">
        <v>1068</v>
      </c>
      <c r="F347" s="12" t="s">
        <v>283</v>
      </c>
      <c r="G347" s="12" t="s">
        <v>246</v>
      </c>
      <c r="H347" s="12" t="s">
        <v>246</v>
      </c>
      <c r="I347" s="12" t="s">
        <v>37</v>
      </c>
      <c r="J347" s="12" t="s">
        <v>1013</v>
      </c>
      <c r="K347" s="12" t="s">
        <v>118</v>
      </c>
      <c r="L347" s="12" t="s">
        <v>247</v>
      </c>
      <c r="O347" s="11" t="s">
        <v>1093</v>
      </c>
      <c r="P347" s="11" t="s">
        <v>1098</v>
      </c>
      <c r="Q347" s="11" t="s">
        <v>125</v>
      </c>
      <c r="R347" s="11" t="s">
        <v>150</v>
      </c>
      <c r="S347" s="11" t="s">
        <v>125</v>
      </c>
      <c r="T347" s="11" t="s">
        <v>126</v>
      </c>
      <c r="U347" s="11" t="s">
        <v>38</v>
      </c>
      <c r="V347" s="11">
        <v>46171</v>
      </c>
      <c r="AE347" s="11" t="s">
        <v>993</v>
      </c>
    </row>
    <row r="348" spans="2:31" x14ac:dyDescent="0.35">
      <c r="B348" s="24" t="s">
        <v>49</v>
      </c>
      <c r="C348" s="12">
        <v>343</v>
      </c>
      <c r="D348" s="11" t="s">
        <v>1051</v>
      </c>
      <c r="E348" s="11" t="s">
        <v>1069</v>
      </c>
      <c r="F348" s="12" t="s">
        <v>49</v>
      </c>
      <c r="G348" s="12" t="s">
        <v>246</v>
      </c>
      <c r="H348" s="12" t="s">
        <v>246</v>
      </c>
      <c r="I348" s="12" t="s">
        <v>111</v>
      </c>
      <c r="J348" s="12" t="s">
        <v>1032</v>
      </c>
      <c r="K348" s="12" t="s">
        <v>118</v>
      </c>
      <c r="L348" s="12" t="s">
        <v>247</v>
      </c>
      <c r="O348" s="11" t="s">
        <v>1094</v>
      </c>
      <c r="P348" s="11" t="s">
        <v>1098</v>
      </c>
      <c r="Q348" s="11" t="s">
        <v>125</v>
      </c>
      <c r="R348" s="11" t="s">
        <v>150</v>
      </c>
      <c r="S348" s="11" t="s">
        <v>125</v>
      </c>
      <c r="T348" s="11" t="s">
        <v>126</v>
      </c>
      <c r="U348" s="11" t="s">
        <v>38</v>
      </c>
      <c r="V348" s="11">
        <v>46171</v>
      </c>
      <c r="AE348" s="11" t="s">
        <v>993</v>
      </c>
    </row>
    <row r="349" spans="2:31" x14ac:dyDescent="0.35">
      <c r="B349" s="24" t="s">
        <v>49</v>
      </c>
      <c r="C349" s="12">
        <v>344</v>
      </c>
      <c r="D349" s="11" t="s">
        <v>1052</v>
      </c>
      <c r="E349" s="11" t="s">
        <v>905</v>
      </c>
      <c r="F349" s="12" t="s">
        <v>49</v>
      </c>
      <c r="G349" s="12" t="s">
        <v>246</v>
      </c>
      <c r="H349" s="12" t="s">
        <v>246</v>
      </c>
      <c r="I349" s="12" t="s">
        <v>111</v>
      </c>
      <c r="J349" s="12" t="s">
        <v>1031</v>
      </c>
      <c r="K349" s="12" t="s">
        <v>118</v>
      </c>
      <c r="L349" s="12" t="s">
        <v>247</v>
      </c>
      <c r="N349" s="13" t="s">
        <v>1085</v>
      </c>
      <c r="P349" s="11" t="s">
        <v>1099</v>
      </c>
      <c r="Q349" s="11" t="s">
        <v>126</v>
      </c>
      <c r="R349" s="11" t="s">
        <v>150</v>
      </c>
      <c r="T349" s="11" t="s">
        <v>126</v>
      </c>
      <c r="U349" s="11" t="s">
        <v>992</v>
      </c>
      <c r="AE349" s="11" t="s">
        <v>1768</v>
      </c>
    </row>
    <row r="350" spans="2:31" x14ac:dyDescent="0.35">
      <c r="B350" s="24" t="s">
        <v>49</v>
      </c>
      <c r="C350" s="12">
        <v>345</v>
      </c>
      <c r="D350" s="11" t="s">
        <v>1053</v>
      </c>
      <c r="E350" s="11" t="s">
        <v>1070</v>
      </c>
      <c r="F350" s="12" t="s">
        <v>49</v>
      </c>
      <c r="G350" s="12" t="s">
        <v>246</v>
      </c>
      <c r="H350" s="12" t="s">
        <v>246</v>
      </c>
      <c r="I350" s="12" t="s">
        <v>111</v>
      </c>
      <c r="J350" s="12" t="s">
        <v>1032</v>
      </c>
      <c r="K350" s="12" t="s">
        <v>118</v>
      </c>
      <c r="L350" s="12" t="s">
        <v>247</v>
      </c>
      <c r="N350" s="13" t="s">
        <v>1086</v>
      </c>
      <c r="P350" s="11" t="s">
        <v>1099</v>
      </c>
      <c r="Q350" s="11" t="s">
        <v>126</v>
      </c>
      <c r="R350" s="11" t="s">
        <v>150</v>
      </c>
      <c r="T350" s="11" t="s">
        <v>126</v>
      </c>
      <c r="U350" s="11" t="s">
        <v>992</v>
      </c>
      <c r="AE350" s="11" t="s">
        <v>1768</v>
      </c>
    </row>
    <row r="351" spans="2:31" x14ac:dyDescent="0.35">
      <c r="B351" s="24" t="s">
        <v>49</v>
      </c>
      <c r="C351" s="12">
        <v>346</v>
      </c>
      <c r="D351" s="11" t="s">
        <v>1054</v>
      </c>
      <c r="E351" s="11" t="s">
        <v>1071</v>
      </c>
      <c r="F351" s="12" t="s">
        <v>49</v>
      </c>
      <c r="G351" s="12" t="s">
        <v>246</v>
      </c>
      <c r="H351" s="12" t="s">
        <v>246</v>
      </c>
      <c r="I351" s="12" t="s">
        <v>111</v>
      </c>
      <c r="J351" s="12" t="s">
        <v>1032</v>
      </c>
      <c r="K351" s="12" t="s">
        <v>118</v>
      </c>
      <c r="L351" s="12" t="s">
        <v>247</v>
      </c>
      <c r="N351" s="13" t="s">
        <v>1086</v>
      </c>
      <c r="P351" s="11" t="s">
        <v>1099</v>
      </c>
      <c r="Q351" s="11" t="s">
        <v>126</v>
      </c>
      <c r="R351" s="11" t="s">
        <v>150</v>
      </c>
      <c r="T351" s="11" t="s">
        <v>125</v>
      </c>
      <c r="U351" s="11" t="s">
        <v>1014</v>
      </c>
      <c r="V351" s="11">
        <v>46182</v>
      </c>
      <c r="Z351" s="11">
        <v>46186</v>
      </c>
      <c r="AA351" s="11">
        <v>46186</v>
      </c>
      <c r="AB351" s="11" t="s">
        <v>30</v>
      </c>
      <c r="AC351" s="11">
        <v>25</v>
      </c>
      <c r="AD351" s="11" t="s">
        <v>1302</v>
      </c>
      <c r="AE351" s="11" t="s">
        <v>993</v>
      </c>
    </row>
    <row r="352" spans="2:31" x14ac:dyDescent="0.35">
      <c r="B352" s="24" t="s">
        <v>49</v>
      </c>
      <c r="C352" s="12">
        <v>347</v>
      </c>
      <c r="D352" s="11" t="s">
        <v>1055</v>
      </c>
      <c r="E352" s="11" t="s">
        <v>1072</v>
      </c>
      <c r="F352" s="12" t="s">
        <v>49</v>
      </c>
      <c r="G352" s="12" t="s">
        <v>246</v>
      </c>
      <c r="H352" s="12" t="s">
        <v>246</v>
      </c>
      <c r="I352" s="12" t="s">
        <v>111</v>
      </c>
      <c r="J352" s="12" t="s">
        <v>1032</v>
      </c>
      <c r="K352" s="12" t="s">
        <v>118</v>
      </c>
      <c r="L352" s="12" t="s">
        <v>247</v>
      </c>
      <c r="O352" s="11" t="s">
        <v>1095</v>
      </c>
      <c r="P352" s="11" t="s">
        <v>1098</v>
      </c>
      <c r="Q352" s="11" t="s">
        <v>125</v>
      </c>
      <c r="R352" s="11" t="s">
        <v>150</v>
      </c>
      <c r="S352" s="11" t="s">
        <v>125</v>
      </c>
      <c r="T352" s="11" t="s">
        <v>126</v>
      </c>
      <c r="U352" s="11" t="s">
        <v>38</v>
      </c>
      <c r="V352" s="11">
        <v>46171</v>
      </c>
      <c r="AE352" s="11" t="s">
        <v>993</v>
      </c>
    </row>
    <row r="353" spans="2:31" x14ac:dyDescent="0.35">
      <c r="B353" s="24" t="s">
        <v>283</v>
      </c>
      <c r="C353" s="12">
        <v>348</v>
      </c>
      <c r="D353" s="11" t="s">
        <v>1056</v>
      </c>
      <c r="E353" s="11" t="s">
        <v>1073</v>
      </c>
      <c r="F353" s="12" t="s">
        <v>283</v>
      </c>
      <c r="G353" s="12" t="s">
        <v>246</v>
      </c>
      <c r="H353" s="12" t="s">
        <v>246</v>
      </c>
      <c r="I353" s="12" t="s">
        <v>37</v>
      </c>
      <c r="J353" s="12" t="s">
        <v>1013</v>
      </c>
      <c r="K353" s="12" t="s">
        <v>118</v>
      </c>
      <c r="L353" s="12" t="s">
        <v>247</v>
      </c>
      <c r="O353" s="11" t="s">
        <v>1096</v>
      </c>
      <c r="P353" s="11" t="s">
        <v>1098</v>
      </c>
      <c r="Q353" s="11" t="s">
        <v>125</v>
      </c>
      <c r="R353" s="11" t="s">
        <v>150</v>
      </c>
      <c r="S353" s="11" t="s">
        <v>125</v>
      </c>
      <c r="T353" s="11" t="s">
        <v>126</v>
      </c>
      <c r="U353" s="11" t="s">
        <v>29</v>
      </c>
      <c r="V353" s="11">
        <v>46171</v>
      </c>
      <c r="W353" s="11">
        <v>46177</v>
      </c>
      <c r="AD353" s="11" t="s">
        <v>1303</v>
      </c>
      <c r="AE353" s="11" t="s">
        <v>993</v>
      </c>
    </row>
    <row r="354" spans="2:31" x14ac:dyDescent="0.35">
      <c r="B354" s="24" t="s">
        <v>49</v>
      </c>
      <c r="C354" s="12">
        <v>349</v>
      </c>
      <c r="D354" s="11" t="s">
        <v>1057</v>
      </c>
      <c r="E354" s="11" t="s">
        <v>1074</v>
      </c>
      <c r="F354" s="12" t="s">
        <v>49</v>
      </c>
      <c r="G354" s="12" t="s">
        <v>246</v>
      </c>
      <c r="H354" s="12" t="s">
        <v>246</v>
      </c>
      <c r="I354" s="12" t="s">
        <v>37</v>
      </c>
      <c r="J354" s="12" t="s">
        <v>1013</v>
      </c>
      <c r="K354" s="12" t="s">
        <v>118</v>
      </c>
      <c r="L354" s="12" t="s">
        <v>247</v>
      </c>
      <c r="O354" s="11" t="s">
        <v>1097</v>
      </c>
      <c r="P354" s="11" t="s">
        <v>1098</v>
      </c>
      <c r="Q354" s="11" t="s">
        <v>125</v>
      </c>
      <c r="R354" s="11" t="s">
        <v>150</v>
      </c>
      <c r="T354" s="11" t="s">
        <v>126</v>
      </c>
      <c r="AE354" s="11" t="s">
        <v>1768</v>
      </c>
    </row>
    <row r="355" spans="2:31" x14ac:dyDescent="0.35">
      <c r="B355" s="24" t="s">
        <v>49</v>
      </c>
      <c r="C355" s="12">
        <v>350</v>
      </c>
      <c r="D355" s="11" t="s">
        <v>1156</v>
      </c>
      <c r="E355" s="11" t="s">
        <v>1146</v>
      </c>
      <c r="F355" s="12" t="s">
        <v>49</v>
      </c>
      <c r="G355" s="12" t="s">
        <v>246</v>
      </c>
      <c r="H355" s="12" t="s">
        <v>246</v>
      </c>
      <c r="I355" s="12" t="s">
        <v>37</v>
      </c>
      <c r="J355" s="12" t="s">
        <v>1015</v>
      </c>
      <c r="K355" s="12" t="s">
        <v>1019</v>
      </c>
      <c r="L355" s="12" t="s">
        <v>247</v>
      </c>
      <c r="O355" s="11" t="s">
        <v>1157</v>
      </c>
      <c r="P355" s="11" t="s">
        <v>323</v>
      </c>
      <c r="Q355" s="11" t="s">
        <v>125</v>
      </c>
      <c r="R355" s="11" t="s">
        <v>150</v>
      </c>
      <c r="S355" s="11" t="s">
        <v>125</v>
      </c>
      <c r="T355" s="11" t="s">
        <v>126</v>
      </c>
      <c r="U355" s="11" t="s">
        <v>1246</v>
      </c>
      <c r="V355" s="11">
        <v>46171</v>
      </c>
      <c r="AE355" s="11" t="s">
        <v>993</v>
      </c>
    </row>
    <row r="356" spans="2:31" x14ac:dyDescent="0.35">
      <c r="B356" s="24" t="s">
        <v>295</v>
      </c>
      <c r="C356" s="12">
        <v>351</v>
      </c>
      <c r="D356" s="11" t="s">
        <v>1158</v>
      </c>
      <c r="E356" s="11" t="s">
        <v>1159</v>
      </c>
      <c r="F356" s="12" t="s">
        <v>295</v>
      </c>
      <c r="G356" s="12" t="s">
        <v>246</v>
      </c>
      <c r="H356" s="12" t="s">
        <v>246</v>
      </c>
      <c r="I356" s="12" t="s">
        <v>60</v>
      </c>
      <c r="J356" s="12" t="s">
        <v>1015</v>
      </c>
      <c r="K356" s="12" t="s">
        <v>118</v>
      </c>
      <c r="L356" s="12" t="s">
        <v>247</v>
      </c>
      <c r="O356" s="11" t="s">
        <v>1160</v>
      </c>
      <c r="P356" s="11" t="s">
        <v>323</v>
      </c>
      <c r="Q356" s="11" t="s">
        <v>125</v>
      </c>
      <c r="R356" s="11" t="s">
        <v>150</v>
      </c>
      <c r="S356" s="11" t="s">
        <v>125</v>
      </c>
      <c r="T356" s="11" t="s">
        <v>126</v>
      </c>
      <c r="U356" s="11" t="s">
        <v>1246</v>
      </c>
      <c r="V356" s="11">
        <v>46171</v>
      </c>
      <c r="AE356" s="11" t="s">
        <v>993</v>
      </c>
    </row>
    <row r="357" spans="2:31" x14ac:dyDescent="0.35">
      <c r="B357" s="24" t="s">
        <v>49</v>
      </c>
      <c r="C357" s="12">
        <v>352</v>
      </c>
      <c r="D357" s="11" t="s">
        <v>1161</v>
      </c>
      <c r="E357" s="11" t="s">
        <v>1162</v>
      </c>
      <c r="F357" s="12" t="s">
        <v>49</v>
      </c>
      <c r="G357" s="12" t="s">
        <v>246</v>
      </c>
      <c r="H357" s="12" t="s">
        <v>246</v>
      </c>
      <c r="I357" s="12" t="s">
        <v>60</v>
      </c>
      <c r="J357" s="12" t="s">
        <v>1015</v>
      </c>
      <c r="K357" s="12" t="s">
        <v>118</v>
      </c>
      <c r="L357" s="12" t="s">
        <v>247</v>
      </c>
      <c r="O357" s="11" t="s">
        <v>1163</v>
      </c>
      <c r="P357" s="11" t="s">
        <v>323</v>
      </c>
      <c r="Q357" s="11" t="s">
        <v>125</v>
      </c>
      <c r="R357" s="11" t="s">
        <v>150</v>
      </c>
      <c r="S357" s="11" t="s">
        <v>125</v>
      </c>
      <c r="T357" s="11" t="s">
        <v>125</v>
      </c>
      <c r="U357" s="11" t="s">
        <v>1014</v>
      </c>
      <c r="V357" s="11">
        <v>46171</v>
      </c>
      <c r="Z357" s="11">
        <v>46182</v>
      </c>
      <c r="AA357" s="11">
        <v>46182</v>
      </c>
      <c r="AB357" s="11" t="s">
        <v>30</v>
      </c>
      <c r="AC357" s="11">
        <v>47</v>
      </c>
      <c r="AE357" s="11" t="s">
        <v>993</v>
      </c>
    </row>
    <row r="358" spans="2:31" x14ac:dyDescent="0.35">
      <c r="B358" s="24" t="s">
        <v>49</v>
      </c>
      <c r="C358" s="12">
        <v>353</v>
      </c>
      <c r="D358" s="11" t="s">
        <v>1164</v>
      </c>
      <c r="E358" s="11" t="s">
        <v>1165</v>
      </c>
      <c r="F358" s="12" t="s">
        <v>49</v>
      </c>
      <c r="G358" s="12" t="s">
        <v>246</v>
      </c>
      <c r="H358" s="12" t="s">
        <v>246</v>
      </c>
      <c r="I358" s="12" t="s">
        <v>60</v>
      </c>
      <c r="J358" s="12" t="s">
        <v>1015</v>
      </c>
      <c r="K358" s="12" t="s">
        <v>118</v>
      </c>
      <c r="L358" s="12" t="s">
        <v>247</v>
      </c>
      <c r="O358" s="11" t="s">
        <v>1166</v>
      </c>
      <c r="P358" s="11" t="s">
        <v>323</v>
      </c>
      <c r="Q358" s="11" t="s">
        <v>125</v>
      </c>
      <c r="R358" s="11" t="s">
        <v>150</v>
      </c>
      <c r="S358" s="11" t="s">
        <v>125</v>
      </c>
      <c r="T358" s="11" t="s">
        <v>126</v>
      </c>
      <c r="U358" s="11" t="s">
        <v>1246</v>
      </c>
      <c r="V358" s="11">
        <v>46171</v>
      </c>
      <c r="AE358" s="11" t="s">
        <v>993</v>
      </c>
    </row>
    <row r="359" spans="2:31" x14ac:dyDescent="0.35">
      <c r="B359" s="24" t="s">
        <v>49</v>
      </c>
      <c r="C359" s="12">
        <v>354</v>
      </c>
      <c r="D359" s="11" t="s">
        <v>1167</v>
      </c>
      <c r="E359" s="11" t="s">
        <v>1168</v>
      </c>
      <c r="F359" s="12" t="s">
        <v>286</v>
      </c>
      <c r="G359" s="12" t="s">
        <v>246</v>
      </c>
      <c r="H359" s="12" t="s">
        <v>246</v>
      </c>
      <c r="I359" s="12" t="s">
        <v>37</v>
      </c>
      <c r="J359" s="12" t="s">
        <v>1015</v>
      </c>
      <c r="K359" s="12" t="s">
        <v>1021</v>
      </c>
      <c r="L359" s="12" t="s">
        <v>247</v>
      </c>
      <c r="O359" s="11" t="s">
        <v>1169</v>
      </c>
      <c r="P359" s="11" t="s">
        <v>323</v>
      </c>
      <c r="Q359" s="11" t="s">
        <v>126</v>
      </c>
      <c r="R359" s="11" t="s">
        <v>150</v>
      </c>
      <c r="S359" s="11" t="s">
        <v>125</v>
      </c>
      <c r="T359" s="11" t="s">
        <v>126</v>
      </c>
      <c r="U359" s="11" t="s">
        <v>1246</v>
      </c>
      <c r="V359" s="11">
        <v>46171</v>
      </c>
      <c r="AE359" s="11" t="s">
        <v>993</v>
      </c>
    </row>
    <row r="360" spans="2:31" x14ac:dyDescent="0.35">
      <c r="B360" s="24" t="s">
        <v>49</v>
      </c>
      <c r="C360" s="12">
        <v>355</v>
      </c>
      <c r="D360" s="11" t="s">
        <v>1170</v>
      </c>
      <c r="E360" s="11" t="s">
        <v>1171</v>
      </c>
      <c r="F360" s="12" t="s">
        <v>49</v>
      </c>
      <c r="G360" s="12" t="s">
        <v>246</v>
      </c>
      <c r="H360" s="12" t="s">
        <v>246</v>
      </c>
      <c r="I360" s="12" t="s">
        <v>37</v>
      </c>
      <c r="J360" s="12" t="s">
        <v>1015</v>
      </c>
      <c r="K360" s="12" t="s">
        <v>1021</v>
      </c>
      <c r="L360" s="12" t="s">
        <v>247</v>
      </c>
      <c r="O360" s="11" t="s">
        <v>1172</v>
      </c>
      <c r="P360" s="11" t="s">
        <v>323</v>
      </c>
      <c r="Q360" s="11" t="s">
        <v>126</v>
      </c>
      <c r="R360" s="11" t="s">
        <v>150</v>
      </c>
      <c r="S360" s="11" t="s">
        <v>125</v>
      </c>
      <c r="T360" s="11" t="s">
        <v>126</v>
      </c>
      <c r="U360" s="11" t="s">
        <v>1246</v>
      </c>
      <c r="V360" s="11">
        <v>46171</v>
      </c>
      <c r="AE360" s="11" t="s">
        <v>993</v>
      </c>
    </row>
    <row r="361" spans="2:31" x14ac:dyDescent="0.35">
      <c r="B361" s="24" t="s">
        <v>49</v>
      </c>
      <c r="C361" s="12">
        <v>356</v>
      </c>
      <c r="D361" s="11" t="s">
        <v>1173</v>
      </c>
      <c r="E361" s="11" t="s">
        <v>1174</v>
      </c>
      <c r="F361" s="12" t="s">
        <v>49</v>
      </c>
      <c r="G361" s="12" t="s">
        <v>246</v>
      </c>
      <c r="H361" s="12" t="s">
        <v>246</v>
      </c>
      <c r="I361" s="12" t="s">
        <v>60</v>
      </c>
      <c r="J361" s="12" t="s">
        <v>1015</v>
      </c>
      <c r="K361" s="12" t="s">
        <v>118</v>
      </c>
      <c r="L361" s="12" t="s">
        <v>247</v>
      </c>
      <c r="O361" s="11" t="s">
        <v>1175</v>
      </c>
      <c r="P361" s="11" t="s">
        <v>323</v>
      </c>
      <c r="Q361" s="11" t="s">
        <v>126</v>
      </c>
      <c r="R361" s="11" t="s">
        <v>150</v>
      </c>
      <c r="S361" s="11" t="s">
        <v>125</v>
      </c>
      <c r="T361" s="11" t="s">
        <v>126</v>
      </c>
      <c r="U361" s="11" t="s">
        <v>1246</v>
      </c>
      <c r="V361" s="11">
        <v>46171</v>
      </c>
      <c r="AE361" s="11" t="s">
        <v>993</v>
      </c>
    </row>
    <row r="362" spans="2:31" x14ac:dyDescent="0.35">
      <c r="B362" s="24" t="s">
        <v>49</v>
      </c>
      <c r="C362" s="12">
        <v>357</v>
      </c>
      <c r="D362" s="11" t="s">
        <v>1176</v>
      </c>
      <c r="E362" s="11" t="s">
        <v>1177</v>
      </c>
      <c r="F362" s="12" t="s">
        <v>49</v>
      </c>
      <c r="G362" s="12" t="s">
        <v>246</v>
      </c>
      <c r="H362" s="12" t="s">
        <v>246</v>
      </c>
      <c r="I362" s="12" t="s">
        <v>37</v>
      </c>
      <c r="J362" s="12" t="s">
        <v>1015</v>
      </c>
      <c r="K362" s="12" t="s">
        <v>1021</v>
      </c>
      <c r="L362" s="12" t="s">
        <v>247</v>
      </c>
      <c r="O362" s="11" t="s">
        <v>1178</v>
      </c>
      <c r="P362" s="11" t="s">
        <v>323</v>
      </c>
      <c r="Q362" s="11" t="s">
        <v>126</v>
      </c>
      <c r="R362" s="11" t="s">
        <v>150</v>
      </c>
      <c r="S362" s="11" t="s">
        <v>125</v>
      </c>
      <c r="T362" s="11" t="s">
        <v>126</v>
      </c>
      <c r="U362" s="11" t="s">
        <v>1246</v>
      </c>
      <c r="V362" s="11">
        <v>46202</v>
      </c>
      <c r="AE362" s="11" t="s">
        <v>993</v>
      </c>
    </row>
    <row r="363" spans="2:31" x14ac:dyDescent="0.35">
      <c r="B363" s="24" t="s">
        <v>49</v>
      </c>
      <c r="C363" s="12">
        <v>358</v>
      </c>
      <c r="D363" s="11" t="s">
        <v>1179</v>
      </c>
      <c r="E363" s="11" t="s">
        <v>1180</v>
      </c>
      <c r="F363" s="12" t="s">
        <v>49</v>
      </c>
      <c r="G363" s="12" t="s">
        <v>246</v>
      </c>
      <c r="H363" s="12" t="s">
        <v>246</v>
      </c>
      <c r="I363" s="12" t="s">
        <v>60</v>
      </c>
      <c r="J363" s="12" t="s">
        <v>1015</v>
      </c>
      <c r="K363" s="12" t="s">
        <v>118</v>
      </c>
      <c r="L363" s="12" t="s">
        <v>247</v>
      </c>
      <c r="O363" s="11" t="s">
        <v>1181</v>
      </c>
      <c r="P363" s="11" t="s">
        <v>323</v>
      </c>
      <c r="Q363" s="11" t="s">
        <v>126</v>
      </c>
      <c r="R363" s="11" t="s">
        <v>150</v>
      </c>
      <c r="S363" s="11" t="s">
        <v>125</v>
      </c>
      <c r="T363" s="11" t="s">
        <v>126</v>
      </c>
      <c r="U363" s="11" t="s">
        <v>1246</v>
      </c>
      <c r="V363" s="11">
        <v>46110</v>
      </c>
      <c r="AE363" s="11" t="s">
        <v>993</v>
      </c>
    </row>
    <row r="364" spans="2:31" x14ac:dyDescent="0.35">
      <c r="B364" s="24" t="s">
        <v>49</v>
      </c>
      <c r="C364" s="12">
        <v>359</v>
      </c>
      <c r="D364" s="11" t="s">
        <v>1182</v>
      </c>
      <c r="E364" s="11" t="s">
        <v>1183</v>
      </c>
      <c r="F364" s="12" t="s">
        <v>49</v>
      </c>
      <c r="G364" s="12" t="s">
        <v>246</v>
      </c>
      <c r="H364" s="12" t="s">
        <v>246</v>
      </c>
      <c r="I364" s="12" t="s">
        <v>37</v>
      </c>
      <c r="J364" s="12" t="s">
        <v>1015</v>
      </c>
      <c r="K364" s="12" t="s">
        <v>1021</v>
      </c>
      <c r="L364" s="12" t="s">
        <v>247</v>
      </c>
      <c r="O364" s="11" t="s">
        <v>1184</v>
      </c>
      <c r="P364" s="11" t="s">
        <v>323</v>
      </c>
      <c r="Q364" s="11" t="s">
        <v>126</v>
      </c>
      <c r="R364" s="11" t="s">
        <v>150</v>
      </c>
      <c r="T364" s="11" t="s">
        <v>126</v>
      </c>
      <c r="AE364" s="11" t="s">
        <v>1768</v>
      </c>
    </row>
    <row r="365" spans="2:31" x14ac:dyDescent="0.35">
      <c r="B365" s="24" t="s">
        <v>49</v>
      </c>
      <c r="C365" s="12">
        <v>360</v>
      </c>
      <c r="D365" s="11" t="s">
        <v>1185</v>
      </c>
      <c r="E365" s="11" t="s">
        <v>47</v>
      </c>
      <c r="F365" s="12" t="s">
        <v>49</v>
      </c>
      <c r="G365" s="12" t="s">
        <v>246</v>
      </c>
      <c r="H365" s="12" t="s">
        <v>246</v>
      </c>
      <c r="I365" s="12" t="s">
        <v>37</v>
      </c>
      <c r="J365" s="12" t="s">
        <v>1015</v>
      </c>
      <c r="K365" s="12" t="s">
        <v>1021</v>
      </c>
      <c r="L365" s="12" t="s">
        <v>247</v>
      </c>
      <c r="O365" s="11" t="s">
        <v>1186</v>
      </c>
      <c r="P365" s="11" t="s">
        <v>323</v>
      </c>
      <c r="Q365" s="11" t="s">
        <v>126</v>
      </c>
      <c r="R365" s="11" t="s">
        <v>150</v>
      </c>
      <c r="S365" s="11" t="s">
        <v>125</v>
      </c>
      <c r="T365" s="11" t="s">
        <v>126</v>
      </c>
      <c r="U365" s="11" t="s">
        <v>1246</v>
      </c>
      <c r="V365" s="11">
        <v>46110</v>
      </c>
      <c r="AE365" s="11" t="s">
        <v>993</v>
      </c>
    </row>
    <row r="366" spans="2:31" x14ac:dyDescent="0.35">
      <c r="B366" s="24" t="s">
        <v>49</v>
      </c>
      <c r="C366" s="12">
        <v>361</v>
      </c>
      <c r="D366" s="11" t="s">
        <v>1273</v>
      </c>
      <c r="E366" s="11" t="s">
        <v>1275</v>
      </c>
      <c r="F366" s="12" t="s">
        <v>49</v>
      </c>
      <c r="G366" s="12" t="s">
        <v>246</v>
      </c>
      <c r="H366" s="12" t="s">
        <v>246</v>
      </c>
      <c r="I366" s="12" t="s">
        <v>111</v>
      </c>
      <c r="J366" s="12" t="s">
        <v>1032</v>
      </c>
      <c r="K366" s="12" t="s">
        <v>118</v>
      </c>
      <c r="L366" s="12" t="s">
        <v>247</v>
      </c>
      <c r="T366" s="11" t="s">
        <v>125</v>
      </c>
      <c r="U366" s="11" t="s">
        <v>1014</v>
      </c>
      <c r="Z366" s="11">
        <v>46165</v>
      </c>
      <c r="AA366" s="11">
        <v>46165</v>
      </c>
      <c r="AB366" s="11" t="s">
        <v>30</v>
      </c>
      <c r="AC366" s="11">
        <v>82</v>
      </c>
      <c r="AE366" s="11" t="s">
        <v>993</v>
      </c>
    </row>
    <row r="367" spans="2:31" x14ac:dyDescent="0.35">
      <c r="B367" s="24" t="s">
        <v>49</v>
      </c>
      <c r="C367" s="12">
        <v>362</v>
      </c>
      <c r="D367" s="11" t="s">
        <v>1274</v>
      </c>
      <c r="E367" s="11" t="s">
        <v>80</v>
      </c>
      <c r="F367" s="12" t="s">
        <v>49</v>
      </c>
      <c r="G367" s="12" t="s">
        <v>246</v>
      </c>
      <c r="H367" s="12" t="s">
        <v>246</v>
      </c>
      <c r="I367" s="12" t="s">
        <v>82</v>
      </c>
      <c r="J367" s="12" t="s">
        <v>1009</v>
      </c>
      <c r="K367" s="12" t="s">
        <v>118</v>
      </c>
      <c r="L367" s="12" t="s">
        <v>247</v>
      </c>
      <c r="T367" s="11" t="s">
        <v>125</v>
      </c>
      <c r="U367" s="11" t="s">
        <v>1014</v>
      </c>
      <c r="Z367" s="11">
        <v>46177</v>
      </c>
      <c r="AA367" s="11">
        <v>46177</v>
      </c>
      <c r="AB367" s="11" t="s">
        <v>30</v>
      </c>
      <c r="AC367" s="11">
        <v>66</v>
      </c>
      <c r="AE367" s="11" t="s">
        <v>993</v>
      </c>
    </row>
    <row r="368" spans="2:31" x14ac:dyDescent="0.35">
      <c r="B368" s="24" t="s">
        <v>49</v>
      </c>
      <c r="C368" s="12">
        <v>363</v>
      </c>
      <c r="D368" s="11" t="s">
        <v>1242</v>
      </c>
      <c r="E368" s="11" t="s">
        <v>1244</v>
      </c>
      <c r="F368" s="12" t="s">
        <v>49</v>
      </c>
      <c r="G368" s="12" t="s">
        <v>246</v>
      </c>
      <c r="H368" s="12" t="s">
        <v>246</v>
      </c>
      <c r="I368" s="12" t="s">
        <v>37</v>
      </c>
      <c r="J368" s="12" t="s">
        <v>1015</v>
      </c>
      <c r="K368" s="12" t="s">
        <v>1021</v>
      </c>
      <c r="L368" s="12" t="s">
        <v>247</v>
      </c>
      <c r="N368" s="13" t="s">
        <v>1245</v>
      </c>
      <c r="P368" s="11" t="s">
        <v>323</v>
      </c>
      <c r="Q368" s="11" t="s">
        <v>126</v>
      </c>
      <c r="R368" s="11" t="s">
        <v>150</v>
      </c>
      <c r="T368" s="11" t="s">
        <v>125</v>
      </c>
      <c r="U368" s="11" t="s">
        <v>1014</v>
      </c>
      <c r="Z368" s="11">
        <v>46163</v>
      </c>
      <c r="AA368" s="11">
        <v>46163</v>
      </c>
      <c r="AB368" s="11" t="s">
        <v>30</v>
      </c>
      <c r="AC368" s="11">
        <v>35</v>
      </c>
      <c r="AE368" s="11" t="s">
        <v>993</v>
      </c>
    </row>
    <row r="369" spans="2:31" x14ac:dyDescent="0.35">
      <c r="B369" s="24" t="s">
        <v>49</v>
      </c>
      <c r="C369" s="12">
        <v>364</v>
      </c>
      <c r="D369" s="11" t="s">
        <v>1243</v>
      </c>
      <c r="E369" s="11" t="s">
        <v>69</v>
      </c>
      <c r="G369" s="12" t="s">
        <v>246</v>
      </c>
      <c r="H369" s="12" t="s">
        <v>246</v>
      </c>
      <c r="L369" s="12" t="s">
        <v>247</v>
      </c>
      <c r="Q369" s="11" t="s">
        <v>1304</v>
      </c>
      <c r="S369" s="11" t="s">
        <v>1304</v>
      </c>
      <c r="T369" s="11" t="s">
        <v>1305</v>
      </c>
      <c r="U369" s="11" t="s">
        <v>1246</v>
      </c>
      <c r="V369" s="11">
        <v>46171</v>
      </c>
      <c r="AE369" s="11" t="s">
        <v>993</v>
      </c>
    </row>
    <row r="370" spans="2:31" x14ac:dyDescent="0.35">
      <c r="B370" s="24" t="s">
        <v>278</v>
      </c>
      <c r="C370" s="12">
        <v>365</v>
      </c>
      <c r="D370" s="11" t="s">
        <v>1306</v>
      </c>
      <c r="E370" s="11" t="s">
        <v>245</v>
      </c>
      <c r="F370" s="12" t="s">
        <v>278</v>
      </c>
      <c r="G370" s="12" t="s">
        <v>246</v>
      </c>
      <c r="H370" s="12" t="s">
        <v>246</v>
      </c>
      <c r="I370" s="12" t="s">
        <v>82</v>
      </c>
      <c r="J370" s="12" t="s">
        <v>1009</v>
      </c>
      <c r="K370" s="12" t="s">
        <v>118</v>
      </c>
      <c r="L370" s="12" t="s">
        <v>247</v>
      </c>
      <c r="N370" s="13" t="s">
        <v>1402</v>
      </c>
      <c r="Q370" s="11" t="s">
        <v>126</v>
      </c>
      <c r="R370" s="11" t="s">
        <v>150</v>
      </c>
      <c r="T370" s="11" t="s">
        <v>125</v>
      </c>
      <c r="U370" s="11" t="s">
        <v>1014</v>
      </c>
      <c r="V370" s="11">
        <v>46189</v>
      </c>
      <c r="Y370" s="11">
        <v>46190</v>
      </c>
      <c r="Z370" s="11">
        <v>46190</v>
      </c>
      <c r="AA370" s="11">
        <v>46190</v>
      </c>
      <c r="AB370" s="11" t="s">
        <v>30</v>
      </c>
      <c r="AC370" s="11">
        <v>72</v>
      </c>
      <c r="AD370" s="11" t="s">
        <v>1404</v>
      </c>
      <c r="AE370" s="11" t="s">
        <v>993</v>
      </c>
    </row>
    <row r="371" spans="2:31" x14ac:dyDescent="0.35">
      <c r="B371" s="24" t="s">
        <v>49</v>
      </c>
      <c r="C371" s="12">
        <v>366</v>
      </c>
      <c r="D371" s="11" t="s">
        <v>1138</v>
      </c>
      <c r="E371" s="11" t="s">
        <v>47</v>
      </c>
      <c r="F371" s="12" t="s">
        <v>49</v>
      </c>
      <c r="I371" s="12" t="s">
        <v>37</v>
      </c>
      <c r="J371" s="12" t="s">
        <v>1015</v>
      </c>
      <c r="K371" s="12" t="s">
        <v>1021</v>
      </c>
      <c r="L371" s="12" t="s">
        <v>247</v>
      </c>
      <c r="T371" s="11" t="s">
        <v>125</v>
      </c>
      <c r="U371" s="11" t="s">
        <v>1014</v>
      </c>
      <c r="Z371" s="11">
        <v>46189</v>
      </c>
      <c r="AA371" s="11">
        <v>46189</v>
      </c>
      <c r="AB371" s="11" t="s">
        <v>30</v>
      </c>
      <c r="AC371" s="11">
        <v>39</v>
      </c>
      <c r="AE371" s="11" t="s">
        <v>993</v>
      </c>
    </row>
    <row r="372" spans="2:31" x14ac:dyDescent="0.35">
      <c r="B372" s="24" t="s">
        <v>49</v>
      </c>
      <c r="C372" s="12">
        <v>367</v>
      </c>
      <c r="D372" s="11" t="s">
        <v>1307</v>
      </c>
      <c r="E372" s="11" t="s">
        <v>1308</v>
      </c>
      <c r="F372" s="12" t="s">
        <v>49</v>
      </c>
      <c r="I372" s="12" t="s">
        <v>37</v>
      </c>
      <c r="J372" s="12" t="s">
        <v>1015</v>
      </c>
      <c r="K372" s="12" t="s">
        <v>1021</v>
      </c>
      <c r="L372" s="12" t="s">
        <v>247</v>
      </c>
      <c r="T372" s="11" t="s">
        <v>125</v>
      </c>
      <c r="U372" s="11" t="s">
        <v>1014</v>
      </c>
      <c r="Z372" s="11">
        <v>46189</v>
      </c>
      <c r="AA372" s="11">
        <v>46189</v>
      </c>
      <c r="AB372" s="11" t="s">
        <v>30</v>
      </c>
      <c r="AC372" s="11">
        <v>55</v>
      </c>
      <c r="AE372" s="11" t="s">
        <v>993</v>
      </c>
    </row>
    <row r="373" spans="2:31" x14ac:dyDescent="0.35">
      <c r="B373" s="24" t="s">
        <v>49</v>
      </c>
      <c r="C373" s="12">
        <v>368</v>
      </c>
      <c r="D373" s="11" t="s">
        <v>1399</v>
      </c>
      <c r="E373" s="11" t="s">
        <v>1401</v>
      </c>
      <c r="F373" s="12" t="s">
        <v>49</v>
      </c>
      <c r="I373" s="12" t="s">
        <v>82</v>
      </c>
      <c r="J373" s="12" t="s">
        <v>1009</v>
      </c>
      <c r="K373" s="12" t="s">
        <v>118</v>
      </c>
      <c r="L373" s="12" t="s">
        <v>247</v>
      </c>
      <c r="T373" s="11" t="s">
        <v>125</v>
      </c>
      <c r="U373" s="11" t="s">
        <v>1014</v>
      </c>
      <c r="Z373" s="11">
        <v>46195</v>
      </c>
      <c r="AA373" s="11">
        <v>46195</v>
      </c>
      <c r="AB373" s="11" t="s">
        <v>30</v>
      </c>
      <c r="AC373" s="11">
        <v>39</v>
      </c>
      <c r="AE373" s="11" t="s">
        <v>993</v>
      </c>
    </row>
    <row r="374" spans="2:31" x14ac:dyDescent="0.35">
      <c r="B374" s="24" t="s">
        <v>314</v>
      </c>
      <c r="C374" s="12">
        <v>369</v>
      </c>
      <c r="D374" s="11" t="s">
        <v>1400</v>
      </c>
      <c r="E374" s="11" t="s">
        <v>429</v>
      </c>
      <c r="F374" s="12" t="s">
        <v>314</v>
      </c>
      <c r="I374" s="12" t="s">
        <v>430</v>
      </c>
      <c r="J374" s="12" t="s">
        <v>20</v>
      </c>
      <c r="K374" s="12" t="s">
        <v>1022</v>
      </c>
      <c r="L374" s="12" t="s">
        <v>247</v>
      </c>
      <c r="N374" s="13" t="s">
        <v>1403</v>
      </c>
      <c r="Q374" s="11" t="s">
        <v>126</v>
      </c>
      <c r="R374" s="11" t="s">
        <v>150</v>
      </c>
      <c r="S374" s="11" t="s">
        <v>126</v>
      </c>
      <c r="T374" s="11" t="s">
        <v>125</v>
      </c>
      <c r="U374" s="11" t="s">
        <v>1014</v>
      </c>
      <c r="V374" s="11">
        <v>46197</v>
      </c>
      <c r="Z374" s="11">
        <v>46198</v>
      </c>
      <c r="AA374" s="11">
        <v>46198</v>
      </c>
      <c r="AB374" s="11" t="s">
        <v>30</v>
      </c>
      <c r="AC374" s="11">
        <v>40</v>
      </c>
      <c r="AD374" s="11" t="s">
        <v>1405</v>
      </c>
      <c r="AE374" s="11" t="s">
        <v>993</v>
      </c>
    </row>
    <row r="375" spans="2:31" x14ac:dyDescent="0.35">
      <c r="B375" s="24" t="s">
        <v>295</v>
      </c>
      <c r="C375" s="12">
        <v>370</v>
      </c>
      <c r="D375" s="11" t="s">
        <v>1408</v>
      </c>
      <c r="E375" s="11" t="s">
        <v>93</v>
      </c>
      <c r="F375" s="12" t="s">
        <v>295</v>
      </c>
      <c r="G375" s="12" t="s">
        <v>246</v>
      </c>
      <c r="H375" s="12" t="s">
        <v>246</v>
      </c>
      <c r="I375" s="12" t="s">
        <v>430</v>
      </c>
      <c r="J375" s="12" t="s">
        <v>93</v>
      </c>
      <c r="K375" s="12" t="s">
        <v>1022</v>
      </c>
      <c r="L375" s="12" t="s">
        <v>247</v>
      </c>
      <c r="T375" s="11" t="s">
        <v>125</v>
      </c>
      <c r="U375" s="11" t="s">
        <v>1014</v>
      </c>
      <c r="Z375" s="11">
        <v>46197</v>
      </c>
      <c r="AA375" s="11">
        <v>46197</v>
      </c>
      <c r="AB375" s="11" t="s">
        <v>30</v>
      </c>
      <c r="AC375" s="11">
        <v>44</v>
      </c>
      <c r="AE375" s="11" t="s">
        <v>993</v>
      </c>
    </row>
    <row r="376" spans="2:31" x14ac:dyDescent="0.35">
      <c r="B376" s="24" t="s">
        <v>283</v>
      </c>
      <c r="C376" s="12">
        <v>371</v>
      </c>
      <c r="D376" s="11" t="s">
        <v>1409</v>
      </c>
      <c r="E376" s="11" t="s">
        <v>93</v>
      </c>
      <c r="F376" s="12" t="s">
        <v>283</v>
      </c>
      <c r="G376" s="12" t="s">
        <v>246</v>
      </c>
      <c r="H376" s="12" t="s">
        <v>246</v>
      </c>
      <c r="I376" s="12" t="s">
        <v>430</v>
      </c>
      <c r="J376" s="12" t="s">
        <v>93</v>
      </c>
      <c r="K376" s="12" t="s">
        <v>1022</v>
      </c>
      <c r="L376" s="12" t="s">
        <v>247</v>
      </c>
      <c r="T376" s="11" t="s">
        <v>125</v>
      </c>
      <c r="U376" s="11" t="s">
        <v>1014</v>
      </c>
      <c r="Z376" s="11">
        <v>46199</v>
      </c>
      <c r="AA376" s="11">
        <v>46199</v>
      </c>
      <c r="AB376" s="11" t="s">
        <v>30</v>
      </c>
      <c r="AC376" s="11">
        <v>39</v>
      </c>
      <c r="AE376" s="11" t="s">
        <v>993</v>
      </c>
    </row>
    <row r="377" spans="2:31" x14ac:dyDescent="0.35">
      <c r="B377" s="24" t="s">
        <v>295</v>
      </c>
      <c r="C377" s="12">
        <v>372</v>
      </c>
      <c r="D377" s="11" t="s">
        <v>1410</v>
      </c>
      <c r="E377" s="11" t="s">
        <v>93</v>
      </c>
      <c r="F377" s="12" t="s">
        <v>295</v>
      </c>
      <c r="G377" s="12" t="s">
        <v>246</v>
      </c>
      <c r="H377" s="12" t="s">
        <v>246</v>
      </c>
      <c r="I377" s="12" t="s">
        <v>430</v>
      </c>
      <c r="J377" s="12" t="s">
        <v>93</v>
      </c>
      <c r="K377" s="12" t="s">
        <v>1022</v>
      </c>
      <c r="L377" s="12" t="s">
        <v>247</v>
      </c>
      <c r="T377" s="11" t="s">
        <v>125</v>
      </c>
      <c r="U377" s="11" t="s">
        <v>1014</v>
      </c>
      <c r="Z377" s="11">
        <v>46200</v>
      </c>
      <c r="AA377" s="11">
        <v>46200</v>
      </c>
      <c r="AB377" s="11" t="s">
        <v>30</v>
      </c>
      <c r="AC377" s="11">
        <v>84</v>
      </c>
      <c r="AE377" s="11" t="s">
        <v>993</v>
      </c>
    </row>
    <row r="378" spans="2:31" x14ac:dyDescent="0.35">
      <c r="B378" s="24" t="s">
        <v>283</v>
      </c>
      <c r="C378" s="12">
        <v>373</v>
      </c>
      <c r="D378" s="11" t="s">
        <v>1413</v>
      </c>
      <c r="E378" s="11" t="s">
        <v>47</v>
      </c>
      <c r="F378" s="12" t="s">
        <v>283</v>
      </c>
      <c r="G378" s="12" t="s">
        <v>246</v>
      </c>
      <c r="H378" s="12" t="s">
        <v>246</v>
      </c>
      <c r="I378" s="12" t="s">
        <v>37</v>
      </c>
      <c r="J378" s="12" t="s">
        <v>1015</v>
      </c>
      <c r="K378" s="12" t="s">
        <v>1021</v>
      </c>
      <c r="L378" s="12" t="s">
        <v>247</v>
      </c>
      <c r="T378" s="11" t="s">
        <v>125</v>
      </c>
      <c r="U378" s="11" t="s">
        <v>1014</v>
      </c>
      <c r="Z378" s="11">
        <v>46204</v>
      </c>
      <c r="AA378" s="11">
        <v>46204</v>
      </c>
      <c r="AB378" s="11" t="s">
        <v>30</v>
      </c>
      <c r="AC378" s="11">
        <v>48</v>
      </c>
      <c r="AE378" s="11" t="s">
        <v>993</v>
      </c>
    </row>
    <row r="379" spans="2:31" x14ac:dyDescent="0.35">
      <c r="B379" s="24" t="s">
        <v>314</v>
      </c>
      <c r="C379" s="12">
        <v>374</v>
      </c>
      <c r="D379" s="11" t="s">
        <v>1570</v>
      </c>
      <c r="E379" s="11" t="s">
        <v>93</v>
      </c>
      <c r="F379" s="12" t="s">
        <v>314</v>
      </c>
      <c r="G379" s="12" t="s">
        <v>246</v>
      </c>
      <c r="H379" s="12" t="s">
        <v>246</v>
      </c>
      <c r="I379" s="12" t="s">
        <v>430</v>
      </c>
      <c r="J379" s="12" t="s">
        <v>93</v>
      </c>
      <c r="K379" s="12" t="s">
        <v>1022</v>
      </c>
      <c r="L379" s="12" t="s">
        <v>247</v>
      </c>
      <c r="T379" s="11" t="s">
        <v>125</v>
      </c>
      <c r="U379" s="11" t="s">
        <v>1014</v>
      </c>
      <c r="Z379" s="11">
        <v>46206</v>
      </c>
      <c r="AA379" s="11">
        <v>46206</v>
      </c>
      <c r="AB379" s="11" t="s">
        <v>30</v>
      </c>
      <c r="AC379" s="11">
        <v>33</v>
      </c>
      <c r="AE379" s="11" t="s">
        <v>993</v>
      </c>
    </row>
    <row r="380" spans="2:31" x14ac:dyDescent="0.35">
      <c r="B380" s="24" t="s">
        <v>283</v>
      </c>
      <c r="C380" s="12">
        <v>375</v>
      </c>
      <c r="D380" s="11" t="s">
        <v>1417</v>
      </c>
      <c r="E380" s="11" t="s">
        <v>1418</v>
      </c>
      <c r="F380" s="12" t="s">
        <v>283</v>
      </c>
      <c r="G380" s="12" t="s">
        <v>246</v>
      </c>
      <c r="H380" s="12" t="s">
        <v>246</v>
      </c>
      <c r="I380" s="12" t="s">
        <v>430</v>
      </c>
      <c r="J380" s="12" t="s">
        <v>71</v>
      </c>
      <c r="K380" s="12" t="s">
        <v>191</v>
      </c>
      <c r="L380" s="12" t="s">
        <v>247</v>
      </c>
      <c r="T380" s="11" t="s">
        <v>125</v>
      </c>
      <c r="U380" s="11" t="s">
        <v>1014</v>
      </c>
      <c r="Z380" s="11">
        <v>46205</v>
      </c>
      <c r="AA380" s="11">
        <v>46205</v>
      </c>
      <c r="AB380" s="11" t="s">
        <v>30</v>
      </c>
      <c r="AC380" s="11">
        <v>37</v>
      </c>
      <c r="AD380" s="11" t="s">
        <v>1555</v>
      </c>
      <c r="AE380" s="11" t="s">
        <v>993</v>
      </c>
    </row>
    <row r="381" spans="2:31" x14ac:dyDescent="0.35">
      <c r="B381" s="24" t="s">
        <v>278</v>
      </c>
      <c r="C381" s="12">
        <v>376</v>
      </c>
      <c r="D381" s="11" t="s">
        <v>1421</v>
      </c>
      <c r="E381" s="11" t="s">
        <v>1422</v>
      </c>
      <c r="F381" s="12" t="s">
        <v>278</v>
      </c>
      <c r="G381" s="12" t="s">
        <v>246</v>
      </c>
      <c r="H381" s="12" t="s">
        <v>246</v>
      </c>
      <c r="I381" s="12" t="s">
        <v>60</v>
      </c>
      <c r="J381" s="12" t="s">
        <v>1030</v>
      </c>
      <c r="K381" s="12" t="s">
        <v>118</v>
      </c>
      <c r="L381" s="12" t="s">
        <v>247</v>
      </c>
      <c r="N381" s="13" t="s">
        <v>1423</v>
      </c>
      <c r="AE381" s="11" t="s">
        <v>1768</v>
      </c>
    </row>
    <row r="382" spans="2:31" x14ac:dyDescent="0.35">
      <c r="B382" s="24" t="s">
        <v>278</v>
      </c>
      <c r="C382" s="12">
        <v>377</v>
      </c>
      <c r="D382" s="11" t="s">
        <v>1424</v>
      </c>
      <c r="E382" s="11" t="s">
        <v>1422</v>
      </c>
      <c r="F382" s="12" t="s">
        <v>278</v>
      </c>
      <c r="G382" s="12" t="s">
        <v>246</v>
      </c>
      <c r="H382" s="12" t="s">
        <v>246</v>
      </c>
      <c r="I382" s="12" t="s">
        <v>60</v>
      </c>
      <c r="J382" s="12" t="s">
        <v>1030</v>
      </c>
      <c r="K382" s="12" t="s">
        <v>118</v>
      </c>
      <c r="L382" s="12" t="s">
        <v>247</v>
      </c>
      <c r="N382" s="13" t="s">
        <v>1425</v>
      </c>
      <c r="AE382" s="11" t="s">
        <v>1768</v>
      </c>
    </row>
    <row r="383" spans="2:31" x14ac:dyDescent="0.35">
      <c r="B383" s="24" t="s">
        <v>291</v>
      </c>
      <c r="C383" s="12">
        <v>378</v>
      </c>
      <c r="D383" s="11" t="s">
        <v>1428</v>
      </c>
      <c r="E383" s="11" t="s">
        <v>1441</v>
      </c>
      <c r="F383" s="12" t="s">
        <v>291</v>
      </c>
      <c r="G383" s="12" t="s">
        <v>246</v>
      </c>
      <c r="H383" s="12" t="s">
        <v>246</v>
      </c>
      <c r="I383" s="12" t="s">
        <v>60</v>
      </c>
      <c r="J383" s="12" t="s">
        <v>1030</v>
      </c>
      <c r="K383" s="12" t="s">
        <v>118</v>
      </c>
      <c r="L383" s="12" t="s">
        <v>247</v>
      </c>
      <c r="N383" s="13" t="s">
        <v>1445</v>
      </c>
      <c r="AE383" s="11" t="s">
        <v>1768</v>
      </c>
    </row>
    <row r="384" spans="2:31" x14ac:dyDescent="0.35">
      <c r="B384" s="24" t="s">
        <v>308</v>
      </c>
      <c r="C384" s="12">
        <v>379</v>
      </c>
      <c r="D384" s="11" t="s">
        <v>1429</v>
      </c>
      <c r="E384" s="11" t="s">
        <v>1442</v>
      </c>
      <c r="F384" s="12" t="s">
        <v>308</v>
      </c>
      <c r="G384" s="12" t="s">
        <v>246</v>
      </c>
      <c r="H384" s="12" t="s">
        <v>246</v>
      </c>
      <c r="I384" s="12" t="s">
        <v>60</v>
      </c>
      <c r="J384" s="12" t="s">
        <v>1030</v>
      </c>
      <c r="K384" s="12" t="s">
        <v>118</v>
      </c>
      <c r="L384" s="12" t="s">
        <v>247</v>
      </c>
      <c r="N384" s="13" t="s">
        <v>1446</v>
      </c>
      <c r="AE384" s="11" t="s">
        <v>1768</v>
      </c>
    </row>
    <row r="385" spans="2:31" x14ac:dyDescent="0.35">
      <c r="B385" s="24" t="s">
        <v>49</v>
      </c>
      <c r="C385" s="12">
        <v>380</v>
      </c>
      <c r="D385" s="11" t="s">
        <v>1430</v>
      </c>
      <c r="E385" s="11" t="s">
        <v>1443</v>
      </c>
      <c r="F385" s="12" t="s">
        <v>286</v>
      </c>
      <c r="G385" s="12" t="s">
        <v>246</v>
      </c>
      <c r="H385" s="12" t="s">
        <v>246</v>
      </c>
      <c r="I385" s="12" t="s">
        <v>60</v>
      </c>
      <c r="J385" s="12" t="s">
        <v>1030</v>
      </c>
      <c r="K385" s="12" t="s">
        <v>118</v>
      </c>
      <c r="L385" s="12" t="s">
        <v>247</v>
      </c>
      <c r="N385" s="13" t="s">
        <v>1447</v>
      </c>
      <c r="AE385" s="11" t="s">
        <v>1768</v>
      </c>
    </row>
    <row r="386" spans="2:31" x14ac:dyDescent="0.35">
      <c r="B386" s="24" t="s">
        <v>295</v>
      </c>
      <c r="C386" s="12">
        <v>381</v>
      </c>
      <c r="D386" s="11" t="s">
        <v>1431</v>
      </c>
      <c r="E386" s="11" t="s">
        <v>1444</v>
      </c>
      <c r="F386" s="12" t="s">
        <v>295</v>
      </c>
      <c r="G386" s="12" t="s">
        <v>246</v>
      </c>
      <c r="H386" s="12" t="s">
        <v>246</v>
      </c>
      <c r="I386" s="12" t="s">
        <v>60</v>
      </c>
      <c r="J386" s="12" t="s">
        <v>1030</v>
      </c>
      <c r="K386" s="12" t="s">
        <v>118</v>
      </c>
      <c r="L386" s="12" t="s">
        <v>247</v>
      </c>
      <c r="N386" s="13">
        <v>970518312</v>
      </c>
      <c r="V386" s="11">
        <v>46216</v>
      </c>
      <c r="AE386" s="11" t="s">
        <v>1768</v>
      </c>
    </row>
    <row r="387" spans="2:31" x14ac:dyDescent="0.35">
      <c r="B387" s="24" t="s">
        <v>295</v>
      </c>
      <c r="C387" s="12">
        <v>382</v>
      </c>
      <c r="D387" s="11" t="s">
        <v>1432</v>
      </c>
      <c r="E387" s="11" t="s">
        <v>1444</v>
      </c>
      <c r="F387" s="12" t="s">
        <v>295</v>
      </c>
      <c r="G387" s="12" t="s">
        <v>246</v>
      </c>
      <c r="H387" s="12" t="s">
        <v>246</v>
      </c>
      <c r="I387" s="12" t="s">
        <v>60</v>
      </c>
      <c r="J387" s="12" t="s">
        <v>1030</v>
      </c>
      <c r="K387" s="12" t="s">
        <v>118</v>
      </c>
      <c r="L387" s="12" t="s">
        <v>247</v>
      </c>
      <c r="N387" s="13">
        <v>996906009</v>
      </c>
      <c r="AE387" s="11" t="s">
        <v>1768</v>
      </c>
    </row>
    <row r="388" spans="2:31" x14ac:dyDescent="0.35">
      <c r="B388" s="24" t="s">
        <v>278</v>
      </c>
      <c r="C388" s="12">
        <v>383</v>
      </c>
      <c r="D388" s="11" t="s">
        <v>1433</v>
      </c>
      <c r="E388" s="11" t="s">
        <v>1509</v>
      </c>
      <c r="F388" s="12" t="s">
        <v>278</v>
      </c>
      <c r="G388" s="12" t="s">
        <v>246</v>
      </c>
      <c r="H388" s="12" t="s">
        <v>246</v>
      </c>
      <c r="I388" s="12" t="s">
        <v>430</v>
      </c>
      <c r="J388" s="12" t="s">
        <v>90</v>
      </c>
      <c r="K388" s="12" t="s">
        <v>1022</v>
      </c>
      <c r="L388" s="12" t="s">
        <v>247</v>
      </c>
      <c r="N388" s="13" t="s">
        <v>1448</v>
      </c>
      <c r="U388" s="11" t="s">
        <v>1014</v>
      </c>
      <c r="V388" s="11">
        <v>46237</v>
      </c>
      <c r="Z388" s="11">
        <v>46237</v>
      </c>
      <c r="AA388" s="11">
        <v>46237</v>
      </c>
      <c r="AB388" s="11" t="s">
        <v>30</v>
      </c>
      <c r="AE388" s="11" t="s">
        <v>993</v>
      </c>
    </row>
    <row r="389" spans="2:31" x14ac:dyDescent="0.35">
      <c r="B389" s="24" t="s">
        <v>278</v>
      </c>
      <c r="C389" s="12">
        <v>384</v>
      </c>
      <c r="D389" s="11" t="s">
        <v>1434</v>
      </c>
      <c r="E389" s="11" t="s">
        <v>1571</v>
      </c>
      <c r="F389" s="12" t="s">
        <v>278</v>
      </c>
      <c r="G389" s="12" t="s">
        <v>246</v>
      </c>
      <c r="H389" s="12" t="s">
        <v>246</v>
      </c>
      <c r="I389" s="12" t="s">
        <v>60</v>
      </c>
      <c r="J389" s="12" t="s">
        <v>1030</v>
      </c>
      <c r="K389" s="12" t="s">
        <v>118</v>
      </c>
      <c r="L389" s="12" t="s">
        <v>247</v>
      </c>
      <c r="N389" s="13" t="s">
        <v>1449</v>
      </c>
      <c r="T389" s="11" t="s">
        <v>125</v>
      </c>
      <c r="U389" s="11" t="s">
        <v>1014</v>
      </c>
      <c r="V389" s="11">
        <v>46216</v>
      </c>
      <c r="Z389" s="11">
        <v>46217</v>
      </c>
      <c r="AA389" s="11">
        <v>46217</v>
      </c>
      <c r="AB389" s="11" t="s">
        <v>30</v>
      </c>
      <c r="AC389" s="11">
        <v>32</v>
      </c>
      <c r="AE389" s="11" t="s">
        <v>993</v>
      </c>
    </row>
    <row r="390" spans="2:31" x14ac:dyDescent="0.35">
      <c r="B390" s="24" t="s">
        <v>283</v>
      </c>
      <c r="C390" s="12">
        <v>385</v>
      </c>
      <c r="D390" s="11" t="s">
        <v>1453</v>
      </c>
      <c r="E390" s="11" t="s">
        <v>1501</v>
      </c>
      <c r="F390" s="12" t="s">
        <v>283</v>
      </c>
      <c r="G390" s="12" t="s">
        <v>246</v>
      </c>
      <c r="H390" s="12" t="s">
        <v>246</v>
      </c>
      <c r="I390" s="12" t="s">
        <v>60</v>
      </c>
      <c r="J390" s="12" t="s">
        <v>1030</v>
      </c>
      <c r="K390" s="12" t="s">
        <v>118</v>
      </c>
      <c r="L390" s="12" t="s">
        <v>247</v>
      </c>
      <c r="N390" s="13" t="s">
        <v>1511</v>
      </c>
      <c r="AE390" s="11" t="s">
        <v>1768</v>
      </c>
    </row>
    <row r="391" spans="2:31" x14ac:dyDescent="0.35">
      <c r="B391" s="24" t="s">
        <v>283</v>
      </c>
      <c r="C391" s="12">
        <v>386</v>
      </c>
      <c r="D391" s="11" t="s">
        <v>1454</v>
      </c>
      <c r="E391" s="11" t="s">
        <v>1501</v>
      </c>
      <c r="F391" s="12" t="s">
        <v>283</v>
      </c>
      <c r="G391" s="12" t="s">
        <v>246</v>
      </c>
      <c r="H391" s="12" t="s">
        <v>246</v>
      </c>
      <c r="I391" s="12" t="s">
        <v>60</v>
      </c>
      <c r="J391" s="12" t="s">
        <v>1030</v>
      </c>
      <c r="K391" s="12" t="s">
        <v>118</v>
      </c>
      <c r="L391" s="12" t="s">
        <v>247</v>
      </c>
      <c r="N391" s="13" t="s">
        <v>1512</v>
      </c>
      <c r="AE391" s="11" t="s">
        <v>1768</v>
      </c>
    </row>
    <row r="392" spans="2:31" x14ac:dyDescent="0.35">
      <c r="B392" s="24" t="s">
        <v>311</v>
      </c>
      <c r="C392" s="12">
        <v>387</v>
      </c>
      <c r="D392" s="11" t="s">
        <v>1455</v>
      </c>
      <c r="E392" s="11" t="s">
        <v>1502</v>
      </c>
      <c r="F392" s="12" t="s">
        <v>311</v>
      </c>
      <c r="G392" s="12" t="s">
        <v>246</v>
      </c>
      <c r="H392" s="12" t="s">
        <v>246</v>
      </c>
      <c r="I392" s="12" t="s">
        <v>60</v>
      </c>
      <c r="J392" s="12" t="s">
        <v>1030</v>
      </c>
      <c r="K392" s="12" t="s">
        <v>118</v>
      </c>
      <c r="L392" s="12" t="s">
        <v>247</v>
      </c>
      <c r="N392" s="13" t="s">
        <v>1513</v>
      </c>
      <c r="V392" s="11">
        <v>46216</v>
      </c>
      <c r="AE392" s="11" t="s">
        <v>1768</v>
      </c>
    </row>
    <row r="393" spans="2:31" x14ac:dyDescent="0.35">
      <c r="B393" s="24" t="s">
        <v>311</v>
      </c>
      <c r="C393" s="12">
        <v>388</v>
      </c>
      <c r="D393" s="11" t="s">
        <v>1456</v>
      </c>
      <c r="E393" s="11" t="s">
        <v>93</v>
      </c>
      <c r="F393" s="12" t="s">
        <v>311</v>
      </c>
      <c r="G393" s="12" t="s">
        <v>246</v>
      </c>
      <c r="H393" s="12" t="s">
        <v>246</v>
      </c>
      <c r="I393" s="12" t="s">
        <v>60</v>
      </c>
      <c r="J393" s="12" t="s">
        <v>1030</v>
      </c>
      <c r="K393" s="12" t="s">
        <v>118</v>
      </c>
      <c r="L393" s="12" t="s">
        <v>247</v>
      </c>
      <c r="N393" s="13" t="s">
        <v>1514</v>
      </c>
      <c r="AE393" s="11" t="s">
        <v>1768</v>
      </c>
    </row>
    <row r="394" spans="2:31" x14ac:dyDescent="0.35">
      <c r="B394" s="24" t="s">
        <v>314</v>
      </c>
      <c r="C394" s="12">
        <v>389</v>
      </c>
      <c r="D394" s="11" t="s">
        <v>1457</v>
      </c>
      <c r="E394" s="11" t="s">
        <v>1503</v>
      </c>
      <c r="F394" s="12" t="s">
        <v>314</v>
      </c>
      <c r="G394" s="12" t="s">
        <v>246</v>
      </c>
      <c r="H394" s="12" t="s">
        <v>246</v>
      </c>
      <c r="I394" s="12" t="s">
        <v>60</v>
      </c>
      <c r="J394" s="12" t="s">
        <v>1030</v>
      </c>
      <c r="K394" s="12" t="s">
        <v>118</v>
      </c>
      <c r="L394" s="12" t="s">
        <v>247</v>
      </c>
      <c r="N394" s="13" t="s">
        <v>1515</v>
      </c>
      <c r="AE394" s="11" t="s">
        <v>1768</v>
      </c>
    </row>
    <row r="395" spans="2:31" x14ac:dyDescent="0.35">
      <c r="B395" s="24" t="s">
        <v>416</v>
      </c>
      <c r="C395" s="12">
        <v>390</v>
      </c>
      <c r="D395" s="11" t="s">
        <v>1458</v>
      </c>
      <c r="E395" s="11" t="s">
        <v>1504</v>
      </c>
      <c r="F395" s="12" t="s">
        <v>416</v>
      </c>
      <c r="G395" s="12" t="s">
        <v>246</v>
      </c>
      <c r="H395" s="12" t="s">
        <v>246</v>
      </c>
      <c r="I395" s="12" t="s">
        <v>60</v>
      </c>
      <c r="J395" s="12" t="s">
        <v>1030</v>
      </c>
      <c r="K395" s="12" t="s">
        <v>118</v>
      </c>
      <c r="L395" s="12" t="s">
        <v>247</v>
      </c>
      <c r="N395" s="13" t="s">
        <v>1516</v>
      </c>
      <c r="AE395" s="11" t="s">
        <v>1768</v>
      </c>
    </row>
    <row r="396" spans="2:31" x14ac:dyDescent="0.35">
      <c r="B396" s="24" t="s">
        <v>291</v>
      </c>
      <c r="C396" s="12">
        <v>391</v>
      </c>
      <c r="D396" s="11" t="s">
        <v>1435</v>
      </c>
      <c r="E396" s="11" t="s">
        <v>1505</v>
      </c>
      <c r="F396" s="12" t="s">
        <v>291</v>
      </c>
      <c r="G396" s="12" t="s">
        <v>246</v>
      </c>
      <c r="H396" s="12" t="s">
        <v>246</v>
      </c>
      <c r="I396" s="12" t="s">
        <v>111</v>
      </c>
      <c r="J396" s="12" t="s">
        <v>1031</v>
      </c>
      <c r="K396" s="12" t="s">
        <v>118</v>
      </c>
      <c r="L396" s="12" t="s">
        <v>247</v>
      </c>
      <c r="N396" s="13" t="s">
        <v>1517</v>
      </c>
      <c r="Q396" s="11" t="s">
        <v>126</v>
      </c>
      <c r="R396" s="11" t="s">
        <v>143</v>
      </c>
      <c r="T396" s="11" t="s">
        <v>125</v>
      </c>
      <c r="U396" s="11" t="s">
        <v>1014</v>
      </c>
      <c r="V396" s="11">
        <v>46211</v>
      </c>
      <c r="Y396" s="11">
        <v>46218</v>
      </c>
      <c r="Z396" s="11">
        <v>46220</v>
      </c>
      <c r="AA396" s="11">
        <v>46220</v>
      </c>
      <c r="AB396" s="11" t="s">
        <v>30</v>
      </c>
      <c r="AC396" s="11">
        <v>32</v>
      </c>
      <c r="AE396" s="11" t="s">
        <v>993</v>
      </c>
    </row>
    <row r="397" spans="2:31" x14ac:dyDescent="0.35">
      <c r="B397" s="24" t="s">
        <v>278</v>
      </c>
      <c r="C397" s="12">
        <v>392</v>
      </c>
      <c r="D397" s="11" t="s">
        <v>1459</v>
      </c>
      <c r="E397" s="11" t="s">
        <v>1572</v>
      </c>
      <c r="F397" s="12" t="s">
        <v>278</v>
      </c>
      <c r="G397" s="12" t="s">
        <v>246</v>
      </c>
      <c r="H397" s="12" t="s">
        <v>246</v>
      </c>
      <c r="I397" s="12" t="s">
        <v>111</v>
      </c>
      <c r="J397" s="12" t="s">
        <v>1032</v>
      </c>
      <c r="K397" s="12" t="s">
        <v>118</v>
      </c>
      <c r="L397" s="12" t="s">
        <v>247</v>
      </c>
      <c r="N397" s="13" t="s">
        <v>1518</v>
      </c>
      <c r="Q397" s="11" t="s">
        <v>126</v>
      </c>
      <c r="R397" s="11" t="s">
        <v>143</v>
      </c>
      <c r="T397" s="11" t="s">
        <v>125</v>
      </c>
      <c r="U397" s="11" t="s">
        <v>1014</v>
      </c>
      <c r="V397" s="11">
        <v>46211</v>
      </c>
      <c r="Y397" s="11">
        <v>46214</v>
      </c>
      <c r="Z397" s="11">
        <v>46213</v>
      </c>
      <c r="AA397" s="11">
        <v>46213</v>
      </c>
      <c r="AB397" s="11" t="s">
        <v>30</v>
      </c>
      <c r="AC397" s="11">
        <v>29</v>
      </c>
      <c r="AE397" s="11" t="s">
        <v>993</v>
      </c>
    </row>
    <row r="398" spans="2:31" x14ac:dyDescent="0.35">
      <c r="B398" s="24" t="s">
        <v>311</v>
      </c>
      <c r="C398" s="12">
        <v>393</v>
      </c>
      <c r="D398" s="11" t="s">
        <v>1436</v>
      </c>
      <c r="E398" s="11" t="s">
        <v>1066</v>
      </c>
      <c r="F398" s="12" t="s">
        <v>311</v>
      </c>
      <c r="G398" s="12" t="s">
        <v>246</v>
      </c>
      <c r="H398" s="12" t="s">
        <v>246</v>
      </c>
      <c r="I398" s="12" t="s">
        <v>111</v>
      </c>
      <c r="J398" s="12" t="s">
        <v>1032</v>
      </c>
      <c r="K398" s="12" t="s">
        <v>118</v>
      </c>
      <c r="L398" s="12" t="s">
        <v>247</v>
      </c>
      <c r="N398" s="13" t="s">
        <v>1450</v>
      </c>
      <c r="Q398" s="11" t="s">
        <v>126</v>
      </c>
      <c r="R398" s="11" t="s">
        <v>143</v>
      </c>
      <c r="T398" s="11" t="s">
        <v>125</v>
      </c>
      <c r="U398" s="11" t="s">
        <v>1014</v>
      </c>
      <c r="V398" s="11">
        <v>46211</v>
      </c>
      <c r="Y398" s="11">
        <v>46219</v>
      </c>
      <c r="Z398" s="11">
        <v>46219</v>
      </c>
      <c r="AA398" s="11">
        <v>46219</v>
      </c>
      <c r="AB398" s="11" t="s">
        <v>30</v>
      </c>
      <c r="AC398" s="11">
        <v>36</v>
      </c>
      <c r="AD398" s="11" t="s">
        <v>1568</v>
      </c>
      <c r="AE398" s="11" t="s">
        <v>993</v>
      </c>
    </row>
    <row r="399" spans="2:31" x14ac:dyDescent="0.35">
      <c r="B399" s="24" t="s">
        <v>308</v>
      </c>
      <c r="C399" s="12">
        <v>394</v>
      </c>
      <c r="D399" s="11" t="s">
        <v>1437</v>
      </c>
      <c r="E399" s="11" t="s">
        <v>905</v>
      </c>
      <c r="F399" s="12" t="s">
        <v>308</v>
      </c>
      <c r="G399" s="12" t="s">
        <v>246</v>
      </c>
      <c r="H399" s="12" t="s">
        <v>246</v>
      </c>
      <c r="I399" s="12" t="s">
        <v>111</v>
      </c>
      <c r="J399" s="12" t="s">
        <v>1031</v>
      </c>
      <c r="K399" s="12" t="s">
        <v>118</v>
      </c>
      <c r="L399" s="12" t="s">
        <v>247</v>
      </c>
      <c r="N399" s="13" t="s">
        <v>1573</v>
      </c>
      <c r="Q399" s="11" t="s">
        <v>126</v>
      </c>
      <c r="R399" s="11" t="s">
        <v>143</v>
      </c>
      <c r="T399" s="11" t="s">
        <v>125</v>
      </c>
      <c r="U399" s="11" t="s">
        <v>1014</v>
      </c>
      <c r="V399" s="11">
        <v>46211</v>
      </c>
      <c r="Y399" s="11">
        <v>46217</v>
      </c>
      <c r="Z399" s="11">
        <v>46217</v>
      </c>
      <c r="AA399" s="11">
        <v>46217</v>
      </c>
      <c r="AB399" s="11" t="s">
        <v>30</v>
      </c>
      <c r="AC399" s="11">
        <v>37</v>
      </c>
      <c r="AE399" s="11" t="s">
        <v>993</v>
      </c>
    </row>
    <row r="400" spans="2:31" x14ac:dyDescent="0.35">
      <c r="B400" s="24" t="s">
        <v>308</v>
      </c>
      <c r="C400" s="12">
        <v>395</v>
      </c>
      <c r="D400" s="11" t="s">
        <v>1438</v>
      </c>
      <c r="E400" s="11" t="s">
        <v>1506</v>
      </c>
      <c r="F400" s="12" t="s">
        <v>308</v>
      </c>
      <c r="G400" s="12" t="s">
        <v>246</v>
      </c>
      <c r="H400" s="12" t="s">
        <v>246</v>
      </c>
      <c r="I400" s="12" t="s">
        <v>111</v>
      </c>
      <c r="J400" s="12" t="s">
        <v>1032</v>
      </c>
      <c r="K400" s="12" t="s">
        <v>118</v>
      </c>
      <c r="L400" s="12" t="s">
        <v>247</v>
      </c>
      <c r="N400" s="13" t="s">
        <v>1451</v>
      </c>
      <c r="Q400" s="11" t="s">
        <v>126</v>
      </c>
      <c r="R400" s="11" t="s">
        <v>143</v>
      </c>
      <c r="T400" s="11" t="s">
        <v>125</v>
      </c>
      <c r="U400" s="11" t="s">
        <v>38</v>
      </c>
      <c r="V400" s="11">
        <v>46211</v>
      </c>
      <c r="AE400" s="11" t="s">
        <v>993</v>
      </c>
    </row>
    <row r="401" spans="2:31" x14ac:dyDescent="0.35">
      <c r="B401" s="24" t="s">
        <v>314</v>
      </c>
      <c r="C401" s="12">
        <v>396</v>
      </c>
      <c r="D401" s="11" t="s">
        <v>1574</v>
      </c>
      <c r="E401" s="11" t="s">
        <v>1575</v>
      </c>
      <c r="F401" s="12" t="s">
        <v>314</v>
      </c>
      <c r="G401" s="12" t="s">
        <v>246</v>
      </c>
      <c r="H401" s="12" t="s">
        <v>246</v>
      </c>
      <c r="I401" s="12" t="s">
        <v>111</v>
      </c>
      <c r="J401" s="12" t="s">
        <v>1031</v>
      </c>
      <c r="K401" s="12" t="s">
        <v>118</v>
      </c>
      <c r="L401" s="12" t="s">
        <v>247</v>
      </c>
      <c r="N401" s="13" t="s">
        <v>1519</v>
      </c>
      <c r="Q401" s="11" t="s">
        <v>126</v>
      </c>
      <c r="R401" s="11" t="s">
        <v>143</v>
      </c>
      <c r="T401" s="11" t="s">
        <v>125</v>
      </c>
      <c r="U401" s="11" t="s">
        <v>1014</v>
      </c>
      <c r="V401" s="11">
        <v>46211</v>
      </c>
      <c r="Y401" s="11">
        <v>46216</v>
      </c>
      <c r="Z401" s="11">
        <v>46216</v>
      </c>
      <c r="AA401" s="11">
        <v>46216</v>
      </c>
      <c r="AB401" s="11" t="s">
        <v>30</v>
      </c>
      <c r="AC401" s="11">
        <v>48</v>
      </c>
      <c r="AE401" s="11" t="s">
        <v>993</v>
      </c>
    </row>
    <row r="402" spans="2:31" x14ac:dyDescent="0.35">
      <c r="B402" s="24" t="s">
        <v>283</v>
      </c>
      <c r="C402" s="12">
        <v>397</v>
      </c>
      <c r="D402" s="11" t="s">
        <v>1439</v>
      </c>
      <c r="E402" s="11" t="s">
        <v>1507</v>
      </c>
      <c r="F402" s="12" t="s">
        <v>283</v>
      </c>
      <c r="G402" s="12" t="s">
        <v>246</v>
      </c>
      <c r="H402" s="12" t="s">
        <v>246</v>
      </c>
      <c r="I402" s="12" t="s">
        <v>111</v>
      </c>
      <c r="J402" s="12" t="s">
        <v>1031</v>
      </c>
      <c r="K402" s="12" t="s">
        <v>118</v>
      </c>
      <c r="L402" s="12" t="s">
        <v>247</v>
      </c>
      <c r="N402" s="13" t="s">
        <v>1520</v>
      </c>
      <c r="Q402" s="11" t="s">
        <v>126</v>
      </c>
      <c r="R402" s="11" t="s">
        <v>143</v>
      </c>
      <c r="T402" s="11" t="s">
        <v>125</v>
      </c>
      <c r="U402" s="11" t="s">
        <v>1014</v>
      </c>
      <c r="V402" s="11">
        <v>46211</v>
      </c>
      <c r="Y402" s="11">
        <v>46212</v>
      </c>
      <c r="Z402" s="11">
        <v>46212</v>
      </c>
      <c r="AA402" s="11">
        <v>46212</v>
      </c>
      <c r="AB402" s="11" t="s">
        <v>30</v>
      </c>
      <c r="AC402" s="11">
        <v>40</v>
      </c>
      <c r="AD402" s="11" t="s">
        <v>1556</v>
      </c>
      <c r="AE402" s="11" t="s">
        <v>993</v>
      </c>
    </row>
    <row r="403" spans="2:31" x14ac:dyDescent="0.35">
      <c r="B403" s="24" t="s">
        <v>283</v>
      </c>
      <c r="C403" s="12">
        <v>398</v>
      </c>
      <c r="D403" s="11" t="s">
        <v>1440</v>
      </c>
      <c r="F403" s="12" t="s">
        <v>283</v>
      </c>
      <c r="G403" s="12" t="s">
        <v>246</v>
      </c>
      <c r="H403" s="12" t="s">
        <v>246</v>
      </c>
      <c r="I403" s="12" t="s">
        <v>111</v>
      </c>
      <c r="K403" s="12" t="s">
        <v>118</v>
      </c>
      <c r="L403" s="12" t="s">
        <v>247</v>
      </c>
      <c r="N403" s="13" t="s">
        <v>1452</v>
      </c>
      <c r="Q403" s="11" t="s">
        <v>126</v>
      </c>
      <c r="R403" s="11" t="s">
        <v>143</v>
      </c>
      <c r="T403" s="11" t="s">
        <v>125</v>
      </c>
      <c r="U403" s="11" t="s">
        <v>132</v>
      </c>
      <c r="V403" s="11">
        <v>46211</v>
      </c>
      <c r="AE403" s="11" t="s">
        <v>993</v>
      </c>
    </row>
    <row r="404" spans="2:31" x14ac:dyDescent="0.35">
      <c r="C404" s="12">
        <v>399</v>
      </c>
      <c r="D404" s="11" t="s">
        <v>1460</v>
      </c>
      <c r="E404" s="11" t="s">
        <v>415</v>
      </c>
      <c r="F404" s="12" t="s">
        <v>314</v>
      </c>
      <c r="G404" s="12" t="s">
        <v>246</v>
      </c>
      <c r="H404" s="12" t="s">
        <v>246</v>
      </c>
      <c r="I404" s="12" t="s">
        <v>60</v>
      </c>
      <c r="J404" s="12" t="s">
        <v>1025</v>
      </c>
      <c r="K404" s="12" t="s">
        <v>118</v>
      </c>
      <c r="L404" s="12" t="s">
        <v>247</v>
      </c>
      <c r="N404" s="13" t="s">
        <v>1521</v>
      </c>
      <c r="O404" s="11" t="s">
        <v>118</v>
      </c>
      <c r="Q404" s="11" t="s">
        <v>126</v>
      </c>
      <c r="R404" s="11" t="s">
        <v>150</v>
      </c>
      <c r="S404" s="11" t="s">
        <v>126</v>
      </c>
      <c r="T404" s="11" t="s">
        <v>125</v>
      </c>
      <c r="U404" s="11" t="s">
        <v>131</v>
      </c>
      <c r="V404" s="11">
        <v>46210</v>
      </c>
      <c r="W404" s="11">
        <v>46211</v>
      </c>
      <c r="Y404" s="11">
        <v>46213</v>
      </c>
      <c r="AB404" s="11" t="s">
        <v>30</v>
      </c>
      <c r="AD404" s="11" t="s">
        <v>1557</v>
      </c>
      <c r="AE404" s="11" t="s">
        <v>993</v>
      </c>
    </row>
    <row r="405" spans="2:31" x14ac:dyDescent="0.35">
      <c r="B405" s="24" t="s">
        <v>308</v>
      </c>
      <c r="C405" s="12">
        <v>400</v>
      </c>
      <c r="D405" s="11" t="s">
        <v>1461</v>
      </c>
      <c r="E405" s="11" t="s">
        <v>1508</v>
      </c>
      <c r="F405" s="12" t="s">
        <v>308</v>
      </c>
      <c r="G405" s="12" t="s">
        <v>246</v>
      </c>
      <c r="H405" s="12" t="s">
        <v>246</v>
      </c>
      <c r="I405" s="12" t="s">
        <v>37</v>
      </c>
      <c r="J405" s="12" t="s">
        <v>1015</v>
      </c>
      <c r="K405" s="12" t="s">
        <v>1016</v>
      </c>
      <c r="L405" s="12" t="s">
        <v>247</v>
      </c>
      <c r="N405" s="13" t="s">
        <v>1677</v>
      </c>
      <c r="T405" s="11" t="s">
        <v>125</v>
      </c>
      <c r="U405" s="11" t="s">
        <v>1014</v>
      </c>
      <c r="Z405" s="11">
        <v>46209</v>
      </c>
      <c r="AA405" s="11">
        <v>46209</v>
      </c>
      <c r="AB405" s="11" t="s">
        <v>30</v>
      </c>
      <c r="AC405" s="11">
        <v>36</v>
      </c>
      <c r="AE405" s="11" t="s">
        <v>993</v>
      </c>
    </row>
    <row r="406" spans="2:31" x14ac:dyDescent="0.35">
      <c r="B406" s="24" t="s">
        <v>278</v>
      </c>
      <c r="C406" s="12">
        <v>401</v>
      </c>
      <c r="D406" s="11" t="s">
        <v>1462</v>
      </c>
      <c r="E406" s="11" t="s">
        <v>1509</v>
      </c>
      <c r="F406" s="12" t="s">
        <v>278</v>
      </c>
      <c r="G406" s="12" t="s">
        <v>246</v>
      </c>
      <c r="H406" s="12" t="s">
        <v>246</v>
      </c>
      <c r="I406" s="12" t="s">
        <v>430</v>
      </c>
      <c r="J406" s="12" t="s">
        <v>90</v>
      </c>
      <c r="K406" s="12" t="s">
        <v>1022</v>
      </c>
      <c r="L406" s="12" t="s">
        <v>247</v>
      </c>
      <c r="N406" s="13" t="s">
        <v>1522</v>
      </c>
      <c r="AE406" s="11" t="s">
        <v>1768</v>
      </c>
    </row>
    <row r="407" spans="2:31" x14ac:dyDescent="0.35">
      <c r="B407" s="24" t="s">
        <v>278</v>
      </c>
      <c r="C407" s="12">
        <v>402</v>
      </c>
      <c r="D407" s="11" t="s">
        <v>1463</v>
      </c>
      <c r="E407" s="11" t="s">
        <v>1509</v>
      </c>
      <c r="F407" s="12" t="s">
        <v>278</v>
      </c>
      <c r="G407" s="12" t="s">
        <v>246</v>
      </c>
      <c r="H407" s="12" t="s">
        <v>246</v>
      </c>
      <c r="I407" s="12" t="s">
        <v>430</v>
      </c>
      <c r="J407" s="12" t="s">
        <v>90</v>
      </c>
      <c r="K407" s="12" t="s">
        <v>1022</v>
      </c>
      <c r="L407" s="12" t="s">
        <v>247</v>
      </c>
      <c r="N407" s="13" t="s">
        <v>1523</v>
      </c>
      <c r="AE407" s="11" t="s">
        <v>1768</v>
      </c>
    </row>
    <row r="408" spans="2:31" x14ac:dyDescent="0.35">
      <c r="B408" s="24" t="s">
        <v>278</v>
      </c>
      <c r="C408" s="12">
        <v>403</v>
      </c>
      <c r="D408" s="11" t="s">
        <v>1464</v>
      </c>
      <c r="E408" s="11" t="s">
        <v>1422</v>
      </c>
      <c r="F408" s="12" t="s">
        <v>278</v>
      </c>
      <c r="G408" s="12" t="s">
        <v>246</v>
      </c>
      <c r="H408" s="12" t="s">
        <v>246</v>
      </c>
      <c r="I408" s="12" t="s">
        <v>60</v>
      </c>
      <c r="J408" s="12" t="s">
        <v>1030</v>
      </c>
      <c r="K408" s="12" t="s">
        <v>118</v>
      </c>
      <c r="L408" s="12" t="s">
        <v>247</v>
      </c>
      <c r="N408" s="13" t="s">
        <v>1524</v>
      </c>
      <c r="AE408" s="11" t="s">
        <v>1768</v>
      </c>
    </row>
    <row r="409" spans="2:31" x14ac:dyDescent="0.35">
      <c r="B409" s="24" t="s">
        <v>278</v>
      </c>
      <c r="C409" s="12">
        <v>404</v>
      </c>
      <c r="D409" s="11" t="s">
        <v>1465</v>
      </c>
      <c r="E409" s="11" t="s">
        <v>1422</v>
      </c>
      <c r="F409" s="12" t="s">
        <v>278</v>
      </c>
      <c r="G409" s="12" t="s">
        <v>246</v>
      </c>
      <c r="H409" s="12" t="s">
        <v>246</v>
      </c>
      <c r="I409" s="12" t="s">
        <v>60</v>
      </c>
      <c r="J409" s="12" t="s">
        <v>1030</v>
      </c>
      <c r="K409" s="12" t="s">
        <v>118</v>
      </c>
      <c r="L409" s="12" t="s">
        <v>247</v>
      </c>
      <c r="N409" s="13" t="s">
        <v>1525</v>
      </c>
      <c r="AE409" s="11" t="s">
        <v>1768</v>
      </c>
    </row>
    <row r="410" spans="2:31" x14ac:dyDescent="0.35">
      <c r="B410" s="24" t="s">
        <v>278</v>
      </c>
      <c r="C410" s="12">
        <v>405</v>
      </c>
      <c r="D410" s="11" t="s">
        <v>1466</v>
      </c>
      <c r="E410" s="11" t="s">
        <v>1422</v>
      </c>
      <c r="F410" s="12" t="s">
        <v>278</v>
      </c>
      <c r="G410" s="12" t="s">
        <v>246</v>
      </c>
      <c r="H410" s="12" t="s">
        <v>246</v>
      </c>
      <c r="I410" s="12" t="s">
        <v>60</v>
      </c>
      <c r="J410" s="12" t="s">
        <v>1030</v>
      </c>
      <c r="K410" s="12" t="s">
        <v>118</v>
      </c>
      <c r="L410" s="12" t="s">
        <v>247</v>
      </c>
      <c r="N410" s="13" t="s">
        <v>1526</v>
      </c>
      <c r="AE410" s="11" t="s">
        <v>1768</v>
      </c>
    </row>
    <row r="411" spans="2:31" x14ac:dyDescent="0.35">
      <c r="B411" s="24" t="s">
        <v>278</v>
      </c>
      <c r="C411" s="12">
        <v>406</v>
      </c>
      <c r="D411" s="11" t="s">
        <v>1467</v>
      </c>
      <c r="E411" s="11" t="s">
        <v>1422</v>
      </c>
      <c r="F411" s="12" t="s">
        <v>278</v>
      </c>
      <c r="G411" s="12" t="s">
        <v>246</v>
      </c>
      <c r="H411" s="12" t="s">
        <v>246</v>
      </c>
      <c r="I411" s="12" t="s">
        <v>60</v>
      </c>
      <c r="J411" s="12" t="s">
        <v>1030</v>
      </c>
      <c r="K411" s="12" t="s">
        <v>118</v>
      </c>
      <c r="L411" s="12" t="s">
        <v>247</v>
      </c>
      <c r="N411" s="13" t="s">
        <v>1527</v>
      </c>
      <c r="AE411" s="11" t="s">
        <v>1768</v>
      </c>
    </row>
    <row r="412" spans="2:31" x14ac:dyDescent="0.35">
      <c r="B412" s="24" t="s">
        <v>278</v>
      </c>
      <c r="C412" s="12">
        <v>407</v>
      </c>
      <c r="D412" s="11" t="s">
        <v>1468</v>
      </c>
      <c r="E412" s="11" t="s">
        <v>1422</v>
      </c>
      <c r="F412" s="12" t="s">
        <v>278</v>
      </c>
      <c r="G412" s="12" t="s">
        <v>246</v>
      </c>
      <c r="H412" s="12" t="s">
        <v>246</v>
      </c>
      <c r="I412" s="12" t="s">
        <v>60</v>
      </c>
      <c r="J412" s="12" t="s">
        <v>1030</v>
      </c>
      <c r="K412" s="12" t="s">
        <v>118</v>
      </c>
      <c r="L412" s="12" t="s">
        <v>247</v>
      </c>
      <c r="N412" s="13" t="s">
        <v>1528</v>
      </c>
      <c r="AE412" s="11" t="s">
        <v>1768</v>
      </c>
    </row>
    <row r="413" spans="2:31" x14ac:dyDescent="0.35">
      <c r="B413" s="24" t="s">
        <v>278</v>
      </c>
      <c r="C413" s="12">
        <v>408</v>
      </c>
      <c r="D413" s="11" t="s">
        <v>1469</v>
      </c>
      <c r="E413" s="11" t="s">
        <v>1422</v>
      </c>
      <c r="F413" s="12" t="s">
        <v>278</v>
      </c>
      <c r="G413" s="12" t="s">
        <v>246</v>
      </c>
      <c r="H413" s="12" t="s">
        <v>246</v>
      </c>
      <c r="I413" s="12" t="s">
        <v>60</v>
      </c>
      <c r="J413" s="12" t="s">
        <v>1030</v>
      </c>
      <c r="K413" s="12" t="s">
        <v>118</v>
      </c>
      <c r="L413" s="12" t="s">
        <v>247</v>
      </c>
      <c r="N413" s="13" t="s">
        <v>1529</v>
      </c>
      <c r="AE413" s="11" t="s">
        <v>1768</v>
      </c>
    </row>
    <row r="414" spans="2:31" x14ac:dyDescent="0.35">
      <c r="B414" s="24" t="s">
        <v>278</v>
      </c>
      <c r="C414" s="12">
        <v>409</v>
      </c>
      <c r="D414" s="11" t="s">
        <v>1470</v>
      </c>
      <c r="E414" s="11" t="s">
        <v>93</v>
      </c>
      <c r="F414" s="12" t="s">
        <v>278</v>
      </c>
      <c r="G414" s="12" t="s">
        <v>246</v>
      </c>
      <c r="H414" s="12" t="s">
        <v>246</v>
      </c>
      <c r="I414" s="12" t="s">
        <v>430</v>
      </c>
      <c r="J414" s="12" t="s">
        <v>93</v>
      </c>
      <c r="K414" s="12" t="s">
        <v>1022</v>
      </c>
      <c r="L414" s="12" t="s">
        <v>247</v>
      </c>
      <c r="N414" s="13" t="s">
        <v>1530</v>
      </c>
      <c r="AE414" s="11" t="s">
        <v>1768</v>
      </c>
    </row>
    <row r="415" spans="2:31" x14ac:dyDescent="0.35">
      <c r="B415" s="24" t="s">
        <v>278</v>
      </c>
      <c r="C415" s="12">
        <v>410</v>
      </c>
      <c r="D415" s="11" t="s">
        <v>1471</v>
      </c>
      <c r="E415" s="11" t="s">
        <v>93</v>
      </c>
      <c r="F415" s="12" t="s">
        <v>278</v>
      </c>
      <c r="G415" s="12" t="s">
        <v>246</v>
      </c>
      <c r="H415" s="12" t="s">
        <v>246</v>
      </c>
      <c r="I415" s="12" t="s">
        <v>430</v>
      </c>
      <c r="J415" s="12" t="s">
        <v>93</v>
      </c>
      <c r="K415" s="12" t="s">
        <v>1022</v>
      </c>
      <c r="L415" s="12" t="s">
        <v>247</v>
      </c>
      <c r="N415" s="13" t="s">
        <v>1531</v>
      </c>
      <c r="AE415" s="11" t="s">
        <v>1768</v>
      </c>
    </row>
    <row r="416" spans="2:31" x14ac:dyDescent="0.35">
      <c r="B416" s="24" t="s">
        <v>278</v>
      </c>
      <c r="C416" s="12">
        <v>411</v>
      </c>
      <c r="D416" s="11" t="s">
        <v>1472</v>
      </c>
      <c r="E416" s="11" t="s">
        <v>429</v>
      </c>
      <c r="F416" s="12" t="s">
        <v>278</v>
      </c>
      <c r="G416" s="12" t="s">
        <v>246</v>
      </c>
      <c r="H416" s="12" t="s">
        <v>246</v>
      </c>
      <c r="I416" s="12" t="s">
        <v>430</v>
      </c>
      <c r="J416" s="12" t="s">
        <v>20</v>
      </c>
      <c r="K416" s="12" t="s">
        <v>1022</v>
      </c>
      <c r="L416" s="12" t="s">
        <v>247</v>
      </c>
      <c r="N416" s="13" t="s">
        <v>1532</v>
      </c>
      <c r="AE416" s="11" t="s">
        <v>1768</v>
      </c>
    </row>
    <row r="417" spans="2:31" x14ac:dyDescent="0.35">
      <c r="B417" s="24" t="s">
        <v>278</v>
      </c>
      <c r="C417" s="12">
        <v>412</v>
      </c>
      <c r="D417" s="11" t="s">
        <v>1473</v>
      </c>
      <c r="E417" s="11" t="s">
        <v>429</v>
      </c>
      <c r="F417" s="12" t="s">
        <v>278</v>
      </c>
      <c r="G417" s="12" t="s">
        <v>246</v>
      </c>
      <c r="H417" s="12" t="s">
        <v>246</v>
      </c>
      <c r="I417" s="12" t="s">
        <v>430</v>
      </c>
      <c r="J417" s="12" t="s">
        <v>20</v>
      </c>
      <c r="K417" s="12" t="s">
        <v>1022</v>
      </c>
      <c r="L417" s="12" t="s">
        <v>247</v>
      </c>
      <c r="N417" s="13" t="s">
        <v>1533</v>
      </c>
      <c r="AE417" s="11" t="s">
        <v>1768</v>
      </c>
    </row>
    <row r="418" spans="2:31" x14ac:dyDescent="0.35">
      <c r="B418" s="24" t="s">
        <v>278</v>
      </c>
      <c r="C418" s="12">
        <v>413</v>
      </c>
      <c r="D418" s="11" t="s">
        <v>1474</v>
      </c>
      <c r="E418" s="11" t="s">
        <v>1510</v>
      </c>
      <c r="F418" s="12" t="s">
        <v>278</v>
      </c>
      <c r="G418" s="12" t="s">
        <v>246</v>
      </c>
      <c r="H418" s="12" t="s">
        <v>246</v>
      </c>
      <c r="I418" s="12" t="s">
        <v>430</v>
      </c>
      <c r="J418" s="12" t="s">
        <v>71</v>
      </c>
      <c r="K418" s="12" t="s">
        <v>1569</v>
      </c>
      <c r="L418" s="12" t="s">
        <v>247</v>
      </c>
      <c r="N418" s="13" t="s">
        <v>1534</v>
      </c>
      <c r="U418" s="11" t="s">
        <v>38</v>
      </c>
      <c r="AD418" s="11" t="s">
        <v>1766</v>
      </c>
      <c r="AE418" s="11" t="s">
        <v>993</v>
      </c>
    </row>
    <row r="419" spans="2:31" x14ac:dyDescent="0.35">
      <c r="B419" s="24" t="s">
        <v>278</v>
      </c>
      <c r="C419" s="12">
        <v>414</v>
      </c>
      <c r="D419" s="11" t="s">
        <v>1475</v>
      </c>
      <c r="E419" s="11" t="s">
        <v>1510</v>
      </c>
      <c r="F419" s="12" t="s">
        <v>278</v>
      </c>
      <c r="G419" s="12" t="s">
        <v>246</v>
      </c>
      <c r="H419" s="12" t="s">
        <v>246</v>
      </c>
      <c r="I419" s="12" t="s">
        <v>430</v>
      </c>
      <c r="J419" s="12" t="s">
        <v>71</v>
      </c>
      <c r="K419" s="12" t="s">
        <v>1569</v>
      </c>
      <c r="L419" s="12" t="s">
        <v>247</v>
      </c>
      <c r="N419" s="13" t="s">
        <v>1535</v>
      </c>
      <c r="U419" s="11" t="s">
        <v>38</v>
      </c>
      <c r="AD419" s="11" t="s">
        <v>1766</v>
      </c>
      <c r="AE419" s="11" t="s">
        <v>993</v>
      </c>
    </row>
    <row r="420" spans="2:31" x14ac:dyDescent="0.35">
      <c r="B420" s="24" t="s">
        <v>278</v>
      </c>
      <c r="C420" s="12">
        <v>415</v>
      </c>
      <c r="D420" s="11" t="s">
        <v>1476</v>
      </c>
      <c r="E420" s="11" t="s">
        <v>77</v>
      </c>
      <c r="F420" s="12" t="s">
        <v>278</v>
      </c>
      <c r="G420" s="12" t="s">
        <v>246</v>
      </c>
      <c r="H420" s="12" t="s">
        <v>246</v>
      </c>
      <c r="I420" s="12" t="s">
        <v>430</v>
      </c>
      <c r="J420" s="12" t="s">
        <v>71</v>
      </c>
      <c r="K420" s="12" t="s">
        <v>77</v>
      </c>
      <c r="L420" s="12" t="s">
        <v>247</v>
      </c>
      <c r="N420" s="13" t="s">
        <v>1536</v>
      </c>
      <c r="AE420" s="11" t="s">
        <v>1768</v>
      </c>
    </row>
    <row r="421" spans="2:31" x14ac:dyDescent="0.35">
      <c r="B421" s="24" t="s">
        <v>278</v>
      </c>
      <c r="C421" s="12">
        <v>416</v>
      </c>
      <c r="D421" s="11" t="s">
        <v>1477</v>
      </c>
      <c r="E421" s="11" t="s">
        <v>77</v>
      </c>
      <c r="F421" s="12" t="s">
        <v>278</v>
      </c>
      <c r="G421" s="12" t="s">
        <v>246</v>
      </c>
      <c r="H421" s="12" t="s">
        <v>246</v>
      </c>
      <c r="I421" s="12" t="s">
        <v>430</v>
      </c>
      <c r="J421" s="12" t="s">
        <v>71</v>
      </c>
      <c r="K421" s="12" t="s">
        <v>77</v>
      </c>
      <c r="L421" s="12" t="s">
        <v>247</v>
      </c>
      <c r="N421" s="13" t="s">
        <v>1537</v>
      </c>
      <c r="AE421" s="11" t="s">
        <v>1768</v>
      </c>
    </row>
    <row r="422" spans="2:31" x14ac:dyDescent="0.35">
      <c r="B422" s="24" t="s">
        <v>291</v>
      </c>
      <c r="C422" s="12">
        <v>417</v>
      </c>
      <c r="D422" s="11" t="s">
        <v>1478</v>
      </c>
      <c r="E422" s="11" t="s">
        <v>1441</v>
      </c>
      <c r="F422" s="12" t="s">
        <v>291</v>
      </c>
      <c r="G422" s="12" t="s">
        <v>246</v>
      </c>
      <c r="H422" s="12" t="s">
        <v>246</v>
      </c>
      <c r="I422" s="12" t="s">
        <v>60</v>
      </c>
      <c r="J422" s="12" t="s">
        <v>1030</v>
      </c>
      <c r="K422" s="12" t="s">
        <v>118</v>
      </c>
      <c r="L422" s="12" t="s">
        <v>247</v>
      </c>
      <c r="N422" s="13" t="s">
        <v>1538</v>
      </c>
      <c r="AE422" s="11" t="s">
        <v>1768</v>
      </c>
    </row>
    <row r="423" spans="2:31" x14ac:dyDescent="0.35">
      <c r="B423" s="24" t="s">
        <v>291</v>
      </c>
      <c r="C423" s="12">
        <v>418</v>
      </c>
      <c r="D423" s="11" t="s">
        <v>1479</v>
      </c>
      <c r="E423" s="11" t="s">
        <v>1441</v>
      </c>
      <c r="F423" s="12" t="s">
        <v>291</v>
      </c>
      <c r="G423" s="12" t="s">
        <v>246</v>
      </c>
      <c r="H423" s="12" t="s">
        <v>246</v>
      </c>
      <c r="I423" s="12" t="s">
        <v>60</v>
      </c>
      <c r="J423" s="12" t="s">
        <v>1030</v>
      </c>
      <c r="K423" s="12" t="s">
        <v>118</v>
      </c>
      <c r="L423" s="12" t="s">
        <v>247</v>
      </c>
      <c r="N423" s="13" t="s">
        <v>1539</v>
      </c>
      <c r="AE423" s="11" t="s">
        <v>1768</v>
      </c>
    </row>
    <row r="424" spans="2:31" x14ac:dyDescent="0.35">
      <c r="B424" s="24" t="s">
        <v>291</v>
      </c>
      <c r="C424" s="12">
        <v>419</v>
      </c>
      <c r="D424" s="11" t="s">
        <v>1480</v>
      </c>
      <c r="E424" s="11" t="s">
        <v>1441</v>
      </c>
      <c r="F424" s="12" t="s">
        <v>291</v>
      </c>
      <c r="G424" s="12" t="s">
        <v>246</v>
      </c>
      <c r="H424" s="12" t="s">
        <v>246</v>
      </c>
      <c r="I424" s="12" t="s">
        <v>60</v>
      </c>
      <c r="J424" s="12" t="s">
        <v>1030</v>
      </c>
      <c r="K424" s="12" t="s">
        <v>118</v>
      </c>
      <c r="L424" s="12" t="s">
        <v>247</v>
      </c>
      <c r="N424" s="13" t="s">
        <v>1540</v>
      </c>
      <c r="AE424" s="11" t="s">
        <v>1768</v>
      </c>
    </row>
    <row r="425" spans="2:31" x14ac:dyDescent="0.35">
      <c r="B425" s="24" t="s">
        <v>291</v>
      </c>
      <c r="C425" s="12">
        <v>420</v>
      </c>
      <c r="D425" s="11" t="s">
        <v>1481</v>
      </c>
      <c r="E425" s="11" t="s">
        <v>1509</v>
      </c>
      <c r="F425" s="12" t="s">
        <v>291</v>
      </c>
      <c r="G425" s="12" t="s">
        <v>246</v>
      </c>
      <c r="H425" s="12" t="s">
        <v>246</v>
      </c>
      <c r="I425" s="12" t="s">
        <v>430</v>
      </c>
      <c r="J425" s="12" t="s">
        <v>90</v>
      </c>
      <c r="K425" s="12" t="s">
        <v>1022</v>
      </c>
      <c r="L425" s="12" t="s">
        <v>247</v>
      </c>
      <c r="N425" s="13" t="s">
        <v>1541</v>
      </c>
      <c r="AE425" s="11" t="s">
        <v>1768</v>
      </c>
    </row>
    <row r="426" spans="2:31" x14ac:dyDescent="0.35">
      <c r="B426" s="24" t="s">
        <v>291</v>
      </c>
      <c r="C426" s="12">
        <v>421</v>
      </c>
      <c r="D426" s="11" t="s">
        <v>1482</v>
      </c>
      <c r="E426" s="11" t="s">
        <v>93</v>
      </c>
      <c r="F426" s="12" t="s">
        <v>291</v>
      </c>
      <c r="G426" s="12" t="s">
        <v>246</v>
      </c>
      <c r="H426" s="12" t="s">
        <v>246</v>
      </c>
      <c r="I426" s="12" t="s">
        <v>430</v>
      </c>
      <c r="J426" s="12" t="s">
        <v>93</v>
      </c>
      <c r="K426" s="12" t="s">
        <v>1022</v>
      </c>
      <c r="L426" s="12" t="s">
        <v>247</v>
      </c>
      <c r="N426" s="13" t="s">
        <v>1542</v>
      </c>
      <c r="AE426" s="11" t="s">
        <v>1768</v>
      </c>
    </row>
    <row r="427" spans="2:31" x14ac:dyDescent="0.35">
      <c r="B427" s="24" t="s">
        <v>291</v>
      </c>
      <c r="C427" s="12">
        <v>422</v>
      </c>
      <c r="D427" s="11" t="s">
        <v>1483</v>
      </c>
      <c r="E427" s="11" t="s">
        <v>429</v>
      </c>
      <c r="F427" s="12" t="s">
        <v>291</v>
      </c>
      <c r="G427" s="12" t="s">
        <v>246</v>
      </c>
      <c r="H427" s="12" t="s">
        <v>246</v>
      </c>
      <c r="I427" s="12" t="s">
        <v>430</v>
      </c>
      <c r="J427" s="12" t="s">
        <v>20</v>
      </c>
      <c r="K427" s="12" t="s">
        <v>1022</v>
      </c>
      <c r="L427" s="12" t="s">
        <v>247</v>
      </c>
      <c r="N427" s="13" t="s">
        <v>1543</v>
      </c>
      <c r="AE427" s="11" t="s">
        <v>1768</v>
      </c>
    </row>
    <row r="428" spans="2:31" x14ac:dyDescent="0.35">
      <c r="B428" s="24" t="s">
        <v>291</v>
      </c>
      <c r="C428" s="12">
        <v>423</v>
      </c>
      <c r="D428" s="11" t="s">
        <v>1484</v>
      </c>
      <c r="E428" s="11" t="s">
        <v>1510</v>
      </c>
      <c r="F428" s="12" t="s">
        <v>291</v>
      </c>
      <c r="G428" s="12" t="s">
        <v>246</v>
      </c>
      <c r="H428" s="12" t="s">
        <v>246</v>
      </c>
      <c r="I428" s="12" t="s">
        <v>430</v>
      </c>
      <c r="J428" s="12" t="s">
        <v>71</v>
      </c>
      <c r="K428" s="12" t="s">
        <v>1569</v>
      </c>
      <c r="L428" s="12" t="s">
        <v>247</v>
      </c>
      <c r="N428" s="13" t="s">
        <v>1544</v>
      </c>
      <c r="AE428" s="11" t="s">
        <v>1768</v>
      </c>
    </row>
    <row r="429" spans="2:31" x14ac:dyDescent="0.35">
      <c r="B429" s="24" t="s">
        <v>291</v>
      </c>
      <c r="C429" s="12">
        <v>424</v>
      </c>
      <c r="D429" s="11" t="s">
        <v>1485</v>
      </c>
      <c r="E429" s="11" t="s">
        <v>77</v>
      </c>
      <c r="F429" s="12" t="s">
        <v>291</v>
      </c>
      <c r="G429" s="12" t="s">
        <v>246</v>
      </c>
      <c r="H429" s="12" t="s">
        <v>246</v>
      </c>
      <c r="I429" s="12" t="s">
        <v>430</v>
      </c>
      <c r="J429" s="12" t="s">
        <v>71</v>
      </c>
      <c r="K429" s="12" t="s">
        <v>77</v>
      </c>
      <c r="L429" s="12" t="s">
        <v>247</v>
      </c>
      <c r="N429" s="13" t="s">
        <v>1545</v>
      </c>
      <c r="AE429" s="11" t="s">
        <v>1768</v>
      </c>
    </row>
    <row r="430" spans="2:31" x14ac:dyDescent="0.35">
      <c r="B430" s="24" t="s">
        <v>308</v>
      </c>
      <c r="C430" s="12">
        <v>425</v>
      </c>
      <c r="D430" s="11" t="s">
        <v>1486</v>
      </c>
      <c r="E430" s="11" t="s">
        <v>1510</v>
      </c>
      <c r="F430" s="12" t="s">
        <v>308</v>
      </c>
      <c r="G430" s="12" t="s">
        <v>246</v>
      </c>
      <c r="H430" s="12" t="s">
        <v>246</v>
      </c>
      <c r="I430" s="12" t="s">
        <v>430</v>
      </c>
      <c r="J430" s="12" t="s">
        <v>71</v>
      </c>
      <c r="K430" s="12" t="s">
        <v>1569</v>
      </c>
      <c r="L430" s="12" t="s">
        <v>247</v>
      </c>
      <c r="N430" s="13" t="s">
        <v>1546</v>
      </c>
      <c r="AE430" s="11" t="s">
        <v>1768</v>
      </c>
    </row>
    <row r="431" spans="2:31" x14ac:dyDescent="0.35">
      <c r="B431" s="24" t="s">
        <v>308</v>
      </c>
      <c r="C431" s="12">
        <v>426</v>
      </c>
      <c r="D431" s="11" t="s">
        <v>1487</v>
      </c>
      <c r="E431" s="11" t="s">
        <v>1442</v>
      </c>
      <c r="F431" s="12" t="s">
        <v>308</v>
      </c>
      <c r="G431" s="12" t="s">
        <v>246</v>
      </c>
      <c r="H431" s="12" t="s">
        <v>246</v>
      </c>
      <c r="I431" s="12" t="s">
        <v>60</v>
      </c>
      <c r="J431" s="12" t="s">
        <v>1030</v>
      </c>
      <c r="K431" s="12" t="s">
        <v>118</v>
      </c>
      <c r="L431" s="12" t="s">
        <v>247</v>
      </c>
      <c r="N431" s="13" t="s">
        <v>1547</v>
      </c>
      <c r="AE431" s="11" t="s">
        <v>1768</v>
      </c>
    </row>
    <row r="432" spans="2:31" x14ac:dyDescent="0.35">
      <c r="B432" s="24" t="s">
        <v>308</v>
      </c>
      <c r="C432" s="12">
        <v>427</v>
      </c>
      <c r="D432" s="11" t="s">
        <v>1488</v>
      </c>
      <c r="E432" s="11" t="s">
        <v>1442</v>
      </c>
      <c r="F432" s="12" t="s">
        <v>308</v>
      </c>
      <c r="G432" s="12" t="s">
        <v>246</v>
      </c>
      <c r="H432" s="12" t="s">
        <v>246</v>
      </c>
      <c r="I432" s="12" t="s">
        <v>60</v>
      </c>
      <c r="J432" s="12" t="s">
        <v>1030</v>
      </c>
      <c r="K432" s="12" t="s">
        <v>118</v>
      </c>
      <c r="L432" s="12" t="s">
        <v>247</v>
      </c>
      <c r="N432" s="13" t="s">
        <v>1548</v>
      </c>
      <c r="AE432" s="11" t="s">
        <v>1768</v>
      </c>
    </row>
    <row r="433" spans="2:31" x14ac:dyDescent="0.35">
      <c r="B433" s="24" t="s">
        <v>308</v>
      </c>
      <c r="C433" s="12">
        <v>428</v>
      </c>
      <c r="D433" s="11" t="s">
        <v>1489</v>
      </c>
      <c r="E433" s="11" t="s">
        <v>93</v>
      </c>
      <c r="F433" s="12" t="s">
        <v>308</v>
      </c>
      <c r="G433" s="12" t="s">
        <v>246</v>
      </c>
      <c r="H433" s="12" t="s">
        <v>246</v>
      </c>
      <c r="I433" s="12" t="s">
        <v>430</v>
      </c>
      <c r="J433" s="12" t="s">
        <v>93</v>
      </c>
      <c r="K433" s="12" t="s">
        <v>1022</v>
      </c>
      <c r="L433" s="12" t="s">
        <v>247</v>
      </c>
      <c r="N433" s="13" t="s">
        <v>1549</v>
      </c>
      <c r="AE433" s="11" t="s">
        <v>1768</v>
      </c>
    </row>
    <row r="434" spans="2:31" x14ac:dyDescent="0.35">
      <c r="B434" s="24" t="s">
        <v>308</v>
      </c>
      <c r="C434" s="12">
        <v>429</v>
      </c>
      <c r="D434" s="11" t="s">
        <v>1490</v>
      </c>
      <c r="E434" s="11" t="s">
        <v>429</v>
      </c>
      <c r="F434" s="12" t="s">
        <v>308</v>
      </c>
      <c r="G434" s="12" t="s">
        <v>246</v>
      </c>
      <c r="H434" s="12" t="s">
        <v>246</v>
      </c>
      <c r="I434" s="12" t="s">
        <v>430</v>
      </c>
      <c r="J434" s="12" t="s">
        <v>20</v>
      </c>
      <c r="K434" s="12" t="s">
        <v>1022</v>
      </c>
      <c r="L434" s="12" t="s">
        <v>247</v>
      </c>
      <c r="N434" s="13" t="s">
        <v>1550</v>
      </c>
      <c r="AE434" s="11" t="s">
        <v>1768</v>
      </c>
    </row>
    <row r="435" spans="2:31" x14ac:dyDescent="0.35">
      <c r="B435" s="24" t="s">
        <v>308</v>
      </c>
      <c r="C435" s="12">
        <v>430</v>
      </c>
      <c r="D435" s="11" t="s">
        <v>1491</v>
      </c>
      <c r="E435" s="11" t="s">
        <v>77</v>
      </c>
      <c r="F435" s="12" t="s">
        <v>308</v>
      </c>
      <c r="G435" s="12" t="s">
        <v>246</v>
      </c>
      <c r="H435" s="12" t="s">
        <v>246</v>
      </c>
      <c r="I435" s="12" t="s">
        <v>430</v>
      </c>
      <c r="J435" s="12" t="s">
        <v>71</v>
      </c>
      <c r="K435" s="12" t="s">
        <v>77</v>
      </c>
      <c r="L435" s="12" t="s">
        <v>247</v>
      </c>
      <c r="N435" s="13" t="s">
        <v>1551</v>
      </c>
      <c r="AE435" s="11" t="s">
        <v>1768</v>
      </c>
    </row>
    <row r="436" spans="2:31" x14ac:dyDescent="0.35">
      <c r="B436" s="24" t="s">
        <v>308</v>
      </c>
      <c r="C436" s="12">
        <v>431</v>
      </c>
      <c r="D436" s="11" t="s">
        <v>825</v>
      </c>
      <c r="E436" s="11" t="s">
        <v>1442</v>
      </c>
      <c r="F436" s="12" t="s">
        <v>308</v>
      </c>
      <c r="G436" s="12" t="s">
        <v>246</v>
      </c>
      <c r="H436" s="12" t="s">
        <v>246</v>
      </c>
      <c r="I436" s="12" t="s">
        <v>60</v>
      </c>
      <c r="J436" s="12" t="s">
        <v>1030</v>
      </c>
      <c r="K436" s="12" t="s">
        <v>118</v>
      </c>
      <c r="L436" s="12" t="s">
        <v>247</v>
      </c>
      <c r="N436" s="13" t="s">
        <v>1552</v>
      </c>
      <c r="AE436" s="11" t="s">
        <v>1768</v>
      </c>
    </row>
    <row r="437" spans="2:31" x14ac:dyDescent="0.35">
      <c r="B437" s="24" t="s">
        <v>308</v>
      </c>
      <c r="C437" s="12">
        <v>432</v>
      </c>
      <c r="D437" s="11" t="s">
        <v>1492</v>
      </c>
      <c r="E437" s="11" t="s">
        <v>1509</v>
      </c>
      <c r="F437" s="12" t="s">
        <v>308</v>
      </c>
      <c r="G437" s="12" t="s">
        <v>246</v>
      </c>
      <c r="H437" s="12" t="s">
        <v>246</v>
      </c>
      <c r="I437" s="12" t="s">
        <v>430</v>
      </c>
      <c r="J437" s="12" t="s">
        <v>90</v>
      </c>
      <c r="K437" s="12" t="s">
        <v>1022</v>
      </c>
      <c r="L437" s="12" t="s">
        <v>247</v>
      </c>
      <c r="N437" s="13" t="s">
        <v>1553</v>
      </c>
      <c r="AE437" s="11" t="s">
        <v>1768</v>
      </c>
    </row>
    <row r="438" spans="2:31" x14ac:dyDescent="0.35">
      <c r="B438" s="24" t="s">
        <v>295</v>
      </c>
      <c r="C438" s="12">
        <v>433</v>
      </c>
      <c r="D438" s="11" t="s">
        <v>1493</v>
      </c>
      <c r="E438" s="11" t="s">
        <v>1444</v>
      </c>
      <c r="F438" s="12" t="s">
        <v>295</v>
      </c>
      <c r="G438" s="12" t="s">
        <v>246</v>
      </c>
      <c r="H438" s="12" t="s">
        <v>246</v>
      </c>
      <c r="I438" s="12" t="s">
        <v>60</v>
      </c>
      <c r="J438" s="12" t="s">
        <v>1030</v>
      </c>
      <c r="K438" s="12" t="s">
        <v>118</v>
      </c>
      <c r="L438" s="12" t="s">
        <v>247</v>
      </c>
      <c r="N438" s="13">
        <v>992675873</v>
      </c>
      <c r="AE438" s="11" t="s">
        <v>1768</v>
      </c>
    </row>
    <row r="439" spans="2:31" x14ac:dyDescent="0.35">
      <c r="B439" s="24" t="s">
        <v>295</v>
      </c>
      <c r="C439" s="12">
        <v>434</v>
      </c>
      <c r="D439" s="11" t="s">
        <v>1494</v>
      </c>
      <c r="E439" s="11" t="s">
        <v>1444</v>
      </c>
      <c r="F439" s="12" t="s">
        <v>295</v>
      </c>
      <c r="G439" s="12" t="s">
        <v>246</v>
      </c>
      <c r="H439" s="12" t="s">
        <v>246</v>
      </c>
      <c r="I439" s="12" t="s">
        <v>60</v>
      </c>
      <c r="J439" s="12" t="s">
        <v>1030</v>
      </c>
      <c r="K439" s="12" t="s">
        <v>118</v>
      </c>
      <c r="L439" s="12" t="s">
        <v>247</v>
      </c>
      <c r="N439" s="13">
        <v>997508213</v>
      </c>
      <c r="AE439" s="11" t="s">
        <v>1768</v>
      </c>
    </row>
    <row r="440" spans="2:31" x14ac:dyDescent="0.35">
      <c r="B440" s="24" t="s">
        <v>295</v>
      </c>
      <c r="C440" s="12">
        <v>435</v>
      </c>
      <c r="D440" s="11" t="s">
        <v>1495</v>
      </c>
      <c r="E440" s="11" t="s">
        <v>1444</v>
      </c>
      <c r="F440" s="12" t="s">
        <v>295</v>
      </c>
      <c r="G440" s="12" t="s">
        <v>246</v>
      </c>
      <c r="H440" s="12" t="s">
        <v>246</v>
      </c>
      <c r="I440" s="12" t="s">
        <v>60</v>
      </c>
      <c r="J440" s="12" t="s">
        <v>1030</v>
      </c>
      <c r="K440" s="12" t="s">
        <v>118</v>
      </c>
      <c r="L440" s="12" t="s">
        <v>247</v>
      </c>
      <c r="N440" s="13">
        <v>942043622</v>
      </c>
      <c r="AE440" s="11" t="s">
        <v>1768</v>
      </c>
    </row>
    <row r="441" spans="2:31" x14ac:dyDescent="0.35">
      <c r="B441" s="24" t="s">
        <v>295</v>
      </c>
      <c r="C441" s="12">
        <v>436</v>
      </c>
      <c r="D441" s="11" t="s">
        <v>1496</v>
      </c>
      <c r="E441" s="11" t="s">
        <v>1444</v>
      </c>
      <c r="F441" s="12" t="s">
        <v>295</v>
      </c>
      <c r="G441" s="12" t="s">
        <v>246</v>
      </c>
      <c r="H441" s="12" t="s">
        <v>246</v>
      </c>
      <c r="I441" s="12" t="s">
        <v>60</v>
      </c>
      <c r="J441" s="12" t="s">
        <v>1030</v>
      </c>
      <c r="K441" s="12" t="s">
        <v>118</v>
      </c>
      <c r="L441" s="12" t="s">
        <v>247</v>
      </c>
      <c r="N441" s="13">
        <v>976317983</v>
      </c>
      <c r="AE441" s="11" t="s">
        <v>1768</v>
      </c>
    </row>
    <row r="442" spans="2:31" x14ac:dyDescent="0.35">
      <c r="B442" s="24" t="s">
        <v>295</v>
      </c>
      <c r="C442" s="12">
        <v>437</v>
      </c>
      <c r="D442" s="11" t="s">
        <v>1497</v>
      </c>
      <c r="E442" s="11" t="s">
        <v>1444</v>
      </c>
      <c r="F442" s="12" t="s">
        <v>295</v>
      </c>
      <c r="G442" s="12" t="s">
        <v>246</v>
      </c>
      <c r="H442" s="12" t="s">
        <v>246</v>
      </c>
      <c r="I442" s="12" t="s">
        <v>60</v>
      </c>
      <c r="J442" s="12" t="s">
        <v>1030</v>
      </c>
      <c r="K442" s="12" t="s">
        <v>118</v>
      </c>
      <c r="L442" s="12" t="s">
        <v>247</v>
      </c>
      <c r="N442" s="13">
        <v>960116809</v>
      </c>
      <c r="AE442" s="11" t="s">
        <v>1768</v>
      </c>
    </row>
    <row r="443" spans="2:31" x14ac:dyDescent="0.35">
      <c r="B443" s="24" t="s">
        <v>295</v>
      </c>
      <c r="C443" s="12">
        <v>438</v>
      </c>
      <c r="D443" s="11" t="s">
        <v>1498</v>
      </c>
      <c r="E443" s="11" t="s">
        <v>1444</v>
      </c>
      <c r="F443" s="12" t="s">
        <v>295</v>
      </c>
      <c r="G443" s="12" t="s">
        <v>246</v>
      </c>
      <c r="H443" s="12" t="s">
        <v>246</v>
      </c>
      <c r="I443" s="12" t="s">
        <v>60</v>
      </c>
      <c r="J443" s="12" t="s">
        <v>1030</v>
      </c>
      <c r="K443" s="12" t="s">
        <v>118</v>
      </c>
      <c r="L443" s="12" t="s">
        <v>247</v>
      </c>
      <c r="N443" s="13">
        <v>993345426</v>
      </c>
      <c r="AE443" s="11" t="s">
        <v>1768</v>
      </c>
    </row>
    <row r="444" spans="2:31" x14ac:dyDescent="0.35">
      <c r="B444" s="24" t="s">
        <v>295</v>
      </c>
      <c r="C444" s="12">
        <v>439</v>
      </c>
      <c r="D444" s="11" t="s">
        <v>1499</v>
      </c>
      <c r="E444" s="11" t="s">
        <v>429</v>
      </c>
      <c r="F444" s="12" t="s">
        <v>295</v>
      </c>
      <c r="G444" s="12" t="s">
        <v>246</v>
      </c>
      <c r="H444" s="12" t="s">
        <v>246</v>
      </c>
      <c r="I444" s="12" t="s">
        <v>430</v>
      </c>
      <c r="J444" s="12" t="s">
        <v>20</v>
      </c>
      <c r="K444" s="12" t="s">
        <v>1022</v>
      </c>
      <c r="L444" s="12" t="s">
        <v>247</v>
      </c>
      <c r="N444" s="13">
        <v>933353634</v>
      </c>
      <c r="AE444" s="11" t="s">
        <v>1768</v>
      </c>
    </row>
    <row r="445" spans="2:31" x14ac:dyDescent="0.35">
      <c r="B445" s="24" t="s">
        <v>311</v>
      </c>
      <c r="C445" s="12">
        <v>440</v>
      </c>
      <c r="D445" s="11" t="s">
        <v>1500</v>
      </c>
      <c r="E445" s="11" t="s">
        <v>1502</v>
      </c>
      <c r="F445" s="12" t="s">
        <v>311</v>
      </c>
      <c r="G445" s="12" t="s">
        <v>246</v>
      </c>
      <c r="H445" s="12" t="s">
        <v>246</v>
      </c>
      <c r="I445" s="12" t="s">
        <v>60</v>
      </c>
      <c r="J445" s="12" t="s">
        <v>1030</v>
      </c>
      <c r="K445" s="12" t="s">
        <v>118</v>
      </c>
      <c r="L445" s="12" t="s">
        <v>247</v>
      </c>
      <c r="N445" s="13" t="s">
        <v>1554</v>
      </c>
      <c r="AE445" s="11" t="s">
        <v>1768</v>
      </c>
    </row>
    <row r="446" spans="2:31" x14ac:dyDescent="0.35">
      <c r="B446" s="24" t="s">
        <v>283</v>
      </c>
      <c r="C446" s="12">
        <v>441</v>
      </c>
      <c r="D446" s="11" t="s">
        <v>1558</v>
      </c>
      <c r="E446" s="11" t="s">
        <v>1561</v>
      </c>
      <c r="F446" s="12" t="s">
        <v>283</v>
      </c>
      <c r="G446" s="12" t="s">
        <v>246</v>
      </c>
      <c r="H446" s="12" t="s">
        <v>246</v>
      </c>
      <c r="I446" s="12" t="s">
        <v>430</v>
      </c>
      <c r="J446" s="12" t="s">
        <v>93</v>
      </c>
      <c r="L446" s="12" t="s">
        <v>247</v>
      </c>
      <c r="N446" s="13" t="s">
        <v>1564</v>
      </c>
      <c r="AD446" s="11" t="s">
        <v>1567</v>
      </c>
      <c r="AE446" s="11" t="s">
        <v>1768</v>
      </c>
    </row>
    <row r="447" spans="2:31" x14ac:dyDescent="0.35">
      <c r="B447" s="24" t="s">
        <v>278</v>
      </c>
      <c r="C447" s="12">
        <v>442</v>
      </c>
      <c r="D447" s="11" t="s">
        <v>1559</v>
      </c>
      <c r="E447" s="11" t="s">
        <v>1562</v>
      </c>
      <c r="F447" s="12" t="s">
        <v>278</v>
      </c>
      <c r="G447" s="12" t="s">
        <v>247</v>
      </c>
      <c r="H447" s="12" t="s">
        <v>125</v>
      </c>
      <c r="L447" s="12" t="s">
        <v>247</v>
      </c>
      <c r="N447" s="13" t="s">
        <v>1565</v>
      </c>
      <c r="AD447" s="11" t="s">
        <v>1567</v>
      </c>
      <c r="AE447" s="11" t="s">
        <v>1768</v>
      </c>
    </row>
    <row r="448" spans="2:31" x14ac:dyDescent="0.35">
      <c r="B448" s="24" t="s">
        <v>283</v>
      </c>
      <c r="C448" s="12">
        <v>443</v>
      </c>
      <c r="D448" s="11" t="s">
        <v>1560</v>
      </c>
      <c r="E448" s="11" t="s">
        <v>1563</v>
      </c>
      <c r="F448" s="12" t="s">
        <v>283</v>
      </c>
      <c r="G448" s="12" t="s">
        <v>246</v>
      </c>
      <c r="H448" s="12" t="s">
        <v>246</v>
      </c>
      <c r="I448" s="12" t="s">
        <v>430</v>
      </c>
      <c r="J448" s="12" t="s">
        <v>71</v>
      </c>
      <c r="K448" s="12" t="s">
        <v>1018</v>
      </c>
      <c r="L448" s="12" t="s">
        <v>247</v>
      </c>
      <c r="N448" s="13" t="s">
        <v>1566</v>
      </c>
      <c r="T448" s="11" t="s">
        <v>125</v>
      </c>
      <c r="U448" s="11" t="s">
        <v>1014</v>
      </c>
      <c r="Z448" s="11">
        <v>46216</v>
      </c>
      <c r="AA448" s="11">
        <v>46216</v>
      </c>
      <c r="AB448" s="11" t="s">
        <v>30</v>
      </c>
      <c r="AC448" s="11">
        <v>32</v>
      </c>
      <c r="AD448" s="11" t="s">
        <v>1567</v>
      </c>
      <c r="AE448" s="11" t="s">
        <v>993</v>
      </c>
    </row>
    <row r="449" spans="2:31" x14ac:dyDescent="0.35">
      <c r="B449" s="24" t="s">
        <v>278</v>
      </c>
      <c r="C449" s="12">
        <v>444</v>
      </c>
      <c r="D449" s="11" t="s">
        <v>1576</v>
      </c>
      <c r="E449" s="11" t="s">
        <v>1509</v>
      </c>
      <c r="F449" s="12" t="s">
        <v>278</v>
      </c>
      <c r="G449" s="12" t="s">
        <v>246</v>
      </c>
      <c r="H449" s="12" t="s">
        <v>246</v>
      </c>
      <c r="I449" s="12" t="s">
        <v>430</v>
      </c>
      <c r="J449" s="12" t="s">
        <v>90</v>
      </c>
      <c r="K449" s="12" t="s">
        <v>1022</v>
      </c>
      <c r="L449" s="12" t="s">
        <v>247</v>
      </c>
      <c r="N449" s="13" t="s">
        <v>1577</v>
      </c>
      <c r="AE449" s="11" t="s">
        <v>1768</v>
      </c>
    </row>
    <row r="450" spans="2:31" x14ac:dyDescent="0.35">
      <c r="B450" s="24" t="s">
        <v>278</v>
      </c>
      <c r="C450" s="12">
        <v>445</v>
      </c>
      <c r="D450" s="11" t="s">
        <v>1578</v>
      </c>
      <c r="E450" s="11" t="s">
        <v>1571</v>
      </c>
      <c r="F450" s="12" t="s">
        <v>278</v>
      </c>
      <c r="G450" s="12" t="s">
        <v>246</v>
      </c>
      <c r="H450" s="12" t="s">
        <v>246</v>
      </c>
      <c r="I450" s="12" t="s">
        <v>60</v>
      </c>
      <c r="J450" s="12" t="s">
        <v>1030</v>
      </c>
      <c r="K450" s="12" t="s">
        <v>118</v>
      </c>
      <c r="L450" s="12" t="s">
        <v>247</v>
      </c>
      <c r="N450" s="13" t="s">
        <v>1579</v>
      </c>
      <c r="AE450" s="11" t="s">
        <v>1768</v>
      </c>
    </row>
    <row r="451" spans="2:31" x14ac:dyDescent="0.35">
      <c r="B451" s="24" t="s">
        <v>278</v>
      </c>
      <c r="C451" s="12">
        <v>446</v>
      </c>
      <c r="D451" s="11" t="s">
        <v>1580</v>
      </c>
      <c r="E451" s="11" t="s">
        <v>1571</v>
      </c>
      <c r="F451" s="12" t="s">
        <v>278</v>
      </c>
      <c r="G451" s="12" t="s">
        <v>246</v>
      </c>
      <c r="H451" s="12" t="s">
        <v>246</v>
      </c>
      <c r="I451" s="12" t="s">
        <v>60</v>
      </c>
      <c r="J451" s="12" t="s">
        <v>1030</v>
      </c>
      <c r="K451" s="12" t="s">
        <v>118</v>
      </c>
      <c r="L451" s="12" t="s">
        <v>247</v>
      </c>
      <c r="N451" s="13" t="s">
        <v>1581</v>
      </c>
      <c r="AE451" s="11" t="s">
        <v>1768</v>
      </c>
    </row>
    <row r="452" spans="2:31" x14ac:dyDescent="0.35">
      <c r="B452" s="24" t="s">
        <v>278</v>
      </c>
      <c r="C452" s="12">
        <v>447</v>
      </c>
      <c r="D452" s="11" t="s">
        <v>1582</v>
      </c>
      <c r="E452" s="11" t="s">
        <v>1571</v>
      </c>
      <c r="F452" s="12" t="s">
        <v>278</v>
      </c>
      <c r="G452" s="12" t="s">
        <v>246</v>
      </c>
      <c r="H452" s="12" t="s">
        <v>246</v>
      </c>
      <c r="I452" s="12" t="s">
        <v>60</v>
      </c>
      <c r="J452" s="12" t="s">
        <v>1030</v>
      </c>
      <c r="K452" s="12" t="s">
        <v>118</v>
      </c>
      <c r="L452" s="12" t="s">
        <v>247</v>
      </c>
      <c r="N452" s="13" t="s">
        <v>1583</v>
      </c>
      <c r="AE452" s="11" t="s">
        <v>1768</v>
      </c>
    </row>
    <row r="453" spans="2:31" x14ac:dyDescent="0.35">
      <c r="B453" s="24" t="s">
        <v>278</v>
      </c>
      <c r="C453" s="12">
        <v>448</v>
      </c>
      <c r="D453" s="11" t="s">
        <v>1584</v>
      </c>
      <c r="E453" s="11" t="s">
        <v>1571</v>
      </c>
      <c r="F453" s="12" t="s">
        <v>278</v>
      </c>
      <c r="G453" s="12" t="s">
        <v>246</v>
      </c>
      <c r="H453" s="12" t="s">
        <v>246</v>
      </c>
      <c r="I453" s="12" t="s">
        <v>60</v>
      </c>
      <c r="J453" s="12" t="s">
        <v>1030</v>
      </c>
      <c r="K453" s="12" t="s">
        <v>118</v>
      </c>
      <c r="L453" s="12" t="s">
        <v>247</v>
      </c>
      <c r="N453" s="13" t="s">
        <v>1585</v>
      </c>
      <c r="AE453" s="11" t="s">
        <v>1768</v>
      </c>
    </row>
    <row r="454" spans="2:31" x14ac:dyDescent="0.35">
      <c r="B454" s="24" t="s">
        <v>278</v>
      </c>
      <c r="C454" s="12">
        <v>449</v>
      </c>
      <c r="D454" s="11" t="s">
        <v>1586</v>
      </c>
      <c r="E454" s="11" t="s">
        <v>1571</v>
      </c>
      <c r="F454" s="12" t="s">
        <v>278</v>
      </c>
      <c r="G454" s="12" t="s">
        <v>246</v>
      </c>
      <c r="H454" s="12" t="s">
        <v>246</v>
      </c>
      <c r="I454" s="12" t="s">
        <v>60</v>
      </c>
      <c r="J454" s="12" t="s">
        <v>1030</v>
      </c>
      <c r="K454" s="12" t="s">
        <v>118</v>
      </c>
      <c r="L454" s="12" t="s">
        <v>247</v>
      </c>
      <c r="N454" s="13" t="s">
        <v>1587</v>
      </c>
      <c r="AE454" s="11" t="s">
        <v>1768</v>
      </c>
    </row>
    <row r="455" spans="2:31" x14ac:dyDescent="0.35">
      <c r="B455" s="24" t="s">
        <v>278</v>
      </c>
      <c r="C455" s="12">
        <v>450</v>
      </c>
      <c r="D455" s="11" t="s">
        <v>1588</v>
      </c>
      <c r="E455" s="11" t="s">
        <v>661</v>
      </c>
      <c r="F455" s="12" t="s">
        <v>278</v>
      </c>
      <c r="G455" s="12" t="s">
        <v>246</v>
      </c>
      <c r="H455" s="12" t="s">
        <v>246</v>
      </c>
      <c r="I455" s="12" t="s">
        <v>430</v>
      </c>
      <c r="J455" s="12" t="s">
        <v>71</v>
      </c>
      <c r="K455" s="12" t="s">
        <v>1569</v>
      </c>
      <c r="L455" s="12" t="s">
        <v>247</v>
      </c>
      <c r="N455" s="13" t="s">
        <v>1589</v>
      </c>
      <c r="U455" s="11" t="s">
        <v>131</v>
      </c>
      <c r="AE455" s="11" t="s">
        <v>993</v>
      </c>
    </row>
    <row r="456" spans="2:31" x14ac:dyDescent="0.35">
      <c r="B456" s="24" t="s">
        <v>278</v>
      </c>
      <c r="C456" s="12">
        <v>451</v>
      </c>
      <c r="D456" s="11" t="s">
        <v>1590</v>
      </c>
      <c r="E456" s="11" t="s">
        <v>661</v>
      </c>
      <c r="F456" s="12" t="s">
        <v>278</v>
      </c>
      <c r="G456" s="12" t="s">
        <v>246</v>
      </c>
      <c r="H456" s="12" t="s">
        <v>246</v>
      </c>
      <c r="I456" s="12" t="s">
        <v>430</v>
      </c>
      <c r="J456" s="12" t="s">
        <v>71</v>
      </c>
      <c r="K456" s="12" t="s">
        <v>1569</v>
      </c>
      <c r="L456" s="12" t="s">
        <v>247</v>
      </c>
      <c r="N456" s="13" t="s">
        <v>1591</v>
      </c>
      <c r="AE456" s="11" t="s">
        <v>1768</v>
      </c>
    </row>
    <row r="457" spans="2:31" x14ac:dyDescent="0.35">
      <c r="B457" s="24" t="s">
        <v>278</v>
      </c>
      <c r="C457" s="12">
        <v>452</v>
      </c>
      <c r="D457" s="11" t="s">
        <v>1592</v>
      </c>
      <c r="E457" s="11" t="s">
        <v>1509</v>
      </c>
      <c r="F457" s="12" t="s">
        <v>278</v>
      </c>
      <c r="G457" s="12" t="s">
        <v>246</v>
      </c>
      <c r="H457" s="12" t="s">
        <v>246</v>
      </c>
      <c r="I457" s="12" t="s">
        <v>430</v>
      </c>
      <c r="J457" s="12" t="s">
        <v>90</v>
      </c>
      <c r="K457" s="12" t="s">
        <v>1022</v>
      </c>
      <c r="L457" s="12" t="s">
        <v>247</v>
      </c>
      <c r="N457" s="13" t="s">
        <v>1593</v>
      </c>
      <c r="AE457" s="11" t="s">
        <v>1768</v>
      </c>
    </row>
    <row r="458" spans="2:31" x14ac:dyDescent="0.35">
      <c r="B458" s="24" t="s">
        <v>278</v>
      </c>
      <c r="C458" s="12">
        <v>453</v>
      </c>
      <c r="D458" s="11" t="s">
        <v>1594</v>
      </c>
      <c r="E458" s="11" t="s">
        <v>1509</v>
      </c>
      <c r="F458" s="12" t="s">
        <v>278</v>
      </c>
      <c r="G458" s="12" t="s">
        <v>246</v>
      </c>
      <c r="H458" s="12" t="s">
        <v>246</v>
      </c>
      <c r="I458" s="12" t="s">
        <v>430</v>
      </c>
      <c r="J458" s="12" t="s">
        <v>90</v>
      </c>
      <c r="K458" s="12" t="s">
        <v>1022</v>
      </c>
      <c r="L458" s="12" t="s">
        <v>247</v>
      </c>
      <c r="N458" s="13" t="s">
        <v>1593</v>
      </c>
      <c r="AE458" s="11" t="s">
        <v>1768</v>
      </c>
    </row>
    <row r="459" spans="2:31" x14ac:dyDescent="0.35">
      <c r="B459" s="24" t="s">
        <v>278</v>
      </c>
      <c r="C459" s="12">
        <v>454</v>
      </c>
      <c r="D459" s="11" t="s">
        <v>1595</v>
      </c>
      <c r="E459" s="11" t="s">
        <v>1571</v>
      </c>
      <c r="F459" s="12" t="s">
        <v>278</v>
      </c>
      <c r="G459" s="12" t="s">
        <v>246</v>
      </c>
      <c r="H459" s="12" t="s">
        <v>246</v>
      </c>
      <c r="I459" s="12" t="s">
        <v>60</v>
      </c>
      <c r="J459" s="12" t="s">
        <v>1030</v>
      </c>
      <c r="K459" s="12" t="s">
        <v>118</v>
      </c>
      <c r="L459" s="12" t="s">
        <v>247</v>
      </c>
      <c r="N459" s="13">
        <v>900186166</v>
      </c>
      <c r="AE459" s="11" t="s">
        <v>1768</v>
      </c>
    </row>
    <row r="460" spans="2:31" x14ac:dyDescent="0.35">
      <c r="B460" s="24" t="s">
        <v>278</v>
      </c>
      <c r="C460" s="12">
        <v>455</v>
      </c>
      <c r="D460" s="11" t="s">
        <v>1596</v>
      </c>
      <c r="E460" s="11" t="s">
        <v>93</v>
      </c>
      <c r="F460" s="12" t="s">
        <v>278</v>
      </c>
      <c r="G460" s="12" t="s">
        <v>246</v>
      </c>
      <c r="H460" s="12" t="s">
        <v>246</v>
      </c>
      <c r="I460" s="12" t="s">
        <v>430</v>
      </c>
      <c r="J460" s="12" t="s">
        <v>93</v>
      </c>
      <c r="K460" s="12" t="s">
        <v>1022</v>
      </c>
      <c r="L460" s="12" t="s">
        <v>247</v>
      </c>
      <c r="N460" s="13" t="s">
        <v>1597</v>
      </c>
      <c r="AE460" s="11" t="s">
        <v>1768</v>
      </c>
    </row>
    <row r="461" spans="2:31" x14ac:dyDescent="0.35">
      <c r="B461" s="24" t="s">
        <v>278</v>
      </c>
      <c r="C461" s="12">
        <v>456</v>
      </c>
      <c r="D461" s="11" t="s">
        <v>1598</v>
      </c>
      <c r="E461" s="11" t="s">
        <v>93</v>
      </c>
      <c r="F461" s="12" t="s">
        <v>278</v>
      </c>
      <c r="G461" s="12" t="s">
        <v>246</v>
      </c>
      <c r="H461" s="12" t="s">
        <v>246</v>
      </c>
      <c r="I461" s="12" t="s">
        <v>430</v>
      </c>
      <c r="J461" s="12" t="s">
        <v>93</v>
      </c>
      <c r="K461" s="12" t="s">
        <v>1022</v>
      </c>
      <c r="L461" s="12" t="s">
        <v>247</v>
      </c>
      <c r="N461" s="13" t="s">
        <v>1599</v>
      </c>
      <c r="AE461" s="11" t="s">
        <v>1768</v>
      </c>
    </row>
    <row r="462" spans="2:31" x14ac:dyDescent="0.35">
      <c r="B462" s="24" t="s">
        <v>278</v>
      </c>
      <c r="C462" s="12">
        <v>457</v>
      </c>
      <c r="D462" s="11" t="s">
        <v>1600</v>
      </c>
      <c r="E462" s="11" t="s">
        <v>1601</v>
      </c>
      <c r="F462" s="12" t="s">
        <v>278</v>
      </c>
      <c r="G462" s="12" t="s">
        <v>246</v>
      </c>
      <c r="H462" s="12" t="s">
        <v>246</v>
      </c>
      <c r="I462" s="12" t="s">
        <v>430</v>
      </c>
      <c r="J462" s="12" t="s">
        <v>71</v>
      </c>
      <c r="K462" s="12" t="s">
        <v>1018</v>
      </c>
      <c r="L462" s="12" t="s">
        <v>247</v>
      </c>
      <c r="N462" s="13" t="s">
        <v>1602</v>
      </c>
      <c r="AE462" s="11" t="s">
        <v>1768</v>
      </c>
    </row>
    <row r="463" spans="2:31" x14ac:dyDescent="0.35">
      <c r="B463" s="24" t="s">
        <v>278</v>
      </c>
      <c r="C463" s="12">
        <v>458</v>
      </c>
      <c r="D463" s="11" t="s">
        <v>1603</v>
      </c>
      <c r="E463" s="11" t="s">
        <v>1601</v>
      </c>
      <c r="F463" s="12" t="s">
        <v>278</v>
      </c>
      <c r="G463" s="12" t="s">
        <v>246</v>
      </c>
      <c r="H463" s="12" t="s">
        <v>246</v>
      </c>
      <c r="I463" s="12" t="s">
        <v>430</v>
      </c>
      <c r="J463" s="12" t="s">
        <v>71</v>
      </c>
      <c r="K463" s="12" t="s">
        <v>1018</v>
      </c>
      <c r="L463" s="12" t="s">
        <v>247</v>
      </c>
      <c r="N463" s="13" t="s">
        <v>1604</v>
      </c>
      <c r="AE463" s="11" t="s">
        <v>1768</v>
      </c>
    </row>
    <row r="464" spans="2:31" x14ac:dyDescent="0.35">
      <c r="B464" s="24" t="s">
        <v>278</v>
      </c>
      <c r="C464" s="12">
        <v>459</v>
      </c>
      <c r="D464" s="11" t="s">
        <v>1605</v>
      </c>
      <c r="E464" s="11" t="s">
        <v>1571</v>
      </c>
      <c r="F464" s="12" t="s">
        <v>278</v>
      </c>
      <c r="G464" s="12" t="s">
        <v>246</v>
      </c>
      <c r="H464" s="12" t="s">
        <v>246</v>
      </c>
      <c r="I464" s="12" t="s">
        <v>60</v>
      </c>
      <c r="J464" s="12" t="s">
        <v>1030</v>
      </c>
      <c r="K464" s="12" t="s">
        <v>118</v>
      </c>
      <c r="L464" s="12" t="s">
        <v>247</v>
      </c>
      <c r="N464" s="13" t="s">
        <v>1606</v>
      </c>
      <c r="AE464" s="11" t="s">
        <v>1768</v>
      </c>
    </row>
    <row r="465" spans="2:31" x14ac:dyDescent="0.35">
      <c r="B465" s="24" t="s">
        <v>308</v>
      </c>
      <c r="C465" s="12">
        <v>460</v>
      </c>
      <c r="D465" s="11" t="s">
        <v>1607</v>
      </c>
      <c r="E465" s="11" t="s">
        <v>1442</v>
      </c>
      <c r="F465" s="12" t="s">
        <v>308</v>
      </c>
      <c r="G465" s="12" t="s">
        <v>246</v>
      </c>
      <c r="H465" s="12" t="s">
        <v>246</v>
      </c>
      <c r="I465" s="12" t="s">
        <v>60</v>
      </c>
      <c r="J465" s="12" t="s">
        <v>1030</v>
      </c>
      <c r="K465" s="12" t="s">
        <v>118</v>
      </c>
      <c r="L465" s="12" t="s">
        <v>247</v>
      </c>
      <c r="N465" s="13" t="s">
        <v>1608</v>
      </c>
      <c r="AE465" s="11" t="s">
        <v>1768</v>
      </c>
    </row>
    <row r="466" spans="2:31" x14ac:dyDescent="0.35">
      <c r="B466" s="24" t="s">
        <v>308</v>
      </c>
      <c r="C466" s="12">
        <v>461</v>
      </c>
      <c r="D466" s="11" t="s">
        <v>1609</v>
      </c>
      <c r="E466" s="11" t="s">
        <v>1442</v>
      </c>
      <c r="F466" s="12" t="s">
        <v>308</v>
      </c>
      <c r="G466" s="12" t="s">
        <v>246</v>
      </c>
      <c r="H466" s="12" t="s">
        <v>246</v>
      </c>
      <c r="I466" s="12" t="s">
        <v>60</v>
      </c>
      <c r="J466" s="12" t="s">
        <v>1030</v>
      </c>
      <c r="K466" s="12" t="s">
        <v>118</v>
      </c>
      <c r="L466" s="12" t="s">
        <v>247</v>
      </c>
      <c r="N466" s="13" t="s">
        <v>1610</v>
      </c>
      <c r="AE466" s="11" t="s">
        <v>1768</v>
      </c>
    </row>
    <row r="467" spans="2:31" x14ac:dyDescent="0.35">
      <c r="B467" s="24" t="s">
        <v>308</v>
      </c>
      <c r="C467" s="12">
        <v>462</v>
      </c>
      <c r="D467" s="11" t="s">
        <v>1611</v>
      </c>
      <c r="E467" s="11" t="s">
        <v>1442</v>
      </c>
      <c r="F467" s="12" t="s">
        <v>308</v>
      </c>
      <c r="G467" s="12" t="s">
        <v>246</v>
      </c>
      <c r="H467" s="12" t="s">
        <v>246</v>
      </c>
      <c r="I467" s="12" t="s">
        <v>60</v>
      </c>
      <c r="J467" s="12" t="s">
        <v>1030</v>
      </c>
      <c r="K467" s="12" t="s">
        <v>118</v>
      </c>
      <c r="L467" s="12" t="s">
        <v>247</v>
      </c>
      <c r="N467" s="13" t="s">
        <v>1612</v>
      </c>
      <c r="AE467" s="11" t="s">
        <v>1768</v>
      </c>
    </row>
    <row r="468" spans="2:31" x14ac:dyDescent="0.35">
      <c r="B468" s="24" t="s">
        <v>308</v>
      </c>
      <c r="C468" s="12">
        <v>463</v>
      </c>
      <c r="D468" s="11" t="s">
        <v>1613</v>
      </c>
      <c r="E468" s="11" t="s">
        <v>661</v>
      </c>
      <c r="F468" s="12" t="s">
        <v>308</v>
      </c>
      <c r="G468" s="12" t="s">
        <v>246</v>
      </c>
      <c r="H468" s="12" t="s">
        <v>246</v>
      </c>
      <c r="I468" s="12" t="s">
        <v>430</v>
      </c>
      <c r="J468" s="12" t="s">
        <v>71</v>
      </c>
      <c r="K468" s="12" t="s">
        <v>1569</v>
      </c>
      <c r="L468" s="12" t="s">
        <v>247</v>
      </c>
      <c r="N468" s="13" t="s">
        <v>1614</v>
      </c>
      <c r="AE468" s="11" t="s">
        <v>1768</v>
      </c>
    </row>
    <row r="469" spans="2:31" x14ac:dyDescent="0.35">
      <c r="B469" s="24" t="s">
        <v>283</v>
      </c>
      <c r="C469" s="12">
        <v>464</v>
      </c>
      <c r="D469" s="11" t="s">
        <v>1615</v>
      </c>
      <c r="E469" s="11" t="s">
        <v>1501</v>
      </c>
      <c r="F469" s="12" t="s">
        <v>283</v>
      </c>
      <c r="G469" s="12" t="s">
        <v>246</v>
      </c>
      <c r="H469" s="12" t="s">
        <v>246</v>
      </c>
      <c r="I469" s="12" t="s">
        <v>60</v>
      </c>
      <c r="J469" s="12" t="s">
        <v>1030</v>
      </c>
      <c r="K469" s="12" t="s">
        <v>118</v>
      </c>
      <c r="L469" s="12" t="s">
        <v>247</v>
      </c>
      <c r="N469" s="13" t="s">
        <v>1616</v>
      </c>
      <c r="AE469" s="11" t="s">
        <v>1768</v>
      </c>
    </row>
    <row r="470" spans="2:31" x14ac:dyDescent="0.35">
      <c r="B470" s="24" t="s">
        <v>283</v>
      </c>
      <c r="C470" s="12">
        <v>465</v>
      </c>
      <c r="D470" s="11" t="s">
        <v>1617</v>
      </c>
      <c r="E470" s="11" t="s">
        <v>1501</v>
      </c>
      <c r="F470" s="12" t="s">
        <v>283</v>
      </c>
      <c r="G470" s="12" t="s">
        <v>246</v>
      </c>
      <c r="H470" s="12" t="s">
        <v>246</v>
      </c>
      <c r="I470" s="12" t="s">
        <v>60</v>
      </c>
      <c r="J470" s="12" t="s">
        <v>1030</v>
      </c>
      <c r="K470" s="12" t="s">
        <v>118</v>
      </c>
      <c r="L470" s="12" t="s">
        <v>247</v>
      </c>
      <c r="N470" s="13" t="s">
        <v>1618</v>
      </c>
      <c r="AE470" s="11" t="s">
        <v>1768</v>
      </c>
    </row>
    <row r="471" spans="2:31" x14ac:dyDescent="0.35">
      <c r="B471" s="24" t="s">
        <v>283</v>
      </c>
      <c r="C471" s="12">
        <v>466</v>
      </c>
      <c r="D471" s="11" t="s">
        <v>1619</v>
      </c>
      <c r="E471" s="11" t="s">
        <v>1501</v>
      </c>
      <c r="F471" s="12" t="s">
        <v>283</v>
      </c>
      <c r="G471" s="12" t="s">
        <v>246</v>
      </c>
      <c r="H471" s="12" t="s">
        <v>246</v>
      </c>
      <c r="I471" s="12" t="s">
        <v>60</v>
      </c>
      <c r="J471" s="12" t="s">
        <v>1030</v>
      </c>
      <c r="K471" s="12" t="s">
        <v>118</v>
      </c>
      <c r="L471" s="12" t="s">
        <v>247</v>
      </c>
      <c r="N471" s="13" t="s">
        <v>1620</v>
      </c>
      <c r="AE471" s="11" t="s">
        <v>1768</v>
      </c>
    </row>
    <row r="472" spans="2:31" x14ac:dyDescent="0.35">
      <c r="B472" s="24" t="s">
        <v>283</v>
      </c>
      <c r="C472" s="12">
        <v>467</v>
      </c>
      <c r="D472" s="11" t="s">
        <v>1621</v>
      </c>
      <c r="E472" s="11" t="s">
        <v>1501</v>
      </c>
      <c r="F472" s="12" t="s">
        <v>283</v>
      </c>
      <c r="G472" s="12" t="s">
        <v>246</v>
      </c>
      <c r="H472" s="12" t="s">
        <v>246</v>
      </c>
      <c r="I472" s="12" t="s">
        <v>60</v>
      </c>
      <c r="J472" s="12" t="s">
        <v>1030</v>
      </c>
      <c r="K472" s="12" t="s">
        <v>118</v>
      </c>
      <c r="L472" s="12" t="s">
        <v>247</v>
      </c>
      <c r="N472" s="13" t="s">
        <v>1622</v>
      </c>
      <c r="AE472" s="11" t="s">
        <v>1768</v>
      </c>
    </row>
    <row r="473" spans="2:31" x14ac:dyDescent="0.35">
      <c r="B473" s="24" t="s">
        <v>283</v>
      </c>
      <c r="C473" s="12">
        <v>468</v>
      </c>
      <c r="D473" s="11" t="s">
        <v>1623</v>
      </c>
      <c r="E473" s="11" t="s">
        <v>77</v>
      </c>
      <c r="F473" s="12" t="s">
        <v>283</v>
      </c>
      <c r="G473" s="12" t="s">
        <v>246</v>
      </c>
      <c r="H473" s="12" t="s">
        <v>246</v>
      </c>
      <c r="I473" s="12" t="s">
        <v>430</v>
      </c>
      <c r="J473" s="12" t="s">
        <v>71</v>
      </c>
      <c r="K473" s="12" t="s">
        <v>77</v>
      </c>
      <c r="L473" s="12" t="s">
        <v>247</v>
      </c>
      <c r="N473" s="13" t="s">
        <v>1624</v>
      </c>
      <c r="AE473" s="11" t="s">
        <v>1768</v>
      </c>
    </row>
    <row r="474" spans="2:31" x14ac:dyDescent="0.35">
      <c r="B474" s="24" t="s">
        <v>283</v>
      </c>
      <c r="C474" s="12">
        <v>469</v>
      </c>
      <c r="D474" s="11" t="s">
        <v>1625</v>
      </c>
      <c r="E474" s="11" t="s">
        <v>93</v>
      </c>
      <c r="F474" s="12" t="s">
        <v>283</v>
      </c>
      <c r="G474" s="12" t="s">
        <v>246</v>
      </c>
      <c r="H474" s="12" t="s">
        <v>246</v>
      </c>
      <c r="I474" s="12" t="s">
        <v>430</v>
      </c>
      <c r="J474" s="12" t="s">
        <v>93</v>
      </c>
      <c r="K474" s="12" t="s">
        <v>1022</v>
      </c>
      <c r="L474" s="12" t="s">
        <v>247</v>
      </c>
      <c r="N474" s="13" t="s">
        <v>548</v>
      </c>
      <c r="AE474" s="11" t="s">
        <v>1768</v>
      </c>
    </row>
    <row r="475" spans="2:31" x14ac:dyDescent="0.35">
      <c r="B475" s="24" t="s">
        <v>283</v>
      </c>
      <c r="C475" s="12">
        <v>470</v>
      </c>
      <c r="D475" s="11" t="s">
        <v>1626</v>
      </c>
      <c r="E475" s="11" t="s">
        <v>80</v>
      </c>
      <c r="F475" s="12" t="s">
        <v>283</v>
      </c>
      <c r="G475" s="12" t="s">
        <v>246</v>
      </c>
      <c r="H475" s="12" t="s">
        <v>246</v>
      </c>
      <c r="I475" s="12" t="s">
        <v>430</v>
      </c>
      <c r="J475" s="12" t="s">
        <v>90</v>
      </c>
      <c r="K475" s="12" t="s">
        <v>1022</v>
      </c>
      <c r="L475" s="12" t="s">
        <v>247</v>
      </c>
      <c r="N475" s="13" t="s">
        <v>1627</v>
      </c>
      <c r="AE475" s="11" t="s">
        <v>1768</v>
      </c>
    </row>
    <row r="476" spans="2:31" x14ac:dyDescent="0.35">
      <c r="B476" s="24" t="s">
        <v>283</v>
      </c>
      <c r="C476" s="12">
        <v>471</v>
      </c>
      <c r="D476" s="11" t="s">
        <v>1628</v>
      </c>
      <c r="E476" s="11" t="s">
        <v>1501</v>
      </c>
      <c r="F476" s="12" t="s">
        <v>283</v>
      </c>
      <c r="G476" s="12" t="s">
        <v>246</v>
      </c>
      <c r="H476" s="12" t="s">
        <v>246</v>
      </c>
      <c r="I476" s="12" t="s">
        <v>60</v>
      </c>
      <c r="J476" s="12" t="s">
        <v>1030</v>
      </c>
      <c r="K476" s="12" t="s">
        <v>118</v>
      </c>
      <c r="L476" s="12" t="s">
        <v>247</v>
      </c>
      <c r="N476" s="13" t="s">
        <v>1629</v>
      </c>
      <c r="AE476" s="11" t="s">
        <v>1768</v>
      </c>
    </row>
    <row r="477" spans="2:31" x14ac:dyDescent="0.35">
      <c r="B477" s="24" t="s">
        <v>311</v>
      </c>
      <c r="C477" s="12">
        <v>472</v>
      </c>
      <c r="D477" s="11" t="s">
        <v>1455</v>
      </c>
      <c r="E477" s="11" t="s">
        <v>1509</v>
      </c>
      <c r="F477" s="12" t="s">
        <v>311</v>
      </c>
      <c r="G477" s="12" t="s">
        <v>246</v>
      </c>
      <c r="H477" s="12" t="s">
        <v>246</v>
      </c>
      <c r="I477" s="12" t="s">
        <v>430</v>
      </c>
      <c r="J477" s="12" t="s">
        <v>90</v>
      </c>
      <c r="K477" s="12" t="s">
        <v>1022</v>
      </c>
      <c r="L477" s="12" t="s">
        <v>247</v>
      </c>
      <c r="N477" s="13" t="s">
        <v>1513</v>
      </c>
      <c r="AE477" s="11" t="s">
        <v>1768</v>
      </c>
    </row>
    <row r="478" spans="2:31" x14ac:dyDescent="0.35">
      <c r="B478" s="24" t="s">
        <v>311</v>
      </c>
      <c r="C478" s="12">
        <v>473</v>
      </c>
      <c r="D478" s="11" t="s">
        <v>1456</v>
      </c>
      <c r="E478" s="11" t="s">
        <v>93</v>
      </c>
      <c r="F478" s="12" t="s">
        <v>311</v>
      </c>
      <c r="G478" s="12" t="s">
        <v>246</v>
      </c>
      <c r="H478" s="12" t="s">
        <v>246</v>
      </c>
      <c r="I478" s="12" t="s">
        <v>430</v>
      </c>
      <c r="J478" s="12" t="s">
        <v>93</v>
      </c>
      <c r="K478" s="12" t="s">
        <v>1022</v>
      </c>
      <c r="L478" s="12" t="s">
        <v>247</v>
      </c>
      <c r="N478" s="13" t="s">
        <v>1514</v>
      </c>
      <c r="AE478" s="11" t="s">
        <v>1768</v>
      </c>
    </row>
    <row r="479" spans="2:31" x14ac:dyDescent="0.35">
      <c r="B479" s="24" t="s">
        <v>49</v>
      </c>
      <c r="C479" s="12">
        <v>474</v>
      </c>
      <c r="D479" s="11" t="s">
        <v>1630</v>
      </c>
      <c r="E479" s="11" t="s">
        <v>307</v>
      </c>
      <c r="F479" s="12" t="s">
        <v>286</v>
      </c>
      <c r="G479" s="12" t="s">
        <v>246</v>
      </c>
      <c r="H479" s="12" t="s">
        <v>246</v>
      </c>
      <c r="I479" s="12" t="s">
        <v>430</v>
      </c>
      <c r="J479" s="12" t="s">
        <v>71</v>
      </c>
      <c r="K479" s="12" t="s">
        <v>191</v>
      </c>
      <c r="L479" s="12" t="s">
        <v>247</v>
      </c>
      <c r="N479" s="13" t="s">
        <v>1631</v>
      </c>
      <c r="U479" s="11" t="s">
        <v>131</v>
      </c>
      <c r="Z479" s="11">
        <v>46237</v>
      </c>
      <c r="AA479" s="11">
        <v>46237</v>
      </c>
      <c r="AB479" s="11" t="s">
        <v>30</v>
      </c>
      <c r="AE479" s="11" t="s">
        <v>993</v>
      </c>
    </row>
    <row r="480" spans="2:31" x14ac:dyDescent="0.35">
      <c r="B480" s="24" t="s">
        <v>283</v>
      </c>
      <c r="C480" s="12">
        <v>475</v>
      </c>
      <c r="D480" s="11" t="s">
        <v>1632</v>
      </c>
      <c r="E480" s="11" t="s">
        <v>1633</v>
      </c>
      <c r="F480" s="12" t="s">
        <v>283</v>
      </c>
      <c r="G480" s="12" t="s">
        <v>246</v>
      </c>
      <c r="H480" s="12" t="s">
        <v>246</v>
      </c>
      <c r="I480" s="12" t="s">
        <v>430</v>
      </c>
      <c r="J480" s="12" t="s">
        <v>71</v>
      </c>
      <c r="K480" s="12" t="s">
        <v>1569</v>
      </c>
      <c r="L480" s="12" t="s">
        <v>247</v>
      </c>
      <c r="N480" s="13" t="s">
        <v>1678</v>
      </c>
      <c r="T480" s="11" t="s">
        <v>125</v>
      </c>
      <c r="U480" s="11" t="s">
        <v>1014</v>
      </c>
      <c r="Z480" s="11">
        <v>46213</v>
      </c>
      <c r="AA480" s="11">
        <v>46213</v>
      </c>
      <c r="AB480" s="11" t="s">
        <v>30</v>
      </c>
      <c r="AC480" s="11">
        <v>38</v>
      </c>
      <c r="AE480" s="11" t="s">
        <v>993</v>
      </c>
    </row>
    <row r="481" spans="2:31" x14ac:dyDescent="0.35">
      <c r="B481" s="24" t="s">
        <v>311</v>
      </c>
      <c r="C481" s="12">
        <v>476</v>
      </c>
      <c r="D481" s="11" t="s">
        <v>1634</v>
      </c>
      <c r="E481" s="11" t="s">
        <v>1633</v>
      </c>
      <c r="F481" s="12" t="s">
        <v>311</v>
      </c>
      <c r="G481" s="12" t="s">
        <v>246</v>
      </c>
      <c r="H481" s="12" t="s">
        <v>246</v>
      </c>
      <c r="I481" s="12" t="s">
        <v>430</v>
      </c>
      <c r="J481" s="12" t="s">
        <v>71</v>
      </c>
      <c r="K481" s="12" t="s">
        <v>1569</v>
      </c>
      <c r="L481" s="12" t="s">
        <v>247</v>
      </c>
      <c r="N481" s="13" t="s">
        <v>1635</v>
      </c>
      <c r="AE481" s="11" t="s">
        <v>1768</v>
      </c>
    </row>
    <row r="482" spans="2:31" x14ac:dyDescent="0.35">
      <c r="B482" s="24" t="s">
        <v>278</v>
      </c>
      <c r="C482" s="12">
        <v>477</v>
      </c>
      <c r="D482" s="11" t="s">
        <v>1636</v>
      </c>
      <c r="E482" s="11" t="s">
        <v>354</v>
      </c>
      <c r="F482" s="12" t="s">
        <v>278</v>
      </c>
      <c r="G482" s="12" t="s">
        <v>246</v>
      </c>
      <c r="H482" s="12" t="s">
        <v>246</v>
      </c>
      <c r="I482" s="12" t="s">
        <v>430</v>
      </c>
      <c r="J482" s="12" t="s">
        <v>71</v>
      </c>
      <c r="K482" s="12" t="s">
        <v>1020</v>
      </c>
      <c r="L482" s="12" t="s">
        <v>247</v>
      </c>
      <c r="N482" s="13" t="s">
        <v>1637</v>
      </c>
      <c r="AE482" s="11" t="s">
        <v>1768</v>
      </c>
    </row>
    <row r="483" spans="2:31" x14ac:dyDescent="0.35">
      <c r="B483" s="24" t="s">
        <v>308</v>
      </c>
      <c r="C483" s="12">
        <v>478</v>
      </c>
      <c r="D483" s="11" t="s">
        <v>1638</v>
      </c>
      <c r="E483" s="11" t="s">
        <v>354</v>
      </c>
      <c r="F483" s="12" t="s">
        <v>308</v>
      </c>
      <c r="G483" s="12" t="s">
        <v>246</v>
      </c>
      <c r="H483" s="12" t="s">
        <v>246</v>
      </c>
      <c r="I483" s="12" t="s">
        <v>430</v>
      </c>
      <c r="J483" s="12" t="s">
        <v>71</v>
      </c>
      <c r="K483" s="12" t="s">
        <v>1020</v>
      </c>
      <c r="L483" s="12" t="s">
        <v>247</v>
      </c>
      <c r="N483" s="13" t="s">
        <v>1639</v>
      </c>
      <c r="AE483" s="11" t="s">
        <v>1768</v>
      </c>
    </row>
    <row r="484" spans="2:31" x14ac:dyDescent="0.35">
      <c r="B484" s="24" t="s">
        <v>308</v>
      </c>
      <c r="C484" s="12">
        <v>479</v>
      </c>
      <c r="D484" s="11" t="s">
        <v>1640</v>
      </c>
      <c r="E484" s="11" t="s">
        <v>354</v>
      </c>
      <c r="F484" s="12" t="s">
        <v>308</v>
      </c>
      <c r="G484" s="12" t="s">
        <v>246</v>
      </c>
      <c r="H484" s="12" t="s">
        <v>246</v>
      </c>
      <c r="I484" s="12" t="s">
        <v>430</v>
      </c>
      <c r="J484" s="12" t="s">
        <v>71</v>
      </c>
      <c r="K484" s="12" t="s">
        <v>1020</v>
      </c>
      <c r="L484" s="12" t="s">
        <v>247</v>
      </c>
      <c r="N484" s="13" t="s">
        <v>1641</v>
      </c>
      <c r="AE484" s="11" t="s">
        <v>1768</v>
      </c>
    </row>
    <row r="485" spans="2:31" x14ac:dyDescent="0.35">
      <c r="B485" s="24" t="s">
        <v>308</v>
      </c>
      <c r="C485" s="12">
        <v>480</v>
      </c>
      <c r="D485" s="11" t="s">
        <v>1642</v>
      </c>
      <c r="E485" s="11" t="s">
        <v>354</v>
      </c>
      <c r="F485" s="12" t="s">
        <v>308</v>
      </c>
      <c r="G485" s="12" t="s">
        <v>246</v>
      </c>
      <c r="H485" s="12" t="s">
        <v>246</v>
      </c>
      <c r="I485" s="12" t="s">
        <v>430</v>
      </c>
      <c r="J485" s="12" t="s">
        <v>71</v>
      </c>
      <c r="K485" s="12" t="s">
        <v>1020</v>
      </c>
      <c r="L485" s="12" t="s">
        <v>247</v>
      </c>
      <c r="N485" s="13" t="s">
        <v>1643</v>
      </c>
      <c r="AE485" s="11" t="s">
        <v>1768</v>
      </c>
    </row>
    <row r="486" spans="2:31" x14ac:dyDescent="0.35">
      <c r="B486" s="24" t="s">
        <v>308</v>
      </c>
      <c r="C486" s="12">
        <v>481</v>
      </c>
      <c r="D486" s="11" t="s">
        <v>1644</v>
      </c>
      <c r="E486" s="11" t="s">
        <v>354</v>
      </c>
      <c r="F486" s="12" t="s">
        <v>308</v>
      </c>
      <c r="G486" s="12" t="s">
        <v>246</v>
      </c>
      <c r="H486" s="12" t="s">
        <v>246</v>
      </c>
      <c r="I486" s="12" t="s">
        <v>430</v>
      </c>
      <c r="J486" s="12" t="s">
        <v>71</v>
      </c>
      <c r="K486" s="12" t="s">
        <v>1020</v>
      </c>
      <c r="L486" s="12" t="s">
        <v>247</v>
      </c>
      <c r="N486" s="13" t="s">
        <v>1645</v>
      </c>
      <c r="AE486" s="11" t="s">
        <v>1768</v>
      </c>
    </row>
    <row r="487" spans="2:31" x14ac:dyDescent="0.35">
      <c r="B487" s="24" t="s">
        <v>308</v>
      </c>
      <c r="C487" s="12">
        <v>482</v>
      </c>
      <c r="D487" s="11" t="s">
        <v>1646</v>
      </c>
      <c r="E487" s="11" t="s">
        <v>354</v>
      </c>
      <c r="F487" s="12" t="s">
        <v>308</v>
      </c>
      <c r="G487" s="12" t="s">
        <v>246</v>
      </c>
      <c r="H487" s="12" t="s">
        <v>246</v>
      </c>
      <c r="I487" s="12" t="s">
        <v>430</v>
      </c>
      <c r="J487" s="12" t="s">
        <v>71</v>
      </c>
      <c r="K487" s="12" t="s">
        <v>1020</v>
      </c>
      <c r="L487" s="12" t="s">
        <v>247</v>
      </c>
      <c r="N487" s="13" t="s">
        <v>1647</v>
      </c>
      <c r="AE487" s="11" t="s">
        <v>1768</v>
      </c>
    </row>
    <row r="488" spans="2:31" x14ac:dyDescent="0.35">
      <c r="B488" s="24" t="s">
        <v>308</v>
      </c>
      <c r="C488" s="12">
        <v>483</v>
      </c>
      <c r="D488" s="11" t="s">
        <v>1648</v>
      </c>
      <c r="E488" s="11" t="s">
        <v>354</v>
      </c>
      <c r="F488" s="12" t="s">
        <v>308</v>
      </c>
      <c r="G488" s="12" t="s">
        <v>246</v>
      </c>
      <c r="H488" s="12" t="s">
        <v>246</v>
      </c>
      <c r="I488" s="12" t="s">
        <v>430</v>
      </c>
      <c r="J488" s="12" t="s">
        <v>71</v>
      </c>
      <c r="K488" s="12" t="s">
        <v>1020</v>
      </c>
      <c r="L488" s="12" t="s">
        <v>247</v>
      </c>
      <c r="N488" s="13" t="s">
        <v>1649</v>
      </c>
      <c r="AE488" s="11" t="s">
        <v>1768</v>
      </c>
    </row>
    <row r="489" spans="2:31" x14ac:dyDescent="0.35">
      <c r="B489" s="24" t="s">
        <v>308</v>
      </c>
      <c r="C489" s="12">
        <v>484</v>
      </c>
      <c r="D489" s="11" t="s">
        <v>1650</v>
      </c>
      <c r="E489" s="11" t="s">
        <v>354</v>
      </c>
      <c r="F489" s="12" t="s">
        <v>308</v>
      </c>
      <c r="G489" s="12" t="s">
        <v>246</v>
      </c>
      <c r="H489" s="12" t="s">
        <v>246</v>
      </c>
      <c r="I489" s="12" t="s">
        <v>430</v>
      </c>
      <c r="J489" s="12" t="s">
        <v>71</v>
      </c>
      <c r="K489" s="12" t="s">
        <v>1020</v>
      </c>
      <c r="L489" s="12" t="s">
        <v>247</v>
      </c>
      <c r="N489" s="13" t="s">
        <v>1651</v>
      </c>
      <c r="AE489" s="11" t="s">
        <v>1768</v>
      </c>
    </row>
    <row r="490" spans="2:31" x14ac:dyDescent="0.35">
      <c r="B490" s="24" t="s">
        <v>308</v>
      </c>
      <c r="C490" s="12">
        <v>485</v>
      </c>
      <c r="D490" s="11" t="s">
        <v>1652</v>
      </c>
      <c r="E490" s="11" t="s">
        <v>354</v>
      </c>
      <c r="F490" s="12" t="s">
        <v>308</v>
      </c>
      <c r="G490" s="12" t="s">
        <v>246</v>
      </c>
      <c r="H490" s="12" t="s">
        <v>246</v>
      </c>
      <c r="I490" s="12" t="s">
        <v>430</v>
      </c>
      <c r="J490" s="12" t="s">
        <v>71</v>
      </c>
      <c r="K490" s="12" t="s">
        <v>1020</v>
      </c>
      <c r="L490" s="12" t="s">
        <v>247</v>
      </c>
      <c r="N490" s="13" t="s">
        <v>1653</v>
      </c>
      <c r="AE490" s="11" t="s">
        <v>1768</v>
      </c>
    </row>
    <row r="491" spans="2:31" x14ac:dyDescent="0.35">
      <c r="B491" s="24" t="s">
        <v>308</v>
      </c>
      <c r="C491" s="12">
        <v>486</v>
      </c>
      <c r="D491" s="11" t="s">
        <v>1654</v>
      </c>
      <c r="E491" s="11" t="s">
        <v>354</v>
      </c>
      <c r="F491" s="12" t="s">
        <v>308</v>
      </c>
      <c r="G491" s="12" t="s">
        <v>246</v>
      </c>
      <c r="H491" s="12" t="s">
        <v>246</v>
      </c>
      <c r="I491" s="12" t="s">
        <v>430</v>
      </c>
      <c r="J491" s="12" t="s">
        <v>71</v>
      </c>
      <c r="K491" s="12" t="s">
        <v>1020</v>
      </c>
      <c r="L491" s="12" t="s">
        <v>247</v>
      </c>
      <c r="N491" s="13" t="s">
        <v>1655</v>
      </c>
      <c r="AE491" s="11" t="s">
        <v>1768</v>
      </c>
    </row>
    <row r="492" spans="2:31" x14ac:dyDescent="0.35">
      <c r="B492" s="24" t="s">
        <v>308</v>
      </c>
      <c r="C492" s="12">
        <v>487</v>
      </c>
      <c r="D492" s="11" t="s">
        <v>1656</v>
      </c>
      <c r="E492" s="11" t="s">
        <v>354</v>
      </c>
      <c r="F492" s="12" t="s">
        <v>308</v>
      </c>
      <c r="G492" s="12" t="s">
        <v>246</v>
      </c>
      <c r="H492" s="12" t="s">
        <v>246</v>
      </c>
      <c r="I492" s="12" t="s">
        <v>430</v>
      </c>
      <c r="J492" s="12" t="s">
        <v>71</v>
      </c>
      <c r="K492" s="12" t="s">
        <v>1020</v>
      </c>
      <c r="L492" s="12" t="s">
        <v>247</v>
      </c>
      <c r="N492" s="13" t="s">
        <v>1657</v>
      </c>
      <c r="AE492" s="11" t="s">
        <v>1768</v>
      </c>
    </row>
    <row r="493" spans="2:31" x14ac:dyDescent="0.35">
      <c r="B493" s="24" t="s">
        <v>308</v>
      </c>
      <c r="C493" s="12">
        <v>488</v>
      </c>
      <c r="D493" s="11" t="s">
        <v>1658</v>
      </c>
      <c r="E493" s="11" t="s">
        <v>354</v>
      </c>
      <c r="F493" s="12" t="s">
        <v>308</v>
      </c>
      <c r="G493" s="12" t="s">
        <v>246</v>
      </c>
      <c r="H493" s="12" t="s">
        <v>246</v>
      </c>
      <c r="I493" s="12" t="s">
        <v>430</v>
      </c>
      <c r="J493" s="12" t="s">
        <v>71</v>
      </c>
      <c r="K493" s="12" t="s">
        <v>1020</v>
      </c>
      <c r="L493" s="12" t="s">
        <v>247</v>
      </c>
      <c r="N493" s="13" t="s">
        <v>1659</v>
      </c>
      <c r="AE493" s="11" t="s">
        <v>1768</v>
      </c>
    </row>
    <row r="494" spans="2:31" x14ac:dyDescent="0.35">
      <c r="B494" s="24" t="s">
        <v>308</v>
      </c>
      <c r="C494" s="12">
        <v>489</v>
      </c>
      <c r="D494" s="11" t="s">
        <v>1660</v>
      </c>
      <c r="E494" s="11" t="s">
        <v>354</v>
      </c>
      <c r="F494" s="12" t="s">
        <v>308</v>
      </c>
      <c r="G494" s="12" t="s">
        <v>246</v>
      </c>
      <c r="H494" s="12" t="s">
        <v>246</v>
      </c>
      <c r="I494" s="12" t="s">
        <v>430</v>
      </c>
      <c r="J494" s="12" t="s">
        <v>71</v>
      </c>
      <c r="K494" s="12" t="s">
        <v>1020</v>
      </c>
      <c r="L494" s="12" t="s">
        <v>247</v>
      </c>
      <c r="N494" s="13" t="s">
        <v>1661</v>
      </c>
      <c r="AE494" s="11" t="s">
        <v>1768</v>
      </c>
    </row>
    <row r="495" spans="2:31" x14ac:dyDescent="0.35">
      <c r="B495" s="24" t="s">
        <v>308</v>
      </c>
      <c r="C495" s="12">
        <v>490</v>
      </c>
      <c r="D495" s="11" t="s">
        <v>1662</v>
      </c>
      <c r="E495" s="11" t="s">
        <v>354</v>
      </c>
      <c r="F495" s="12" t="s">
        <v>308</v>
      </c>
      <c r="G495" s="12" t="s">
        <v>246</v>
      </c>
      <c r="H495" s="12" t="s">
        <v>246</v>
      </c>
      <c r="I495" s="12" t="s">
        <v>430</v>
      </c>
      <c r="J495" s="12" t="s">
        <v>71</v>
      </c>
      <c r="K495" s="12" t="s">
        <v>1020</v>
      </c>
      <c r="L495" s="12" t="s">
        <v>247</v>
      </c>
      <c r="N495" s="13" t="s">
        <v>1663</v>
      </c>
      <c r="AE495" s="11" t="s">
        <v>1768</v>
      </c>
    </row>
    <row r="496" spans="2:31" x14ac:dyDescent="0.35">
      <c r="B496" s="24" t="s">
        <v>308</v>
      </c>
      <c r="C496" s="12">
        <v>491</v>
      </c>
      <c r="D496" s="11" t="s">
        <v>1664</v>
      </c>
      <c r="E496" s="11" t="s">
        <v>354</v>
      </c>
      <c r="F496" s="12" t="s">
        <v>308</v>
      </c>
      <c r="G496" s="12" t="s">
        <v>246</v>
      </c>
      <c r="H496" s="12" t="s">
        <v>246</v>
      </c>
      <c r="I496" s="12" t="s">
        <v>430</v>
      </c>
      <c r="J496" s="12" t="s">
        <v>71</v>
      </c>
      <c r="K496" s="12" t="s">
        <v>1020</v>
      </c>
      <c r="L496" s="12" t="s">
        <v>247</v>
      </c>
      <c r="N496" s="13" t="s">
        <v>1665</v>
      </c>
      <c r="AE496" s="11" t="s">
        <v>1768</v>
      </c>
    </row>
    <row r="497" spans="2:31" x14ac:dyDescent="0.35">
      <c r="B497" s="24" t="s">
        <v>308</v>
      </c>
      <c r="C497" s="12">
        <v>492</v>
      </c>
      <c r="D497" s="11" t="s">
        <v>1666</v>
      </c>
      <c r="E497" s="11" t="s">
        <v>354</v>
      </c>
      <c r="F497" s="12" t="s">
        <v>308</v>
      </c>
      <c r="G497" s="12" t="s">
        <v>246</v>
      </c>
      <c r="H497" s="12" t="s">
        <v>246</v>
      </c>
      <c r="I497" s="12" t="s">
        <v>430</v>
      </c>
      <c r="J497" s="12" t="s">
        <v>71</v>
      </c>
      <c r="K497" s="12" t="s">
        <v>1020</v>
      </c>
      <c r="L497" s="12" t="s">
        <v>247</v>
      </c>
      <c r="N497" s="13" t="s">
        <v>1667</v>
      </c>
      <c r="AE497" s="11" t="s">
        <v>1768</v>
      </c>
    </row>
    <row r="498" spans="2:31" x14ac:dyDescent="0.35">
      <c r="B498" s="24" t="s">
        <v>283</v>
      </c>
      <c r="C498" s="12">
        <v>493</v>
      </c>
      <c r="D498" s="11" t="s">
        <v>1668</v>
      </c>
      <c r="E498" s="11" t="s">
        <v>1669</v>
      </c>
      <c r="F498" s="12" t="s">
        <v>283</v>
      </c>
      <c r="G498" s="12" t="s">
        <v>246</v>
      </c>
      <c r="H498" s="12" t="s">
        <v>246</v>
      </c>
      <c r="I498" s="12" t="s">
        <v>37</v>
      </c>
      <c r="J498" s="12" t="s">
        <v>1013</v>
      </c>
      <c r="K498" s="12" t="s">
        <v>118</v>
      </c>
      <c r="L498" s="12" t="s">
        <v>247</v>
      </c>
      <c r="N498" s="13">
        <v>987799886</v>
      </c>
      <c r="AE498" s="11" t="s">
        <v>1768</v>
      </c>
    </row>
    <row r="499" spans="2:31" x14ac:dyDescent="0.35">
      <c r="B499" s="24" t="s">
        <v>291</v>
      </c>
      <c r="C499" s="12">
        <v>494</v>
      </c>
      <c r="D499" s="11" t="s">
        <v>1672</v>
      </c>
      <c r="E499" s="11" t="s">
        <v>77</v>
      </c>
      <c r="F499" s="12" t="s">
        <v>291</v>
      </c>
      <c r="G499" s="12" t="s">
        <v>246</v>
      </c>
      <c r="H499" s="12" t="s">
        <v>246</v>
      </c>
      <c r="I499" s="12" t="s">
        <v>430</v>
      </c>
      <c r="J499" s="12" t="s">
        <v>71</v>
      </c>
      <c r="K499" s="12" t="s">
        <v>77</v>
      </c>
      <c r="L499" s="12" t="s">
        <v>247</v>
      </c>
      <c r="N499" s="13" t="s">
        <v>1679</v>
      </c>
      <c r="T499" s="11" t="s">
        <v>125</v>
      </c>
      <c r="U499" s="11" t="s">
        <v>1014</v>
      </c>
      <c r="Z499" s="11">
        <v>46220</v>
      </c>
      <c r="AA499" s="11">
        <v>46220</v>
      </c>
      <c r="AB499" s="11" t="s">
        <v>30</v>
      </c>
      <c r="AC499" s="11">
        <v>35</v>
      </c>
      <c r="AE499" s="11" t="s">
        <v>993</v>
      </c>
    </row>
    <row r="500" spans="2:31" x14ac:dyDescent="0.35">
      <c r="B500" s="24" t="s">
        <v>295</v>
      </c>
      <c r="C500" s="12">
        <v>495</v>
      </c>
      <c r="D500" s="11" t="s">
        <v>1673</v>
      </c>
      <c r="E500" s="11" t="s">
        <v>1675</v>
      </c>
      <c r="F500" s="12" t="s">
        <v>295</v>
      </c>
      <c r="G500" s="12" t="s">
        <v>246</v>
      </c>
      <c r="H500" s="12" t="s">
        <v>246</v>
      </c>
      <c r="I500" s="12" t="s">
        <v>430</v>
      </c>
      <c r="J500" s="12" t="s">
        <v>71</v>
      </c>
      <c r="K500" s="12" t="s">
        <v>191</v>
      </c>
      <c r="L500" s="12" t="s">
        <v>247</v>
      </c>
      <c r="N500" s="13" t="s">
        <v>1680</v>
      </c>
      <c r="T500" s="11" t="s">
        <v>125</v>
      </c>
      <c r="U500" s="11" t="s">
        <v>1014</v>
      </c>
      <c r="Z500" s="11">
        <v>46221</v>
      </c>
      <c r="AA500" s="11">
        <v>46221</v>
      </c>
      <c r="AB500" s="11" t="s">
        <v>30</v>
      </c>
      <c r="AC500" s="11">
        <v>33</v>
      </c>
      <c r="AE500" s="11" t="s">
        <v>993</v>
      </c>
    </row>
    <row r="501" spans="2:31" x14ac:dyDescent="0.35">
      <c r="B501" s="24" t="s">
        <v>314</v>
      </c>
      <c r="C501" s="12">
        <v>496</v>
      </c>
      <c r="D501" s="11" t="s">
        <v>1674</v>
      </c>
      <c r="E501" s="11" t="s">
        <v>1676</v>
      </c>
      <c r="F501" s="12" t="s">
        <v>314</v>
      </c>
      <c r="G501" s="12" t="s">
        <v>246</v>
      </c>
      <c r="H501" s="12" t="s">
        <v>246</v>
      </c>
      <c r="I501" s="12" t="s">
        <v>60</v>
      </c>
      <c r="J501" s="12" t="s">
        <v>1025</v>
      </c>
      <c r="K501" s="12" t="s">
        <v>118</v>
      </c>
      <c r="L501" s="12" t="s">
        <v>247</v>
      </c>
      <c r="N501" s="13" t="s">
        <v>1681</v>
      </c>
      <c r="T501" s="11" t="s">
        <v>125</v>
      </c>
      <c r="U501" s="11" t="s">
        <v>1014</v>
      </c>
      <c r="Z501" s="11">
        <v>46221</v>
      </c>
      <c r="AA501" s="11">
        <v>46221</v>
      </c>
      <c r="AB501" s="11" t="s">
        <v>30</v>
      </c>
      <c r="AC501" s="11">
        <v>35</v>
      </c>
      <c r="AE501" s="11" t="s">
        <v>993</v>
      </c>
    </row>
    <row r="502" spans="2:31" x14ac:dyDescent="0.35">
      <c r="B502" s="24" t="s">
        <v>308</v>
      </c>
      <c r="C502" s="12">
        <v>497</v>
      </c>
      <c r="D502" s="11" t="s">
        <v>1682</v>
      </c>
      <c r="F502" s="12" t="s">
        <v>308</v>
      </c>
      <c r="G502" s="12" t="s">
        <v>246</v>
      </c>
      <c r="H502" s="12" t="s">
        <v>246</v>
      </c>
      <c r="I502" s="12" t="s">
        <v>111</v>
      </c>
      <c r="K502" s="12" t="s">
        <v>118</v>
      </c>
      <c r="L502" s="12" t="s">
        <v>247</v>
      </c>
      <c r="N502" s="13" t="s">
        <v>1705</v>
      </c>
      <c r="Q502" s="11" t="s">
        <v>126</v>
      </c>
      <c r="R502" s="11" t="s">
        <v>143</v>
      </c>
      <c r="T502" s="11" t="s">
        <v>125</v>
      </c>
      <c r="V502" s="11">
        <v>46224</v>
      </c>
      <c r="AE502" s="11" t="s">
        <v>1768</v>
      </c>
    </row>
    <row r="503" spans="2:31" x14ac:dyDescent="0.35">
      <c r="B503" s="24" t="s">
        <v>291</v>
      </c>
      <c r="C503" s="12">
        <v>498</v>
      </c>
      <c r="D503" s="11" t="s">
        <v>1683</v>
      </c>
      <c r="F503" s="12" t="s">
        <v>291</v>
      </c>
      <c r="G503" s="12" t="s">
        <v>246</v>
      </c>
      <c r="H503" s="12" t="s">
        <v>246</v>
      </c>
      <c r="I503" s="12" t="s">
        <v>111</v>
      </c>
      <c r="J503" s="12" t="s">
        <v>1032</v>
      </c>
      <c r="K503" s="12" t="s">
        <v>118</v>
      </c>
      <c r="L503" s="12" t="s">
        <v>247</v>
      </c>
      <c r="N503" s="13" t="s">
        <v>1706</v>
      </c>
      <c r="Q503" s="11" t="s">
        <v>126</v>
      </c>
      <c r="R503" s="11" t="s">
        <v>143</v>
      </c>
      <c r="T503" s="11" t="s">
        <v>125</v>
      </c>
      <c r="U503" s="11" t="s">
        <v>1014</v>
      </c>
      <c r="V503" s="11">
        <v>46224</v>
      </c>
      <c r="Y503" s="11">
        <v>46230</v>
      </c>
      <c r="Z503" s="11">
        <v>46230</v>
      </c>
      <c r="AA503" s="11">
        <v>46230</v>
      </c>
      <c r="AB503" s="11" t="s">
        <v>30</v>
      </c>
      <c r="AC503" s="11">
        <v>53</v>
      </c>
      <c r="AE503" s="11" t="s">
        <v>993</v>
      </c>
    </row>
    <row r="504" spans="2:31" x14ac:dyDescent="0.35">
      <c r="B504" s="24" t="s">
        <v>291</v>
      </c>
      <c r="C504" s="12">
        <v>499</v>
      </c>
      <c r="D504" s="11" t="s">
        <v>1684</v>
      </c>
      <c r="F504" s="12" t="s">
        <v>291</v>
      </c>
      <c r="G504" s="12" t="s">
        <v>246</v>
      </c>
      <c r="H504" s="12" t="s">
        <v>246</v>
      </c>
      <c r="I504" s="12" t="s">
        <v>111</v>
      </c>
      <c r="K504" s="12" t="s">
        <v>118</v>
      </c>
      <c r="L504" s="12" t="s">
        <v>247</v>
      </c>
      <c r="N504" s="13" t="s">
        <v>1707</v>
      </c>
      <c r="Q504" s="11" t="s">
        <v>126</v>
      </c>
      <c r="R504" s="11" t="s">
        <v>143</v>
      </c>
      <c r="T504" s="11" t="s">
        <v>125</v>
      </c>
      <c r="V504" s="11">
        <v>46224</v>
      </c>
      <c r="AE504" s="11" t="s">
        <v>1768</v>
      </c>
    </row>
    <row r="505" spans="2:31" x14ac:dyDescent="0.35">
      <c r="B505" s="24" t="s">
        <v>283</v>
      </c>
      <c r="C505" s="12">
        <v>500</v>
      </c>
      <c r="D505" s="11" t="s">
        <v>1685</v>
      </c>
      <c r="E505" s="11" t="s">
        <v>1746</v>
      </c>
      <c r="F505" s="12" t="s">
        <v>283</v>
      </c>
      <c r="G505" s="12" t="s">
        <v>246</v>
      </c>
      <c r="H505" s="12" t="s">
        <v>246</v>
      </c>
      <c r="I505" s="12" t="s">
        <v>111</v>
      </c>
      <c r="J505" s="12" t="s">
        <v>1031</v>
      </c>
      <c r="K505" s="12" t="s">
        <v>118</v>
      </c>
      <c r="L505" s="12" t="s">
        <v>247</v>
      </c>
      <c r="N505" s="13" t="s">
        <v>1708</v>
      </c>
      <c r="Q505" s="11" t="s">
        <v>126</v>
      </c>
      <c r="R505" s="11" t="s">
        <v>143</v>
      </c>
      <c r="T505" s="11" t="s">
        <v>125</v>
      </c>
      <c r="U505" s="11" t="s">
        <v>1014</v>
      </c>
      <c r="V505" s="11">
        <v>46224</v>
      </c>
      <c r="Y505" s="11">
        <v>46227</v>
      </c>
      <c r="Z505" s="11">
        <v>46227</v>
      </c>
      <c r="AA505" s="11">
        <v>46227</v>
      </c>
      <c r="AB505" s="11" t="s">
        <v>30</v>
      </c>
      <c r="AC505" s="11">
        <v>36</v>
      </c>
      <c r="AE505" s="11" t="s">
        <v>993</v>
      </c>
    </row>
    <row r="506" spans="2:31" x14ac:dyDescent="0.35">
      <c r="B506" s="24" t="s">
        <v>283</v>
      </c>
      <c r="C506" s="12">
        <v>501</v>
      </c>
      <c r="D506" s="11" t="s">
        <v>1686</v>
      </c>
      <c r="E506" s="11" t="s">
        <v>1507</v>
      </c>
      <c r="F506" s="12" t="s">
        <v>283</v>
      </c>
      <c r="G506" s="12" t="s">
        <v>246</v>
      </c>
      <c r="H506" s="12" t="s">
        <v>246</v>
      </c>
      <c r="I506" s="12" t="s">
        <v>111</v>
      </c>
      <c r="J506" s="12" t="s">
        <v>1031</v>
      </c>
      <c r="K506" s="12" t="s">
        <v>118</v>
      </c>
      <c r="L506" s="12" t="s">
        <v>247</v>
      </c>
      <c r="N506" s="13" t="s">
        <v>1709</v>
      </c>
      <c r="Q506" s="11" t="s">
        <v>126</v>
      </c>
      <c r="R506" s="11" t="s">
        <v>143</v>
      </c>
      <c r="T506" s="11" t="s">
        <v>125</v>
      </c>
      <c r="U506" s="11" t="s">
        <v>1014</v>
      </c>
      <c r="V506" s="11">
        <v>46224</v>
      </c>
      <c r="Y506" s="11">
        <v>46230</v>
      </c>
      <c r="Z506" s="11">
        <v>46230</v>
      </c>
      <c r="AA506" s="11">
        <v>46230</v>
      </c>
      <c r="AB506" s="11" t="s">
        <v>30</v>
      </c>
      <c r="AC506" s="11">
        <v>30</v>
      </c>
      <c r="AE506" s="11" t="s">
        <v>993</v>
      </c>
    </row>
    <row r="507" spans="2:31" x14ac:dyDescent="0.35">
      <c r="B507" s="24" t="s">
        <v>314</v>
      </c>
      <c r="C507" s="12">
        <v>502</v>
      </c>
      <c r="D507" s="11" t="s">
        <v>1727</v>
      </c>
      <c r="F507" s="12" t="s">
        <v>314</v>
      </c>
      <c r="G507" s="12" t="s">
        <v>246</v>
      </c>
      <c r="H507" s="12" t="s">
        <v>246</v>
      </c>
      <c r="I507" s="12" t="s">
        <v>111</v>
      </c>
      <c r="J507" s="12" t="s">
        <v>1031</v>
      </c>
      <c r="K507" s="12" t="s">
        <v>118</v>
      </c>
      <c r="L507" s="12" t="s">
        <v>247</v>
      </c>
      <c r="N507" s="13" t="s">
        <v>1737</v>
      </c>
      <c r="Q507" s="11" t="s">
        <v>126</v>
      </c>
      <c r="R507" s="11" t="s">
        <v>143</v>
      </c>
      <c r="T507" s="11" t="s">
        <v>125</v>
      </c>
      <c r="U507" s="11" t="s">
        <v>1014</v>
      </c>
      <c r="V507" s="11">
        <v>46225</v>
      </c>
      <c r="Y507" s="11">
        <v>46225</v>
      </c>
      <c r="AB507" s="11" t="s">
        <v>30</v>
      </c>
      <c r="AE507" s="11" t="s">
        <v>993</v>
      </c>
    </row>
    <row r="508" spans="2:31" x14ac:dyDescent="0.35">
      <c r="B508" s="24" t="s">
        <v>291</v>
      </c>
      <c r="C508" s="12">
        <v>502</v>
      </c>
      <c r="D508" s="11" t="s">
        <v>1687</v>
      </c>
      <c r="E508" s="11" t="s">
        <v>1704</v>
      </c>
      <c r="F508" s="12" t="s">
        <v>291</v>
      </c>
      <c r="G508" s="12" t="s">
        <v>246</v>
      </c>
      <c r="H508" s="12" t="s">
        <v>246</v>
      </c>
      <c r="I508" s="12" t="s">
        <v>37</v>
      </c>
      <c r="J508" s="12" t="s">
        <v>1013</v>
      </c>
      <c r="K508" s="12" t="s">
        <v>118</v>
      </c>
      <c r="L508" s="12" t="s">
        <v>247</v>
      </c>
      <c r="N508" s="13" t="s">
        <v>1710</v>
      </c>
      <c r="AE508" s="11" t="s">
        <v>1768</v>
      </c>
    </row>
    <row r="509" spans="2:31" x14ac:dyDescent="0.35">
      <c r="B509" s="24" t="s">
        <v>291</v>
      </c>
      <c r="C509" s="12">
        <v>503</v>
      </c>
      <c r="D509" s="11" t="s">
        <v>1688</v>
      </c>
      <c r="E509" s="11" t="s">
        <v>1704</v>
      </c>
      <c r="F509" s="12" t="s">
        <v>291</v>
      </c>
      <c r="G509" s="12" t="s">
        <v>246</v>
      </c>
      <c r="H509" s="12" t="s">
        <v>246</v>
      </c>
      <c r="I509" s="12" t="s">
        <v>37</v>
      </c>
      <c r="J509" s="12" t="s">
        <v>1013</v>
      </c>
      <c r="K509" s="12" t="s">
        <v>118</v>
      </c>
      <c r="L509" s="12" t="s">
        <v>247</v>
      </c>
      <c r="N509" s="13" t="s">
        <v>1711</v>
      </c>
      <c r="AE509" s="11" t="s">
        <v>992</v>
      </c>
    </row>
    <row r="510" spans="2:31" x14ac:dyDescent="0.35">
      <c r="B510" s="24" t="s">
        <v>291</v>
      </c>
      <c r="C510" s="12">
        <v>504</v>
      </c>
      <c r="D510" s="11" t="s">
        <v>1689</v>
      </c>
      <c r="E510" s="11" t="s">
        <v>1704</v>
      </c>
      <c r="F510" s="12" t="s">
        <v>291</v>
      </c>
      <c r="G510" s="12" t="s">
        <v>246</v>
      </c>
      <c r="H510" s="12" t="s">
        <v>246</v>
      </c>
      <c r="I510" s="12" t="s">
        <v>37</v>
      </c>
      <c r="J510" s="12" t="s">
        <v>1013</v>
      </c>
      <c r="K510" s="12" t="s">
        <v>118</v>
      </c>
      <c r="L510" s="12" t="s">
        <v>247</v>
      </c>
      <c r="N510" s="13" t="s">
        <v>1712</v>
      </c>
      <c r="AE510" s="11" t="s">
        <v>992</v>
      </c>
    </row>
    <row r="511" spans="2:31" x14ac:dyDescent="0.35">
      <c r="B511" s="24" t="s">
        <v>283</v>
      </c>
      <c r="C511" s="12">
        <v>505</v>
      </c>
      <c r="D511" s="11" t="s">
        <v>1690</v>
      </c>
      <c r="E511" s="11" t="s">
        <v>1704</v>
      </c>
      <c r="F511" s="12" t="s">
        <v>283</v>
      </c>
      <c r="G511" s="12" t="s">
        <v>246</v>
      </c>
      <c r="H511" s="12" t="s">
        <v>246</v>
      </c>
      <c r="I511" s="12" t="s">
        <v>37</v>
      </c>
      <c r="J511" s="12" t="s">
        <v>1013</v>
      </c>
      <c r="K511" s="12" t="s">
        <v>118</v>
      </c>
      <c r="L511" s="12" t="s">
        <v>247</v>
      </c>
      <c r="N511" s="13" t="s">
        <v>1713</v>
      </c>
      <c r="AE511" s="11" t="s">
        <v>992</v>
      </c>
    </row>
    <row r="512" spans="2:31" x14ac:dyDescent="0.35">
      <c r="B512" s="24" t="s">
        <v>283</v>
      </c>
      <c r="C512" s="12">
        <v>506</v>
      </c>
      <c r="D512" s="11" t="s">
        <v>1691</v>
      </c>
      <c r="E512" s="11" t="s">
        <v>1704</v>
      </c>
      <c r="F512" s="12" t="s">
        <v>283</v>
      </c>
      <c r="G512" s="12" t="s">
        <v>246</v>
      </c>
      <c r="H512" s="12" t="s">
        <v>246</v>
      </c>
      <c r="I512" s="12" t="s">
        <v>37</v>
      </c>
      <c r="J512" s="12" t="s">
        <v>1013</v>
      </c>
      <c r="K512" s="12" t="s">
        <v>118</v>
      </c>
      <c r="L512" s="12" t="s">
        <v>247</v>
      </c>
      <c r="N512" s="13" t="s">
        <v>1714</v>
      </c>
      <c r="AE512" s="11" t="s">
        <v>992</v>
      </c>
    </row>
    <row r="513" spans="2:31" x14ac:dyDescent="0.35">
      <c r="B513" s="24" t="s">
        <v>278</v>
      </c>
      <c r="C513" s="12">
        <v>507</v>
      </c>
      <c r="D513" s="11" t="s">
        <v>1692</v>
      </c>
      <c r="E513" s="11" t="s">
        <v>1704</v>
      </c>
      <c r="F513" s="12" t="s">
        <v>278</v>
      </c>
      <c r="G513" s="12" t="s">
        <v>246</v>
      </c>
      <c r="H513" s="12" t="s">
        <v>246</v>
      </c>
      <c r="I513" s="12" t="s">
        <v>37</v>
      </c>
      <c r="J513" s="12" t="s">
        <v>1013</v>
      </c>
      <c r="K513" s="12" t="s">
        <v>118</v>
      </c>
      <c r="L513" s="12" t="s">
        <v>247</v>
      </c>
      <c r="N513" s="13" t="s">
        <v>1715</v>
      </c>
      <c r="AE513" s="11" t="s">
        <v>992</v>
      </c>
    </row>
    <row r="514" spans="2:31" x14ac:dyDescent="0.35">
      <c r="B514" s="24" t="s">
        <v>308</v>
      </c>
      <c r="C514" s="12">
        <v>508</v>
      </c>
      <c r="D514" s="11" t="s">
        <v>1693</v>
      </c>
      <c r="E514" s="11" t="s">
        <v>1704</v>
      </c>
      <c r="F514" s="12" t="s">
        <v>308</v>
      </c>
      <c r="G514" s="12" t="s">
        <v>246</v>
      </c>
      <c r="H514" s="12" t="s">
        <v>246</v>
      </c>
      <c r="I514" s="12" t="s">
        <v>37</v>
      </c>
      <c r="J514" s="12" t="s">
        <v>1013</v>
      </c>
      <c r="K514" s="12" t="s">
        <v>118</v>
      </c>
      <c r="L514" s="12" t="s">
        <v>247</v>
      </c>
      <c r="N514" s="13" t="s">
        <v>1716</v>
      </c>
      <c r="AE514" s="11" t="s">
        <v>992</v>
      </c>
    </row>
    <row r="515" spans="2:31" x14ac:dyDescent="0.35">
      <c r="B515" s="24" t="s">
        <v>308</v>
      </c>
      <c r="C515" s="12">
        <v>509</v>
      </c>
      <c r="D515" s="11" t="s">
        <v>1694</v>
      </c>
      <c r="E515" s="11" t="s">
        <v>1704</v>
      </c>
      <c r="F515" s="12" t="s">
        <v>308</v>
      </c>
      <c r="G515" s="12" t="s">
        <v>246</v>
      </c>
      <c r="H515" s="12" t="s">
        <v>246</v>
      </c>
      <c r="I515" s="12" t="s">
        <v>37</v>
      </c>
      <c r="J515" s="12" t="s">
        <v>1013</v>
      </c>
      <c r="K515" s="12" t="s">
        <v>118</v>
      </c>
      <c r="L515" s="12" t="s">
        <v>247</v>
      </c>
      <c r="N515" s="13" t="s">
        <v>1717</v>
      </c>
      <c r="AE515" s="11" t="s">
        <v>992</v>
      </c>
    </row>
    <row r="516" spans="2:31" x14ac:dyDescent="0.35">
      <c r="B516" s="24" t="s">
        <v>308</v>
      </c>
      <c r="C516" s="12">
        <v>510</v>
      </c>
      <c r="D516" s="11" t="s">
        <v>1695</v>
      </c>
      <c r="E516" s="11" t="s">
        <v>1704</v>
      </c>
      <c r="F516" s="12" t="s">
        <v>308</v>
      </c>
      <c r="G516" s="12" t="s">
        <v>246</v>
      </c>
      <c r="H516" s="12" t="s">
        <v>246</v>
      </c>
      <c r="I516" s="12" t="s">
        <v>37</v>
      </c>
      <c r="J516" s="12" t="s">
        <v>1013</v>
      </c>
      <c r="K516" s="12" t="s">
        <v>118</v>
      </c>
      <c r="L516" s="12" t="s">
        <v>247</v>
      </c>
      <c r="N516" s="13" t="s">
        <v>1718</v>
      </c>
      <c r="AE516" s="11" t="s">
        <v>992</v>
      </c>
    </row>
    <row r="517" spans="2:31" x14ac:dyDescent="0.35">
      <c r="B517" s="24" t="s">
        <v>308</v>
      </c>
      <c r="C517" s="12">
        <v>511</v>
      </c>
      <c r="D517" s="11" t="s">
        <v>1696</v>
      </c>
      <c r="E517" s="11" t="s">
        <v>1704</v>
      </c>
      <c r="F517" s="12" t="s">
        <v>308</v>
      </c>
      <c r="G517" s="12" t="s">
        <v>246</v>
      </c>
      <c r="H517" s="12" t="s">
        <v>246</v>
      </c>
      <c r="I517" s="12" t="s">
        <v>37</v>
      </c>
      <c r="J517" s="12" t="s">
        <v>1013</v>
      </c>
      <c r="K517" s="12" t="s">
        <v>118</v>
      </c>
      <c r="L517" s="12" t="s">
        <v>247</v>
      </c>
      <c r="N517" s="13" t="s">
        <v>1719</v>
      </c>
      <c r="AE517" s="11" t="s">
        <v>992</v>
      </c>
    </row>
    <row r="518" spans="2:31" x14ac:dyDescent="0.35">
      <c r="B518" s="24" t="s">
        <v>308</v>
      </c>
      <c r="C518" s="12">
        <v>512</v>
      </c>
      <c r="D518" s="11" t="s">
        <v>1697</v>
      </c>
      <c r="E518" s="11" t="s">
        <v>1704</v>
      </c>
      <c r="F518" s="12" t="s">
        <v>308</v>
      </c>
      <c r="G518" s="12" t="s">
        <v>246</v>
      </c>
      <c r="H518" s="12" t="s">
        <v>246</v>
      </c>
      <c r="I518" s="12" t="s">
        <v>37</v>
      </c>
      <c r="J518" s="12" t="s">
        <v>1013</v>
      </c>
      <c r="K518" s="12" t="s">
        <v>118</v>
      </c>
      <c r="L518" s="12" t="s">
        <v>247</v>
      </c>
      <c r="N518" s="13" t="s">
        <v>1720</v>
      </c>
      <c r="AE518" s="11" t="s">
        <v>992</v>
      </c>
    </row>
    <row r="519" spans="2:31" x14ac:dyDescent="0.35">
      <c r="B519" s="24" t="s">
        <v>314</v>
      </c>
      <c r="C519" s="12">
        <v>513</v>
      </c>
      <c r="D519" s="11" t="s">
        <v>1698</v>
      </c>
      <c r="E519" s="11" t="s">
        <v>1704</v>
      </c>
      <c r="F519" s="12" t="s">
        <v>314</v>
      </c>
      <c r="G519" s="12" t="s">
        <v>246</v>
      </c>
      <c r="H519" s="12" t="s">
        <v>246</v>
      </c>
      <c r="I519" s="12" t="s">
        <v>37</v>
      </c>
      <c r="J519" s="12" t="s">
        <v>1013</v>
      </c>
      <c r="K519" s="12" t="s">
        <v>118</v>
      </c>
      <c r="L519" s="12" t="s">
        <v>247</v>
      </c>
      <c r="N519" s="13" t="s">
        <v>1721</v>
      </c>
      <c r="AE519" s="11" t="s">
        <v>992</v>
      </c>
    </row>
    <row r="520" spans="2:31" x14ac:dyDescent="0.35">
      <c r="B520" s="24" t="s">
        <v>314</v>
      </c>
      <c r="C520" s="12">
        <v>514</v>
      </c>
      <c r="D520" s="11" t="s">
        <v>1699</v>
      </c>
      <c r="E520" s="11" t="s">
        <v>1704</v>
      </c>
      <c r="F520" s="12" t="s">
        <v>314</v>
      </c>
      <c r="G520" s="12" t="s">
        <v>246</v>
      </c>
      <c r="H520" s="12" t="s">
        <v>246</v>
      </c>
      <c r="I520" s="12" t="s">
        <v>37</v>
      </c>
      <c r="J520" s="12" t="s">
        <v>1013</v>
      </c>
      <c r="K520" s="12" t="s">
        <v>118</v>
      </c>
      <c r="L520" s="12" t="s">
        <v>247</v>
      </c>
      <c r="N520" s="13" t="s">
        <v>1722</v>
      </c>
      <c r="AE520" s="11" t="s">
        <v>992</v>
      </c>
    </row>
    <row r="521" spans="2:31" x14ac:dyDescent="0.35">
      <c r="B521" s="24" t="s">
        <v>314</v>
      </c>
      <c r="C521" s="12">
        <v>515</v>
      </c>
      <c r="D521" s="11" t="s">
        <v>1700</v>
      </c>
      <c r="E521" s="11" t="s">
        <v>1704</v>
      </c>
      <c r="F521" s="12" t="s">
        <v>314</v>
      </c>
      <c r="G521" s="12" t="s">
        <v>246</v>
      </c>
      <c r="H521" s="12" t="s">
        <v>246</v>
      </c>
      <c r="I521" s="12" t="s">
        <v>37</v>
      </c>
      <c r="J521" s="12" t="s">
        <v>1013</v>
      </c>
      <c r="K521" s="12" t="s">
        <v>118</v>
      </c>
      <c r="L521" s="12" t="s">
        <v>247</v>
      </c>
      <c r="N521" s="13" t="s">
        <v>1723</v>
      </c>
      <c r="AE521" s="11" t="s">
        <v>992</v>
      </c>
    </row>
    <row r="522" spans="2:31" x14ac:dyDescent="0.35">
      <c r="B522" s="24" t="s">
        <v>314</v>
      </c>
      <c r="C522" s="12">
        <v>516</v>
      </c>
      <c r="D522" s="11" t="s">
        <v>1701</v>
      </c>
      <c r="E522" s="11" t="s">
        <v>1704</v>
      </c>
      <c r="F522" s="12" t="s">
        <v>314</v>
      </c>
      <c r="G522" s="12" t="s">
        <v>246</v>
      </c>
      <c r="H522" s="12" t="s">
        <v>246</v>
      </c>
      <c r="I522" s="12" t="s">
        <v>37</v>
      </c>
      <c r="J522" s="12" t="s">
        <v>1013</v>
      </c>
      <c r="K522" s="12" t="s">
        <v>118</v>
      </c>
      <c r="L522" s="12" t="s">
        <v>247</v>
      </c>
      <c r="N522" s="13" t="s">
        <v>1724</v>
      </c>
      <c r="AE522" s="11" t="s">
        <v>992</v>
      </c>
    </row>
    <row r="523" spans="2:31" x14ac:dyDescent="0.35">
      <c r="B523" s="24" t="s">
        <v>314</v>
      </c>
      <c r="C523" s="12">
        <v>517</v>
      </c>
      <c r="D523" s="11" t="s">
        <v>1702</v>
      </c>
      <c r="E523" s="11" t="s">
        <v>1704</v>
      </c>
      <c r="F523" s="12" t="s">
        <v>314</v>
      </c>
      <c r="G523" s="12" t="s">
        <v>246</v>
      </c>
      <c r="H523" s="12" t="s">
        <v>246</v>
      </c>
      <c r="I523" s="12" t="s">
        <v>37</v>
      </c>
      <c r="J523" s="12" t="s">
        <v>1013</v>
      </c>
      <c r="K523" s="12" t="s">
        <v>118</v>
      </c>
      <c r="L523" s="12" t="s">
        <v>247</v>
      </c>
      <c r="N523" s="13" t="s">
        <v>1725</v>
      </c>
      <c r="AE523" s="11" t="s">
        <v>992</v>
      </c>
    </row>
    <row r="524" spans="2:31" x14ac:dyDescent="0.35">
      <c r="B524" s="24" t="s">
        <v>314</v>
      </c>
      <c r="C524" s="12">
        <v>518</v>
      </c>
      <c r="D524" s="11" t="s">
        <v>1703</v>
      </c>
      <c r="E524" s="11" t="s">
        <v>1704</v>
      </c>
      <c r="F524" s="12" t="s">
        <v>314</v>
      </c>
      <c r="G524" s="12" t="s">
        <v>246</v>
      </c>
      <c r="H524" s="12" t="s">
        <v>246</v>
      </c>
      <c r="I524" s="12" t="s">
        <v>37</v>
      </c>
      <c r="J524" s="12" t="s">
        <v>1013</v>
      </c>
      <c r="K524" s="12" t="s">
        <v>118</v>
      </c>
      <c r="L524" s="12" t="s">
        <v>247</v>
      </c>
      <c r="N524" s="13" t="s">
        <v>1726</v>
      </c>
      <c r="AE524" s="11" t="s">
        <v>992</v>
      </c>
    </row>
    <row r="525" spans="2:31" x14ac:dyDescent="0.35">
      <c r="B525" s="24" t="s">
        <v>311</v>
      </c>
      <c r="C525" s="12">
        <v>519</v>
      </c>
      <c r="D525" s="11" t="s">
        <v>1728</v>
      </c>
      <c r="E525" s="11" t="s">
        <v>1704</v>
      </c>
      <c r="F525" s="12" t="s">
        <v>311</v>
      </c>
      <c r="G525" s="12" t="s">
        <v>246</v>
      </c>
      <c r="H525" s="12" t="s">
        <v>246</v>
      </c>
      <c r="I525" s="12" t="s">
        <v>37</v>
      </c>
      <c r="J525" s="12" t="s">
        <v>1013</v>
      </c>
      <c r="K525" s="12" t="s">
        <v>118</v>
      </c>
      <c r="L525" s="12" t="s">
        <v>247</v>
      </c>
      <c r="N525" s="13" t="s">
        <v>1738</v>
      </c>
      <c r="AE525" s="11" t="s">
        <v>992</v>
      </c>
    </row>
    <row r="526" spans="2:31" x14ac:dyDescent="0.35">
      <c r="B526" s="24" t="s">
        <v>311</v>
      </c>
      <c r="C526" s="12">
        <v>520</v>
      </c>
      <c r="D526" s="11" t="s">
        <v>1729</v>
      </c>
      <c r="E526" s="11" t="s">
        <v>1704</v>
      </c>
      <c r="F526" s="12" t="s">
        <v>311</v>
      </c>
      <c r="G526" s="12" t="s">
        <v>246</v>
      </c>
      <c r="H526" s="12" t="s">
        <v>246</v>
      </c>
      <c r="I526" s="12" t="s">
        <v>37</v>
      </c>
      <c r="J526" s="12" t="s">
        <v>1013</v>
      </c>
      <c r="K526" s="12" t="s">
        <v>118</v>
      </c>
      <c r="L526" s="12" t="s">
        <v>247</v>
      </c>
      <c r="N526" s="13" t="s">
        <v>1739</v>
      </c>
      <c r="AE526" s="11" t="s">
        <v>992</v>
      </c>
    </row>
    <row r="527" spans="2:31" x14ac:dyDescent="0.35">
      <c r="B527" s="24" t="s">
        <v>311</v>
      </c>
      <c r="C527" s="12">
        <v>521</v>
      </c>
      <c r="D527" s="11" t="s">
        <v>1730</v>
      </c>
      <c r="E527" s="11" t="s">
        <v>1704</v>
      </c>
      <c r="F527" s="12" t="s">
        <v>311</v>
      </c>
      <c r="G527" s="12" t="s">
        <v>246</v>
      </c>
      <c r="H527" s="12" t="s">
        <v>246</v>
      </c>
      <c r="I527" s="12" t="s">
        <v>37</v>
      </c>
      <c r="J527" s="12" t="s">
        <v>1013</v>
      </c>
      <c r="K527" s="12" t="s">
        <v>118</v>
      </c>
      <c r="L527" s="12" t="s">
        <v>247</v>
      </c>
      <c r="N527" s="13" t="s">
        <v>1740</v>
      </c>
      <c r="AE527" s="11" t="s">
        <v>992</v>
      </c>
    </row>
    <row r="528" spans="2:31" x14ac:dyDescent="0.35">
      <c r="B528" s="24" t="s">
        <v>278</v>
      </c>
      <c r="C528" s="12">
        <v>522</v>
      </c>
      <c r="E528" s="11" t="s">
        <v>1732</v>
      </c>
      <c r="F528" s="12" t="s">
        <v>278</v>
      </c>
      <c r="G528" s="12" t="s">
        <v>246</v>
      </c>
      <c r="H528" s="12" t="s">
        <v>246</v>
      </c>
      <c r="I528" s="12" t="s">
        <v>37</v>
      </c>
      <c r="J528" s="12" t="s">
        <v>1013</v>
      </c>
      <c r="K528" s="12" t="s">
        <v>118</v>
      </c>
      <c r="L528" s="12" t="s">
        <v>247</v>
      </c>
      <c r="N528" s="13" t="s">
        <v>1741</v>
      </c>
      <c r="AE528" s="11" t="s">
        <v>992</v>
      </c>
    </row>
    <row r="529" spans="2:31" x14ac:dyDescent="0.35">
      <c r="B529" s="24" t="s">
        <v>49</v>
      </c>
      <c r="C529" s="12">
        <v>523</v>
      </c>
      <c r="D529" s="11" t="s">
        <v>387</v>
      </c>
      <c r="E529" s="11" t="s">
        <v>1733</v>
      </c>
      <c r="G529" s="12" t="s">
        <v>246</v>
      </c>
      <c r="H529" s="12" t="s">
        <v>246</v>
      </c>
      <c r="I529" s="12" t="s">
        <v>37</v>
      </c>
      <c r="J529" s="12" t="s">
        <v>1013</v>
      </c>
      <c r="K529" s="12" t="s">
        <v>118</v>
      </c>
      <c r="L529" s="12" t="s">
        <v>247</v>
      </c>
      <c r="N529" s="13" t="s">
        <v>1742</v>
      </c>
      <c r="AE529" s="11" t="s">
        <v>992</v>
      </c>
    </row>
    <row r="530" spans="2:31" x14ac:dyDescent="0.35">
      <c r="B530" s="24" t="s">
        <v>49</v>
      </c>
      <c r="C530" s="12">
        <v>524</v>
      </c>
      <c r="D530" s="11" t="s">
        <v>1731</v>
      </c>
      <c r="E530" s="11" t="s">
        <v>1734</v>
      </c>
      <c r="G530" s="12" t="s">
        <v>246</v>
      </c>
      <c r="H530" s="12" t="s">
        <v>246</v>
      </c>
      <c r="I530" s="12" t="s">
        <v>37</v>
      </c>
      <c r="J530" s="12" t="s">
        <v>1013</v>
      </c>
      <c r="K530" s="12" t="s">
        <v>118</v>
      </c>
      <c r="L530" s="12" t="s">
        <v>247</v>
      </c>
      <c r="N530" s="13" t="s">
        <v>1743</v>
      </c>
      <c r="AE530" s="11" t="s">
        <v>992</v>
      </c>
    </row>
    <row r="531" spans="2:31" x14ac:dyDescent="0.35">
      <c r="B531" s="24" t="s">
        <v>49</v>
      </c>
      <c r="C531" s="12">
        <v>525</v>
      </c>
      <c r="E531" s="11" t="s">
        <v>1735</v>
      </c>
      <c r="G531" s="12" t="s">
        <v>246</v>
      </c>
      <c r="H531" s="12" t="s">
        <v>246</v>
      </c>
      <c r="L531" s="12" t="s">
        <v>247</v>
      </c>
      <c r="N531" s="13" t="s">
        <v>1744</v>
      </c>
      <c r="AE531" s="11" t="s">
        <v>992</v>
      </c>
    </row>
    <row r="532" spans="2:31" x14ac:dyDescent="0.35">
      <c r="B532" s="24" t="s">
        <v>49</v>
      </c>
      <c r="C532" s="12">
        <v>526</v>
      </c>
      <c r="E532" s="11" t="s">
        <v>1736</v>
      </c>
      <c r="F532" s="12" t="s">
        <v>49</v>
      </c>
      <c r="G532" s="12" t="s">
        <v>246</v>
      </c>
      <c r="H532" s="12" t="s">
        <v>246</v>
      </c>
      <c r="I532" s="12" t="s">
        <v>37</v>
      </c>
      <c r="J532" s="12" t="s">
        <v>1015</v>
      </c>
      <c r="K532" s="12" t="s">
        <v>1016</v>
      </c>
      <c r="L532" s="12" t="s">
        <v>247</v>
      </c>
      <c r="N532" s="13" t="s">
        <v>1745</v>
      </c>
      <c r="AE532" s="11" t="s">
        <v>992</v>
      </c>
    </row>
    <row r="533" spans="2:31" x14ac:dyDescent="0.35">
      <c r="B533" s="24" t="s">
        <v>314</v>
      </c>
      <c r="C533" s="12">
        <v>527</v>
      </c>
      <c r="D533" s="11" t="s">
        <v>1747</v>
      </c>
      <c r="E533" s="11" t="s">
        <v>1748</v>
      </c>
      <c r="F533" s="12" t="s">
        <v>314</v>
      </c>
      <c r="G533" s="12" t="s">
        <v>246</v>
      </c>
      <c r="H533" s="12" t="s">
        <v>246</v>
      </c>
      <c r="I533" s="12" t="s">
        <v>37</v>
      </c>
      <c r="J533" s="12" t="s">
        <v>1015</v>
      </c>
      <c r="K533" s="12" t="s">
        <v>1021</v>
      </c>
      <c r="L533" s="12" t="s">
        <v>247</v>
      </c>
      <c r="N533" s="13" t="s">
        <v>1749</v>
      </c>
      <c r="T533" s="11" t="s">
        <v>125</v>
      </c>
      <c r="U533" s="11" t="s">
        <v>1014</v>
      </c>
      <c r="Z533" s="11">
        <v>46224</v>
      </c>
      <c r="AA533" s="11">
        <v>46224</v>
      </c>
      <c r="AB533" s="11" t="s">
        <v>30</v>
      </c>
      <c r="AC533" s="11">
        <v>42</v>
      </c>
      <c r="AE533" s="11" t="s">
        <v>992</v>
      </c>
    </row>
    <row r="534" spans="2:31" x14ac:dyDescent="0.35">
      <c r="B534" s="24" t="s">
        <v>314</v>
      </c>
      <c r="C534" s="12">
        <v>528</v>
      </c>
      <c r="D534" s="11" t="s">
        <v>1750</v>
      </c>
      <c r="E534" s="11" t="s">
        <v>77</v>
      </c>
      <c r="F534" s="12" t="s">
        <v>314</v>
      </c>
      <c r="G534" s="12" t="s">
        <v>246</v>
      </c>
      <c r="H534" s="12" t="s">
        <v>246</v>
      </c>
      <c r="I534" s="12" t="s">
        <v>430</v>
      </c>
      <c r="J534" s="12" t="s">
        <v>1024</v>
      </c>
      <c r="K534" s="12" t="s">
        <v>77</v>
      </c>
      <c r="L534" s="12" t="s">
        <v>247</v>
      </c>
      <c r="N534" s="13" t="s">
        <v>1751</v>
      </c>
      <c r="T534" s="11" t="s">
        <v>125</v>
      </c>
      <c r="U534" s="11" t="s">
        <v>1014</v>
      </c>
      <c r="Z534" s="11">
        <v>46224</v>
      </c>
      <c r="AA534" s="11">
        <v>46224</v>
      </c>
      <c r="AB534" s="11" t="s">
        <v>30</v>
      </c>
      <c r="AC534" s="11">
        <v>31</v>
      </c>
      <c r="AE534" s="11" t="s">
        <v>992</v>
      </c>
    </row>
    <row r="535" spans="2:31" x14ac:dyDescent="0.35">
      <c r="B535" s="24" t="s">
        <v>49</v>
      </c>
      <c r="C535" s="12">
        <v>529</v>
      </c>
      <c r="D535" s="11" t="s">
        <v>1752</v>
      </c>
      <c r="E535" s="11" t="s">
        <v>661</v>
      </c>
      <c r="F535" s="12" t="s">
        <v>286</v>
      </c>
      <c r="G535" s="12" t="s">
        <v>246</v>
      </c>
      <c r="H535" s="12" t="s">
        <v>246</v>
      </c>
      <c r="I535" s="12" t="s">
        <v>60</v>
      </c>
      <c r="J535" s="12" t="s">
        <v>1025</v>
      </c>
      <c r="K535" s="12" t="s">
        <v>118</v>
      </c>
      <c r="L535" s="12" t="s">
        <v>247</v>
      </c>
      <c r="N535" s="13" t="s">
        <v>1753</v>
      </c>
      <c r="T535" s="11" t="s">
        <v>125</v>
      </c>
      <c r="U535" s="11" t="s">
        <v>1014</v>
      </c>
      <c r="Z535" s="11">
        <v>46224</v>
      </c>
      <c r="AA535" s="11">
        <v>46224</v>
      </c>
      <c r="AB535" s="11" t="s">
        <v>30</v>
      </c>
      <c r="AC535" s="11">
        <v>30</v>
      </c>
      <c r="AE535" s="11" t="s">
        <v>992</v>
      </c>
    </row>
    <row r="536" spans="2:31" x14ac:dyDescent="0.35">
      <c r="B536" s="24" t="s">
        <v>278</v>
      </c>
      <c r="C536" s="12">
        <v>530</v>
      </c>
      <c r="D536" s="11" t="s">
        <v>898</v>
      </c>
      <c r="E536" s="11" t="s">
        <v>77</v>
      </c>
      <c r="F536" s="12" t="s">
        <v>278</v>
      </c>
      <c r="G536" s="12" t="s">
        <v>246</v>
      </c>
      <c r="H536" s="12" t="s">
        <v>246</v>
      </c>
      <c r="I536" s="12" t="s">
        <v>430</v>
      </c>
      <c r="J536" s="12" t="s">
        <v>1024</v>
      </c>
      <c r="K536" s="12" t="s">
        <v>77</v>
      </c>
      <c r="L536" s="12" t="s">
        <v>247</v>
      </c>
      <c r="N536" s="13">
        <v>962911124</v>
      </c>
      <c r="T536" s="11" t="s">
        <v>125</v>
      </c>
      <c r="U536" s="11" t="s">
        <v>1014</v>
      </c>
      <c r="Z536" s="11">
        <v>46227</v>
      </c>
      <c r="AA536" s="11">
        <v>46227</v>
      </c>
      <c r="AB536" s="11" t="s">
        <v>30</v>
      </c>
      <c r="AC536" s="11">
        <v>45</v>
      </c>
      <c r="AE536" s="11" t="s">
        <v>992</v>
      </c>
    </row>
    <row r="537" spans="2:31" x14ac:dyDescent="0.35">
      <c r="B537" s="24" t="s">
        <v>308</v>
      </c>
      <c r="C537" s="12">
        <v>531</v>
      </c>
      <c r="D537" s="11" t="s">
        <v>1754</v>
      </c>
      <c r="E537" s="11" t="s">
        <v>51</v>
      </c>
      <c r="F537" s="12" t="s">
        <v>308</v>
      </c>
      <c r="G537" s="12" t="s">
        <v>246</v>
      </c>
      <c r="H537" s="12" t="s">
        <v>246</v>
      </c>
      <c r="I537" s="12" t="s">
        <v>37</v>
      </c>
      <c r="J537" s="12" t="s">
        <v>1015</v>
      </c>
      <c r="K537" s="12" t="s">
        <v>1019</v>
      </c>
      <c r="L537" s="12" t="s">
        <v>247</v>
      </c>
      <c r="N537" s="13" t="s">
        <v>1760</v>
      </c>
      <c r="AE537" s="11" t="s">
        <v>992</v>
      </c>
    </row>
    <row r="538" spans="2:31" x14ac:dyDescent="0.35">
      <c r="B538" s="24" t="s">
        <v>311</v>
      </c>
      <c r="C538" s="12">
        <v>532</v>
      </c>
      <c r="D538" s="11" t="s">
        <v>1755</v>
      </c>
      <c r="E538" s="11" t="s">
        <v>661</v>
      </c>
      <c r="F538" s="12" t="s">
        <v>311</v>
      </c>
      <c r="G538" s="12" t="s">
        <v>246</v>
      </c>
      <c r="H538" s="12" t="s">
        <v>246</v>
      </c>
      <c r="I538" s="12" t="s">
        <v>430</v>
      </c>
      <c r="J538" s="12" t="s">
        <v>1024</v>
      </c>
      <c r="K538" s="12" t="s">
        <v>1569</v>
      </c>
      <c r="L538" s="12" t="s">
        <v>247</v>
      </c>
      <c r="N538" s="13" t="s">
        <v>1761</v>
      </c>
      <c r="AE538" s="11" t="s">
        <v>992</v>
      </c>
    </row>
    <row r="539" spans="2:31" x14ac:dyDescent="0.35">
      <c r="B539" s="24" t="s">
        <v>283</v>
      </c>
      <c r="C539" s="12">
        <v>533</v>
      </c>
      <c r="D539" s="11" t="s">
        <v>1409</v>
      </c>
      <c r="E539" s="11" t="s">
        <v>93</v>
      </c>
      <c r="F539" s="12" t="s">
        <v>283</v>
      </c>
      <c r="G539" s="12" t="s">
        <v>246</v>
      </c>
      <c r="H539" s="12" t="s">
        <v>246</v>
      </c>
      <c r="I539" s="12" t="s">
        <v>430</v>
      </c>
      <c r="J539" s="12" t="s">
        <v>93</v>
      </c>
      <c r="K539" s="12" t="s">
        <v>118</v>
      </c>
      <c r="L539" s="12" t="s">
        <v>247</v>
      </c>
      <c r="N539" s="13" t="s">
        <v>1762</v>
      </c>
      <c r="AD539" s="11" t="s">
        <v>1767</v>
      </c>
      <c r="AE539" s="11" t="s">
        <v>992</v>
      </c>
    </row>
    <row r="540" spans="2:31" x14ac:dyDescent="0.35">
      <c r="B540" s="24" t="s">
        <v>283</v>
      </c>
      <c r="C540" s="12">
        <v>534</v>
      </c>
      <c r="D540" s="11" t="s">
        <v>1756</v>
      </c>
      <c r="E540" s="11" t="s">
        <v>429</v>
      </c>
      <c r="F540" s="12" t="s">
        <v>283</v>
      </c>
      <c r="G540" s="12" t="s">
        <v>246</v>
      </c>
      <c r="H540" s="12" t="s">
        <v>246</v>
      </c>
      <c r="I540" s="12" t="s">
        <v>430</v>
      </c>
      <c r="J540" s="12" t="s">
        <v>20</v>
      </c>
      <c r="K540" s="12" t="s">
        <v>118</v>
      </c>
      <c r="L540" s="12" t="s">
        <v>247</v>
      </c>
      <c r="N540" s="13" t="s">
        <v>1763</v>
      </c>
      <c r="AE540" s="11" t="s">
        <v>992</v>
      </c>
    </row>
    <row r="541" spans="2:31" x14ac:dyDescent="0.35">
      <c r="B541" s="24" t="s">
        <v>283</v>
      </c>
      <c r="C541" s="12">
        <v>535</v>
      </c>
      <c r="D541" s="11" t="s">
        <v>1757</v>
      </c>
      <c r="E541" s="11" t="s">
        <v>1759</v>
      </c>
      <c r="F541" s="12" t="s">
        <v>283</v>
      </c>
      <c r="G541" s="12" t="s">
        <v>246</v>
      </c>
      <c r="H541" s="12" t="s">
        <v>246</v>
      </c>
      <c r="I541" s="12" t="s">
        <v>37</v>
      </c>
      <c r="J541" s="12" t="s">
        <v>1013</v>
      </c>
      <c r="K541" s="12" t="s">
        <v>118</v>
      </c>
      <c r="L541" s="12" t="s">
        <v>247</v>
      </c>
      <c r="N541" s="13" t="s">
        <v>1764</v>
      </c>
      <c r="AE541" s="11" t="s">
        <v>992</v>
      </c>
    </row>
    <row r="542" spans="2:31" x14ac:dyDescent="0.35">
      <c r="B542" s="24" t="s">
        <v>49</v>
      </c>
      <c r="C542" s="12">
        <v>536</v>
      </c>
      <c r="D542" s="11" t="s">
        <v>1758</v>
      </c>
      <c r="E542" s="11" t="s">
        <v>90</v>
      </c>
      <c r="G542" s="12" t="s">
        <v>246</v>
      </c>
      <c r="H542" s="12" t="s">
        <v>246</v>
      </c>
      <c r="I542" s="12" t="s">
        <v>430</v>
      </c>
      <c r="J542" s="12" t="s">
        <v>90</v>
      </c>
      <c r="K542" s="12" t="s">
        <v>118</v>
      </c>
      <c r="L542" s="12" t="s">
        <v>247</v>
      </c>
      <c r="N542" s="13" t="s">
        <v>1765</v>
      </c>
      <c r="AE542" s="11" t="s">
        <v>992</v>
      </c>
    </row>
    <row r="543" spans="2:31" x14ac:dyDescent="0.35">
      <c r="B543" s="24" t="s">
        <v>311</v>
      </c>
      <c r="C543" s="12">
        <v>537</v>
      </c>
      <c r="D543" s="11" t="s">
        <v>1770</v>
      </c>
      <c r="E543" s="11" t="s">
        <v>1771</v>
      </c>
      <c r="F543" s="12" t="s">
        <v>311</v>
      </c>
      <c r="G543" s="12" t="s">
        <v>246</v>
      </c>
      <c r="H543" s="12" t="s">
        <v>246</v>
      </c>
      <c r="I543" s="12" t="s">
        <v>82</v>
      </c>
      <c r="J543" s="12" t="s">
        <v>1772</v>
      </c>
      <c r="K543" s="12" t="s">
        <v>118</v>
      </c>
      <c r="L543" s="12" t="s">
        <v>247</v>
      </c>
      <c r="N543" s="13" t="s">
        <v>1773</v>
      </c>
      <c r="AE543" s="11" t="s">
        <v>992</v>
      </c>
    </row>
    <row r="544" spans="2:31" x14ac:dyDescent="0.35">
      <c r="B544" s="24" t="s">
        <v>311</v>
      </c>
      <c r="C544" s="12">
        <v>538</v>
      </c>
      <c r="D544" s="11" t="s">
        <v>1775</v>
      </c>
      <c r="E544" s="11" t="s">
        <v>191</v>
      </c>
      <c r="F544" s="12" t="s">
        <v>311</v>
      </c>
      <c r="G544" s="12" t="s">
        <v>246</v>
      </c>
      <c r="H544" s="12" t="s">
        <v>246</v>
      </c>
      <c r="I544" s="12" t="s">
        <v>430</v>
      </c>
      <c r="J544" s="12" t="s">
        <v>71</v>
      </c>
      <c r="K544" s="12" t="s">
        <v>191</v>
      </c>
      <c r="L544" s="12" t="s">
        <v>247</v>
      </c>
      <c r="U544" s="11" t="s">
        <v>1014</v>
      </c>
      <c r="AB544" s="11" t="s">
        <v>30</v>
      </c>
      <c r="AE544" s="11" t="s">
        <v>992</v>
      </c>
    </row>
    <row r="545" spans="2:31" x14ac:dyDescent="0.35">
      <c r="B545" s="24" t="s">
        <v>278</v>
      </c>
      <c r="C545" s="12">
        <v>539</v>
      </c>
      <c r="D545" s="11" t="s">
        <v>1776</v>
      </c>
      <c r="E545" s="11" t="s">
        <v>1633</v>
      </c>
      <c r="F545" s="12" t="s">
        <v>278</v>
      </c>
      <c r="G545" s="12" t="s">
        <v>246</v>
      </c>
      <c r="H545" s="12" t="s">
        <v>246</v>
      </c>
      <c r="I545" s="12" t="s">
        <v>430</v>
      </c>
      <c r="J545" s="12" t="s">
        <v>71</v>
      </c>
      <c r="K545" s="12" t="s">
        <v>1569</v>
      </c>
      <c r="L545" s="12" t="s">
        <v>247</v>
      </c>
      <c r="U545" s="11" t="s">
        <v>1014</v>
      </c>
      <c r="AB545" s="11" t="s">
        <v>30</v>
      </c>
      <c r="AE545" s="11" t="s">
        <v>992</v>
      </c>
    </row>
    <row r="546" spans="2:31" x14ac:dyDescent="0.35">
      <c r="B546" s="24" t="s">
        <v>278</v>
      </c>
      <c r="C546" s="12">
        <v>540</v>
      </c>
      <c r="D546" s="11" t="s">
        <v>1776</v>
      </c>
      <c r="E546" s="11" t="s">
        <v>1633</v>
      </c>
      <c r="F546" s="12" t="s">
        <v>278</v>
      </c>
      <c r="G546" s="12" t="s">
        <v>246</v>
      </c>
      <c r="H546" s="12" t="s">
        <v>246</v>
      </c>
      <c r="I546" s="12" t="s">
        <v>430</v>
      </c>
      <c r="J546" s="12" t="s">
        <v>71</v>
      </c>
      <c r="K546" s="12" t="s">
        <v>1569</v>
      </c>
      <c r="L546" s="12" t="s">
        <v>247</v>
      </c>
      <c r="U546" s="11" t="s">
        <v>1014</v>
      </c>
      <c r="AE546" s="11" t="s">
        <v>992</v>
      </c>
    </row>
  </sheetData>
  <autoFilter ref="B1:AE501" xr:uid="{00000000-0009-0000-0000-000000000000}"/>
  <conditionalFormatting sqref="C51 J51:K51 C71:C72 J71:K72 U72:U75 U219:U348 C366:C367 U386:U388 U390:U395 U438:U443 U445:U447 U449:U456 U459 U462:U464 U468:U474 U476:U479 U481:U498">
    <cfRule type="expression" dxfId="410" priority="192">
      <formula>$Q51:$Q365="APOYO"</formula>
    </cfRule>
    <cfRule type="expression" dxfId="409" priority="193">
      <formula>$G51:$G365="Sí"</formula>
    </cfRule>
  </conditionalFormatting>
  <conditionalFormatting sqref="C67:C70 J67:K70 U70:U71 J366:J367 J370 J373 V396:V403 V502:V507">
    <cfRule type="expression" dxfId="408" priority="59">
      <formula>$Q67:$Q382="APOYO"</formula>
    </cfRule>
    <cfRule type="expression" dxfId="407" priority="60">
      <formula>$G67:$G382="Sí"</formula>
    </cfRule>
  </conditionalFormatting>
  <conditionalFormatting sqref="C73:C76 J73:K76 U215:U218 J219:K260 C220:C340 O330 J330:J340 N330:N340 Q330:T340 V341:AD341 C341:J348 L341:T348 V342:AA342 AC342:AD342 V343:AD348 C349:C356 T351 P352:P354 T357 T366:U367 C368:C377 Q370:R370 T370:T373 T375:T380 C379:C403 T389 D396:O396 Q396:S403 W396:AA403 AC396:AD403 D397:I397 K397:O397 D398:O403 F404 T405:T407 C405:C501 C502:O507 Q502:S507 W502:AA507 AC502:AD507 U508:U532">
    <cfRule type="expression" dxfId="406" priority="239">
      <formula>$G73:$G386="Sí"</formula>
    </cfRule>
    <cfRule type="expression" dxfId="405" priority="238">
      <formula>$Q73:$Q386="APOYO"</formula>
    </cfRule>
  </conditionalFormatting>
  <conditionalFormatting sqref="C77:C162 J77:K162 U162:U178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Q476:S501 W476:AA501 AC476:AD501 D477 F477:H477 L477:O477 G478:H480 N478:O480 D478:F481 G481:J481 L481:O501 D482:J501">
    <cfRule type="expression" dxfId="404" priority="58">
      <formula>$G77:$G396="Sí"</formula>
    </cfRule>
    <cfRule type="expression" dxfId="403" priority="57">
      <formula>$Q77:$Q396="APOYO"</formula>
    </cfRule>
  </conditionalFormatting>
  <conditionalFormatting sqref="C191:C210 J191:K210">
    <cfRule type="expression" dxfId="402" priority="285">
      <formula>$Q191:$Q508="APOYO"</formula>
    </cfRule>
    <cfRule type="expression" dxfId="401" priority="284">
      <formula>$G191:$G508="Sí"</formula>
    </cfRule>
  </conditionalFormatting>
  <conditionalFormatting sqref="C33:G33 J33:S33 U33:AD33 AB219 AB334 V386:V395 V438:V443 V445:V456 V459 V462:V464 V468:V474 V476:V501 AB508:AB532">
    <cfRule type="expression" dxfId="400" priority="136">
      <formula>$G33:$G354="Sí"</formula>
    </cfRule>
    <cfRule type="expression" dxfId="399" priority="135">
      <formula>$Q33:$Q354="APOYO"</formula>
    </cfRule>
  </conditionalFormatting>
  <conditionalFormatting sqref="C34:H34 J34:S34 V34:AD34 U76:U161 AB342 AB351 AB357 AB370:AB371 AB373:AB385 AB389 AB396:AB399 AB401:AB402 AB404 AB408:AB437 AB444 AB457:AB458 AB460:AB461 AB465:AB467 AB475 V508:V533">
    <cfRule type="expression" dxfId="398" priority="140">
      <formula>$G34:$G354="Sí"</formula>
    </cfRule>
    <cfRule type="expression" dxfId="397" priority="139">
      <formula>$Q34:$Q354="APOYO"</formula>
    </cfRule>
  </conditionalFormatting>
  <conditionalFormatting sqref="C6:S6 W6:Y6 AB6:AD6 U6:U10 C25:H25 J25:S25 U25:AD25 U26:U31">
    <cfRule type="expression" dxfId="396" priority="198">
      <formula>$Q6:$Q329="APOYO"</formula>
    </cfRule>
    <cfRule type="expression" dxfId="395" priority="199">
      <formula>$G6:$G329="Sí"</formula>
    </cfRule>
  </conditionalFormatting>
  <conditionalFormatting sqref="C45:T46 V45:AD46 Q355:T356 V355:AD356 D355:O364 V357:AA357 AC357:AD357 V358:AD358 Q358:T364 W359:AD359 V360:AD362 W363:AD363 V364:AD364 D366:F367 I366:I367 K366:K367 M366:O367 Q366:S367 W366:AA367 AC366:AD367 T368:T369 T381:T385 T408:T437 T444 T457:T458 T460:T461 T465:T467 T475">
    <cfRule type="expression" dxfId="394" priority="211">
      <formula>$Q45:$Q363="APOYO"</formula>
    </cfRule>
    <cfRule type="expression" dxfId="393" priority="210">
      <formula>$G45:$G363="Sí"</formula>
    </cfRule>
  </conditionalFormatting>
  <conditionalFormatting sqref="C47:T47 V47:AD48 C48:S48 U51:U65 J180:K180 C180:C181 U181:U189 U210:U214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392" priority="213">
      <formula>$G47:$G364="Sí"</formula>
    </cfRule>
    <cfRule type="expression" dxfId="391" priority="212">
      <formula>$Q47:$Q364="APOYO"</formula>
    </cfRule>
  </conditionalFormatting>
  <conditionalFormatting sqref="D85:E86 G85:I86 L85:T86 V85:AD86 Z93:AA93 F101 F171:F172 AD404">
    <cfRule type="expression" dxfId="390" priority="162">
      <formula>$Q85:$Q347="APOYO"</formula>
    </cfRule>
    <cfRule type="expression" dxfId="389" priority="163">
      <formula>$G85:$G347="Sí"</formula>
    </cfRule>
  </conditionalFormatting>
  <conditionalFormatting sqref="D111:E112 D129:I132 L129:T132 V129:AD132">
    <cfRule type="expression" dxfId="388" priority="215">
      <formula>$Q111:$Q364="APOYO"</formula>
    </cfRule>
    <cfRule type="expression" dxfId="387" priority="214">
      <formula>$G111:$G364="Sí"</formula>
    </cfRule>
  </conditionalFormatting>
  <conditionalFormatting sqref="D113:E113 G113 I113 L113:S113 V113:AD113">
    <cfRule type="expression" dxfId="386" priority="182">
      <formula>$Q113:$Q365="APOYO"</formula>
    </cfRule>
    <cfRule type="expression" dxfId="385" priority="183">
      <formula>$G113:$G365="Sí"</formula>
    </cfRule>
  </conditionalFormatting>
  <conditionalFormatting sqref="D171:E171 G171:I171 L171:T171 V171:AD171">
    <cfRule type="expression" dxfId="384" priority="158">
      <formula>$Q171:$Q354="APOYO"</formula>
    </cfRule>
    <cfRule type="expression" dxfId="383" priority="159">
      <formula>$G171:$G354="Sí"</formula>
    </cfRule>
  </conditionalFormatting>
  <conditionalFormatting sqref="D172:E172 G172:I172 L172:T179 V172:AD179 D173:I180 L180:S180 V180:AA180 AC180:AD180">
    <cfRule type="expression" dxfId="382" priority="216">
      <formula>$Q172:$Q354="APOYO"</formula>
    </cfRule>
    <cfRule type="expression" dxfId="381" priority="217">
      <formula>$G172:$G354="Sí"</formula>
    </cfRule>
  </conditionalFormatting>
  <conditionalFormatting sqref="D508:E533 L508:O533 Q508:S533 W508:AA533 AC508:AD533">
    <cfRule type="expression" dxfId="380" priority="25">
      <formula>$Q508:$Q826="APOYO"</formula>
    </cfRule>
    <cfRule type="expression" dxfId="379" priority="26">
      <formula>$G508:$G826="Sí"</formula>
    </cfRule>
  </conditionalFormatting>
  <conditionalFormatting sqref="D97:F100 G97:I106 L97:T106 V97:AD106 D101:E101 D102:F106 G111:G112 I111:I112 L111:T112 V111:AD112 D139:I139 L139:T139 V139:AD139">
    <cfRule type="expression" dxfId="378" priority="168">
      <formula>$G97:$G354="Sí"</formula>
    </cfRule>
    <cfRule type="expression" dxfId="377" priority="169">
      <formula>$Q97:$Q354="APOYO"</formula>
    </cfRule>
  </conditionalFormatting>
  <conditionalFormatting sqref="D114:F119 V114:AD120 G114:I126 L114:T128 D120:E120 V121:AA121 AC121:AD121 D121:F125 V122:AD128 D126:E126 D127:I128">
    <cfRule type="expression" dxfId="376" priority="201">
      <formula>$Q114:$Q368="APOYO"</formula>
    </cfRule>
    <cfRule type="expression" dxfId="375" priority="202">
      <formula>$G114:$G368="Sí"</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374" priority="245">
      <formula>$Q286:$Q396="APOYO"</formula>
    </cfRule>
  </conditionalFormatting>
  <conditionalFormatting sqref="D35:G35 C35:C44 V35:AD44 D36:S37 J38 L38:S38 D38:H41 J39:S40 J41:T41 D42:T42 D43:S43 D44:T44 U44:U45 V49:AA49 AC49:AD49 C49:T50 V50:AD50 J35:S35">
    <cfRule type="expression" dxfId="373" priority="151">
      <formula>$G35:$G354="Sí"</formula>
    </cfRule>
  </conditionalFormatting>
  <conditionalFormatting sqref="D35:G35 C35:C44 V35:AD44 D36:S37 J38 L38:S38 D38:H41 J39:S40 J41:T41 D42:T42 D43:S43 D44:T44 U44:U45 V49:AA49 AC49:AD49 C49:T50 V50:AD50">
    <cfRule type="expression" dxfId="372" priority="138">
      <formula>$Q35:$Q354="APOYO"</formula>
    </cfRule>
  </conditionalFormatting>
  <conditionalFormatting sqref="D26:H26 J26:T26 V26:AD29 C26:C32 D27:F27 D28:H28 J28 L28:T28 D29:T29 V30:AA30 AC30:AD30 D30:H32 J30:S32 V31:AD31 U32:AA32 AC32:AD32 T63:T64">
    <cfRule type="expression" dxfId="371" priority="223">
      <formula>$Q26:$Q348="APOYO"</formula>
    </cfRule>
    <cfRule type="expression" dxfId="370" priority="218">
      <formula>$G26:$G348="Sí"</formula>
    </cfRule>
  </conditionalFormatting>
  <conditionalFormatting sqref="D51:I51 L51:T51 V51:AD51">
    <cfRule type="expression" dxfId="369" priority="115">
      <formula>$Q51:$Q329="APOYO"</formula>
    </cfRule>
    <cfRule type="expression" dxfId="368" priority="116">
      <formula>$G51:$G329="Sí"</formula>
    </cfRule>
  </conditionalFormatting>
  <conditionalFormatting sqref="D59:I59 L59:T59 V59:AD59">
    <cfRule type="expression" dxfId="367" priority="100">
      <formula>$Q59:$Q329="APOYO"</formula>
    </cfRule>
    <cfRule type="expression" dxfId="366" priority="101">
      <formula>$G59:$G329="Sí"</formula>
    </cfRule>
  </conditionalFormatting>
  <conditionalFormatting sqref="D60:I60 L60:T60 V60:AD60">
    <cfRule type="expression" dxfId="365" priority="107">
      <formula>$Q60:$Q329="APOYO"</formula>
    </cfRule>
    <cfRule type="expression" dxfId="364" priority="108">
      <formula>$G60:$G329="Sí"</formula>
    </cfRule>
  </conditionalFormatting>
  <conditionalFormatting sqref="D61:I61 L61:T62 V61:AD63 D62:H62 D63:I63 L63:S63 T149 T151">
    <cfRule type="expression" dxfId="363" priority="166">
      <formula>$Q61:$Q329="APOYO"</formula>
    </cfRule>
    <cfRule type="expression" dxfId="362" priority="167">
      <formula>$G61:$G329="Sí"</formula>
    </cfRule>
  </conditionalFormatting>
  <conditionalFormatting sqref="D64:I64 L64:S64 V64:AD64 F84:F86">
    <cfRule type="expression" dxfId="361" priority="102">
      <formula>$Q64:$Q329="APOYO"</formula>
    </cfRule>
    <cfRule type="expression" dxfId="360" priority="103">
      <formula>$G64:$G329="Sí"</formula>
    </cfRule>
  </conditionalFormatting>
  <conditionalFormatting sqref="D65:I65 L65:T65 V65:AD65 AB269 AB318 AB337 AB366:AB369 AB372 AB405:AB407 AB448 AB480 AB499:AB501 AB503 AB505:AB507">
    <cfRule type="expression" dxfId="359" priority="109">
      <formula>$Q65:$Q329="APOYO"</formula>
    </cfRule>
    <cfRule type="expression" dxfId="358" priority="110">
      <formula>$G65:$G329="Sí"</formula>
    </cfRule>
  </conditionalFormatting>
  <conditionalFormatting sqref="D87:I87 L87:T87 V87:AD87">
    <cfRule type="expression" dxfId="357" priority="130">
      <formula>$Q87:$Q348="APOYO"</formula>
    </cfRule>
    <cfRule type="expression" dxfId="356" priority="123">
      <formula>$G87:$G348="Sí"</formula>
    </cfRule>
  </conditionalFormatting>
  <conditionalFormatting sqref="D95:I95 L95:T95 V95:AD95">
    <cfRule type="expression" dxfId="355" priority="145">
      <formula>$G95:$G354="Sí"</formula>
    </cfRule>
    <cfRule type="expression" dxfId="354" priority="146">
      <formula>$Q95:$Q354="APOYO"</formula>
    </cfRule>
  </conditionalFormatting>
  <conditionalFormatting sqref="D96:I96 L96:T96 V96:AD96">
    <cfRule type="expression" dxfId="353" priority="156">
      <formula>$G96:$G354="Sí"</formula>
    </cfRule>
    <cfRule type="expression" dxfId="352" priority="157">
      <formula>$Q96:$Q354="APOYO"</formula>
    </cfRule>
  </conditionalFormatting>
  <conditionalFormatting sqref="D107:I108 L107:T108 V107:AD108">
    <cfRule type="expression" dxfId="351" priority="219">
      <formula>$G107:$G363="Sí"</formula>
    </cfRule>
    <cfRule type="expression" dxfId="350" priority="220">
      <formula>$Q107:$Q363="APOYO"</formula>
    </cfRule>
  </conditionalFormatting>
  <conditionalFormatting sqref="D109:I110 L109:T110 V109:AD110">
    <cfRule type="expression" dxfId="349" priority="174">
      <formula>$G109:$G364="Sí"</formula>
    </cfRule>
    <cfRule type="expression" dxfId="348" priority="175">
      <formula>$Q109:$Q364="APOYO"</formula>
    </cfRule>
  </conditionalFormatting>
  <conditionalFormatting sqref="D133:I134 L133:T134 V133:AD134">
    <cfRule type="expression" dxfId="347" priority="235">
      <formula>$Q133:$Q385="APOYO"</formula>
    </cfRule>
    <cfRule type="expression" dxfId="346" priority="234">
      <formula>$G133:$G385="Sí"</formula>
    </cfRule>
  </conditionalFormatting>
  <conditionalFormatting sqref="D135:I138 L135:T138 V135:AD138 O336:O340">
    <cfRule type="expression" dxfId="345" priority="232">
      <formula>$G135:$G386="Sí"</formula>
    </cfRule>
    <cfRule type="expression" dxfId="344" priority="233">
      <formula>$Q135:$Q386="APOYO"</formula>
    </cfRule>
  </conditionalFormatting>
  <conditionalFormatting sqref="D140:I140 L140:T140 V140:AD140">
    <cfRule type="expression" dxfId="343" priority="112">
      <formula>$G140:$G329="Sí"</formula>
    </cfRule>
    <cfRule type="expression" dxfId="342" priority="111">
      <formula>$Q140:$Q329="APOYO"</formula>
    </cfRule>
  </conditionalFormatting>
  <conditionalFormatting sqref="D160:I161 L160:S161 W160:AD161">
    <cfRule type="expression" dxfId="341" priority="91">
      <formula>$Q160:$Q347="APOYO"</formula>
    </cfRule>
    <cfRule type="expression" dxfId="340" priority="92">
      <formula>$G160:$G347="Sí"</formula>
    </cfRule>
  </conditionalFormatting>
  <conditionalFormatting sqref="D162:I162">
    <cfRule type="expression" dxfId="339" priority="132">
      <formula>$G162:$G348="Sí"</formula>
    </cfRule>
    <cfRule type="expression" dxfId="338" priority="131">
      <formula>$Q162:$Q348="APOYO"</formula>
    </cfRule>
  </conditionalFormatting>
  <conditionalFormatting sqref="D170:I170 L170:T170 V170:AD170">
    <cfRule type="expression" dxfId="337" priority="148">
      <formula>$G170:$G354="Sí"</formula>
    </cfRule>
    <cfRule type="expression" dxfId="336" priority="147">
      <formula>$Q170:$Q354="APOYO"</formula>
    </cfRule>
  </conditionalFormatting>
  <conditionalFormatting sqref="D181:I182 L181:T182 V181:AD182 D187:G187 I187 L187:T188 V187:AD188 D188:I188 I265:I273">
    <cfRule type="expression" dxfId="335" priority="170">
      <formula>$Q181:$Q362="APOYO"</formula>
    </cfRule>
    <cfRule type="expression" dxfId="334" priority="171">
      <formula>$G181:$G362="Sí"</formula>
    </cfRule>
  </conditionalFormatting>
  <conditionalFormatting sqref="D183:I184 L183:T184 V183:AD184 I301:I303 I308 I310:I311">
    <cfRule type="expression" dxfId="333" priority="177">
      <formula>$G183:$G363="Sí"</formula>
    </cfRule>
    <cfRule type="expression" dxfId="332" priority="176">
      <formula>$Q183:$Q363="APOYO"</formula>
    </cfRule>
  </conditionalFormatting>
  <conditionalFormatting sqref="D185:I186 L185:T186 V185:AD186">
    <cfRule type="expression" dxfId="331" priority="186">
      <formula>$Q185:$Q364="APOYO"</formula>
    </cfRule>
    <cfRule type="expression" dxfId="330" priority="187">
      <formula>$G185:$G364="Sí"</formula>
    </cfRule>
  </conditionalFormatting>
  <conditionalFormatting sqref="D189:I189 V189:AD189 L209:S209 D209:I210 V209:AD210">
    <cfRule type="expression" dxfId="329" priority="75">
      <formula>$Q189:$Q365="APOYO"</formula>
    </cfRule>
    <cfRule type="expression" dxfId="328" priority="76">
      <formula>$G189:$G365="Sí"</formula>
    </cfRule>
  </conditionalFormatting>
  <conditionalFormatting sqref="D212:I212 L212:T212 V212:AD212 V219:AA220 AC219:AD220 D219:I230 L219:T230 V221:AD230">
    <cfRule type="expression" dxfId="327" priority="104">
      <formula>$Q212:$Q329="APOYO"</formula>
    </cfRule>
    <cfRule type="expression" dxfId="326" priority="105">
      <formula>$G212:$G329="Sí"</formula>
    </cfRule>
  </conditionalFormatting>
  <conditionalFormatting sqref="D213:I218 L213:T218 V213:AD218 D231:I232 L231:T232 V231:AD232">
    <cfRule type="expression" dxfId="325" priority="121">
      <formula>$Q213:$Q329="APOYO"</formula>
    </cfRule>
    <cfRule type="expression" dxfId="324" priority="122">
      <formula>$G213:$G329="Sí"</formula>
    </cfRule>
  </conditionalFormatting>
  <conditionalFormatting sqref="D233:I233 L233:T233 V233:AD233">
    <cfRule type="expression" dxfId="323" priority="126">
      <formula>$Q233:$Q348="APOYO"</formula>
    </cfRule>
    <cfRule type="expression" dxfId="322" priority="127">
      <formula>$G233:$G348="Sí"</formula>
    </cfRule>
  </conditionalFormatting>
  <conditionalFormatting sqref="D241:I241 L241:T241 V241:AD241">
    <cfRule type="expression" dxfId="321" priority="94">
      <formula>$G241:$G354="Sí"</formula>
    </cfRule>
    <cfRule type="expression" dxfId="320" priority="93">
      <formula>$Q241:$Q354="APOYO"</formula>
    </cfRule>
  </conditionalFormatting>
  <conditionalFormatting sqref="D242:I242 L242:T242 V242:AD242 Y370">
    <cfRule type="expression" dxfId="319" priority="150">
      <formula>$G242:$G354="Sí"</formula>
    </cfRule>
    <cfRule type="expression" dxfId="318" priority="149">
      <formula>$Q242:$Q354="APOYO"</formula>
    </cfRule>
  </conditionalFormatting>
  <conditionalFormatting sqref="D243:I252 L243:T252 V243:AD252 L257:S257 D257:I258 V257:AD258 L258:T258">
    <cfRule type="expression" dxfId="317" priority="160">
      <formula>$Q243:$Q354="APOYO"</formula>
    </cfRule>
    <cfRule type="expression" dxfId="316" priority="161">
      <formula>$G243:$G354="Sí"</formula>
    </cfRule>
  </conditionalFormatting>
  <conditionalFormatting sqref="D255:I256 L255:T256 V255:AD256">
    <cfRule type="expression" dxfId="315" priority="188">
      <formula>$Q255:$Q364="APOYO"</formula>
    </cfRule>
    <cfRule type="expression" dxfId="314" priority="189">
      <formula>$G255:$G364="Sí"</formula>
    </cfRule>
  </conditionalFormatting>
  <conditionalFormatting sqref="D259:I259 L259:T259 V259:AD259">
    <cfRule type="expression" dxfId="313" priority="181">
      <formula>$G259:$G365="Sí"</formula>
    </cfRule>
    <cfRule type="expression" dxfId="312" priority="180">
      <formula>$Q259:$Q365="APOYO"</formula>
    </cfRule>
  </conditionalFormatting>
  <conditionalFormatting sqref="D260:I260 L260:T260 V260:AD260">
    <cfRule type="expression" dxfId="311" priority="203">
      <formula>$Q260:$Q368="APOYO"</formula>
    </cfRule>
    <cfRule type="expression" dxfId="310" priority="204">
      <formula>$G260:$G368="Sí"</formula>
    </cfRule>
  </conditionalFormatting>
  <conditionalFormatting sqref="D276:I279 L276:T279 V276:AD279">
    <cfRule type="expression" dxfId="309" priority="230">
      <formula>$G276:$G382="Sí"</formula>
    </cfRule>
    <cfRule type="expression" dxfId="308" priority="231">
      <formula>$Q276:$Q382="APOYO"</formula>
    </cfRule>
  </conditionalFormatting>
  <conditionalFormatting sqref="D280:I281 L280:T281 V280:AD281">
    <cfRule type="expression" dxfId="307" priority="97">
      <formula>$G280:$G385="Sí"</formula>
    </cfRule>
    <cfRule type="expression" dxfId="306" priority="229">
      <formula>$Q280:$Q385="APOYO"</formula>
    </cfRule>
  </conditionalFormatting>
  <conditionalFormatting sqref="D282:I285 L282:T285 V282:AD285">
    <cfRule type="expression" dxfId="305" priority="240">
      <formula>$G282:$G386="Sí"</formula>
    </cfRule>
    <cfRule type="expression" dxfId="304" priority="241">
      <formula>$Q282:$Q386="APOYO"</formula>
    </cfRule>
  </conditionalFormatting>
  <conditionalFormatting sqref="D534:I536">
    <cfRule type="expression" dxfId="303" priority="12">
      <formula>$Q534:$Q644="APOYO"</formula>
    </cfRule>
    <cfRule type="expression" dxfId="302" priority="11">
      <formula>$G534:$G644="Sí"</formula>
    </cfRule>
  </conditionalFormatting>
  <conditionalFormatting sqref="F111:F113 F120 S404">
    <cfRule type="expression" dxfId="301" priority="222">
      <formula>$G111:$G370="Sí"</formula>
    </cfRule>
    <cfRule type="expression" dxfId="300" priority="221">
      <formula>$Q111:$Q370="APOYO"</formula>
    </cfRule>
  </conditionalFormatting>
  <conditionalFormatting sqref="F126 L404">
    <cfRule type="expression" dxfId="299" priority="190">
      <formula>$Q126:$Q384="APOYO"</formula>
    </cfRule>
    <cfRule type="expression" dxfId="298" priority="191">
      <formula>$G126:$G384="Sí"</formula>
    </cfRule>
  </conditionalFormatting>
  <conditionalFormatting sqref="F192">
    <cfRule type="expression" dxfId="297" priority="247">
      <formula>$G192:$G453="Sí"</formula>
    </cfRule>
    <cfRule type="expression" dxfId="296" priority="246">
      <formula>$Q192:$Q453="APOYO"</formula>
    </cfRule>
  </conditionalFormatting>
  <conditionalFormatting sqref="F287">
    <cfRule type="expression" dxfId="295" priority="281">
      <formula>$G287:$G542="Sí"</formula>
    </cfRule>
    <cfRule type="expression" dxfId="294" priority="280">
      <formula>$Q287:$Q542="APOYO"</formula>
    </cfRule>
  </conditionalFormatting>
  <conditionalFormatting sqref="G27">
    <cfRule type="expression" dxfId="293" priority="35">
      <formula>$G27:$G284="Sí"</formula>
    </cfRule>
    <cfRule type="expression" dxfId="292" priority="36">
      <formula>$Q27:$Q284="APOYO"</formula>
    </cfRule>
  </conditionalFormatting>
  <conditionalFormatting sqref="G190">
    <cfRule type="expression" dxfId="291" priority="40">
      <formula>$G190:$G371="Sí"</formula>
    </cfRule>
    <cfRule type="expression" dxfId="290" priority="39">
      <formula>$Q190:$Q371="APOYO"</formula>
    </cfRule>
  </conditionalFormatting>
  <conditionalFormatting sqref="G404:H404">
    <cfRule type="expression" dxfId="289" priority="259">
      <formula>$G404:$G662="Sí"</formula>
    </cfRule>
    <cfRule type="expression" dxfId="288" priority="258">
      <formula>$Q404:$Q662="APOYO"</formula>
    </cfRule>
  </conditionalFormatting>
  <conditionalFormatting sqref="H33">
    <cfRule type="expression" dxfId="287" priority="48">
      <formula>$Q33:$Q355="APOYO"</formula>
    </cfRule>
    <cfRule type="expression" dxfId="286" priority="47">
      <formula>$G33:$G355="Sí"</formula>
    </cfRule>
  </conditionalFormatting>
  <conditionalFormatting sqref="H35">
    <cfRule type="expression" dxfId="285" priority="46">
      <formula>$Q35:$Q357="APOYO"</formula>
    </cfRule>
    <cfRule type="expression" dxfId="284" priority="45">
      <formula>$G35:$G357="Sí"</formula>
    </cfRule>
  </conditionalFormatting>
  <conditionalFormatting sqref="H111:H113">
    <cfRule type="expression" dxfId="283" priority="44">
      <formula>$Q111:$Q433="APOYO"</formula>
    </cfRule>
    <cfRule type="expression" dxfId="282" priority="43">
      <formula>$G111:$G433="Sí"</formula>
    </cfRule>
  </conditionalFormatting>
  <conditionalFormatting sqref="H187">
    <cfRule type="expression" dxfId="281" priority="41">
      <formula>$G187:$G510="Sí"</formula>
    </cfRule>
    <cfRule type="expression" dxfId="280" priority="42">
      <formula>$Q187:$Q510="APOYO"</formula>
    </cfRule>
  </conditionalFormatting>
  <conditionalFormatting sqref="H190">
    <cfRule type="expression" dxfId="279" priority="37">
      <formula>$G190:$G513="Sí"</formula>
    </cfRule>
    <cfRule type="expression" dxfId="278" priority="38">
      <formula>$Q190:$Q513="APOYO"</formula>
    </cfRule>
  </conditionalFormatting>
  <conditionalFormatting sqref="H509:J533">
    <cfRule type="expression" dxfId="277" priority="24">
      <formula>$G509:$G827="Sí"</formula>
    </cfRule>
    <cfRule type="expression" dxfId="276" priority="23">
      <formula>$Q509:$Q827="APOYO"</formula>
    </cfRule>
  </conditionalFormatting>
  <conditionalFormatting sqref="H27:T27">
    <cfRule type="expression" dxfId="275" priority="33">
      <formula>$G27:$G349="Sí"</formula>
    </cfRule>
    <cfRule type="expression" dxfId="274" priority="34">
      <formula>$Q27:$Q349="APOYO"</formula>
    </cfRule>
  </conditionalFormatting>
  <conditionalFormatting sqref="I25:I26 I28 L205:T207 D205:I208 V205:AD208 L208:S208">
    <cfRule type="expression" dxfId="273" priority="74">
      <formula>$G25:$G202="Sí"</formula>
    </cfRule>
    <cfRule type="expression" dxfId="272" priority="73">
      <formula>$Q25:$Q202="APOYO"</formula>
    </cfRule>
  </conditionalFormatting>
  <conditionalFormatting sqref="I41">
    <cfRule type="expression" dxfId="271" priority="207">
      <formula>$Q41:$Q368="APOYO"</formula>
    </cfRule>
    <cfRule type="expression" dxfId="270" priority="208">
      <formula>$G41:$G368="Sí"</formula>
    </cfRule>
  </conditionalFormatting>
  <conditionalFormatting sqref="I62">
    <cfRule type="expression" dxfId="269" priority="64">
      <formula>$G62:$G239="Sí"</formula>
    </cfRule>
    <cfRule type="expression" dxfId="268" priority="63">
      <formula>$Q62:$Q239="APOYO"</formula>
    </cfRule>
  </conditionalFormatting>
  <conditionalFormatting sqref="I190 D190:F191 L190:S197 V190:AD204 G191:I192 D192:E192 D193:I204 L198:T204">
    <cfRule type="expression" dxfId="267" priority="77">
      <formula>$Q190:$Q368="APOYO"</formula>
    </cfRule>
    <cfRule type="expression" dxfId="266" priority="78">
      <formula>$G190:$G368="Sí"</formula>
    </cfRule>
  </conditionalFormatting>
  <conditionalFormatting sqref="J13 U22:U23 I23:I24 I30:I35 I38:I40">
    <cfRule type="expression" dxfId="265" priority="96">
      <formula>$G13:$G338="Sí"</formula>
    </cfRule>
    <cfRule type="expression" dxfId="264" priority="95">
      <formula>$Q13:$Q338="APOYO"</formula>
    </cfRule>
  </conditionalFormatting>
  <conditionalFormatting sqref="J397">
    <cfRule type="expression" dxfId="263" priority="265">
      <formula>$Q397:$Q709="APOYO"</formula>
    </cfRule>
    <cfRule type="expression" dxfId="262" priority="264">
      <formula>$G397:$G709="Sí"</formula>
    </cfRule>
  </conditionalFormatting>
  <conditionalFormatting sqref="J52:K61 C52:C66 J63:K66 U66:U69 J181:K190 C182:C190 C211:C215 J211:K215">
    <cfRule type="expression" dxfId="261" priority="154">
      <formula>$Q52:$Q368="APOYO"</formula>
    </cfRule>
    <cfRule type="expression" dxfId="260" priority="155">
      <formula>$G52:$G368="Sí"</formula>
    </cfRule>
  </conditionalFormatting>
  <conditionalFormatting sqref="J62:K62">
    <cfRule type="expression" dxfId="259" priority="196">
      <formula>$G62:$G383="Sí"</formula>
    </cfRule>
    <cfRule type="expression" dxfId="258" priority="197">
      <formula>$Q62:$Q383="APOYO"</formula>
    </cfRule>
  </conditionalFormatting>
  <conditionalFormatting sqref="J216:K218 C216:C219 J261:K329 K330:K340 U368:U385 U405:U437 K418:K419 K428 K430 U444 U448 K455:K456 U457:U458 U460:U461 U465:U467 K468 U475 U480 K480:K501">
    <cfRule type="expression" dxfId="257" priority="292">
      <formula>$G216:$G528="Sí"</formula>
    </cfRule>
    <cfRule type="expression" dxfId="256" priority="293">
      <formula>$Q216:$Q528="APOYO"</formula>
    </cfRule>
  </conditionalFormatting>
  <conditionalFormatting sqref="J404:K404">
    <cfRule type="expression" dxfId="255" priority="254">
      <formula>$Q404:$Q714="APOYO"</formula>
    </cfRule>
    <cfRule type="expression" dxfId="254" priority="255">
      <formula>$G404:$G714="Sí"</formula>
    </cfRule>
  </conditionalFormatting>
  <conditionalFormatting sqref="J534:K536">
    <cfRule type="expression" dxfId="253" priority="17">
      <formula>$G534:$G846="Sí"</formula>
    </cfRule>
    <cfRule type="expression" dxfId="252" priority="18">
      <formula>$Q534:$Q846="APOYO"</formula>
    </cfRule>
  </conditionalFormatting>
  <conditionalFormatting sqref="J35:S35">
    <cfRule type="expression" dxfId="251" priority="137">
      <formula>$Q35:$Q354="APOYO"</formula>
    </cfRule>
  </conditionalFormatting>
  <conditionalFormatting sqref="J23:T23 V11:AA11 AC11:AD11 D11:J12 L12:T20 V12:AD20 D13:I13 C13:C20 D14:J20 C23:H24 V23:AD24 J24:S24 U24">
    <cfRule type="expression" dxfId="250" priority="129">
      <formula>$G11:$G335="Sí"</formula>
    </cfRule>
  </conditionalFormatting>
  <conditionalFormatting sqref="J23:T23">
    <cfRule type="expression" dxfId="249" priority="128">
      <formula>$Q23:$Q347="APOYO"</formula>
    </cfRule>
  </conditionalFormatting>
  <conditionalFormatting sqref="K7:K10 K28">
    <cfRule type="expression" dxfId="248" priority="153">
      <formula>$G6:$G329="Sí"</formula>
    </cfRule>
    <cfRule type="expression" dxfId="247" priority="152">
      <formula>$Q6:$Q329="APOYO"</formula>
    </cfRule>
  </conditionalFormatting>
  <conditionalFormatting sqref="K11">
    <cfRule type="expression" dxfId="246" priority="200">
      <formula>$G11:$G335="Sí"</formula>
    </cfRule>
  </conditionalFormatting>
  <conditionalFormatting sqref="K12:K20">
    <cfRule type="expression" dxfId="245" priority="224">
      <formula>$Q11:$Q336="APOYO"</formula>
    </cfRule>
    <cfRule type="expression" dxfId="244" priority="225">
      <formula>$G11:$G336="Sí"</formula>
    </cfRule>
  </conditionalFormatting>
  <conditionalFormatting sqref="K38">
    <cfRule type="expression" dxfId="243" priority="194">
      <formula>$Q37:$Q357="APOYO"</formula>
    </cfRule>
    <cfRule type="expression" dxfId="242" priority="195">
      <formula>$G37:$G357="Sí"</formula>
    </cfRule>
  </conditionalFormatting>
  <conditionalFormatting sqref="K341:K348">
    <cfRule type="expression" dxfId="241" priority="295">
      <formula>$G340:$G654="Sí"</formula>
    </cfRule>
    <cfRule type="expression" dxfId="240" priority="294">
      <formula>$Q340:$Q654="APOYO"</formula>
    </cfRule>
  </conditionalFormatting>
  <conditionalFormatting sqref="K370 K373">
    <cfRule type="expression" dxfId="239" priority="268">
      <formula>$Q370:$Q688="APOYO"</formula>
    </cfRule>
    <cfRule type="expression" dxfId="238" priority="269">
      <formula>$G370:$G688="Sí"</formula>
    </cfRule>
    <cfRule type="expression" dxfId="237" priority="271">
      <formula>$G370:$G688="Sí"</formula>
    </cfRule>
    <cfRule type="expression" dxfId="236" priority="270">
      <formula>$Q370:$Q688="APOYO"</formula>
    </cfRule>
  </conditionalFormatting>
  <conditionalFormatting sqref="K508:K533">
    <cfRule type="expression" dxfId="235" priority="266">
      <formula>$G508:$G819="Sí"</formula>
    </cfRule>
    <cfRule type="expression" dxfId="234" priority="267">
      <formula>$Q508:$Q819="APOYO"</formula>
    </cfRule>
  </conditionalFormatting>
  <conditionalFormatting sqref="K11:S11">
    <cfRule type="expression" dxfId="233" priority="173">
      <formula>$Q11:$Q335="APOYO"</formula>
    </cfRule>
  </conditionalFormatting>
  <conditionalFormatting sqref="L11:S11">
    <cfRule type="expression" dxfId="232" priority="172">
      <formula>$G11:$G335="Sí"</formula>
    </cfRule>
  </conditionalFormatting>
  <conditionalFormatting sqref="L88:S89 V88:AD92 D88:I94 L90:T94 V93:Y93 AB93:AD93 V94:AD94">
    <cfRule type="expression" dxfId="231" priority="144">
      <formula>$Q88:$Q348="APOYO"</formula>
    </cfRule>
    <cfRule type="expression" dxfId="230" priority="143">
      <formula>$G88:$G348="Sí"</formula>
    </cfRule>
  </conditionalFormatting>
  <conditionalFormatting sqref="L162:S162 W162:AD162">
    <cfRule type="expression" dxfId="229" priority="125">
      <formula>$G162:$G348="Sí"</formula>
    </cfRule>
    <cfRule type="expression" dxfId="228" priority="124">
      <formula>$Q162:$Q348="APOYO"</formula>
    </cfRule>
  </conditionalFormatting>
  <conditionalFormatting sqref="L261:S261 G261:I264 V261:AD268 D261:F275 L262:T264 G265:H273 L265:S273 V269:AA269 AC269:AD269 V270:AD275 G274:I275 L274:T275">
    <cfRule type="expression" dxfId="227" priority="114">
      <formula>$G261:$G368="Sí"</formula>
    </cfRule>
    <cfRule type="expression" dxfId="226" priority="113">
      <formula>$Q261:$Q368="APOYO"</formula>
    </cfRule>
  </conditionalFormatting>
  <conditionalFormatting sqref="L534:S536 V534:Y536 AC534:AD536">
    <cfRule type="expression" dxfId="225" priority="15">
      <formula>$G534:$G644="Sí"</formula>
    </cfRule>
    <cfRule type="expression" dxfId="224" priority="16">
      <formula>$Q534:$Q644="APOYO"</formula>
    </cfRule>
  </conditionalFormatting>
  <conditionalFormatting sqref="L52:T53 D52:I58 V52:AD58 L54:S54 L55:T57 L58:S58">
    <cfRule type="expression" dxfId="223" priority="165">
      <formula>$G52:$G329="Sí"</formula>
    </cfRule>
    <cfRule type="expression" dxfId="222" priority="164">
      <formula>$Q52:$Q329="APOYO"</formula>
    </cfRule>
  </conditionalFormatting>
  <conditionalFormatting sqref="L66:T69 D66:F83 G66:I84 V66:AD84 L70:S70 L71:T80 L81:S81 L82:T84 D84:E84 T88:T89">
    <cfRule type="expression" dxfId="221" priority="117">
      <formula>$Q66:$Q329="APOYO"</formula>
    </cfRule>
    <cfRule type="expression" dxfId="220" priority="118">
      <formula>$G66:$G329="Sí"</formula>
    </cfRule>
  </conditionalFormatting>
  <conditionalFormatting sqref="L141:T148 D141:I159 V141:AD159 L149:S149 L150:T150 L151:S154 L155:T155 L156:S159 V160:V166">
    <cfRule type="expression" dxfId="219" priority="119">
      <formula>$Q141:$Q329="APOYO"</formula>
    </cfRule>
    <cfRule type="expression" dxfId="218" priority="120">
      <formula>$G141:$G329="Sí"</formula>
    </cfRule>
  </conditionalFormatting>
  <conditionalFormatting sqref="L189:T189">
    <cfRule type="expression" dxfId="217" priority="185">
      <formula>$G189:$G365="Sí"</formula>
    </cfRule>
    <cfRule type="expression" dxfId="216" priority="184">
      <formula>$Q189:$Q365="APOYO"</formula>
    </cfRule>
  </conditionalFormatting>
  <conditionalFormatting sqref="L210:T211 D211:I211 V211:AD211">
    <cfRule type="expression" dxfId="215" priority="236">
      <formula>$Q210:$Q385="APOYO"</formula>
    </cfRule>
    <cfRule type="expression" dxfId="214" priority="237">
      <formula>$G210:$G385="Sí"</formula>
    </cfRule>
  </conditionalFormatting>
  <conditionalFormatting sqref="O331">
    <cfRule type="expression" dxfId="213" priority="263">
      <formula>$Q331:$Q582="APOYO"</formula>
    </cfRule>
    <cfRule type="expression" dxfId="212" priority="262">
      <formula>$G331:$G582="Sí"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211" priority="244">
      <formula>$G286:$G396="Sí"</formula>
    </cfRule>
  </conditionalFormatting>
  <conditionalFormatting sqref="P365">
    <cfRule type="expression" dxfId="210" priority="32">
      <formula>$G365:$G682="Sí"</formula>
    </cfRule>
    <cfRule type="expression" dxfId="209" priority="31">
      <formula>$Q365:$Q682="APOYO"</formula>
    </cfRule>
  </conditionalFormatting>
  <conditionalFormatting sqref="P366:P367 P508:P533">
    <cfRule type="expression" dxfId="208" priority="27">
      <formula>$G366:$G682="Sí"</formula>
    </cfRule>
    <cfRule type="expression" dxfId="207" priority="28">
      <formula>$Q366:$Q682="APOYO"</formula>
    </cfRule>
  </conditionalFormatting>
  <conditionalFormatting sqref="P386:P395 P438:P443 P445:P456 P459 P462:P464 P468:P474 P476:P501">
    <cfRule type="expression" dxfId="206" priority="282">
      <formula>$G386:$G703="Sí"</formula>
    </cfRule>
    <cfRule type="expression" dxfId="205" priority="283">
      <formula>$Q386:$Q703="APOYO"</formula>
    </cfRule>
  </conditionalFormatting>
  <conditionalFormatting sqref="P396:P403 P502:P507">
    <cfRule type="expression" dxfId="204" priority="297">
      <formula>$Q396:$Q707="APOYO"</formula>
    </cfRule>
    <cfRule type="expression" dxfId="203" priority="296">
      <formula>$G396:$G707="Sí"</formula>
    </cfRule>
  </conditionalFormatting>
  <conditionalFormatting sqref="Q349:T350 V349:AD350 D349:O354 Q351:S351 V351:AA351 AC351:AD351 Q352:T354 V352:AD354 C357:C365 P368:P377 C378 P379:P385 P405:P437 P444 P457:P458 P460:P461 P465:P467 P475">
    <cfRule type="expression" dxfId="202" priority="272">
      <formula>$G349:$G664="Sí"</formula>
    </cfRule>
    <cfRule type="expression" dxfId="201" priority="273">
      <formula>$Q349:$Q664="APOYO"</formula>
    </cfRule>
  </conditionalFormatting>
  <conditionalFormatting sqref="T6 C7:J10 L7:T10 V7:AD10 C11:C12 T21:T22 T24:T25 T30:T40">
    <cfRule type="expression" dxfId="200" priority="85">
      <formula>$G6:$G328="Sí"</formula>
    </cfRule>
    <cfRule type="expression" dxfId="199" priority="86">
      <formula>$Q6:$Q328="APOYO"</formula>
    </cfRule>
  </conditionalFormatting>
  <conditionalFormatting sqref="T11">
    <cfRule type="expression" dxfId="198" priority="83">
      <formula>$G11:$G333="Sí"</formula>
    </cfRule>
    <cfRule type="expression" dxfId="197" priority="84">
      <formula>$Q11:$Q333="APOYO"</formula>
    </cfRule>
  </conditionalFormatting>
  <conditionalFormatting sqref="T43">
    <cfRule type="expression" dxfId="196" priority="81">
      <formula>$G43:$G365="Sí"</formula>
    </cfRule>
    <cfRule type="expression" dxfId="195" priority="82">
      <formula>$Q43:$Q365="APOYO"</formula>
    </cfRule>
  </conditionalFormatting>
  <conditionalFormatting sqref="T48 T54 T58">
    <cfRule type="expression" dxfId="194" priority="79">
      <formula>$G48:$G372="Sí"</formula>
    </cfRule>
    <cfRule type="expression" dxfId="193" priority="80">
      <formula>$Q48:$Q372="APOYO"</formula>
    </cfRule>
  </conditionalFormatting>
  <conditionalFormatting sqref="T70 T81">
    <cfRule type="expression" dxfId="192" priority="243">
      <formula>$Q70:$Q397="APOYO"</formula>
    </cfRule>
    <cfRule type="expression" dxfId="191" priority="242">
      <formula>$G70:$G397="Sí"</formula>
    </cfRule>
  </conditionalFormatting>
  <conditionalFormatting sqref="T113">
    <cfRule type="expression" dxfId="190" priority="88">
      <formula>$G113:$G378="Sí"</formula>
    </cfRule>
    <cfRule type="expression" dxfId="189" priority="87">
      <formula>$Q113:$Q378="APOYO"</formula>
    </cfRule>
  </conditionalFormatting>
  <conditionalFormatting sqref="T152:T154 T156:T162 W163:AD166 D163:I169 L163:T169 V167:AD169">
    <cfRule type="expression" dxfId="188" priority="226">
      <formula>$Q152:$Q337="APOYO"</formula>
    </cfRule>
    <cfRule type="expression" dxfId="187" priority="227">
      <formula>$G152:$G337="Sí"</formula>
    </cfRule>
  </conditionalFormatting>
  <conditionalFormatting sqref="T180">
    <cfRule type="expression" dxfId="186" priority="61">
      <formula>$Q180:$Q365="APOYO"</formula>
    </cfRule>
    <cfRule type="expression" dxfId="185" priority="62">
      <formula>$G180:$G365="Sí"</formula>
    </cfRule>
  </conditionalFormatting>
  <conditionalFormatting sqref="T190:T197">
    <cfRule type="expression" dxfId="184" priority="289">
      <formula>$Q190:$Q515="APOYO"</formula>
    </cfRule>
    <cfRule type="expression" dxfId="183" priority="288">
      <formula>$G190:$G515="Sí"</formula>
    </cfRule>
  </conditionalFormatting>
  <conditionalFormatting sqref="T208:T209 T257 T261 T265:T273 T308 T310:T311 T386:T388 T390:T395 T438:T443 T445:T456 T459 T462:T464 T468:T474 T476:T507">
    <cfRule type="expression" dxfId="182" priority="248">
      <formula>$G208:$G528="Sí"</formula>
    </cfRule>
    <cfRule type="expression" dxfId="181" priority="249">
      <formula>$Q208:$Q528="APOYO"</formula>
    </cfRule>
  </conditionalFormatting>
  <conditionalFormatting sqref="T374">
    <cfRule type="expression" dxfId="180" priority="260">
      <formula>$G374:$G692="Sí"</formula>
    </cfRule>
    <cfRule type="expression" dxfId="179" priority="261">
      <formula>$Q374:$Q692="APOYO"</formula>
    </cfRule>
  </conditionalFormatting>
  <conditionalFormatting sqref="T396:T403">
    <cfRule type="expression" dxfId="178" priority="291">
      <formula>$Q396:$Q710="APOYO"</formula>
    </cfRule>
    <cfRule type="expression" dxfId="177" priority="290">
      <formula>$G396:$G710="Sí"</formula>
    </cfRule>
  </conditionalFormatting>
  <conditionalFormatting sqref="T404">
    <cfRule type="expression" dxfId="176" priority="253">
      <formula>$Q404:$Q720="APOYO"</formula>
    </cfRule>
    <cfRule type="expression" dxfId="175" priority="252">
      <formula>$G404:$G720="Sí"</formula>
    </cfRule>
  </conditionalFormatting>
  <conditionalFormatting sqref="T508:T532">
    <cfRule type="expression" dxfId="174" priority="287">
      <formula>$Q508:$Q827="APOYO"</formula>
    </cfRule>
    <cfRule type="expression" dxfId="173" priority="286">
      <formula>$G508:$G827="Sí"</formula>
    </cfRule>
  </conditionalFormatting>
  <conditionalFormatting sqref="T533:T536">
    <cfRule type="expression" dxfId="172" priority="4">
      <formula>$Q533:$Q643="APOYO"</formula>
    </cfRule>
    <cfRule type="expression" dxfId="171" priority="3">
      <formula>$G533:$G643="Sí"</formula>
    </cfRule>
  </conditionalFormatting>
  <conditionalFormatting sqref="U11:U20 C21:S22 V21:AD22">
    <cfRule type="expression" dxfId="170" priority="228">
      <formula>$G11:$G336="Sí"</formula>
    </cfRule>
    <cfRule type="expression" dxfId="169" priority="209">
      <formula>$Q11:$Q336="APOYO"</formula>
    </cfRule>
  </conditionalFormatting>
  <conditionalFormatting sqref="U21">
    <cfRule type="expression" dxfId="168" priority="98">
      <formula>$Q21:$Q347="APOYO"</formula>
    </cfRule>
    <cfRule type="expression" dxfId="167" priority="99">
      <formula>$G21:$G347="Sí"</formula>
    </cfRule>
  </conditionalFormatting>
  <conditionalFormatting sqref="U34:U43 U48:U49">
    <cfRule type="expression" dxfId="166" priority="90">
      <formula>$G34:$G354="Sí"</formula>
    </cfRule>
    <cfRule type="expression" dxfId="165" priority="89">
      <formula>$Q34:$Q354="APOYO"</formula>
    </cfRule>
  </conditionalFormatting>
  <conditionalFormatting sqref="U46:U47 C163:C179 J163:K179 U179:U180 G508:J508">
    <cfRule type="expression" dxfId="164" priority="71">
      <formula>$Q46:$Q364="APOYO"</formula>
    </cfRule>
    <cfRule type="expression" dxfId="163" priority="72">
      <formula>$G46:$G364="Sí"</formula>
    </cfRule>
  </conditionalFormatting>
  <conditionalFormatting sqref="U50">
    <cfRule type="expression" dxfId="162" priority="206">
      <formula>$G50:$G365="Sí"</formula>
    </cfRule>
    <cfRule type="expression" dxfId="161" priority="205">
      <formula>$Q50:$Q365="APOYO"</formula>
    </cfRule>
  </conditionalFormatting>
  <conditionalFormatting sqref="U190:U209 Q357:S357">
    <cfRule type="expression" dxfId="160" priority="29">
      <formula>$Q190:$Q508="APOYO"</formula>
    </cfRule>
    <cfRule type="expression" dxfId="159" priority="30">
      <formula>$G190:$G508="Sí"</formula>
    </cfRule>
  </conditionalFormatting>
  <conditionalFormatting sqref="U349:U354 P355:P364 U357 AB400 AB403 AB502 AB504">
    <cfRule type="expression" dxfId="158" priority="276">
      <formula>$Q349:$Q665="APOYO"</formula>
    </cfRule>
    <cfRule type="expression" dxfId="157" priority="277">
      <formula>$G349:$G665="Sí"</formula>
    </cfRule>
  </conditionalFormatting>
  <conditionalFormatting sqref="U389">
    <cfRule type="expression" dxfId="156" priority="274">
      <formula>$Q389:$Q701="APOYO"</formula>
    </cfRule>
    <cfRule type="expression" dxfId="155" priority="275">
      <formula>$G389:$G701="Sí"</formula>
    </cfRule>
  </conditionalFormatting>
  <conditionalFormatting sqref="U396:U403 U502:U507">
    <cfRule type="expression" dxfId="154" priority="299">
      <formula>$G396:$G704="Sí"</formula>
    </cfRule>
    <cfRule type="expression" dxfId="153" priority="298">
      <formula>$Q396:$Q704="APOYO"</formula>
    </cfRule>
  </conditionalFormatting>
  <conditionalFormatting sqref="U404">
    <cfRule type="expression" dxfId="152" priority="257">
      <formula>$G404:$G715="Sí"</formula>
    </cfRule>
    <cfRule type="expression" dxfId="151" priority="256">
      <formula>$Q404:$Q715="APOYO"</formula>
    </cfRule>
  </conditionalFormatting>
  <conditionalFormatting sqref="U499:U501 F508:F527 C508:C536 G509:G527 F528:G533">
    <cfRule type="expression" dxfId="150" priority="251">
      <formula>$G499:$G811="Sí"</formula>
    </cfRule>
    <cfRule type="expression" dxfId="149" priority="250">
      <formula>$Q499:$Q811="APOYO"</formula>
    </cfRule>
  </conditionalFormatting>
  <conditionalFormatting sqref="U533:U536">
    <cfRule type="expression" dxfId="148" priority="21">
      <formula>$Q533:$Q841="APOYO"</formula>
    </cfRule>
    <cfRule type="expression" dxfId="147" priority="22">
      <formula>$G533:$G841="Sí"</formula>
    </cfRule>
  </conditionalFormatting>
  <conditionalFormatting sqref="V6 D234:I240 L234:T240 V234:AD240">
    <cfRule type="expression" dxfId="146" priority="133">
      <formula>$Q6:$Q120="APOYO"</formula>
    </cfRule>
    <cfRule type="expression" dxfId="145" priority="134">
      <formula>$G6:$G120="Sí"</formula>
    </cfRule>
  </conditionalFormatting>
  <conditionalFormatting sqref="V253:Y253 AB253:AD253 D253:I254 L253:T254 V254:AD254 P349:P351">
    <cfRule type="expression" dxfId="144" priority="179">
      <formula>$G253:$G363="Sí"</formula>
    </cfRule>
    <cfRule type="expression" dxfId="143" priority="178">
      <formula>$Q253:$Q363="APOYO"</formula>
    </cfRule>
  </conditionalFormatting>
  <conditionalFormatting sqref="V11:AA11 AC11:AD11 D11:J12 L12:T20 V12:AD20 D13:I13 C13:C20 D14:J20 C23:H24 V23:AD24 J24:S24 U24">
    <cfRule type="expression" dxfId="142" priority="106">
      <formula>$Q11:$Q335="APOYO"</formula>
    </cfRule>
  </conditionalFormatting>
  <conditionalFormatting sqref="Z6:AA6">
    <cfRule type="expression" dxfId="141" priority="54">
      <formula>$G6:$G330="Sí"</formula>
    </cfRule>
    <cfRule type="expression" dxfId="140" priority="53">
      <formula>$Q6:$Q330="APOYO"</formula>
    </cfRule>
  </conditionalFormatting>
  <conditionalFormatting sqref="Z253:AA253">
    <cfRule type="expression" dxfId="139" priority="52">
      <formula>$G253:$G370="Sí"</formula>
    </cfRule>
    <cfRule type="expression" dxfId="138" priority="51">
      <formula>$Q253:$Q370="APOYO"</formula>
    </cfRule>
  </conditionalFormatting>
  <conditionalFormatting sqref="Z534:AA536">
    <cfRule type="expression" dxfId="137" priority="13">
      <formula>$Q534:$Q852="APOYO"</formula>
    </cfRule>
    <cfRule type="expression" dxfId="136" priority="14">
      <formula>$G534:$G852="Sí"</formula>
    </cfRule>
  </conditionalFormatting>
  <conditionalFormatting sqref="AB11">
    <cfRule type="expression" dxfId="135" priority="66">
      <formula>$G11:$G279="Sí"</formula>
    </cfRule>
    <cfRule type="expression" dxfId="134" priority="65">
      <formula>$Q11:$Q279="APOYO"</formula>
    </cfRule>
  </conditionalFormatting>
  <conditionalFormatting sqref="AB30">
    <cfRule type="expression" dxfId="133" priority="19">
      <formula>$Q30:$Q298="APOYO"</formula>
    </cfRule>
    <cfRule type="expression" dxfId="132" priority="20">
      <formula>$G30:$G298="Sí"</formula>
    </cfRule>
  </conditionalFormatting>
  <conditionalFormatting sqref="AB32">
    <cfRule type="expression" dxfId="131" priority="67">
      <formula>$Q32:$Q300="APOYO"</formula>
    </cfRule>
    <cfRule type="expression" dxfId="130" priority="68">
      <formula>$G32:$G300="Sí"</formula>
    </cfRule>
  </conditionalFormatting>
  <conditionalFormatting sqref="AB49">
    <cfRule type="expression" dxfId="129" priority="69">
      <formula>$Q49:$Q317="APOYO"</formula>
    </cfRule>
    <cfRule type="expression" dxfId="128" priority="70">
      <formula>$G49:$G317="Sí"</formula>
    </cfRule>
  </conditionalFormatting>
  <conditionalFormatting sqref="AB121">
    <cfRule type="expression" dxfId="127" priority="56">
      <formula>$G121:$G389="Sí"</formula>
    </cfRule>
    <cfRule type="expression" dxfId="126" priority="55">
      <formula>$Q121:$Q389="APOYO"</formula>
    </cfRule>
  </conditionalFormatting>
  <conditionalFormatting sqref="AB180">
    <cfRule type="expression" dxfId="125" priority="141">
      <formula>$Q180:$Q504="APOYO"</formula>
    </cfRule>
    <cfRule type="expression" dxfId="124" priority="142">
      <formula>$G180:$G504="Sí"</formula>
    </cfRule>
  </conditionalFormatting>
  <conditionalFormatting sqref="AB220">
    <cfRule type="expression" dxfId="123" priority="49">
      <formula>$Q220:$Q330="APOYO"</formula>
    </cfRule>
    <cfRule type="expression" dxfId="122" priority="50">
      <formula>$G220:$G330="Sí"</formula>
    </cfRule>
  </conditionalFormatting>
  <conditionalFormatting sqref="AB386:AB388 AB390:AB395 AB438:AB443 AB445:AB447 AB449:AB456 AB459 AB462:AB464 AB468:AB474 AB476:AB479 AB481:AB498">
    <cfRule type="expression" dxfId="121" priority="278">
      <formula>$Q386:$Q708="APOYO"</formula>
    </cfRule>
    <cfRule type="expression" dxfId="120" priority="279">
      <formula>$G386:$G708="Sí"</formula>
    </cfRule>
  </conditionalFormatting>
  <conditionalFormatting sqref="AB533:AB536">
    <cfRule type="expression" dxfId="119" priority="2">
      <formula>$G533:$G797="Sí"</formula>
    </cfRule>
    <cfRule type="expression" dxfId="118" priority="1">
      <formula>$Q533:$Q797="APOYO"</formula>
    </cfRule>
  </conditionalFormatting>
  <dataValidations count="1">
    <dataValidation type="date" showInputMessage="1" showErrorMessage="1" sqref="Y370 V534:Y536 V6:AA354" xr:uid="{00000000-0002-0000-0000-000000000000}">
      <formula1>46023</formula1>
      <formula2>46387</formula2>
    </dataValidation>
  </dataValidations>
  <hyperlinks>
    <hyperlink ref="N14" r:id="rId1" xr:uid="{00000000-0004-0000-0000-000000000000}"/>
    <hyperlink ref="N13" r:id="rId2" xr:uid="{00000000-0004-0000-0000-000001000000}"/>
    <hyperlink ref="N45" r:id="rId3" xr:uid="{00000000-0004-0000-0000-000002000000}"/>
    <hyperlink ref="N46" r:id="rId4" xr:uid="{00000000-0004-0000-0000-000003000000}"/>
    <hyperlink ref="N38" r:id="rId5" xr:uid="{00000000-0004-0000-0000-000004000000}"/>
    <hyperlink ref="N65" r:id="rId6" xr:uid="{00000000-0004-0000-0000-000005000000}"/>
    <hyperlink ref="N41" r:id="rId7" xr:uid="{00000000-0004-0000-0000-000006000000}"/>
    <hyperlink ref="N58" r:id="rId8" xr:uid="{00000000-0004-0000-0000-000007000000}"/>
    <hyperlink ref="N59" r:id="rId9" xr:uid="{00000000-0004-0000-0000-000008000000}"/>
    <hyperlink ref="N60" r:id="rId10" xr:uid="{00000000-0004-0000-0000-000009000000}"/>
    <hyperlink ref="N36" r:id="rId11" xr:uid="{00000000-0004-0000-0000-00000A000000}"/>
    <hyperlink ref="N63" r:id="rId12" xr:uid="{00000000-0004-0000-0000-00000B000000}"/>
    <hyperlink ref="N132" r:id="rId13" xr:uid="{00000000-0004-0000-0000-00000C000000}"/>
    <hyperlink ref="N173" r:id="rId14" xr:uid="{00000000-0004-0000-0000-00000D000000}"/>
    <hyperlink ref="N214" r:id="rId15" xr:uid="{00000000-0004-0000-0000-00000E000000}"/>
    <hyperlink ref="N221" r:id="rId16" xr:uid="{00000000-0004-0000-0000-00000F000000}"/>
    <hyperlink ref="N328" r:id="rId17" xr:uid="{00000000-0004-0000-0000-000010000000}"/>
    <hyperlink ref="N327" r:id="rId18" display="https://www.linkedin.com/in/lorena-alvarez-46b9a795/" xr:uid="{00000000-0004-0000-0000-000011000000}"/>
    <hyperlink ref="N325" r:id="rId19" xr:uid="{00000000-0004-0000-0000-000012000000}"/>
    <hyperlink ref="N323" r:id="rId20" display="https://www.linkedin.com/in/claudiacisneros/" xr:uid="{00000000-0004-0000-0000-000013000000}"/>
    <hyperlink ref="N322" r:id="rId21" xr:uid="{00000000-0004-0000-0000-000014000000}"/>
    <hyperlink ref="N321" r:id="rId22" xr:uid="{00000000-0004-0000-0000-000015000000}"/>
    <hyperlink ref="N317" r:id="rId23" xr:uid="{00000000-0004-0000-0000-000016000000}"/>
    <hyperlink ref="N318" r:id="rId24" xr:uid="{00000000-0004-0000-0000-000017000000}"/>
    <hyperlink ref="N316" r:id="rId25" xr:uid="{00000000-0004-0000-0000-000018000000}"/>
    <hyperlink ref="N315" r:id="rId26" display="https://www.instagram.com/adrianaleoncantella/?hl=es" xr:uid="{00000000-0004-0000-0000-000019000000}"/>
    <hyperlink ref="N319" r:id="rId27" xr:uid="{00000000-0004-0000-0000-00001A000000}"/>
    <hyperlink ref="N324" r:id="rId28" xr:uid="{00000000-0004-0000-0000-00001B000000}"/>
    <hyperlink ref="N320" r:id="rId29" xr:uid="{00000000-0004-0000-0000-00001C000000}"/>
    <hyperlink ref="N314" r:id="rId30" xr:uid="{00000000-0004-0000-0000-00001D000000}"/>
    <hyperlink ref="N329" r:id="rId31" xr:uid="{00000000-0004-0000-0000-00001E000000}"/>
    <hyperlink ref="N112" r:id="rId32" display="arebaza@mpfn.gob.pe" xr:uid="{00000000-0004-0000-0000-00001F000000}"/>
    <hyperlink ref="O114" r:id="rId33" xr:uid="{00000000-0004-0000-0000-000020000000}"/>
    <hyperlink ref="O143:O173" r:id="rId34" display="servicedesk@pj.gob.pe." xr:uid="{00000000-0004-0000-0000-000021000000}"/>
    <hyperlink ref="O266" r:id="rId35" xr:uid="{00000000-0004-0000-0000-000022000000}"/>
    <hyperlink ref="N15" r:id="rId36" xr:uid="{00000000-0004-0000-0000-000023000000}"/>
    <hyperlink ref="O22" r:id="rId37" xr:uid="{00000000-0004-0000-0000-000024000000}"/>
    <hyperlink ref="N31" r:id="rId38" xr:uid="{00000000-0004-0000-0000-000025000000}"/>
    <hyperlink ref="O21" r:id="rId39" xr:uid="{00000000-0004-0000-0000-000026000000}"/>
    <hyperlink ref="N40" r:id="rId40" xr:uid="{00000000-0004-0000-0000-000027000000}"/>
    <hyperlink ref="N35" r:id="rId41" xr:uid="{00000000-0004-0000-0000-000028000000}"/>
    <hyperlink ref="AD46" r:id="rId42" xr:uid="{00000000-0004-0000-0000-000029000000}"/>
    <hyperlink ref="N330" r:id="rId43" xr:uid="{00000000-0004-0000-0000-00002A000000}"/>
    <hyperlink ref="N332" r:id="rId44" xr:uid="{00000000-0004-0000-0000-00002B000000}"/>
    <hyperlink ref="N334" r:id="rId45" xr:uid="{00000000-0004-0000-0000-00002C000000}"/>
    <hyperlink ref="O331" r:id="rId46" xr:uid="{00000000-0004-0000-0000-00002D000000}"/>
    <hyperlink ref="O336" r:id="rId47" xr:uid="{00000000-0004-0000-0000-00002E000000}"/>
    <hyperlink ref="N338" r:id="rId48" xr:uid="{00000000-0004-0000-0000-00002F000000}"/>
    <hyperlink ref="O339" r:id="rId49" xr:uid="{00000000-0004-0000-0000-000030000000}"/>
    <hyperlink ref="O340" r:id="rId50" display="mesadepartes.fpedv.maynas@gmail.com" xr:uid="{00000000-0004-0000-0000-000031000000}"/>
    <hyperlink ref="N340" r:id="rId51" xr:uid="{00000000-0004-0000-0000-000032000000}"/>
    <hyperlink ref="N342" r:id="rId52" xr:uid="{00000000-0004-0000-0000-000033000000}"/>
    <hyperlink ref="O341" r:id="rId53" xr:uid="{00000000-0004-0000-0000-000034000000}"/>
    <hyperlink ref="O342" r:id="rId54" xr:uid="{00000000-0004-0000-0000-000035000000}"/>
    <hyperlink ref="O343" r:id="rId55" xr:uid="{00000000-0004-0000-0000-000036000000}"/>
    <hyperlink ref="O344" r:id="rId56" xr:uid="{00000000-0004-0000-0000-000037000000}"/>
    <hyperlink ref="N345" r:id="rId57" xr:uid="{00000000-0004-0000-0000-000038000000}"/>
    <hyperlink ref="O346" r:id="rId58" xr:uid="{00000000-0004-0000-0000-000039000000}"/>
    <hyperlink ref="O347" r:id="rId59" xr:uid="{00000000-0004-0000-0000-00003A000000}"/>
    <hyperlink ref="O348" r:id="rId60" xr:uid="{00000000-0004-0000-0000-00003B000000}"/>
    <hyperlink ref="N349" r:id="rId61" xr:uid="{00000000-0004-0000-0000-00003C000000}"/>
    <hyperlink ref="N350" r:id="rId62" xr:uid="{00000000-0004-0000-0000-00003D000000}"/>
    <hyperlink ref="N351" r:id="rId63" xr:uid="{00000000-0004-0000-0000-00003E000000}"/>
    <hyperlink ref="O352" r:id="rId64" xr:uid="{00000000-0004-0000-0000-00003F000000}"/>
    <hyperlink ref="O353" r:id="rId65" xr:uid="{00000000-0004-0000-0000-000040000000}"/>
    <hyperlink ref="O354" r:id="rId66" xr:uid="{00000000-0004-0000-0000-000041000000}"/>
    <hyperlink ref="O355" r:id="rId67" xr:uid="{00000000-0004-0000-0000-000042000000}"/>
    <hyperlink ref="O356" r:id="rId68" xr:uid="{00000000-0004-0000-0000-000043000000}"/>
    <hyperlink ref="O357" r:id="rId69" xr:uid="{00000000-0004-0000-0000-000044000000}"/>
    <hyperlink ref="O358" r:id="rId70" xr:uid="{00000000-0004-0000-0000-000045000000}"/>
    <hyperlink ref="O359" r:id="rId71" xr:uid="{00000000-0004-0000-0000-000046000000}"/>
    <hyperlink ref="O360" r:id="rId72" xr:uid="{00000000-0004-0000-0000-000047000000}"/>
    <hyperlink ref="O361" r:id="rId73" xr:uid="{00000000-0004-0000-0000-000048000000}"/>
    <hyperlink ref="O362" r:id="rId74" xr:uid="{00000000-0004-0000-0000-000049000000}"/>
    <hyperlink ref="O363" r:id="rId75" xr:uid="{00000000-0004-0000-0000-00004A000000}"/>
    <hyperlink ref="O364" r:id="rId76" xr:uid="{00000000-0004-0000-0000-00004B000000}"/>
    <hyperlink ref="O365" r:id="rId77" xr:uid="{00000000-0004-0000-0000-00004C000000}"/>
    <hyperlink ref="N16" r:id="rId78" xr:uid="{00000000-0004-0000-0000-00004D000000}"/>
    <hyperlink ref="N17" r:id="rId79" xr:uid="{00000000-0004-0000-0000-00004E000000}"/>
    <hyperlink ref="N220" r:id="rId80" xr:uid="{00000000-0004-0000-0000-00004F000000}"/>
    <hyperlink ref="N384" r:id="rId81" xr:uid="{00000000-0004-0000-0000-000050000000}"/>
    <hyperlink ref="N385" r:id="rId82" display="metacalidaddevida@hotmail.com_x000a_(066) 302683" xr:uid="{00000000-0004-0000-0000-000051000000}"/>
    <hyperlink ref="N390" r:id="rId83" xr:uid="{00000000-0004-0000-0000-000052000000}"/>
    <hyperlink ref="N391" r:id="rId84" xr:uid="{00000000-0004-0000-0000-000053000000}"/>
    <hyperlink ref="N394" r:id="rId85" xr:uid="{00000000-0004-0000-0000-000054000000}"/>
    <hyperlink ref="N395" r:id="rId86" xr:uid="{00000000-0004-0000-0000-000055000000}"/>
    <hyperlink ref="N430" r:id="rId87" xr:uid="{00000000-0004-0000-0000-000056000000}"/>
    <hyperlink ref="N431" r:id="rId88" xr:uid="{00000000-0004-0000-0000-000057000000}"/>
    <hyperlink ref="N432" r:id="rId89" xr:uid="{00000000-0004-0000-0000-000058000000}"/>
    <hyperlink ref="N433" r:id="rId90" xr:uid="{00000000-0004-0000-0000-000059000000}"/>
    <hyperlink ref="N434" r:id="rId91" xr:uid="{00000000-0004-0000-0000-00005A000000}"/>
    <hyperlink ref="N435" r:id="rId92" xr:uid="{00000000-0004-0000-0000-00005B000000}"/>
    <hyperlink ref="N437" r:id="rId93" xr:uid="{00000000-0004-0000-0000-00005C000000}"/>
    <hyperlink ref="N449" r:id="rId94" display="930480207pomalopezpatricia@hotmail.com" xr:uid="{00000000-0004-0000-0000-00005D000000}"/>
    <hyperlink ref="N465" r:id="rId95" xr:uid="{00000000-0004-0000-0000-00005E000000}"/>
    <hyperlink ref="N466" r:id="rId96" xr:uid="{00000000-0004-0000-0000-00005F000000}"/>
    <hyperlink ref="N469" r:id="rId97" xr:uid="{00000000-0004-0000-0000-000060000000}"/>
    <hyperlink ref="N470" r:id="rId98" xr:uid="{00000000-0004-0000-0000-000061000000}"/>
    <hyperlink ref="N471" r:id="rId99" xr:uid="{00000000-0004-0000-0000-000062000000}"/>
    <hyperlink ref="N473" r:id="rId100" xr:uid="{00000000-0004-0000-0000-000063000000}"/>
    <hyperlink ref="N474" r:id="rId101" xr:uid="{00000000-0004-0000-0000-000064000000}"/>
    <hyperlink ref="N475" r:id="rId102" xr:uid="{00000000-0004-0000-0000-000065000000}"/>
    <hyperlink ref="N476" r:id="rId103" xr:uid="{00000000-0004-0000-0000-000066000000}"/>
    <hyperlink ref="N483" r:id="rId104" xr:uid="{00000000-0004-0000-0000-000067000000}"/>
    <hyperlink ref="N484" r:id="rId105" xr:uid="{00000000-0004-0000-0000-000068000000}"/>
    <hyperlink ref="N485" r:id="rId106" xr:uid="{00000000-0004-0000-0000-000069000000}"/>
    <hyperlink ref="N486" r:id="rId107" xr:uid="{00000000-0004-0000-0000-00006A000000}"/>
    <hyperlink ref="N487" r:id="rId108" xr:uid="{00000000-0004-0000-0000-00006B000000}"/>
    <hyperlink ref="N488" r:id="rId109" xr:uid="{00000000-0004-0000-0000-00006C000000}"/>
    <hyperlink ref="N489" r:id="rId110" xr:uid="{00000000-0004-0000-0000-00006D000000}"/>
    <hyperlink ref="N490" r:id="rId111" xr:uid="{00000000-0004-0000-0000-00006E000000}"/>
    <hyperlink ref="N491" r:id="rId112" xr:uid="{00000000-0004-0000-0000-00006F000000}"/>
    <hyperlink ref="N492" r:id="rId113" xr:uid="{00000000-0004-0000-0000-000070000000}"/>
    <hyperlink ref="N493" r:id="rId114" xr:uid="{00000000-0004-0000-0000-000071000000}"/>
    <hyperlink ref="N495" r:id="rId115" xr:uid="{00000000-0004-0000-0000-000072000000}"/>
    <hyperlink ref="N496" r:id="rId116" xr:uid="{00000000-0004-0000-0000-000073000000}"/>
    <hyperlink ref="N530" r:id="rId117" xr:uid="{00000000-0004-0000-0000-000074000000}"/>
    <hyperlink ref="N532" r:id="rId118" xr:uid="{00000000-0004-0000-0000-000075000000}"/>
    <hyperlink ref="N533" r:id="rId119" xr:uid="{00000000-0004-0000-0000-000076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1"/>
    <col min="2" max="2" width="13.26953125" style="12" customWidth="1"/>
    <col min="3" max="3" width="27.26953125" style="11" customWidth="1"/>
    <col min="4" max="4" width="35" style="11" customWidth="1"/>
    <col min="5" max="5" width="42.453125" style="12" customWidth="1"/>
    <col min="6" max="7" width="27.1796875" style="12" customWidth="1"/>
    <col min="8" max="10" width="36.453125" style="12" customWidth="1"/>
    <col min="11" max="11" width="21.81640625" style="12" customWidth="1"/>
    <col min="12" max="12" width="45.453125" style="13" customWidth="1"/>
    <col min="13" max="13" width="28" style="11" customWidth="1"/>
    <col min="14" max="14" width="34.54296875" style="11" customWidth="1"/>
    <col min="15" max="15" width="10.26953125" style="11" customWidth="1"/>
    <col min="16" max="16" width="11.453125" style="11" customWidth="1"/>
    <col min="17" max="17" width="8.1796875" style="11" customWidth="1"/>
    <col min="18" max="19" width="18" style="11" customWidth="1"/>
    <col min="20" max="20" width="26.54296875" style="11" bestFit="1" customWidth="1"/>
    <col min="21" max="21" width="27" style="11" customWidth="1"/>
    <col min="22" max="22" width="24.453125" style="11" customWidth="1"/>
    <col min="23" max="23" width="26.1796875" style="11" customWidth="1"/>
    <col min="24" max="24" width="30" style="11" bestFit="1" customWidth="1"/>
    <col min="25" max="25" width="27.1796875" style="11" bestFit="1" customWidth="1"/>
    <col min="26" max="26" width="27.1796875" style="11" customWidth="1"/>
    <col min="27" max="27" width="15.453125" style="11" customWidth="1"/>
    <col min="28" max="28" width="29.54296875" style="11" customWidth="1"/>
    <col min="29" max="29" width="36" style="11" customWidth="1"/>
    <col min="30" max="16384" width="10.81640625" style="11"/>
  </cols>
  <sheetData>
    <row r="1" spans="2:30" x14ac:dyDescent="0.35">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spans="2:30" x14ac:dyDescent="0.35">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spans="2:30" x14ac:dyDescent="0.35">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spans="2:30" x14ac:dyDescent="0.35">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spans="2:30" x14ac:dyDescent="0.3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spans="2:30" x14ac:dyDescent="0.35">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spans="2:30" x14ac:dyDescent="0.35">
      <c r="B7" s="12" t="s">
        <v>992</v>
      </c>
      <c r="C7" s="11" t="s">
        <v>993</v>
      </c>
      <c r="D7" s="11" t="s">
        <v>265</v>
      </c>
      <c r="E7" s="12" t="s">
        <v>266</v>
      </c>
      <c r="F7" s="12" t="s">
        <v>49</v>
      </c>
      <c r="G7" s="12" t="s">
        <v>246</v>
      </c>
      <c r="H7" s="12" t="s">
        <v>246</v>
      </c>
      <c r="I7" s="12" t="s">
        <v>82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spans="2:30" x14ac:dyDescent="0.35">
      <c r="B8" s="12" t="s">
        <v>992</v>
      </c>
      <c r="C8" s="11" t="s">
        <v>994</v>
      </c>
      <c r="D8" s="11" t="s">
        <v>175</v>
      </c>
      <c r="E8" s="12" t="s">
        <v>176</v>
      </c>
      <c r="F8" s="12" t="s">
        <v>49</v>
      </c>
      <c r="G8" s="12" t="s">
        <v>275</v>
      </c>
      <c r="H8" s="12" t="s">
        <v>126</v>
      </c>
      <c r="I8" s="12" t="s">
        <v>82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spans="2:30" x14ac:dyDescent="0.35">
      <c r="B9" s="12" t="s">
        <v>992</v>
      </c>
      <c r="C9" s="11" t="s">
        <v>1036</v>
      </c>
      <c r="D9" s="11" t="s">
        <v>276</v>
      </c>
      <c r="E9" s="12" t="s">
        <v>277</v>
      </c>
      <c r="F9" s="12" t="s">
        <v>278</v>
      </c>
      <c r="G9" s="12" t="s">
        <v>275</v>
      </c>
      <c r="H9" s="12" t="s">
        <v>126</v>
      </c>
      <c r="I9" s="12" t="s">
        <v>82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spans="2:30" x14ac:dyDescent="0.35">
      <c r="B10" s="12" t="s">
        <v>992</v>
      </c>
      <c r="C10" s="11" t="s">
        <v>1037</v>
      </c>
      <c r="D10" s="11" t="s">
        <v>288</v>
      </c>
      <c r="E10" s="12" t="s">
        <v>289</v>
      </c>
      <c r="F10" s="12" t="s">
        <v>49</v>
      </c>
      <c r="G10" s="12" t="s">
        <v>129</v>
      </c>
      <c r="H10" s="12" t="s">
        <v>126</v>
      </c>
      <c r="I10" s="12" t="s">
        <v>82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spans="2:30" x14ac:dyDescent="0.35">
      <c r="B11" s="12" t="s">
        <v>992</v>
      </c>
      <c r="C11" s="11" t="s">
        <v>1309</v>
      </c>
      <c r="D11" s="11" t="s">
        <v>86</v>
      </c>
      <c r="E11" s="12" t="s">
        <v>87</v>
      </c>
      <c r="F11" s="12" t="s">
        <v>49</v>
      </c>
      <c r="G11" s="12" t="s">
        <v>129</v>
      </c>
      <c r="H11" s="12" t="s">
        <v>126</v>
      </c>
      <c r="I11" s="12" t="s">
        <v>82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spans="2:30" x14ac:dyDescent="0.35">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spans="2:30" x14ac:dyDescent="0.35">
      <c r="B13" s="12" t="s">
        <v>992</v>
      </c>
      <c r="C13" s="11" t="s">
        <v>1311</v>
      </c>
      <c r="D13" s="11" t="s">
        <v>302</v>
      </c>
      <c r="E13" s="12" t="s">
        <v>303</v>
      </c>
      <c r="F13" s="12" t="s">
        <v>283</v>
      </c>
      <c r="G13" s="12" t="s">
        <v>246</v>
      </c>
      <c r="H13" s="12" t="s">
        <v>246</v>
      </c>
      <c r="I13" s="12" t="s">
        <v>82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spans="2:30" x14ac:dyDescent="0.35">
      <c r="B14" s="12" t="s">
        <v>992</v>
      </c>
      <c r="C14" s="11" t="s">
        <v>1312</v>
      </c>
      <c r="D14" s="11" t="s">
        <v>181</v>
      </c>
      <c r="E14" s="12" t="s">
        <v>182</v>
      </c>
      <c r="F14" s="12" t="s">
        <v>305</v>
      </c>
      <c r="G14" s="12" t="s">
        <v>275</v>
      </c>
      <c r="H14" s="12" t="s">
        <v>126</v>
      </c>
      <c r="I14" s="12" t="s">
        <v>82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spans="2:30" x14ac:dyDescent="0.3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spans="2:30" x14ac:dyDescent="0.35">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spans="2:30" x14ac:dyDescent="0.35">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spans="2:30" x14ac:dyDescent="0.35">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spans="2:30" x14ac:dyDescent="0.35">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spans="2:30" x14ac:dyDescent="0.35">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spans="2:30" x14ac:dyDescent="0.35">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spans="2:30" x14ac:dyDescent="0.35">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spans="2:30" x14ac:dyDescent="0.35">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spans="2:30" x14ac:dyDescent="0.35">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spans="2:30" ht="14.5" x14ac:dyDescent="0.3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spans="2:30" x14ac:dyDescent="0.35">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spans="2:30" x14ac:dyDescent="0.35">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spans="2:30" x14ac:dyDescent="0.35">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spans="2:30" x14ac:dyDescent="0.35">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spans="2:30" x14ac:dyDescent="0.35">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spans="2:30" x14ac:dyDescent="0.35">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spans="2:30" x14ac:dyDescent="0.35">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spans="2:30" x14ac:dyDescent="0.35">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spans="2:30" x14ac:dyDescent="0.35">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spans="2:30" x14ac:dyDescent="0.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spans="2:30" x14ac:dyDescent="0.35">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spans="2:30" x14ac:dyDescent="0.35">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spans="2:30" x14ac:dyDescent="0.35">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spans="2:30" x14ac:dyDescent="0.35">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spans="2:30" x14ac:dyDescent="0.35">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spans="2:30" x14ac:dyDescent="0.35">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spans="2:30" x14ac:dyDescent="0.35">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spans="2:30" x14ac:dyDescent="0.35">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spans="2:30" x14ac:dyDescent="0.35">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spans="2:30" x14ac:dyDescent="0.3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spans="2:30" x14ac:dyDescent="0.35">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spans="2:30" x14ac:dyDescent="0.35">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spans="2:30" x14ac:dyDescent="0.35">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spans="2:30" x14ac:dyDescent="0.35">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spans="2:30" x14ac:dyDescent="0.35">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spans="2:30" x14ac:dyDescent="0.35">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spans="2:30" x14ac:dyDescent="0.35">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spans="2:30" x14ac:dyDescent="0.35">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spans="2:30" x14ac:dyDescent="0.35">
      <c r="B54" s="12" t="s">
        <v>992</v>
      </c>
      <c r="C54" s="11" t="s">
        <v>1352</v>
      </c>
      <c r="D54" s="11" t="s">
        <v>300</v>
      </c>
      <c r="E54" s="12" t="s">
        <v>301</v>
      </c>
      <c r="F54" s="12" t="s">
        <v>278</v>
      </c>
      <c r="G54" s="12" t="s">
        <v>246</v>
      </c>
      <c r="H54" s="12" t="s">
        <v>126</v>
      </c>
      <c r="I54" s="12" t="s">
        <v>82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spans="2:30" x14ac:dyDescent="0.35">
      <c r="B55" s="12" t="s">
        <v>992</v>
      </c>
      <c r="C55" s="11" t="s">
        <v>1353</v>
      </c>
      <c r="D55" s="11" t="s">
        <v>1150</v>
      </c>
      <c r="E55" s="12" t="s">
        <v>258</v>
      </c>
      <c r="F55" s="12" t="s">
        <v>49</v>
      </c>
      <c r="G55" s="12" t="s">
        <v>246</v>
      </c>
      <c r="H55" s="12" t="s">
        <v>126</v>
      </c>
      <c r="I55" s="12" t="s">
        <v>82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spans="2:30" x14ac:dyDescent="0.35">
      <c r="B56" s="12" t="s">
        <v>992</v>
      </c>
      <c r="C56" s="11" t="s">
        <v>1354</v>
      </c>
      <c r="D56" s="11" t="s">
        <v>1218</v>
      </c>
      <c r="E56" s="12" t="s">
        <v>258</v>
      </c>
      <c r="F56" s="12" t="s">
        <v>49</v>
      </c>
      <c r="G56" s="12" t="s">
        <v>246</v>
      </c>
      <c r="H56" s="12" t="s">
        <v>126</v>
      </c>
      <c r="I56" s="12" t="s">
        <v>82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spans="2:30" x14ac:dyDescent="0.35">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spans="2:30" x14ac:dyDescent="0.35">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spans="2:30" x14ac:dyDescent="0.35">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spans="2:30" x14ac:dyDescent="0.35">
      <c r="B60" s="12" t="s">
        <v>992</v>
      </c>
      <c r="C60" s="11" t="s">
        <v>1358</v>
      </c>
      <c r="D60" s="11" t="s">
        <v>259</v>
      </c>
      <c r="E60" s="12" t="s">
        <v>80</v>
      </c>
      <c r="F60" s="12" t="s">
        <v>49</v>
      </c>
      <c r="G60" s="12" t="s">
        <v>246</v>
      </c>
      <c r="H60" s="12" t="s">
        <v>246</v>
      </c>
      <c r="I60" s="12" t="s">
        <v>82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spans="2:30" x14ac:dyDescent="0.35">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spans="2:30" x14ac:dyDescent="0.35">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spans="2:30" x14ac:dyDescent="0.35">
      <c r="B63" s="12" t="s">
        <v>992</v>
      </c>
      <c r="C63" s="11" t="s">
        <v>1361</v>
      </c>
      <c r="D63" s="11" t="s">
        <v>1220</v>
      </c>
      <c r="E63" s="12" t="s">
        <v>1221</v>
      </c>
      <c r="F63" s="12" t="s">
        <v>49</v>
      </c>
      <c r="G63" s="12" t="s">
        <v>246</v>
      </c>
      <c r="H63" s="12" t="s">
        <v>246</v>
      </c>
      <c r="I63" s="12" t="s">
        <v>82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spans="2:30" x14ac:dyDescent="0.35">
      <c r="B64" s="12" t="s">
        <v>992</v>
      </c>
      <c r="C64" s="11" t="s">
        <v>1362</v>
      </c>
      <c r="D64" s="11" t="s">
        <v>1223</v>
      </c>
      <c r="E64" s="12" t="s">
        <v>1224</v>
      </c>
      <c r="F64" s="12" t="s">
        <v>49</v>
      </c>
      <c r="G64" s="12" t="s">
        <v>246</v>
      </c>
      <c r="H64" s="12" t="s">
        <v>246</v>
      </c>
      <c r="I64" s="12" t="s">
        <v>82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spans="2:30" x14ac:dyDescent="0.3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spans="2:30" x14ac:dyDescent="0.35">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spans="2:30" x14ac:dyDescent="0.35">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spans="2:30" x14ac:dyDescent="0.35">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spans="2:30" x14ac:dyDescent="0.35">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spans="2:30" x14ac:dyDescent="0.35">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spans="2:30" x14ac:dyDescent="0.35">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spans="2:30" x14ac:dyDescent="0.35">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spans="2:30" x14ac:dyDescent="0.35">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spans="2:30" x14ac:dyDescent="0.35">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spans="2:30" x14ac:dyDescent="0.3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spans="2:30" x14ac:dyDescent="0.35">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spans="2:30" x14ac:dyDescent="0.35">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spans="2:30" x14ac:dyDescent="0.35">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spans="2:30" x14ac:dyDescent="0.35">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spans="2:30" x14ac:dyDescent="0.35">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spans="2:30" x14ac:dyDescent="0.35">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spans="2:30" x14ac:dyDescent="0.35">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spans="2:30" x14ac:dyDescent="0.35">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spans="2:30" x14ac:dyDescent="0.35">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spans="2:30" x14ac:dyDescent="0.3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spans="2:30" x14ac:dyDescent="0.35">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spans="2:30" x14ac:dyDescent="0.35">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spans="2:30" x14ac:dyDescent="0.35">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spans="2:30" x14ac:dyDescent="0.35">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spans="2:30" x14ac:dyDescent="0.35">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spans="2:30" x14ac:dyDescent="0.35">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spans="2:30" x14ac:dyDescent="0.35">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spans="2:30" x14ac:dyDescent="0.35">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spans="2:30" x14ac:dyDescent="0.35">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spans="2:30" x14ac:dyDescent="0.3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spans="2:30" x14ac:dyDescent="0.35">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spans="2:30" x14ac:dyDescent="0.35">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spans="2:30" x14ac:dyDescent="0.35">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spans="2:30" x14ac:dyDescent="0.35">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spans="2:30" x14ac:dyDescent="0.35">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spans="2:30" x14ac:dyDescent="0.35">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spans="2:30" x14ac:dyDescent="0.35">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spans="2:30" x14ac:dyDescent="0.35">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spans="2:30" x14ac:dyDescent="0.35">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spans="2:30" x14ac:dyDescent="0.3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spans="2:30" x14ac:dyDescent="0.35">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spans="2:30" x14ac:dyDescent="0.35">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spans="2:30" x14ac:dyDescent="0.35">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spans="2:30" x14ac:dyDescent="0.35">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spans="2:30" x14ac:dyDescent="0.35">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spans="2:30" x14ac:dyDescent="0.35">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spans="2:30" x14ac:dyDescent="0.35">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spans="2:30" x14ac:dyDescent="0.35">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spans="2:30" x14ac:dyDescent="0.35">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spans="2:30" x14ac:dyDescent="0.3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spans="2:30" x14ac:dyDescent="0.35">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spans="2:30" x14ac:dyDescent="0.35">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spans="2:30" x14ac:dyDescent="0.35">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spans="2:30" x14ac:dyDescent="0.35">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spans="2:30" x14ac:dyDescent="0.35">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spans="2:30" x14ac:dyDescent="0.35">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spans="2:30" x14ac:dyDescent="0.35">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spans="2:30" x14ac:dyDescent="0.35">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spans="2:30" x14ac:dyDescent="0.35">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spans="2:30" x14ac:dyDescent="0.3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spans="2:30" x14ac:dyDescent="0.35">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spans="2:30" x14ac:dyDescent="0.35">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spans="2:30" x14ac:dyDescent="0.35">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spans="2:30" x14ac:dyDescent="0.35">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spans="2:30" x14ac:dyDescent="0.35">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spans="2:30" x14ac:dyDescent="0.35">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spans="2:30" x14ac:dyDescent="0.35">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spans="2:30" x14ac:dyDescent="0.35">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spans="2:30" x14ac:dyDescent="0.35">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spans="2:30" x14ac:dyDescent="0.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spans="2:30" x14ac:dyDescent="0.35">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spans="2:30" x14ac:dyDescent="0.35">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spans="2:30" x14ac:dyDescent="0.35">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spans="2:30" x14ac:dyDescent="0.35">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spans="2:30" x14ac:dyDescent="0.35">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spans="2:30" x14ac:dyDescent="0.35">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spans="2:30" x14ac:dyDescent="0.35">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spans="2:30" x14ac:dyDescent="0.35">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spans="2:30" x14ac:dyDescent="0.35">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spans="2:30" x14ac:dyDescent="0.3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spans="2:30" x14ac:dyDescent="0.35">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spans="2:30" x14ac:dyDescent="0.35">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spans="2:30" x14ac:dyDescent="0.35">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spans="2:30" x14ac:dyDescent="0.35">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spans="2:30" x14ac:dyDescent="0.35">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spans="2:30" x14ac:dyDescent="0.35">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spans="2:30" x14ac:dyDescent="0.35">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spans="2:30" x14ac:dyDescent="0.35">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spans="2:30" x14ac:dyDescent="0.35">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spans="2:30" x14ac:dyDescent="0.3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spans="2:30" x14ac:dyDescent="0.35">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spans="2:30" x14ac:dyDescent="0.35">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spans="2:30" x14ac:dyDescent="0.35">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spans="2:30" x14ac:dyDescent="0.35">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spans="2:30" x14ac:dyDescent="0.35">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spans="2:30" x14ac:dyDescent="0.35">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spans="2:30" x14ac:dyDescent="0.35">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spans="2:30" x14ac:dyDescent="0.35">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spans="2:30" x14ac:dyDescent="0.35">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spans="2:30" x14ac:dyDescent="0.3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spans="2:30" x14ac:dyDescent="0.35">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spans="2:30" x14ac:dyDescent="0.35">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spans="2:30" x14ac:dyDescent="0.35">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spans="2:30" x14ac:dyDescent="0.35">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spans="2:30" x14ac:dyDescent="0.35">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spans="2:30" x14ac:dyDescent="0.35">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spans="2:30" x14ac:dyDescent="0.35">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spans="2:30" x14ac:dyDescent="0.35">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spans="2:30" x14ac:dyDescent="0.35">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spans="2:30" x14ac:dyDescent="0.3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spans="2:30" x14ac:dyDescent="0.35">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spans="2:30" x14ac:dyDescent="0.35">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spans="2:30" x14ac:dyDescent="0.35">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spans="2:30" x14ac:dyDescent="0.35">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spans="2:30" x14ac:dyDescent="0.35">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spans="2:30" x14ac:dyDescent="0.35">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spans="2:30" x14ac:dyDescent="0.35">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spans="2:30" x14ac:dyDescent="0.35">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spans="2:30" x14ac:dyDescent="0.35">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spans="2:30" x14ac:dyDescent="0.3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spans="2:30" x14ac:dyDescent="0.35">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spans="2:30" x14ac:dyDescent="0.35">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spans="2:30" x14ac:dyDescent="0.35">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spans="2:30" x14ac:dyDescent="0.35">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spans="2:30" x14ac:dyDescent="0.35">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spans="2:30" x14ac:dyDescent="0.35">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spans="2:30" x14ac:dyDescent="0.35">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spans="2:30" x14ac:dyDescent="0.35">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spans="2:30" x14ac:dyDescent="0.35">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spans="2:30" x14ac:dyDescent="0.3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spans="2:30" x14ac:dyDescent="0.35">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spans="2:30" x14ac:dyDescent="0.35">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spans="2:30" x14ac:dyDescent="0.35">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spans="2:30" x14ac:dyDescent="0.35">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spans="2:30" x14ac:dyDescent="0.35">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spans="2:30" x14ac:dyDescent="0.35">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spans="2:30" x14ac:dyDescent="0.35">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spans="2:30" x14ac:dyDescent="0.35">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spans="2:30" x14ac:dyDescent="0.35">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spans="2:30" x14ac:dyDescent="0.3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spans="2:30" x14ac:dyDescent="0.35">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spans="2:30" x14ac:dyDescent="0.35">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spans="2:30" x14ac:dyDescent="0.35">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spans="2:30" x14ac:dyDescent="0.35">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spans="2:30" x14ac:dyDescent="0.35">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spans="2:30" x14ac:dyDescent="0.35">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spans="2:30" x14ac:dyDescent="0.35">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spans="2:30" x14ac:dyDescent="0.35">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spans="2:30" x14ac:dyDescent="0.35">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spans="2:30" x14ac:dyDescent="0.3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spans="2:30" x14ac:dyDescent="0.35">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spans="2:30" x14ac:dyDescent="0.35">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spans="2:30" x14ac:dyDescent="0.35">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spans="2:30" x14ac:dyDescent="0.35">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spans="2:30" x14ac:dyDescent="0.35">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spans="2:30" x14ac:dyDescent="0.35">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spans="2:30" x14ac:dyDescent="0.35">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spans="2:30" x14ac:dyDescent="0.35">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spans="2:30" x14ac:dyDescent="0.35">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spans="2:30" x14ac:dyDescent="0.3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spans="2:30" x14ac:dyDescent="0.35">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spans="2:30" x14ac:dyDescent="0.35">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spans="2:30" x14ac:dyDescent="0.35">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spans="2:30" x14ac:dyDescent="0.35">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spans="2:30" x14ac:dyDescent="0.35">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spans="2:30" x14ac:dyDescent="0.35">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spans="2:30" x14ac:dyDescent="0.35">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spans="2:30" x14ac:dyDescent="0.35">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spans="2:30" x14ac:dyDescent="0.35">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spans="2:30" x14ac:dyDescent="0.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spans="2:30" x14ac:dyDescent="0.35">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spans="2:30" x14ac:dyDescent="0.35">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spans="2:30" x14ac:dyDescent="0.35">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spans="2:30" x14ac:dyDescent="0.35">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spans="2:30" x14ac:dyDescent="0.35">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spans="2:30" x14ac:dyDescent="0.35">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spans="2:30" x14ac:dyDescent="0.35">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spans="2:30" x14ac:dyDescent="0.35">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spans="2:30" x14ac:dyDescent="0.35">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spans="2:30" x14ac:dyDescent="0.3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spans="2:30" x14ac:dyDescent="0.35">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spans="2:30" x14ac:dyDescent="0.35">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spans="2:30" x14ac:dyDescent="0.35">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spans="2:30" x14ac:dyDescent="0.35">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spans="2:30" x14ac:dyDescent="0.35">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spans="2:30" x14ac:dyDescent="0.35">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spans="2:30" x14ac:dyDescent="0.35">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spans="2:30" x14ac:dyDescent="0.35">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spans="2:30" x14ac:dyDescent="0.35">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spans="2:30" x14ac:dyDescent="0.3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spans="2:30" x14ac:dyDescent="0.35">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spans="2:30" x14ac:dyDescent="0.35">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spans="2:30" x14ac:dyDescent="0.35">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spans="2:30" x14ac:dyDescent="0.35">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spans="2:30" x14ac:dyDescent="0.35">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spans="2:30" x14ac:dyDescent="0.35">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spans="2:30" x14ac:dyDescent="0.35">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spans="2:30" x14ac:dyDescent="0.35">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spans="2:30" x14ac:dyDescent="0.35">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spans="2:30" x14ac:dyDescent="0.3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spans="2:30" x14ac:dyDescent="0.35">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spans="2:30" x14ac:dyDescent="0.35">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spans="2:30" x14ac:dyDescent="0.35">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spans="2:30" x14ac:dyDescent="0.35">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spans="2:30" x14ac:dyDescent="0.35">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spans="2:30" x14ac:dyDescent="0.35">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spans="2:30" x14ac:dyDescent="0.35">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spans="2:30" x14ac:dyDescent="0.35">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spans="2:30" x14ac:dyDescent="0.35">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spans="2:30" x14ac:dyDescent="0.3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spans="2:30" x14ac:dyDescent="0.35">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spans="2:30" x14ac:dyDescent="0.35">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spans="2:30" x14ac:dyDescent="0.35">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spans="2:30" x14ac:dyDescent="0.35">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spans="2:30" x14ac:dyDescent="0.35">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spans="2:30" x14ac:dyDescent="0.35">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spans="2:30" x14ac:dyDescent="0.35">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spans="2:30" x14ac:dyDescent="0.35">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spans="2:30" x14ac:dyDescent="0.35">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spans="2:30" x14ac:dyDescent="0.3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spans="2:30" x14ac:dyDescent="0.35">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spans="2:30" x14ac:dyDescent="0.35">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spans="2:30" x14ac:dyDescent="0.35">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spans="2:30" x14ac:dyDescent="0.35">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spans="2:30" x14ac:dyDescent="0.35">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spans="2:30" x14ac:dyDescent="0.35">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spans="2:30" x14ac:dyDescent="0.35">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spans="2:30" x14ac:dyDescent="0.35">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spans="2:30" x14ac:dyDescent="0.35">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spans="2:30" x14ac:dyDescent="0.3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spans="2:30" x14ac:dyDescent="0.35">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spans="2:30" x14ac:dyDescent="0.35">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spans="2:30" x14ac:dyDescent="0.35">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spans="2:30" x14ac:dyDescent="0.35">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spans="2:30" x14ac:dyDescent="0.35">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spans="2:30" x14ac:dyDescent="0.35">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spans="2:30" x14ac:dyDescent="0.35">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spans="2:30" x14ac:dyDescent="0.35">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spans="2:30" x14ac:dyDescent="0.35">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spans="2:30" x14ac:dyDescent="0.3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spans="2:30" x14ac:dyDescent="0.35">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spans="2:30" x14ac:dyDescent="0.35">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spans="2:30" x14ac:dyDescent="0.35">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spans="2:30" x14ac:dyDescent="0.35">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spans="2:30" x14ac:dyDescent="0.35">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spans="2:30" x14ac:dyDescent="0.35">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spans="2:30" x14ac:dyDescent="0.35">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spans="2:30" x14ac:dyDescent="0.35">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spans="2:30" x14ac:dyDescent="0.35">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spans="2:30" x14ac:dyDescent="0.3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spans="2:30" x14ac:dyDescent="0.35">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spans="2:30" x14ac:dyDescent="0.35">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spans="2:30" x14ac:dyDescent="0.35">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spans="2:30" x14ac:dyDescent="0.35">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spans="2:30" x14ac:dyDescent="0.35">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spans="2:30" x14ac:dyDescent="0.35">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spans="2:30" x14ac:dyDescent="0.35">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spans="2:30" x14ac:dyDescent="0.35">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spans="2:30" x14ac:dyDescent="0.35">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spans="2:30" x14ac:dyDescent="0.3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spans="2:30" x14ac:dyDescent="0.35">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spans="2:30" x14ac:dyDescent="0.35">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spans="2:30" x14ac:dyDescent="0.35">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spans="2:30" x14ac:dyDescent="0.35">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spans="2:30" x14ac:dyDescent="0.35">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spans="2:30" x14ac:dyDescent="0.35">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spans="2:30" x14ac:dyDescent="0.35">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spans="2:30" x14ac:dyDescent="0.35">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spans="2:30" x14ac:dyDescent="0.35">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spans="2:30" x14ac:dyDescent="0.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spans="2:30" x14ac:dyDescent="0.35">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spans="2:30" x14ac:dyDescent="0.35">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spans="2:30" x14ac:dyDescent="0.35">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spans="2:30" x14ac:dyDescent="0.35">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spans="2:30" x14ac:dyDescent="0.35">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spans="2:30" x14ac:dyDescent="0.35">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spans="2:30" x14ac:dyDescent="0.35">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spans="2:30" x14ac:dyDescent="0.35">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spans="2:30" x14ac:dyDescent="0.35">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spans="2:30" x14ac:dyDescent="0.3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spans="2:30" x14ac:dyDescent="0.35">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spans="2:30" x14ac:dyDescent="0.35">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spans="2:30" x14ac:dyDescent="0.35">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spans="2:30" x14ac:dyDescent="0.35">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spans="2:30" x14ac:dyDescent="0.35">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spans="2:30" x14ac:dyDescent="0.35">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spans="2:30" x14ac:dyDescent="0.35">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spans="2:30" x14ac:dyDescent="0.35">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spans="2:30" x14ac:dyDescent="0.35">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spans="2:30" x14ac:dyDescent="0.3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spans="2:30" x14ac:dyDescent="0.35">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spans="2:30" x14ac:dyDescent="0.35">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spans="2:30" x14ac:dyDescent="0.35">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spans="2:30" x14ac:dyDescent="0.35">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spans="2:30" x14ac:dyDescent="0.35">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spans="2:30" x14ac:dyDescent="0.35">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spans="2:30" x14ac:dyDescent="0.35">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spans="2:30" x14ac:dyDescent="0.35">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spans="2:30" x14ac:dyDescent="0.35">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spans="2:30" x14ac:dyDescent="0.3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spans="2:30" x14ac:dyDescent="0.35">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spans="2:30" x14ac:dyDescent="0.35">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spans="2:30" x14ac:dyDescent="0.35">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spans="2:30" x14ac:dyDescent="0.35">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spans="2:30" x14ac:dyDescent="0.35">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xr:uid="{00000000-0009-0000-0000-000001000000}"/>
  <conditionalFormatting sqref="B7:B20">
    <cfRule type="expression" dxfId="117" priority="396">
      <formula>$G7:$G372="Sí"</formula>
    </cfRule>
    <cfRule type="expression" dxfId="116" priority="395">
      <formula>$P7:$P372="APOYO"</formula>
    </cfRule>
  </conditionalFormatting>
  <conditionalFormatting sqref="B21:B71">
    <cfRule type="expression" dxfId="115" priority="379">
      <formula>$P21:$P385="APOYO"</formula>
    </cfRule>
    <cfRule type="expression" dxfId="114" priority="380">
      <formula>$G21:$G385="Sí"</formula>
    </cfRule>
  </conditionalFormatting>
  <conditionalFormatting sqref="C7:AD8 C9:K9 M9:AD9 C10:AD10 C11:S11 U11:AD11 D12:K12 M12:S12 U12:W12 Y12:AD12 C12:C74">
    <cfRule type="expression" dxfId="113" priority="93">
      <formula>$P7:$P375="APOYO"</formula>
    </cfRule>
    <cfRule type="expression" dxfId="112" priority="94">
      <formula>$G7:$G375="Sí"</formula>
    </cfRule>
  </conditionalFormatting>
  <conditionalFormatting sqref="D72:D74 N72:N74">
    <cfRule type="expression" dxfId="111" priority="97">
      <formula>$G72:$G394="Sí"</formula>
    </cfRule>
    <cfRule type="expression" dxfId="110" priority="98">
      <formula>$Q72:$Q394="APOYO"</formula>
    </cfRule>
  </conditionalFormatting>
  <conditionalFormatting sqref="D51:F51 M51">
    <cfRule type="expression" dxfId="109" priority="89">
      <formula>$Q51:$Q372="APOYO"</formula>
    </cfRule>
    <cfRule type="expression" dxfId="108" priority="90">
      <formula>$G51:$G372="Sí"</formula>
    </cfRule>
  </conditionalFormatting>
  <conditionalFormatting sqref="D58:F59 I58:I59 M58:M71 E60:E71">
    <cfRule type="expression" dxfId="107" priority="95">
      <formula>$Q58:$Q378="APOYO"</formula>
    </cfRule>
    <cfRule type="expression" dxfId="106" priority="96">
      <formula>$G58:$G378="Sí"</formula>
    </cfRule>
  </conditionalFormatting>
  <conditionalFormatting sqref="D33:J33">
    <cfRule type="expression" dxfId="105" priority="82">
      <formula>$G33:$G398="Sí"</formula>
    </cfRule>
    <cfRule type="expression" dxfId="104" priority="81">
      <formula>$P33:$P398="APOYO"</formula>
    </cfRule>
  </conditionalFormatting>
  <conditionalFormatting sqref="D42:AC42 D43:J44 L43:AA44 AC43:AD44 D45:AD45 D46:J47 L46:AA47 AC46:AD47 X48:X49 J49 G49:G52 D50:F50 L50:N50 H50:J51 Q50:W51 Y50:AA51 AC50:AD51 N51 L51:L56 Q52 R53:R56 T61:T62">
    <cfRule type="expression" dxfId="103" priority="78">
      <formula>$G42:$G405="Sí"</formula>
    </cfRule>
    <cfRule type="expression" dxfId="102" priority="77">
      <formula>$P42:$P405="APOYO"</formula>
    </cfRule>
  </conditionalFormatting>
  <conditionalFormatting sqref="D13:AD14 D15:K15 M15:AA15 AC15:AD15 D16:AD21 K25 K32:K33 K40:K41">
    <cfRule type="expression" dxfId="101" priority="55">
      <formula>$P13:$P380="APOYO"</formula>
    </cfRule>
    <cfRule type="expression" dxfId="100" priority="56">
      <formula>$G13:$G380="Sí"</formula>
    </cfRule>
  </conditionalFormatting>
  <conditionalFormatting sqref="D22:AD24 D25:J25 M25:AA25 AC25:AD25 D26:AD29 D30:S30 U30:AA30 AC30:AD31 D31:AA31 D32:F32 I32:J32 L32:AD32">
    <cfRule type="expression" dxfId="99" priority="75">
      <formula>$P22:$P388="APOYO"</formula>
    </cfRule>
    <cfRule type="expression" dxfId="98" priority="76">
      <formula>$G22:$G388="Sí"</formula>
    </cfRule>
  </conditionalFormatting>
  <conditionalFormatting sqref="D39:AD39 D40:J41 L40:AA41 AC40:AD41 D48:W48 Y48:AC49 D49:F49 H49:I49 K49:N49 Q49:W49">
    <cfRule type="expression" dxfId="97" priority="80">
      <formula>$G39:$G403="Sí"</formula>
    </cfRule>
    <cfRule type="expression" dxfId="96" priority="79">
      <formula>$P39:$P403="APOYO"</formula>
    </cfRule>
  </conditionalFormatting>
  <conditionalFormatting sqref="E72:E74 M72:M74">
    <cfRule type="expression" dxfId="95" priority="84">
      <formula>$G72:$G391="Sí"</formula>
    </cfRule>
    <cfRule type="expression" dxfId="94" priority="83">
      <formula>$Q72:$Q391="APOYO"</formula>
    </cfRule>
  </conditionalFormatting>
  <conditionalFormatting sqref="F71">
    <cfRule type="expression" dxfId="93" priority="8">
      <formula>$G71:$G435="Sí"</formula>
    </cfRule>
    <cfRule type="expression" dxfId="92" priority="7">
      <formula>$P71:$P435="APOYO"</formula>
    </cfRule>
  </conditionalFormatting>
  <conditionalFormatting sqref="F60:I60 D60:D71 N60:N71">
    <cfRule type="expression" dxfId="91" priority="88">
      <formula>$Q60:$Q383="APOYO"</formula>
    </cfRule>
    <cfRule type="expression" dxfId="90" priority="87">
      <formula>$G60:$G383="Sí"</formula>
    </cfRule>
  </conditionalFormatting>
  <conditionalFormatting sqref="F72:K74 O72:P74 S72:AD74">
    <cfRule type="expression" dxfId="89" priority="67">
      <formula>$P72:$P432="APOYO"</formula>
    </cfRule>
    <cfRule type="expression" dxfId="88" priority="68">
      <formula>$G72:$G432="Sí"</formula>
    </cfRule>
  </conditionalFormatting>
  <conditionalFormatting sqref="G32:H32">
    <cfRule type="expression" dxfId="87" priority="69">
      <formula>$P32:$P397="APOYO"</formula>
    </cfRule>
    <cfRule type="expression" dxfId="86" priority="70">
      <formula>$G32:$G397="Sí"</formula>
    </cfRule>
  </conditionalFormatting>
  <conditionalFormatting sqref="G61:I61">
    <cfRule type="expression" dxfId="85" priority="66">
      <formula>$G61:$G425="Sí"</formula>
    </cfRule>
    <cfRule type="expression" dxfId="84" priority="65">
      <formula>$P61:$P425="APOYO"</formula>
    </cfRule>
  </conditionalFormatting>
  <conditionalFormatting sqref="K43">
    <cfRule type="expression" dxfId="83" priority="53">
      <formula>$P43:$P409="APOYO"</formula>
    </cfRule>
    <cfRule type="expression" dxfId="82" priority="54">
      <formula>$G43:$G409="Sí"</formula>
    </cfRule>
  </conditionalFormatting>
  <conditionalFormatting sqref="K44">
    <cfRule type="expression" dxfId="81" priority="64">
      <formula>$G44:$G409="Sí"</formula>
    </cfRule>
    <cfRule type="expression" dxfId="80" priority="63">
      <formula>$P44:$P409="APOYO"</formula>
    </cfRule>
  </conditionalFormatting>
  <conditionalFormatting sqref="K46">
    <cfRule type="expression" dxfId="79" priority="62">
      <formula>$G46:$G411="Sí"</formula>
    </cfRule>
    <cfRule type="expression" dxfId="78" priority="61">
      <formula>$P46:$P411="APOYO"</formula>
    </cfRule>
  </conditionalFormatting>
  <conditionalFormatting sqref="K47">
    <cfRule type="expression" dxfId="77" priority="52">
      <formula>$G47:$G413="Sí"</formula>
    </cfRule>
    <cfRule type="expression" dxfId="76" priority="51">
      <formula>$P47:$P413="APOYO"</formula>
    </cfRule>
  </conditionalFormatting>
  <conditionalFormatting sqref="K50">
    <cfRule type="expression" dxfId="75" priority="60">
      <formula>$G50:$G415="Sí"</formula>
    </cfRule>
    <cfRule type="expression" dxfId="74" priority="59">
      <formula>$P50:$P415="APOYO"</formula>
    </cfRule>
  </conditionalFormatting>
  <conditionalFormatting sqref="K51">
    <cfRule type="expression" dxfId="73" priority="50">
      <formula>$G51:$G417="Sí"</formula>
    </cfRule>
    <cfRule type="expression" dxfId="72" priority="49">
      <formula>$P51:$P417="APOYO"</formula>
    </cfRule>
  </conditionalFormatting>
  <conditionalFormatting sqref="K56:K57">
    <cfRule type="expression" dxfId="71" priority="57">
      <formula>$P56:$P422="APOYO"</formula>
    </cfRule>
    <cfRule type="expression" dxfId="70" priority="58">
      <formula>$G56:$G422="Sí"</formula>
    </cfRule>
  </conditionalFormatting>
  <conditionalFormatting sqref="L9">
    <cfRule type="expression" dxfId="69" priority="36">
      <formula>$G9:$G373="Sí"</formula>
    </cfRule>
    <cfRule type="expression" dxfId="68" priority="35">
      <formula>$P9:$P373="APOYO"</formula>
    </cfRule>
  </conditionalFormatting>
  <conditionalFormatting sqref="L12">
    <cfRule type="expression" dxfId="67" priority="30">
      <formula>$G12:$G376="Sí"</formula>
    </cfRule>
    <cfRule type="expression" dxfId="66" priority="29">
      <formula>$P12:$P376="APOYO"</formula>
    </cfRule>
  </conditionalFormatting>
  <conditionalFormatting sqref="L15">
    <cfRule type="expression" dxfId="65" priority="27">
      <formula>$P15:$P379="APOYO"</formula>
    </cfRule>
    <cfRule type="expression" dxfId="64" priority="28">
      <formula>$G15:$G379="Sí"</formula>
    </cfRule>
  </conditionalFormatting>
  <conditionalFormatting sqref="L25">
    <cfRule type="expression" dxfId="63" priority="32">
      <formula>$G25:$G389="Sí"</formula>
    </cfRule>
    <cfRule type="expression" dxfId="62" priority="31">
      <formula>$P25:$P389="APOYO"</formula>
    </cfRule>
  </conditionalFormatting>
  <conditionalFormatting sqref="L71">
    <cfRule type="expression" dxfId="61" priority="33">
      <formula>$P71:$P434="APOYO"</formula>
    </cfRule>
    <cfRule type="expression" dxfId="60" priority="34">
      <formula>$G71:$G434="Sí"</formula>
    </cfRule>
  </conditionalFormatting>
  <conditionalFormatting sqref="L33:AD33 D34:AD37 D38:R38 T38:AD38 AD42 AD48:AD49 K61:K62">
    <cfRule type="expression" dxfId="59" priority="91">
      <formula>$P33:$P398="APOYO"</formula>
    </cfRule>
    <cfRule type="expression" dxfId="58" priority="92">
      <formula>$G33:$G398="Sí"</formula>
    </cfRule>
  </conditionalFormatting>
  <conditionalFormatting sqref="O49:P52 X50:X51 D52:F52 H52:K52 M52:N52 R52:S52 U52:AA52 AC52:AD52 D53:K55 S53:AD55 M53:Q56 D56:J56 U56:W56 Y56:AD56 T56:T57 R57 L57:L70 R59:R71 Q61:Q71">
    <cfRule type="expression" dxfId="57" priority="73">
      <formula>$P49:$P411="APOYO"</formula>
    </cfRule>
    <cfRule type="expression" dxfId="56" priority="74">
      <formula>$G49:$G411="Sí"</formula>
    </cfRule>
  </conditionalFormatting>
  <conditionalFormatting sqref="S38">
    <cfRule type="expression" dxfId="55" priority="48">
      <formula>$G38:$G404="Sí"</formula>
    </cfRule>
    <cfRule type="expression" dxfId="54" priority="47">
      <formula>$P38:$P404="APOYO"</formula>
    </cfRule>
  </conditionalFormatting>
  <conditionalFormatting sqref="S56">
    <cfRule type="expression" dxfId="53" priority="45">
      <formula>$P56:$P421="APOYO"</formula>
    </cfRule>
    <cfRule type="expression" dxfId="52" priority="46">
      <formula>$G56:$G421="Sí"</formula>
    </cfRule>
  </conditionalFormatting>
  <conditionalFormatting sqref="S71">
    <cfRule type="expression" dxfId="51" priority="2">
      <formula>$G71:$G435="Sí"</formula>
    </cfRule>
    <cfRule type="expression" dxfId="50" priority="1">
      <formula>$P71:$P435="APOYO"</formula>
    </cfRule>
  </conditionalFormatting>
  <conditionalFormatting sqref="T11:T12">
    <cfRule type="expression" dxfId="49" priority="42">
      <formula>$G11:$G378="Sí"</formula>
    </cfRule>
    <cfRule type="expression" dxfId="48" priority="41">
      <formula>$P11:$P378="APOYO"</formula>
    </cfRule>
  </conditionalFormatting>
  <conditionalFormatting sqref="T30">
    <cfRule type="expression" dxfId="47" priority="5">
      <formula>$P30:$P394="APOYO"</formula>
    </cfRule>
    <cfRule type="expression" dxfId="46" priority="6">
      <formula>$G30:$G394="Sí"</formula>
    </cfRule>
  </conditionalFormatting>
  <conditionalFormatting sqref="T52">
    <cfRule type="expression" dxfId="45" priority="38">
      <formula>$G52:$G415="Sí"</formula>
    </cfRule>
    <cfRule type="expression" dxfId="44" priority="37">
      <formula>$P52:$P415="APOYO"</formula>
    </cfRule>
  </conditionalFormatting>
  <conditionalFormatting sqref="T65">
    <cfRule type="expression" dxfId="43" priority="71">
      <formula>$P65:$P427="APOYO"</formula>
    </cfRule>
    <cfRule type="expression" dxfId="42" priority="72">
      <formula>$G65:$G427="Sí"</formula>
    </cfRule>
  </conditionalFormatting>
  <conditionalFormatting sqref="T71">
    <cfRule type="expression" dxfId="41" priority="40">
      <formula>$G71:$G433="Sí"</formula>
    </cfRule>
    <cfRule type="expression" dxfId="40" priority="39">
      <formula>$P71:$P433="APOYO"</formula>
    </cfRule>
  </conditionalFormatting>
  <conditionalFormatting sqref="X12">
    <cfRule type="expression" dxfId="39" priority="44">
      <formula>$G12:$G379="Sí"</formula>
    </cfRule>
    <cfRule type="expression" dxfId="38"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7" priority="85">
      <formula>$P56:$P417="APOYO"</formula>
    </cfRule>
    <cfRule type="expression" dxfId="36" priority="86">
      <formula>$G56:$G417="Sí"</formula>
    </cfRule>
  </conditionalFormatting>
  <conditionalFormatting sqref="AB15">
    <cfRule type="expression" dxfId="35" priority="26">
      <formula>$G15:$G383="Sí"</formula>
    </cfRule>
    <cfRule type="expression" dxfId="34" priority="25">
      <formula>$P15:$P383="APOYO"</formula>
    </cfRule>
  </conditionalFormatting>
  <conditionalFormatting sqref="AB25">
    <cfRule type="expression" dxfId="33" priority="24">
      <formula>$G25:$G393="Sí"</formula>
    </cfRule>
    <cfRule type="expression" dxfId="32" priority="23">
      <formula>$P25:$P393="APOYO"</formula>
    </cfRule>
  </conditionalFormatting>
  <conditionalFormatting sqref="AB30:AB31">
    <cfRule type="expression" dxfId="31" priority="4">
      <formula>$G30:$G398="Sí"</formula>
    </cfRule>
    <cfRule type="expression" dxfId="30" priority="3">
      <formula>$P30:$P398="APOYO"</formula>
    </cfRule>
  </conditionalFormatting>
  <conditionalFormatting sqref="AB40:AB41">
    <cfRule type="expression" dxfId="29" priority="19">
      <formula>$P40:$P408="APOYO"</formula>
    </cfRule>
    <cfRule type="expression" dxfId="28" priority="20">
      <formula>$G40:$G408="Sí"</formula>
    </cfRule>
  </conditionalFormatting>
  <conditionalFormatting sqref="AB43:AB44">
    <cfRule type="expression" dxfId="27" priority="18">
      <formula>$G43:$G411="Sí"</formula>
    </cfRule>
    <cfRule type="expression" dxfId="26" priority="17">
      <formula>$P43:$P411="APOYO"</formula>
    </cfRule>
  </conditionalFormatting>
  <conditionalFormatting sqref="AB46:AB47">
    <cfRule type="expression" dxfId="25" priority="16">
      <formula>$G46:$G414="Sí"</formula>
    </cfRule>
    <cfRule type="expression" dxfId="24" priority="15">
      <formula>$P46:$P414="APOYO"</formula>
    </cfRule>
  </conditionalFormatting>
  <conditionalFormatting sqref="AB50:AB52">
    <cfRule type="expression" dxfId="23" priority="14">
      <formula>$G50:$G418="Sí"</formula>
    </cfRule>
    <cfRule type="expression" dxfId="22" priority="13">
      <formula>$P50:$P418="APOYO"</formula>
    </cfRule>
  </conditionalFormatting>
  <conditionalFormatting sqref="AB61:AB62">
    <cfRule type="expression" dxfId="21" priority="12">
      <formula>$G61:$G429="Sí"</formula>
    </cfRule>
    <cfRule type="expression" dxfId="20" priority="11">
      <formula>$P61:$P429="APOYO"</formula>
    </cfRule>
  </conditionalFormatting>
  <conditionalFormatting sqref="AB71">
    <cfRule type="expression" dxfId="19" priority="10">
      <formula>$G71:$G439="Sí"</formula>
    </cfRule>
    <cfRule type="expression" dxfId="18" priority="9">
      <formula>$P71:$P439="APOYO"</formula>
    </cfRule>
  </conditionalFormatting>
  <dataValidations count="1">
    <dataValidation type="date" showInputMessage="1" showErrorMessage="1" sqref="X61:X62 U7:Z51" xr:uid="{00000000-0002-0000-0100-000000000000}">
      <formula1>46023</formula1>
      <formula2>46387</formula2>
    </dataValidation>
  </dataValidations>
  <hyperlinks>
    <hyperlink ref="M7" r:id="rId1" xr:uid="{00000000-0004-0000-0100-000000000000}"/>
    <hyperlink ref="M22" r:id="rId2" xr:uid="{00000000-0004-0000-0100-000001000000}"/>
    <hyperlink ref="M23" r:id="rId3" xr:uid="{00000000-0004-0000-0100-000002000000}"/>
    <hyperlink ref="M24" r:id="rId4" display="https://www.linkedin.com/in/rosario-cosar-5b3538119/" xr:uid="{00000000-0004-0000-0100-000003000000}"/>
    <hyperlink ref="M40" r:id="rId5" xr:uid="{00000000-0004-0000-0100-000004000000}"/>
    <hyperlink ref="N33" r:id="rId6" xr:uid="{00000000-0004-0000-0100-000005000000}"/>
    <hyperlink ref="M31" r:id="rId7" display="vpomalaya@mpfn.gob.pe; victoriapomalaya@gmail.com" xr:uid="{00000000-0004-0000-0100-000006000000}"/>
    <hyperlink ref="M18" r:id="rId8" xr:uid="{00000000-0004-0000-0100-000007000000}"/>
    <hyperlink ref="M20" r:id="rId9" xr:uid="{00000000-0004-0000-0100-000008000000}"/>
    <hyperlink ref="M25" r:id="rId10" xr:uid="{00000000-0004-0000-0100-000009000000}"/>
    <hyperlink ref="M26" r:id="rId11" xr:uid="{00000000-0004-0000-0100-00000A000000}"/>
    <hyperlink ref="M27" r:id="rId12" xr:uid="{00000000-0004-0000-0100-00000B000000}"/>
    <hyperlink ref="M28" r:id="rId13" xr:uid="{00000000-0004-0000-0100-00000C000000}"/>
    <hyperlink ref="M29" r:id="rId14" xr:uid="{00000000-0004-0000-0100-00000D000000}"/>
    <hyperlink ref="M30" r:id="rId15" xr:uid="{00000000-0004-0000-0100-00000E000000}"/>
    <hyperlink ref="M39" r:id="rId16" xr:uid="{00000000-0004-0000-0100-00000F000000}"/>
    <hyperlink ref="M47" r:id="rId17" xr:uid="{00000000-0004-0000-0100-000010000000}"/>
    <hyperlink ref="N50" r:id="rId18" xr:uid="{00000000-0004-0000-0100-000011000000}"/>
    <hyperlink ref="N17" r:id="rId19" xr:uid="{00000000-0004-0000-0100-000012000000}"/>
    <hyperlink ref="N57" r:id="rId20" xr:uid="{00000000-0004-0000-0100-000013000000}"/>
    <hyperlink ref="M53" r:id="rId21" xr:uid="{00000000-0004-0000-0100-000014000000}"/>
    <hyperlink ref="M54" r:id="rId22" xr:uid="{00000000-0004-0000-0100-000015000000}"/>
    <hyperlink ref="M55" r:id="rId23" xr:uid="{00000000-0004-0000-0100-000016000000}"/>
    <hyperlink ref="M58" r:id="rId24" xr:uid="{00000000-0004-0000-0100-000017000000}"/>
    <hyperlink ref="M59" r:id="rId25" xr:uid="{00000000-0004-0000-0100-000018000000}"/>
    <hyperlink ref="M21" r:id="rId26" xr:uid="{00000000-0004-0000-0100-000019000000}"/>
    <hyperlink ref="M56" r:id="rId27" xr:uid="{00000000-0004-0000-0100-00001A000000}"/>
    <hyperlink ref="M71" r:id="rId28" xr:uid="{00000000-0004-0000-0100-00001B000000}"/>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2"/>
  <sheetViews>
    <sheetView topLeftCell="M1" zoomScale="101" workbookViewId="0">
      <selection activeCell="K3" sqref="K3"/>
    </sheetView>
  </sheetViews>
  <sheetFormatPr baseColWidth="10" defaultRowHeight="14.5" x14ac:dyDescent="0.35"/>
  <cols>
    <col min="1" max="1" width="3.54296875" customWidth="1"/>
    <col min="2" max="2" width="7.26953125" customWidth="1"/>
    <col min="3" max="3" width="26.54296875" bestFit="1" customWidth="1"/>
    <col min="4" max="4" width="24.26953125" bestFit="1" customWidth="1"/>
    <col min="5" max="5" width="17.81640625" bestFit="1" customWidth="1"/>
    <col min="7" max="7" width="13.81640625" bestFit="1" customWidth="1"/>
    <col min="8" max="8" width="10.7265625" bestFit="1" customWidth="1"/>
    <col min="9" max="9" width="24.54296875" bestFit="1" customWidth="1"/>
    <col min="10" max="10" width="26.81640625" bestFit="1" customWidth="1"/>
    <col min="11" max="11" width="24" bestFit="1" customWidth="1"/>
    <col min="12" max="12" width="16.453125" bestFit="1" customWidth="1"/>
    <col min="13" max="13" width="26.54296875" bestFit="1" customWidth="1"/>
    <col min="14" max="14" width="24" bestFit="1" customWidth="1"/>
    <col min="15" max="15" width="10.1796875" bestFit="1" customWidth="1"/>
    <col min="16" max="16" width="19" bestFit="1" customWidth="1"/>
  </cols>
  <sheetData>
    <row r="1" spans="2:21" x14ac:dyDescent="0.35">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spans="2:21" x14ac:dyDescent="0.35">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spans="2:21" x14ac:dyDescent="0.35">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spans="2:21" x14ac:dyDescent="0.35">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spans="2:21" x14ac:dyDescent="0.35">
      <c r="B5" t="s">
        <v>49</v>
      </c>
      <c r="C5" t="s">
        <v>1037</v>
      </c>
      <c r="D5" t="s">
        <v>1108</v>
      </c>
      <c r="E5" t="s">
        <v>694</v>
      </c>
      <c r="F5" t="s">
        <v>1112</v>
      </c>
      <c r="G5" t="s">
        <v>167</v>
      </c>
      <c r="H5" t="s">
        <v>1670</v>
      </c>
      <c r="I5" t="s">
        <v>992</v>
      </c>
      <c r="J5" t="s">
        <v>126</v>
      </c>
      <c r="K5" t="s">
        <v>29</v>
      </c>
      <c r="L5" t="s">
        <v>992</v>
      </c>
      <c r="M5" t="s">
        <v>992</v>
      </c>
      <c r="N5" t="s">
        <v>992</v>
      </c>
      <c r="O5" t="s">
        <v>992</v>
      </c>
      <c r="P5" t="s">
        <v>992</v>
      </c>
      <c r="Q5" t="s">
        <v>992</v>
      </c>
      <c r="R5" t="s">
        <v>992</v>
      </c>
      <c r="S5" t="s">
        <v>992</v>
      </c>
      <c r="T5" t="s">
        <v>992</v>
      </c>
      <c r="U5" t="s">
        <v>992</v>
      </c>
    </row>
    <row r="6" spans="2:21" x14ac:dyDescent="0.35">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spans="2:21" x14ac:dyDescent="0.35">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spans="2:21" x14ac:dyDescent="0.35">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spans="2:21" x14ac:dyDescent="0.35">
      <c r="B9" t="s">
        <v>49</v>
      </c>
      <c r="C9" t="s">
        <v>1312</v>
      </c>
      <c r="D9" t="s">
        <v>794</v>
      </c>
      <c r="E9" t="s">
        <v>286</v>
      </c>
      <c r="F9" t="s">
        <v>1419</v>
      </c>
      <c r="G9" t="s">
        <v>161</v>
      </c>
      <c r="H9" t="s">
        <v>1671</v>
      </c>
      <c r="I9" t="s">
        <v>143</v>
      </c>
      <c r="J9" t="s">
        <v>125</v>
      </c>
      <c r="K9" t="s">
        <v>992</v>
      </c>
      <c r="L9" t="s">
        <v>992</v>
      </c>
      <c r="M9" t="s">
        <v>992</v>
      </c>
      <c r="N9" t="s">
        <v>992</v>
      </c>
      <c r="O9" t="s">
        <v>992</v>
      </c>
      <c r="P9" t="s">
        <v>992</v>
      </c>
      <c r="Q9" t="s">
        <v>992</v>
      </c>
      <c r="R9" t="s">
        <v>992</v>
      </c>
      <c r="S9" t="s">
        <v>992</v>
      </c>
      <c r="T9" t="s">
        <v>992</v>
      </c>
      <c r="U9" t="s">
        <v>1420</v>
      </c>
    </row>
    <row r="10" spans="2:21" x14ac:dyDescent="0.35">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spans="2:21" x14ac:dyDescent="0.35">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row r="12" spans="2:21" x14ac:dyDescent="0.35">
      <c r="B12" t="s">
        <v>291</v>
      </c>
      <c r="C12" t="s">
        <v>1315</v>
      </c>
      <c r="D12" t="s">
        <v>1398</v>
      </c>
      <c r="E12" t="s">
        <v>291</v>
      </c>
      <c r="F12" t="s">
        <v>992</v>
      </c>
      <c r="G12" t="s">
        <v>161</v>
      </c>
      <c r="H12" t="s">
        <v>992</v>
      </c>
      <c r="I12" t="s">
        <v>143</v>
      </c>
      <c r="J12" t="s">
        <v>125</v>
      </c>
      <c r="K12" t="s">
        <v>1769</v>
      </c>
      <c r="L12" t="s">
        <v>992</v>
      </c>
      <c r="M12" t="s">
        <v>992</v>
      </c>
      <c r="N12" t="s">
        <v>992</v>
      </c>
      <c r="O12" t="s">
        <v>992</v>
      </c>
      <c r="P12" t="s">
        <v>992</v>
      </c>
      <c r="Q12" t="s">
        <v>992</v>
      </c>
      <c r="R12" t="s">
        <v>25</v>
      </c>
      <c r="S12" t="s">
        <v>1014</v>
      </c>
      <c r="T12" t="s">
        <v>992</v>
      </c>
      <c r="U12" t="s">
        <v>992</v>
      </c>
    </row>
  </sheetData>
  <phoneticPr fontId="6" type="noConversion"/>
  <conditionalFormatting sqref="B2:B9">
    <cfRule type="expression" dxfId="17" priority="15">
      <formula>$H2:$H3="APOYO"</formula>
    </cfRule>
    <cfRule type="expression" dxfId="16" priority="16">
      <formula>#REF!="Sí"</formula>
    </cfRule>
  </conditionalFormatting>
  <conditionalFormatting sqref="B10:P17">
    <cfRule type="expression" dxfId="15" priority="43">
      <formula>$F10:$F34="APOYO"</formula>
    </cfRule>
    <cfRule type="expression" dxfId="14" priority="44">
      <formula>#REF!="Sí"</formula>
    </cfRule>
  </conditionalFormatting>
  <conditionalFormatting sqref="E6:E9 G6:I9">
    <cfRule type="expression" dxfId="13" priority="3">
      <formula>$H6:$H7="APOYO"</formula>
    </cfRule>
    <cfRule type="expression" dxfId="12" priority="4">
      <formula>#REF!="Sí"</formula>
    </cfRule>
  </conditionalFormatting>
  <conditionalFormatting sqref="E2:T3">
    <cfRule type="expression" dxfId="11" priority="7">
      <formula>$H2:$H3="APOYO"</formula>
    </cfRule>
    <cfRule type="expression" dxfId="10" priority="8">
      <formula>#REF!="Sí"</formula>
    </cfRule>
  </conditionalFormatting>
  <conditionalFormatting sqref="F4:F9">
    <cfRule type="expression" dxfId="9" priority="1">
      <formula>$H4:$H5="APOYO"</formula>
    </cfRule>
    <cfRule type="expression" dxfId="8" priority="2">
      <formula>#REF!="Sí"</formula>
    </cfRule>
  </conditionalFormatting>
  <conditionalFormatting sqref="I4:J5">
    <cfRule type="expression" dxfId="7" priority="9">
      <formula>$H4:$H5="APOYO"</formula>
    </cfRule>
    <cfRule type="expression" dxfId="6" priority="10">
      <formula>#REF!="Sí"</formula>
    </cfRule>
  </conditionalFormatting>
  <conditionalFormatting sqref="J6:J9 R6:R9">
    <cfRule type="expression" dxfId="5" priority="13">
      <formula>$S6:$S321="APOYO"</formula>
    </cfRule>
    <cfRule type="expression" dxfId="4" priority="14">
      <formula>$H6:$H321="Sí"</formula>
    </cfRule>
  </conditionalFormatting>
  <conditionalFormatting sqref="K6:Q9">
    <cfRule type="expression" dxfId="3" priority="11">
      <formula>$H6:$H7="APOYO"</formula>
    </cfRule>
    <cfRule type="expression" dxfId="2"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1" outlineLevelCol="1" x14ac:dyDescent="0.25"/>
  <cols>
    <col min="1" max="1" width="11" style="1" bestFit="1" customWidth="1"/>
    <col min="2" max="2" width="37" style="1" customWidth="1"/>
    <col min="3" max="3" width="32.54296875" style="1" customWidth="1"/>
    <col min="4" max="8" width="13.1796875" style="1" bestFit="1" customWidth="1"/>
    <col min="9" max="9" width="13" style="1" bestFit="1" customWidth="1"/>
    <col min="10" max="10" width="13" style="1" customWidth="1"/>
    <col min="11" max="11" width="10.453125" style="1" bestFit="1" customWidth="1"/>
    <col min="12" max="12" width="21.54296875" style="1" bestFit="1" customWidth="1"/>
    <col min="13" max="14" width="23.1796875" style="1" bestFit="1" customWidth="1"/>
    <col min="15" max="15" width="16.81640625" style="1" bestFit="1" customWidth="1"/>
    <col min="16" max="16" width="23.81640625" style="1" bestFit="1" customWidth="1"/>
    <col min="17" max="17" width="21.54296875" style="1" bestFit="1" customWidth="1"/>
    <col min="18" max="18" width="15.54296875" style="1" customWidth="1"/>
    <col min="19" max="20" width="17" style="1" bestFit="1" customWidth="1"/>
    <col min="21" max="22" width="23.81640625" style="1" customWidth="1"/>
    <col min="23" max="24" width="23.81640625" style="1" customWidth="1" outlineLevel="1"/>
    <col min="25" max="25" width="30.81640625" style="1" customWidth="1"/>
    <col min="26" max="26" width="24.1796875" style="1" customWidth="1"/>
    <col min="27" max="16384" width="10.81640625" style="1"/>
  </cols>
  <sheetData>
    <row r="1" spans="1:26" ht="12.75" customHeight="1"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spans="1:26" ht="12.75" customHeight="1"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spans="1:26" ht="12.75" customHeight="1"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spans="1:26" ht="12.75" customHeight="1"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spans="1:26" ht="12.75" customHeight="1"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spans="1:26" ht="12.75" customHeight="1"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spans="1:26" ht="12.75" customHeight="1"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spans="1:26" ht="12.75" customHeight="1"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spans="1:26" ht="12.75" customHeight="1"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spans="1:26" ht="12.75" customHeight="1"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spans="1:26" ht="12.75" customHeight="1"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spans="1:26" ht="12.75" customHeight="1"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spans="1:26" ht="12.75" customHeight="1"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spans="1:26" ht="12.75" customHeight="1"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spans="1:26" ht="12.75" customHeight="1"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spans="1:26" ht="12.75" customHeight="1"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spans="1:22" ht="12.75" customHeight="1"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spans="1:22" ht="12.75" customHeight="1"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spans="1:22" ht="12.75" customHeight="1"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spans="1:22" ht="12.75" customHeight="1"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spans="1:22" ht="12.75" customHeight="1"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spans="1:22" ht="12.75" customHeight="1"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xr:uid="{00000000-0004-0000-0300-000000000000}"/>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1" customWidth="1"/>
    <col min="2" max="2" width="20.453125" style="1" customWidth="1"/>
    <col min="3" max="3" width="22.26953125" style="1" customWidth="1"/>
    <col min="4" max="5" width="32.81640625" style="1" customWidth="1"/>
    <col min="6" max="7" width="21" style="1" customWidth="1"/>
    <col min="8" max="8" width="22.81640625" style="1" customWidth="1"/>
    <col min="9" max="9" width="13.54296875" style="1" bestFit="1" customWidth="1"/>
    <col min="10" max="11" width="13.54296875" style="1" customWidth="1"/>
    <col min="12" max="12" width="10" style="1" bestFit="1" customWidth="1"/>
    <col min="13" max="13" width="23" style="1" bestFit="1" customWidth="1"/>
    <col min="14" max="14" width="24.81640625" style="1" bestFit="1" customWidth="1"/>
    <col min="15" max="15" width="22.54296875" style="1" bestFit="1" customWidth="1"/>
    <col min="16" max="16" width="18.1796875" style="1" bestFit="1" customWidth="1"/>
    <col min="17" max="18" width="25.54296875" style="1" bestFit="1" customWidth="1"/>
    <col min="19" max="19" width="17.81640625" style="1" bestFit="1" customWidth="1"/>
    <col min="20" max="20" width="20" style="1" customWidth="1"/>
    <col min="21" max="16384" width="10.81640625" style="1"/>
  </cols>
  <sheetData>
    <row r="1" spans="1:20"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spans="1:20" x14ac:dyDescent="0.25">
      <c r="A2" s="1">
        <v>1</v>
      </c>
      <c r="B2" s="1" t="s">
        <v>129</v>
      </c>
      <c r="C2" s="1" t="s">
        <v>68</v>
      </c>
      <c r="D2" s="1" t="s">
        <v>69</v>
      </c>
      <c r="E2" s="1" t="s">
        <v>70</v>
      </c>
      <c r="H2" s="1" t="s">
        <v>71</v>
      </c>
      <c r="I2" s="1" t="s">
        <v>49</v>
      </c>
      <c r="J2" s="1" t="s">
        <v>150</v>
      </c>
      <c r="L2" s="1" t="s">
        <v>24</v>
      </c>
      <c r="M2" s="2">
        <v>45943</v>
      </c>
      <c r="P2" s="1" t="s">
        <v>132</v>
      </c>
      <c r="Q2" s="2">
        <v>45959</v>
      </c>
    </row>
    <row r="3" spans="1:20"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spans="1:20"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spans="1:20"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spans="1:20"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spans="1:20"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spans="1:20"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spans="1:20"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spans="1:2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spans="1:20"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spans="1:20"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spans="1:20"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spans="1:20"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spans="1:20" x14ac:dyDescent="0.25">
      <c r="A15" s="1">
        <f t="shared" si="0"/>
        <v>14</v>
      </c>
      <c r="B15" s="1" t="s">
        <v>174</v>
      </c>
      <c r="C15" s="1" t="s">
        <v>175</v>
      </c>
      <c r="D15" s="1" t="s">
        <v>176</v>
      </c>
      <c r="E15" s="1" t="s">
        <v>177</v>
      </c>
      <c r="H15" s="1" t="s">
        <v>82</v>
      </c>
      <c r="I15" s="1" t="s">
        <v>49</v>
      </c>
      <c r="J15" s="1" t="s">
        <v>150</v>
      </c>
      <c r="K15" s="1" t="s">
        <v>3</v>
      </c>
      <c r="L15" s="1" t="s">
        <v>24</v>
      </c>
      <c r="P15" s="1" t="s">
        <v>38</v>
      </c>
    </row>
    <row r="16" spans="1:20" x14ac:dyDescent="0.25">
      <c r="A16" s="1">
        <f t="shared" si="0"/>
        <v>15</v>
      </c>
      <c r="B16" s="1" t="s">
        <v>174</v>
      </c>
      <c r="C16" s="1" t="s">
        <v>178</v>
      </c>
      <c r="D16" s="1" t="s">
        <v>179</v>
      </c>
      <c r="E16" s="1" t="s">
        <v>180</v>
      </c>
      <c r="H16" s="1" t="s">
        <v>82</v>
      </c>
      <c r="I16" s="1" t="s">
        <v>49</v>
      </c>
      <c r="J16" s="1" t="s">
        <v>150</v>
      </c>
      <c r="K16" s="1" t="s">
        <v>3</v>
      </c>
      <c r="L16" s="1" t="s">
        <v>24</v>
      </c>
      <c r="P16" s="1" t="s">
        <v>38</v>
      </c>
    </row>
    <row r="17" spans="1:20"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spans="1:20" x14ac:dyDescent="0.25">
      <c r="A18" s="1">
        <f t="shared" si="0"/>
        <v>17</v>
      </c>
      <c r="B18" s="1" t="s">
        <v>174</v>
      </c>
      <c r="C18" s="1" t="s">
        <v>185</v>
      </c>
      <c r="D18" s="1" t="s">
        <v>186</v>
      </c>
      <c r="E18" s="1" t="s">
        <v>187</v>
      </c>
      <c r="H18" s="1" t="s">
        <v>98</v>
      </c>
      <c r="I18" s="1" t="s">
        <v>49</v>
      </c>
      <c r="J18" s="1" t="s">
        <v>150</v>
      </c>
      <c r="K18" s="1" t="s">
        <v>188</v>
      </c>
      <c r="L18" s="1" t="s">
        <v>106</v>
      </c>
      <c r="P18" s="1" t="s">
        <v>38</v>
      </c>
    </row>
    <row r="19" spans="1:20" x14ac:dyDescent="0.25">
      <c r="A19" s="1">
        <f t="shared" si="0"/>
        <v>18</v>
      </c>
      <c r="B19" s="1" t="s">
        <v>174</v>
      </c>
      <c r="C19" s="1" t="s">
        <v>189</v>
      </c>
      <c r="D19" s="1" t="s">
        <v>51</v>
      </c>
      <c r="E19" s="1" t="s">
        <v>52</v>
      </c>
      <c r="H19" s="1" t="s">
        <v>98</v>
      </c>
      <c r="I19" s="1" t="s">
        <v>61</v>
      </c>
      <c r="J19" s="1" t="s">
        <v>150</v>
      </c>
      <c r="K19" s="1" t="s">
        <v>3</v>
      </c>
      <c r="L19" s="1" t="s">
        <v>24</v>
      </c>
      <c r="P19" s="1" t="s">
        <v>38</v>
      </c>
    </row>
    <row r="20" spans="1:20" x14ac:dyDescent="0.25">
      <c r="A20" s="1">
        <f t="shared" si="0"/>
        <v>19</v>
      </c>
      <c r="B20" s="1" t="s">
        <v>174</v>
      </c>
      <c r="C20" s="1" t="s">
        <v>190</v>
      </c>
      <c r="D20" s="1" t="s">
        <v>191</v>
      </c>
      <c r="E20" s="1" t="s">
        <v>192</v>
      </c>
      <c r="H20" s="1" t="s">
        <v>71</v>
      </c>
      <c r="I20" s="1" t="s">
        <v>49</v>
      </c>
      <c r="J20" s="1" t="s">
        <v>150</v>
      </c>
      <c r="K20" s="1" t="s">
        <v>193</v>
      </c>
      <c r="L20" s="1" t="s">
        <v>24</v>
      </c>
      <c r="P20" s="1" t="s">
        <v>38</v>
      </c>
    </row>
    <row r="21" spans="1:20" x14ac:dyDescent="0.25">
      <c r="A21" s="1">
        <f t="shared" si="0"/>
        <v>20</v>
      </c>
      <c r="B21" s="1" t="s">
        <v>174</v>
      </c>
      <c r="C21" s="1" t="s">
        <v>194</v>
      </c>
      <c r="D21" s="1" t="s">
        <v>35</v>
      </c>
      <c r="E21" s="1" t="s">
        <v>195</v>
      </c>
      <c r="H21" s="1" t="s">
        <v>71</v>
      </c>
      <c r="I21" s="1" t="s">
        <v>196</v>
      </c>
      <c r="J21" s="1" t="s">
        <v>150</v>
      </c>
      <c r="K21" s="1" t="s">
        <v>3</v>
      </c>
      <c r="L21" s="1" t="s">
        <v>24</v>
      </c>
      <c r="P21" s="1" t="s">
        <v>38</v>
      </c>
    </row>
    <row r="22" spans="1:20" x14ac:dyDescent="0.25">
      <c r="A22" s="1">
        <f t="shared" si="0"/>
        <v>21</v>
      </c>
      <c r="B22" s="1" t="s">
        <v>174</v>
      </c>
      <c r="C22" s="1" t="s">
        <v>197</v>
      </c>
      <c r="D22" s="1" t="s">
        <v>58</v>
      </c>
      <c r="E22" s="1" t="s">
        <v>198</v>
      </c>
      <c r="H22" s="1" t="s">
        <v>71</v>
      </c>
      <c r="I22" s="1" t="s">
        <v>61</v>
      </c>
      <c r="J22" s="1" t="s">
        <v>150</v>
      </c>
      <c r="K22" s="1" t="s">
        <v>199</v>
      </c>
      <c r="L22" s="1" t="s">
        <v>24</v>
      </c>
      <c r="P22" s="1" t="s">
        <v>38</v>
      </c>
    </row>
    <row r="23" spans="1:20"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spans="1:20" x14ac:dyDescent="0.25">
      <c r="A24" s="1">
        <f t="shared" si="0"/>
        <v>23</v>
      </c>
      <c r="B24" s="1" t="s">
        <v>174</v>
      </c>
      <c r="C24" s="1" t="s">
        <v>204</v>
      </c>
      <c r="D24" s="1" t="s">
        <v>205</v>
      </c>
      <c r="E24" s="1" t="s">
        <v>206</v>
      </c>
      <c r="H24" s="1" t="s">
        <v>71</v>
      </c>
      <c r="I24" s="1" t="s">
        <v>49</v>
      </c>
      <c r="J24" s="1" t="s">
        <v>150</v>
      </c>
      <c r="K24" s="1" t="s">
        <v>3</v>
      </c>
      <c r="L24" s="1" t="s">
        <v>24</v>
      </c>
      <c r="P24" s="1" t="s">
        <v>38</v>
      </c>
    </row>
    <row r="25" spans="1:20"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spans="1:20"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spans="1:20" x14ac:dyDescent="0.25">
      <c r="A27" s="1">
        <f t="shared" si="0"/>
        <v>26</v>
      </c>
      <c r="B27" s="1" t="s">
        <v>174</v>
      </c>
      <c r="C27" s="1" t="s">
        <v>212</v>
      </c>
      <c r="D27" s="1" t="s">
        <v>213</v>
      </c>
      <c r="E27" s="1" t="s">
        <v>214</v>
      </c>
      <c r="H27" s="1" t="s">
        <v>110</v>
      </c>
      <c r="I27" s="1" t="s">
        <v>211</v>
      </c>
      <c r="J27" s="1" t="s">
        <v>150</v>
      </c>
      <c r="K27" s="1" t="s">
        <v>3</v>
      </c>
      <c r="L27" s="1" t="s">
        <v>24</v>
      </c>
      <c r="P27" s="1" t="s">
        <v>38</v>
      </c>
    </row>
    <row r="28" spans="1:20"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spans="1:20" x14ac:dyDescent="0.25">
      <c r="A29" s="1">
        <f t="shared" si="0"/>
        <v>28</v>
      </c>
      <c r="B29" s="1" t="s">
        <v>174</v>
      </c>
      <c r="C29" s="1" t="s">
        <v>218</v>
      </c>
      <c r="D29" s="1" t="s">
        <v>20</v>
      </c>
      <c r="E29" s="1" t="s">
        <v>219</v>
      </c>
      <c r="H29" s="1" t="s">
        <v>71</v>
      </c>
      <c r="I29" s="1" t="s">
        <v>61</v>
      </c>
      <c r="J29" s="1" t="s">
        <v>150</v>
      </c>
      <c r="K29" s="1" t="s">
        <v>3</v>
      </c>
      <c r="L29" s="1" t="s">
        <v>24</v>
      </c>
      <c r="P29" s="1" t="s">
        <v>38</v>
      </c>
    </row>
    <row r="30" spans="1:2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spans="1:20"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1"/>
    <col min="2" max="2" width="10.81640625" style="1"/>
    <col min="3" max="3" width="18.1796875" style="1" customWidth="1"/>
    <col min="4" max="4" width="15.54296875" style="1" customWidth="1"/>
    <col min="5" max="5" width="24.81640625" style="1" customWidth="1"/>
    <col min="6" max="6" width="21.54296875" style="1" customWidth="1"/>
    <col min="7" max="7" width="20.1796875" style="1" customWidth="1"/>
    <col min="8" max="8" width="17" style="1" customWidth="1"/>
    <col min="9" max="9" width="18.453125" style="1" customWidth="1"/>
    <col min="10" max="16384" width="10.81640625" style="1"/>
  </cols>
  <sheetData>
    <row r="1" spans="1:9" ht="13" x14ac:dyDescent="0.3">
      <c r="A1" s="4" t="s">
        <v>100</v>
      </c>
      <c r="B1" s="4" t="s">
        <v>9</v>
      </c>
      <c r="C1" s="4" t="s">
        <v>101</v>
      </c>
      <c r="D1" s="4" t="s">
        <v>102</v>
      </c>
      <c r="E1" s="4" t="s">
        <v>103</v>
      </c>
      <c r="F1" s="4" t="s">
        <v>104</v>
      </c>
      <c r="G1" s="4" t="s">
        <v>18</v>
      </c>
      <c r="H1" s="4" t="s">
        <v>16</v>
      </c>
      <c r="I1" s="4" t="s">
        <v>124</v>
      </c>
    </row>
    <row r="2" spans="1:9" x14ac:dyDescent="0.25">
      <c r="A2" s="1" t="s">
        <v>131</v>
      </c>
      <c r="B2" s="1" t="s">
        <v>24</v>
      </c>
      <c r="C2" s="1" t="s">
        <v>61</v>
      </c>
      <c r="D2" s="1" t="s">
        <v>105</v>
      </c>
      <c r="E2" s="1" t="s">
        <v>22</v>
      </c>
      <c r="F2" s="1" t="s">
        <v>71</v>
      </c>
      <c r="G2" s="1" t="s">
        <v>25</v>
      </c>
      <c r="H2" s="1" t="s">
        <v>121</v>
      </c>
      <c r="I2" s="1" t="s">
        <v>125</v>
      </c>
    </row>
    <row r="3" spans="1:9" x14ac:dyDescent="0.25">
      <c r="A3" s="1" t="s">
        <v>132</v>
      </c>
      <c r="B3" s="1" t="s">
        <v>106</v>
      </c>
      <c r="C3" s="1" t="s">
        <v>107</v>
      </c>
      <c r="D3" s="1" t="s">
        <v>108</v>
      </c>
      <c r="E3" s="1" t="s">
        <v>37</v>
      </c>
      <c r="F3" s="1" t="s">
        <v>82</v>
      </c>
      <c r="G3" s="1" t="s">
        <v>30</v>
      </c>
      <c r="H3" s="1" t="s">
        <v>122</v>
      </c>
      <c r="I3" s="1" t="s">
        <v>126</v>
      </c>
    </row>
    <row r="4" spans="1:9" x14ac:dyDescent="0.25">
      <c r="A4" s="1" t="s">
        <v>38</v>
      </c>
      <c r="C4" s="1" t="s">
        <v>109</v>
      </c>
      <c r="D4" s="1" t="s">
        <v>130</v>
      </c>
      <c r="E4" s="1" t="s">
        <v>60</v>
      </c>
      <c r="F4" s="1" t="s">
        <v>98</v>
      </c>
      <c r="G4" s="1" t="s">
        <v>33</v>
      </c>
      <c r="H4" s="1" t="s">
        <v>123</v>
      </c>
    </row>
    <row r="5" spans="1:9" x14ac:dyDescent="0.25">
      <c r="A5" s="1" t="s">
        <v>29</v>
      </c>
      <c r="C5" s="1" t="s">
        <v>44</v>
      </c>
      <c r="E5" s="1" t="s">
        <v>82</v>
      </c>
      <c r="F5" s="1" t="s">
        <v>110</v>
      </c>
      <c r="G5" s="1" t="s">
        <v>118</v>
      </c>
    </row>
    <row r="6" spans="1:9" x14ac:dyDescent="0.25">
      <c r="C6" s="1" t="s">
        <v>56</v>
      </c>
      <c r="E6" s="1" t="s">
        <v>111</v>
      </c>
      <c r="F6" s="1" t="s">
        <v>28</v>
      </c>
    </row>
    <row r="7" spans="1:9" ht="14.5" x14ac:dyDescent="0.35">
      <c r="C7" s="1" t="s">
        <v>65</v>
      </c>
      <c r="E7"/>
      <c r="F7"/>
    </row>
    <row r="8" spans="1:9" ht="14.5" x14ac:dyDescent="0.35">
      <c r="C8" s="1" t="s">
        <v>23</v>
      </c>
      <c r="E8"/>
      <c r="F8"/>
    </row>
    <row r="9" spans="1:9" ht="14.5" x14ac:dyDescent="0.35">
      <c r="C9" s="1" t="s">
        <v>41</v>
      </c>
      <c r="E9"/>
      <c r="F9"/>
    </row>
    <row r="10" spans="1:9" ht="14.5" x14ac:dyDescent="0.35">
      <c r="C10" s="1" t="s">
        <v>49</v>
      </c>
      <c r="E10"/>
      <c r="F10"/>
    </row>
    <row r="11" spans="1:9" ht="14.5" x14ac:dyDescent="0.35">
      <c r="E11"/>
      <c r="F11"/>
    </row>
    <row r="12" spans="1:9" ht="14.5" x14ac:dyDescent="0.35">
      <c r="E12"/>
      <c r="F12"/>
    </row>
    <row r="13" spans="1:9" ht="14.5" x14ac:dyDescent="0.35">
      <c r="E13"/>
      <c r="F13"/>
    </row>
    <row r="14" spans="1:9"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8601"/>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1"/>
    <col min="6" max="6" width="20.1796875" customWidth="1"/>
    <col min="12" max="12" width="21.26953125" customWidth="1"/>
  </cols>
  <sheetData>
    <row r="1" spans="1:25"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spans="1:25"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spans="1:25"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spans="1:25"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spans="1:2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spans="1:25"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spans="1:25"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spans="1:25"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spans="1:25"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spans="1:25"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spans="1:25"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spans="1:25"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spans="1:25"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spans="1:25"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spans="1:2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spans="1:25"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spans="1:25"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spans="1:25"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spans="1:25"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spans="1:25"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spans="1:25"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spans="1:25"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1"/>
    <col min="15" max="18" width="14.54296875" customWidth="1"/>
  </cols>
  <sheetData>
    <row r="1" spans="1:18"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spans="1:18" x14ac:dyDescent="0.35">
      <c r="A2" s="1">
        <f>IF('Reunión de validación'!A2="","",'Reunión de validación'!A2)</f>
        <v>1</v>
      </c>
      <c r="B2" s="1" t="str">
        <f>IF('Reunión de validación'!C2="","",'Reunión de validación'!C2)</f>
        <v xml:space="preserve">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spans="1:18" x14ac:dyDescent="0.35">
      <c r="A3" s="1">
        <f>IF('Reunión de validación'!A3="","",'Reunión de validación'!A3)</f>
        <v>2</v>
      </c>
      <c r="B3" s="1" t="str">
        <f>IF('Reunión de validación'!C3="","",'Reunión de validación'!C3)</f>
        <v xml:space="preserve">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spans="1:18"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spans="1:18"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spans="1:18" x14ac:dyDescent="0.35">
      <c r="A6" s="1">
        <f>IF('Reunión de validación'!A6="","",'Reunión de validación'!A6)</f>
        <v>5</v>
      </c>
      <c r="B6" s="1" t="str">
        <f>IF('Reunión de validación'!C6="","",'Reunión de validación'!C6)</f>
        <v xml:space="preserve">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spans="1:18" x14ac:dyDescent="0.35">
      <c r="A7" s="1">
        <f>IF('Reunión de validación'!A7="","",'Reunión de validación'!A7)</f>
        <v>6</v>
      </c>
      <c r="B7" s="1" t="str">
        <f>IF('Reunión de validación'!C7="","",'Reunión de validación'!C7)</f>
        <v xml:space="preserve">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spans="1:1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spans="1:18"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spans="1:18" x14ac:dyDescent="0.35">
      <c r="A10" s="1">
        <f>IF('Reunión de validación'!A10="","",'Reunión de validación'!A10)</f>
        <v>9</v>
      </c>
      <c r="B10" s="1" t="str">
        <f>IF('Reunión de validación'!C10="","",'Reunión de validación'!C10)</f>
        <v xml:space="preserve">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spans="1:18" x14ac:dyDescent="0.35">
      <c r="A11" s="1">
        <f>IF('Reunión de validación'!A11="","",'Reunión de validación'!A11)</f>
        <v>10</v>
      </c>
      <c r="B11" s="1" t="str">
        <f>IF('Reunión de validación'!C11="","",'Reunión de validación'!C11)</f>
        <v xml:space="preserve">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spans="1:18" x14ac:dyDescent="0.35">
      <c r="A12" s="1">
        <f>IF('Reunión de validación'!A12="","",'Reunión de validación'!A12)</f>
        <v>11</v>
      </c>
      <c r="B12" s="1" t="str">
        <f>IF('Reunión de validación'!C12="","",'Reunión de validación'!C12)</f>
        <v xml:space="preserve">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spans="1:18" x14ac:dyDescent="0.35">
      <c r="A13" s="1">
        <f>IF('Reunión de validación'!A13="","",'Reunión de validación'!A13)</f>
        <v>12</v>
      </c>
      <c r="B13" s="1" t="str">
        <f>IF('Reunión de validación'!C13="","",'Reunión de validación'!C13)</f>
        <v xml:space="preserve">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spans="1:18" x14ac:dyDescent="0.35">
      <c r="A14" s="1">
        <f>IF('Reunión de validación'!A14="","",'Reunión de validación'!A14)</f>
        <v>13</v>
      </c>
      <c r="B14" s="1" t="str">
        <f>IF('Reunión de validación'!C14="","",'Reunión de validación'!C14)</f>
        <v xml:space="preserve">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spans="1:18"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spans="1:18"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spans="1:18"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spans="1: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spans="1:18"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spans="1:18"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spans="1:18"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spans="1:18"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spans="1:18"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spans="1:18"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spans="1:18"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spans="1:18"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spans="1:18"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spans="1:1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spans="1:18"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spans="1:18"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spans="1:18"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zoomScale="89" zoomScaleNormal="64" workbookViewId="0">
      <selection activeCell="L1" sqref="L1:L1048576"/>
    </sheetView>
  </sheetViews>
  <sheetFormatPr baseColWidth="10" defaultColWidth="11.453125" defaultRowHeight="12.5" x14ac:dyDescent="0.25"/>
  <cols>
    <col min="1" max="1" width="28.81640625" style="1" customWidth="1"/>
    <col min="2" max="2" width="31.54296875" style="1" customWidth="1"/>
    <col min="3" max="3" width="60.81640625" style="1" customWidth="1"/>
    <col min="4" max="4" width="32" style="1" customWidth="1"/>
    <col min="5" max="5" width="21.7265625" style="1" bestFit="1" customWidth="1"/>
    <col min="6" max="6" width="40" style="1" customWidth="1"/>
    <col min="7" max="7" width="20" style="1" bestFit="1" customWidth="1"/>
    <col min="8" max="8" width="11.453125" style="1"/>
    <col min="9" max="11" width="21" style="2" bestFit="1" customWidth="1"/>
    <col min="12" max="12" width="23.1796875" style="1" customWidth="1"/>
    <col min="13" max="14" width="21" style="2" bestFit="1" customWidth="1"/>
    <col min="15" max="15" width="21" style="1" customWidth="1"/>
    <col min="16" max="17" width="23.1796875" style="1" customWidth="1"/>
    <col min="18" max="18" width="20.453125" style="1" bestFit="1" customWidth="1"/>
    <col min="19" max="19" width="24.453125" style="1" bestFit="1" customWidth="1"/>
    <col min="20" max="20" width="20" style="1" bestFit="1" customWidth="1"/>
    <col min="21" max="21" width="19.7265625" style="1" bestFit="1" customWidth="1"/>
    <col min="22" max="22" width="24.81640625" style="1" bestFit="1" customWidth="1"/>
    <col min="23" max="16384" width="11.453125" style="1"/>
  </cols>
  <sheetData>
    <row r="1" spans="1:22" s="15" customFormat="1"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spans="1:22" x14ac:dyDescent="0.25">
      <c r="A2" s="1"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 xml:space="preserve">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cm="1">
        <f t="array" ref="I2:I995">+IF('Seguimiento entrevistas'!V6:V999&lt;&gt;"",'Seguimiento entrevistas'!V6:V999,"")</f>
        <v>46120</v>
      </c>
      <c r="J2" s="2" cm="1">
        <f t="array" ref="J2:J995">+IF('Seguimiento entrevistas'!W6:W999&lt;&gt;"",'Seguimiento entrevistas'!W6:W999,"")</f>
        <v>46184</v>
      </c>
      <c r="K2" s="2" t="str" cm="1">
        <f t="array" ref="K2:K995">+IF('Seguimiento entrevistas'!X6:X999&lt;&gt;"",'Seguimiento entrevistas'!X6:X999,"")</f>
        <v/>
      </c>
      <c r="L2" s="1" t="str" cm="1">
        <f t="array" ref="L2:L995">+IF('Seguimiento entrevistas'!U6:U999&lt;&gt;"",'Seguimiento entrevistas'!U6:U999,"")</f>
        <v>Realizada completa</v>
      </c>
      <c r="M2" s="2" cm="1">
        <f t="array" ref="M2:M995">+IF('Seguimiento entrevistas'!Z6:Z999&lt;&gt;"",'Seguimiento entrevistas'!Z6:Z999,"")</f>
        <v>46188</v>
      </c>
      <c r="N2" s="2" cm="1">
        <f t="array" ref="N2:N995">+IF('Seguimiento entrevistas'!AA6:AA999&lt;&gt;"",'Seguimiento entrevistas'!AA6:AA999,"")</f>
        <v>46188</v>
      </c>
      <c r="O2" s="1" t="str" cm="1">
        <f t="array" ref="O2:O995">+IF('Seguimiento entrevistas'!U6:U999&lt;&gt;"",'Seguimiento entrevistas'!U6:U999,"")</f>
        <v>Realizada completa</v>
      </c>
      <c r="P2" s="1"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spans="1:22" x14ac:dyDescent="0.25">
      <c r="A3" s="1">
        <v>2</v>
      </c>
      <c r="B3" s="1" t="str">
        <v>Isabel López Meza</v>
      </c>
      <c r="C3" s="1" t="str">
        <v xml:space="preserve">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spans="1:22" x14ac:dyDescent="0.25">
      <c r="A4" s="1">
        <v>3</v>
      </c>
      <c r="B4" s="1" t="str">
        <v>Víctor García</v>
      </c>
      <c r="C4" s="1" t="str">
        <v>Plan International</v>
      </c>
      <c r="D4" s="1" t="str">
        <v>Entrevista de actores clave</v>
      </c>
      <c r="E4" s="1" t="str">
        <v>Multilaterales</v>
      </c>
      <c r="F4" s="1" t="str">
        <v>Nacional</v>
      </c>
      <c r="G4" s="1" t="str">
        <v>IJM</v>
      </c>
      <c r="H4" s="1" t="str">
        <v>Sí</v>
      </c>
      <c r="I4" s="2">
        <v>46147</v>
      </c>
      <c r="J4" s="2">
        <v>46184</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spans="1:22" x14ac:dyDescent="0.25">
      <c r="A5" s="1">
        <v>4</v>
      </c>
      <c r="B5" s="1" t="str">
        <v>Marlene Molero Suárez</v>
      </c>
      <c r="C5" s="1" t="str">
        <v>Care Perú</v>
      </c>
      <c r="D5" s="1" t="str">
        <v>Entrevista de actores clave</v>
      </c>
      <c r="E5" s="1" t="str">
        <v>Multilaterales</v>
      </c>
      <c r="F5" s="1" t="str">
        <v>Nacional</v>
      </c>
      <c r="G5" s="1" t="str">
        <v>IJM</v>
      </c>
      <c r="H5" s="1" t="str">
        <v>No</v>
      </c>
      <c r="I5" s="2">
        <v>46100</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spans="1:22" x14ac:dyDescent="0.25">
      <c r="A6" s="1">
        <v>5</v>
      </c>
      <c r="B6" s="1" t="str">
        <v>Marilú Martens Cortés</v>
      </c>
      <c r="C6" s="1" t="str">
        <v>Care Perú</v>
      </c>
      <c r="D6" s="1" t="str">
        <v>Entrevista de actores clave</v>
      </c>
      <c r="E6" s="1" t="str">
        <v>Multilaterales</v>
      </c>
      <c r="F6" s="1" t="str">
        <v>Nacional</v>
      </c>
      <c r="G6" s="1" t="str">
        <v>IJM</v>
      </c>
      <c r="H6" s="1" t="str">
        <v>Sí</v>
      </c>
      <c r="I6" s="2">
        <v>46100</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spans="1:22" x14ac:dyDescent="0.25">
      <c r="A7" s="1">
        <v>6</v>
      </c>
      <c r="B7" s="1" t="str">
        <v>Rafael Casas</v>
      </c>
      <c r="C7" s="1" t="str">
        <v>Aldeas Infantiles SOS</v>
      </c>
      <c r="D7" s="1" t="str">
        <v>Entrevista de actores clave</v>
      </c>
      <c r="E7" s="1" t="str">
        <v>Multilaterales</v>
      </c>
      <c r="F7" s="1" t="str">
        <v>Nacional</v>
      </c>
      <c r="G7" s="1" t="str">
        <v>IJM</v>
      </c>
      <c r="H7" s="1" t="str">
        <v>Sí</v>
      </c>
      <c r="I7" s="2">
        <v>46100</v>
      </c>
      <c r="J7" s="2">
        <v>46104</v>
      </c>
      <c r="K7" s="2" t="str">
        <v/>
      </c>
      <c r="L7" s="1" t="str">
        <v>Realizada completa</v>
      </c>
      <c r="M7" s="2">
        <v>46150</v>
      </c>
      <c r="N7" s="2">
        <v>46150</v>
      </c>
      <c r="O7" s="1" t="str">
        <v>Realizada completa</v>
      </c>
      <c r="P7" s="1">
        <v>45</v>
      </c>
      <c r="Q7" s="1" t="str">
        <v>A distancia asistido</v>
      </c>
      <c r="R7" s="1">
        <f t="shared" si="0"/>
        <v>1</v>
      </c>
      <c r="S7" s="1">
        <f t="shared" si="1"/>
        <v>0</v>
      </c>
      <c r="T7" s="1">
        <f t="shared" si="2"/>
        <v>0</v>
      </c>
      <c r="U7" s="1">
        <f t="shared" si="3"/>
        <v>1</v>
      </c>
      <c r="V7" s="1">
        <f t="shared" si="4"/>
        <v>0</v>
      </c>
    </row>
    <row r="8" spans="1:22" x14ac:dyDescent="0.25">
      <c r="A8" s="1">
        <v>7</v>
      </c>
      <c r="B8" s="1" t="str">
        <v>Sonia Gleci Frisancho Pacheco</v>
      </c>
      <c r="C8" s="1" t="str">
        <v>Aldeas Infantiles SOS</v>
      </c>
      <c r="D8" s="1" t="str">
        <v>Entrevista de actores clave</v>
      </c>
      <c r="E8" s="1" t="str">
        <v>Multilaterales</v>
      </c>
      <c r="F8" s="1" t="str">
        <v>Nacional</v>
      </c>
      <c r="G8" s="1" t="str">
        <v>IJM</v>
      </c>
      <c r="H8" s="1" t="str">
        <v>No</v>
      </c>
      <c r="I8" s="2">
        <v>46100</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spans="1:22" x14ac:dyDescent="0.25">
      <c r="A9" s="1">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v>46104</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spans="1:22" x14ac:dyDescent="0.25">
      <c r="A10" s="1">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spans="1:22" x14ac:dyDescent="0.25">
      <c r="A11" s="1">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spans="1:22" x14ac:dyDescent="0.25">
      <c r="A12" s="1">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spans="1:22" x14ac:dyDescent="0.25">
      <c r="A13" s="1">
        <v>12</v>
      </c>
      <c r="B13" s="1" t="str">
        <v>Esteban Caballero</v>
      </c>
      <c r="C13" s="1" t="str">
        <v>UNFPA</v>
      </c>
      <c r="D13" s="1" t="str">
        <v>Entrevista de actores clave</v>
      </c>
      <c r="E13" s="1" t="str">
        <v>Multilaterales</v>
      </c>
      <c r="F13" s="1" t="str">
        <v>Distrito Judicial: Ucayali</v>
      </c>
      <c r="G13" s="1" t="str">
        <v>IJM</v>
      </c>
      <c r="H13" s="1" t="str">
        <v>No</v>
      </c>
      <c r="I13" s="2">
        <v>46104</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spans="1:22" x14ac:dyDescent="0.25">
      <c r="A14" s="1">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spans="1:22" x14ac:dyDescent="0.25">
      <c r="A15" s="1">
        <v>14</v>
      </c>
      <c r="B15" s="1" t="str">
        <v>Tomás Lopes-Teixeira</v>
      </c>
      <c r="C15" s="1" t="str">
        <v>Banco Interamericano de Desarrollo</v>
      </c>
      <c r="D15" s="1" t="str">
        <v>Entrevista de actores clave</v>
      </c>
      <c r="E15" s="1" t="str">
        <v>Multilaterales</v>
      </c>
      <c r="F15" s="1" t="str">
        <v>Nacional</v>
      </c>
      <c r="G15" s="1" t="str">
        <v>IJM</v>
      </c>
      <c r="H15" s="1" t="str">
        <v>No</v>
      </c>
      <c r="I15" s="2">
        <v>46104</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spans="1:22" x14ac:dyDescent="0.25">
      <c r="A16" s="1">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spans="1:22" x14ac:dyDescent="0.25">
      <c r="A17" s="1">
        <v>16</v>
      </c>
      <c r="B17" s="1" t="str">
        <v>Carlos Jesús Vilela</v>
      </c>
      <c r="C17" s="1" t="str">
        <v>Jurado Nacional de Elecciones</v>
      </c>
      <c r="D17" s="1" t="str">
        <v>Entrevista de actores clave</v>
      </c>
      <c r="E17" s="1" t="str">
        <v>Funcionarios del Sistema</v>
      </c>
      <c r="F17" s="1" t="str">
        <v>Nacional</v>
      </c>
      <c r="G17" s="1" t="str">
        <v>IJM</v>
      </c>
      <c r="H17" s="1" t="str">
        <v>Sí</v>
      </c>
      <c r="I17" s="2">
        <v>46101</v>
      </c>
      <c r="J17" s="2">
        <v>46122</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spans="1:22" x14ac:dyDescent="0.25">
      <c r="A18" s="1">
        <v>17</v>
      </c>
      <c r="B18" s="1" t="str">
        <v>Mónica Mendez Cabezas</v>
      </c>
      <c r="C18" s="1" t="str">
        <v xml:space="preserve">Ministerio de la Mujer </v>
      </c>
      <c r="D18" s="1" t="str">
        <v>Entrevista de actores clave</v>
      </c>
      <c r="E18" s="1" t="str">
        <v>Funcionarios del Sistema</v>
      </c>
      <c r="F18" s="1" t="str">
        <v>Distrito Judicial: Loreto</v>
      </c>
      <c r="G18" s="1" t="str">
        <v>IJM</v>
      </c>
      <c r="H18" s="1" t="str">
        <v>Sí</v>
      </c>
      <c r="I18" s="2">
        <v>46147</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spans="1:22" x14ac:dyDescent="0.25">
      <c r="A19" s="1">
        <v>18</v>
      </c>
      <c r="B19" s="1" t="str">
        <v>Kenny Jorge Perez Diaz</v>
      </c>
      <c r="C19" s="1" t="str">
        <v xml:space="preserve">Ministerio de la Mujer </v>
      </c>
      <c r="D19" s="1" t="str">
        <v>Entrevista de actores clave</v>
      </c>
      <c r="E19" s="1" t="str">
        <v>Funcionarios del Sistema</v>
      </c>
      <c r="F19" s="1" t="str">
        <v>Distrito Judicial: Ayacucho</v>
      </c>
      <c r="G19" s="1" t="str">
        <v>IJM</v>
      </c>
      <c r="H19" s="1" t="str">
        <v>Sí</v>
      </c>
      <c r="I19" s="2">
        <v>46126</v>
      </c>
      <c r="J19" s="2" t="str">
        <v/>
      </c>
      <c r="K19" s="2" t="str">
        <v/>
      </c>
      <c r="L19" s="1" t="str">
        <v>Sin respuesta</v>
      </c>
      <c r="M19" s="2" t="str">
        <v/>
      </c>
      <c r="N19" s="2" t="str">
        <v/>
      </c>
      <c r="O19" s="1" t="str">
        <v>Sin respuesta</v>
      </c>
      <c r="P19" s="1" t="str">
        <v/>
      </c>
      <c r="Q19" s="1" t="str">
        <v/>
      </c>
      <c r="R19" s="1">
        <f t="shared" si="0"/>
        <v>1</v>
      </c>
      <c r="S19" s="1">
        <f t="shared" si="1"/>
        <v>0</v>
      </c>
      <c r="T19" s="1">
        <f t="shared" si="2"/>
        <v>0</v>
      </c>
      <c r="U19" s="1">
        <f t="shared" si="3"/>
        <v>0</v>
      </c>
      <c r="V19" s="1">
        <f t="shared" si="4"/>
        <v>1</v>
      </c>
    </row>
    <row r="20" spans="1:22" x14ac:dyDescent="0.25">
      <c r="A20" s="1">
        <v>19</v>
      </c>
      <c r="B20" s="1" t="str">
        <v>Laura Esther Agama Fernández</v>
      </c>
      <c r="C20" s="1" t="str">
        <v xml:space="preserve">Ministerio de la Mujer </v>
      </c>
      <c r="D20" s="1" t="str">
        <v>Entrevista de actores clave</v>
      </c>
      <c r="E20" s="1" t="str">
        <v>Funcionarios del Sistema</v>
      </c>
      <c r="F20" s="1" t="str">
        <v>Distrito Judicial: Ayacucho</v>
      </c>
      <c r="G20" s="1" t="str">
        <v>IJM</v>
      </c>
      <c r="H20" s="1" t="str">
        <v>Sí</v>
      </c>
      <c r="I20" s="2">
        <v>46147</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spans="1:22" x14ac:dyDescent="0.25">
      <c r="A21" s="1">
        <v>20</v>
      </c>
      <c r="B21" s="1" t="str">
        <v>Doris Godoy Cortez</v>
      </c>
      <c r="C21" s="1" t="str">
        <v>Psicólogos</v>
      </c>
      <c r="D21" s="1" t="str">
        <v>Entrevista de actores clave</v>
      </c>
      <c r="E21" s="1" t="str">
        <v>Acompañantes</v>
      </c>
      <c r="F21" s="1" t="str">
        <v>Distrito Judicial: Huánuco</v>
      </c>
      <c r="G21" s="1" t="str">
        <v>IJM</v>
      </c>
      <c r="H21" s="1" t="str">
        <v>Sí</v>
      </c>
      <c r="I21" s="2">
        <v>46101</v>
      </c>
      <c r="J21" s="2" t="str">
        <v/>
      </c>
      <c r="K21" s="2" t="str">
        <v/>
      </c>
      <c r="L21" s="1" t="str">
        <v>Realizada completa</v>
      </c>
      <c r="M21" s="2">
        <v>46112</v>
      </c>
      <c r="N21" s="2">
        <v>46112</v>
      </c>
      <c r="O21" s="1" t="str">
        <v>Realizada completa</v>
      </c>
      <c r="P21" s="1">
        <v>60</v>
      </c>
      <c r="Q21" s="1" t="str">
        <v>A distancia asistido</v>
      </c>
      <c r="R21" s="1">
        <f t="shared" si="0"/>
        <v>1</v>
      </c>
      <c r="S21" s="1">
        <f t="shared" si="1"/>
        <v>0</v>
      </c>
      <c r="T21" s="1">
        <f t="shared" si="2"/>
        <v>0</v>
      </c>
      <c r="U21" s="1">
        <f t="shared" si="3"/>
        <v>1</v>
      </c>
      <c r="V21" s="1">
        <f t="shared" si="4"/>
        <v>0</v>
      </c>
    </row>
    <row r="22" spans="1:22" x14ac:dyDescent="0.25">
      <c r="A22" s="1">
        <v>21</v>
      </c>
      <c r="B22" s="1" t="str">
        <v>Rosa Peña</v>
      </c>
      <c r="C22" s="1" t="str">
        <v>ONG: Kids Alive</v>
      </c>
      <c r="D22" s="1" t="str">
        <v>Entrevista de actores clave</v>
      </c>
      <c r="E22" s="1" t="str">
        <v>Actores locales</v>
      </c>
      <c r="F22" s="1" t="str">
        <v>Distrito Judicial: Ucayali</v>
      </c>
      <c r="G22" s="1" t="str">
        <v>IJM</v>
      </c>
      <c r="H22" s="1" t="str">
        <v>Sí</v>
      </c>
      <c r="I22" s="2">
        <v>46104</v>
      </c>
      <c r="J22" s="2" t="str">
        <v/>
      </c>
      <c r="K22" s="2" t="str">
        <v/>
      </c>
      <c r="L22" s="1" t="str">
        <v>Realizada completa</v>
      </c>
      <c r="M22" s="2">
        <v>46105</v>
      </c>
      <c r="N22" s="2">
        <v>46105</v>
      </c>
      <c r="O22" s="1" t="str">
        <v>Realizada completa</v>
      </c>
      <c r="P22" s="1">
        <v>42</v>
      </c>
      <c r="Q22" s="1" t="str">
        <v>A distancia asistido</v>
      </c>
      <c r="R22" s="1">
        <f t="shared" si="0"/>
        <v>1</v>
      </c>
      <c r="S22" s="1">
        <f t="shared" si="1"/>
        <v>0</v>
      </c>
      <c r="T22" s="1">
        <f t="shared" si="2"/>
        <v>0</v>
      </c>
      <c r="U22" s="1">
        <f t="shared" si="3"/>
        <v>1</v>
      </c>
      <c r="V22" s="1">
        <f t="shared" si="4"/>
        <v>0</v>
      </c>
    </row>
    <row r="23" spans="1:22" x14ac:dyDescent="0.25">
      <c r="A23" s="1">
        <v>22</v>
      </c>
      <c r="B23" s="1" t="str">
        <v>Angie Vargas</v>
      </c>
      <c r="C23" s="1" t="str">
        <v>ONG: Movimiento Manuela Ramos</v>
      </c>
      <c r="D23" s="1" t="str">
        <v>Entrevista de actores clave</v>
      </c>
      <c r="E23" s="1" t="str">
        <v>Actores locales</v>
      </c>
      <c r="F23" s="1" t="str">
        <v>Nacional</v>
      </c>
      <c r="G23" s="1" t="str">
        <v>IJM</v>
      </c>
      <c r="H23" s="1" t="str">
        <v>Sí</v>
      </c>
      <c r="I23" s="2">
        <v>46104</v>
      </c>
      <c r="J23" s="2">
        <v>46105</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spans="1:22" x14ac:dyDescent="0.25">
      <c r="A24" s="1">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v>46104</v>
      </c>
      <c r="J24" s="2">
        <v>46147</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spans="1:22" x14ac:dyDescent="0.25">
      <c r="A25" s="1">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v>46104</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spans="1:22" x14ac:dyDescent="0.25">
      <c r="A26" s="1">
        <v>25</v>
      </c>
      <c r="B26" s="1" t="str">
        <v>Augusto Altamirano Vega</v>
      </c>
      <c r="C26" s="1" t="str">
        <v>Centros de Acogida Residencial</v>
      </c>
      <c r="D26" s="1" t="str">
        <v>Entrevista de actores clave</v>
      </c>
      <c r="E26" s="1" t="str">
        <v>Funcionarios del Sistema</v>
      </c>
      <c r="F26" s="1" t="str">
        <v>Distrito Judicial: Apurímac</v>
      </c>
      <c r="G26" s="1" t="str">
        <v>IJM</v>
      </c>
      <c r="H26" s="1" t="str">
        <v>Sí</v>
      </c>
      <c r="I26" s="2">
        <v>46104</v>
      </c>
      <c r="J26" s="2">
        <v>46147</v>
      </c>
      <c r="K26" s="2">
        <v>46164</v>
      </c>
      <c r="L26" s="1" t="str">
        <v>Realizada completa</v>
      </c>
      <c r="M26" s="2">
        <v>46224</v>
      </c>
      <c r="N26" s="2">
        <v>46224</v>
      </c>
      <c r="O26" s="1" t="str">
        <v>Realizada completa</v>
      </c>
      <c r="P26" s="1">
        <v>29</v>
      </c>
      <c r="Q26" s="1" t="str">
        <v>A distancia asistido</v>
      </c>
      <c r="R26" s="1">
        <f t="shared" si="0"/>
        <v>1</v>
      </c>
      <c r="S26" s="1">
        <f t="shared" si="1"/>
        <v>0</v>
      </c>
      <c r="T26" s="1">
        <f t="shared" si="2"/>
        <v>0</v>
      </c>
      <c r="U26" s="1">
        <f t="shared" si="3"/>
        <v>1</v>
      </c>
      <c r="V26" s="1">
        <f t="shared" si="4"/>
        <v>0</v>
      </c>
    </row>
    <row r="27" spans="1:22" x14ac:dyDescent="0.25">
      <c r="A27" s="1">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v>46147</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spans="1:22" x14ac:dyDescent="0.25">
      <c r="A28" s="1">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v>46147</v>
      </c>
      <c r="J28" s="2" t="str">
        <v/>
      </c>
      <c r="K28" s="2" t="str">
        <v/>
      </c>
      <c r="L28" s="1" t="str">
        <v>Realizada completa</v>
      </c>
      <c r="M28" s="2">
        <v>46167</v>
      </c>
      <c r="N28" s="2">
        <v>46167</v>
      </c>
      <c r="O28" s="1" t="str">
        <v>Realizada completa</v>
      </c>
      <c r="P28" s="1">
        <v>52</v>
      </c>
      <c r="Q28" s="1" t="str">
        <v>A distancia asistido</v>
      </c>
      <c r="R28" s="1">
        <f t="shared" si="0"/>
        <v>1</v>
      </c>
      <c r="S28" s="1">
        <f t="shared" si="1"/>
        <v>0</v>
      </c>
      <c r="T28" s="1">
        <f t="shared" si="2"/>
        <v>0</v>
      </c>
      <c r="U28" s="1">
        <f t="shared" si="3"/>
        <v>1</v>
      </c>
      <c r="V28" s="1">
        <f t="shared" si="4"/>
        <v>0</v>
      </c>
    </row>
    <row r="29" spans="1:22" x14ac:dyDescent="0.25">
      <c r="A29" s="1">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v>46147</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spans="1:22" x14ac:dyDescent="0.25">
      <c r="A30" s="1">
        <v>29</v>
      </c>
      <c r="B30" s="1" t="str">
        <v>Israel Mendez Miguel</v>
      </c>
      <c r="C30" s="1" t="str">
        <v>Centros de Acogida Residencial</v>
      </c>
      <c r="D30" s="1" t="str">
        <v>Entrevista de actores clave</v>
      </c>
      <c r="E30" s="1" t="str">
        <v>Funcionarios del Sistema</v>
      </c>
      <c r="F30" s="1" t="str">
        <v>Nacional</v>
      </c>
      <c r="G30" s="1" t="str">
        <v>IJM</v>
      </c>
      <c r="H30" s="1" t="str">
        <v>Sí</v>
      </c>
      <c r="I30" s="2">
        <v>46147</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spans="1:22" x14ac:dyDescent="0.25">
      <c r="A31" s="1">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v>46147</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spans="1:22" x14ac:dyDescent="0.25">
      <c r="A32" s="1">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v>46147</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spans="1:22" x14ac:dyDescent="0.25">
      <c r="A33" s="1">
        <v>32</v>
      </c>
      <c r="B33" s="1" t="str">
        <v>Rocío Roncal Rojas</v>
      </c>
      <c r="C33" s="1" t="str">
        <v>Asociación Kallpa</v>
      </c>
      <c r="D33" s="1" t="str">
        <v>Entrevista de actores clave</v>
      </c>
      <c r="E33" s="1" t="str">
        <v>Actores locales</v>
      </c>
      <c r="F33" s="1" t="str">
        <v>Nacional</v>
      </c>
      <c r="G33" s="1" t="str">
        <v>IJM</v>
      </c>
      <c r="H33" s="1" t="str">
        <v>Sí</v>
      </c>
      <c r="I33" s="2">
        <v>46147</v>
      </c>
      <c r="J33" s="2">
        <v>46162</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spans="1:22" x14ac:dyDescent="0.25">
      <c r="A34" s="1">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v>46147</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spans="1:22" x14ac:dyDescent="0.25">
      <c r="A35" s="1">
        <v>34</v>
      </c>
      <c r="B35" s="1" t="str">
        <v>Coronel Ernesto Peña</v>
      </c>
      <c r="C35" s="1" t="str">
        <v>Jueces de Paz</v>
      </c>
      <c r="D35" s="1" t="str">
        <v>Entrevista de actores clave</v>
      </c>
      <c r="E35" s="1" t="str">
        <v>Funcionarios del Sistema</v>
      </c>
      <c r="F35" s="1" t="str">
        <v>Nacional</v>
      </c>
      <c r="G35" s="1" t="str">
        <v>IJM</v>
      </c>
      <c r="H35" s="1" t="str">
        <v>Sí</v>
      </c>
      <c r="I35" s="2">
        <v>46104</v>
      </c>
      <c r="J35" s="2">
        <v>46147</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spans="1:22" x14ac:dyDescent="0.25">
      <c r="A36" s="1">
        <v>35</v>
      </c>
      <c r="B36" s="1" t="str">
        <v>Fátima Joyo Zaga</v>
      </c>
      <c r="C36" s="1" t="str">
        <v>Jueces de Paz</v>
      </c>
      <c r="D36" s="1" t="str">
        <v>Entrevista de actores clave</v>
      </c>
      <c r="E36" s="1" t="str">
        <v>Funcionarios del Sistema</v>
      </c>
      <c r="F36" s="1" t="str">
        <v>Distrito Judicial: Cajamarca</v>
      </c>
      <c r="G36" s="1" t="str">
        <v>IJM</v>
      </c>
      <c r="H36" s="1" t="str">
        <v>Sí</v>
      </c>
      <c r="I36" s="2">
        <v>46147</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spans="1:22" x14ac:dyDescent="0.25">
      <c r="A37" s="1">
        <v>36</v>
      </c>
      <c r="B37" s="1" t="str">
        <v>Epifania Chagua Timoteo</v>
      </c>
      <c r="C37" s="1" t="str">
        <v>Jueces de Paz</v>
      </c>
      <c r="D37" s="1" t="str">
        <v>Entrevista de actores clave</v>
      </c>
      <c r="E37" s="1" t="str">
        <v>Funcionarios del Sistema</v>
      </c>
      <c r="F37" s="1" t="str">
        <v>Distrito Judicial: Apurímac</v>
      </c>
      <c r="G37" s="1" t="str">
        <v>IJM</v>
      </c>
      <c r="H37" s="1" t="str">
        <v>Sí</v>
      </c>
      <c r="I37" s="2">
        <v>46147</v>
      </c>
      <c r="J37" s="2">
        <v>46148</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spans="1:22" x14ac:dyDescent="0.25">
      <c r="A38" s="1">
        <v>37</v>
      </c>
      <c r="B38" s="1" t="str">
        <v>Banesa Farfan Saravia</v>
      </c>
      <c r="C38" s="1" t="str">
        <v>Asociación Sin Fines de Lucro Ñañaykuna</v>
      </c>
      <c r="D38" s="1" t="str">
        <v>Entrevista de actores clave</v>
      </c>
      <c r="E38" s="1" t="str">
        <v>Actores locales</v>
      </c>
      <c r="F38" s="1" t="str">
        <v>Nacional</v>
      </c>
      <c r="G38" s="1" t="str">
        <v>APOYO</v>
      </c>
      <c r="H38" s="1" t="str">
        <v>Sí</v>
      </c>
      <c r="I38" s="2">
        <v>46105</v>
      </c>
      <c r="J38" s="2" t="str">
        <v/>
      </c>
      <c r="K38" s="2" t="str">
        <v/>
      </c>
      <c r="L38" s="1" t="str">
        <v>Realizada completa</v>
      </c>
      <c r="M38" s="2">
        <v>46112</v>
      </c>
      <c r="N38" s="2">
        <v>46112</v>
      </c>
      <c r="O38" s="1" t="str">
        <v>Realizada completa</v>
      </c>
      <c r="P38" s="1">
        <v>55</v>
      </c>
      <c r="Q38" s="1" t="str">
        <v>A distancia asistido</v>
      </c>
      <c r="R38" s="1">
        <f t="shared" si="0"/>
        <v>1</v>
      </c>
      <c r="S38" s="1">
        <f t="shared" si="1"/>
        <v>0</v>
      </c>
      <c r="T38" s="1">
        <f t="shared" si="2"/>
        <v>0</v>
      </c>
      <c r="U38" s="1">
        <f t="shared" si="3"/>
        <v>1</v>
      </c>
      <c r="V38" s="1">
        <f t="shared" si="4"/>
        <v>0</v>
      </c>
    </row>
    <row r="39" spans="1:22" x14ac:dyDescent="0.25">
      <c r="A39" s="1">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v>46147</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spans="1:22" x14ac:dyDescent="0.25">
      <c r="A40" s="1">
        <v>39</v>
      </c>
      <c r="B40" s="1" t="str">
        <v>Magali Aguilar</v>
      </c>
      <c r="C40" s="1" t="str">
        <v>Asociación Madres Luchando por Justicia</v>
      </c>
      <c r="D40" s="1" t="str">
        <v>Entrevista de actores clave</v>
      </c>
      <c r="E40" s="1" t="str">
        <v>Actores locales</v>
      </c>
      <c r="F40" s="1" t="str">
        <v>Nacional</v>
      </c>
      <c r="G40" s="1" t="str">
        <v>IJM</v>
      </c>
      <c r="H40" s="1" t="str">
        <v>Sí</v>
      </c>
      <c r="I40" s="2">
        <v>46104</v>
      </c>
      <c r="J40" s="2" t="str">
        <v/>
      </c>
      <c r="K40" s="2" t="str">
        <v/>
      </c>
      <c r="L40" s="1" t="str">
        <v>Realizada completa</v>
      </c>
      <c r="M40" s="2">
        <v>46105</v>
      </c>
      <c r="N40" s="2">
        <v>46105</v>
      </c>
      <c r="O40" s="1" t="str">
        <v>Realizada completa</v>
      </c>
      <c r="P40" s="1">
        <v>72</v>
      </c>
      <c r="Q40" s="1" t="str">
        <v>A distancia asistido</v>
      </c>
      <c r="R40" s="1">
        <f t="shared" si="0"/>
        <v>1</v>
      </c>
      <c r="S40" s="1">
        <f t="shared" si="1"/>
        <v>0</v>
      </c>
      <c r="T40" s="1">
        <f t="shared" si="2"/>
        <v>0</v>
      </c>
      <c r="U40" s="1">
        <f t="shared" si="3"/>
        <v>1</v>
      </c>
      <c r="V40" s="1">
        <f t="shared" si="4"/>
        <v>0</v>
      </c>
    </row>
    <row r="41" spans="1:22" x14ac:dyDescent="0.25">
      <c r="A41" s="1">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spans="1:22" x14ac:dyDescent="0.25">
      <c r="A42" s="1">
        <v>41</v>
      </c>
      <c r="B42" s="1" t="str">
        <v>Flavia Martinez Tarazona</v>
      </c>
      <c r="C42" s="1" t="str">
        <v>Hablemos sin Tabúes</v>
      </c>
      <c r="D42" s="1" t="str">
        <v>Entrevista de actores clave</v>
      </c>
      <c r="E42" s="1" t="str">
        <v>Actores locales</v>
      </c>
      <c r="F42" s="1" t="str">
        <v>Nacional</v>
      </c>
      <c r="G42" s="1" t="str">
        <v>IJM</v>
      </c>
      <c r="H42" s="1" t="str">
        <v>Sí</v>
      </c>
      <c r="I42" s="2">
        <v>46118</v>
      </c>
      <c r="J42" s="2">
        <v>46147</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spans="1:22" x14ac:dyDescent="0.25">
      <c r="A43" s="1">
        <v>42</v>
      </c>
      <c r="B43" s="1" t="str">
        <v>Lorena Farroñan</v>
      </c>
      <c r="C43" s="1" t="str">
        <v>Tukuy Sunquywan Yanapsqayki</v>
      </c>
      <c r="D43" s="1" t="str">
        <v>Entrevista de actores clave</v>
      </c>
      <c r="E43" s="1" t="str">
        <v>Actores locales</v>
      </c>
      <c r="F43" s="1" t="str">
        <v>Nacional</v>
      </c>
      <c r="G43" s="1" t="str">
        <v>IJM</v>
      </c>
      <c r="H43" s="1" t="str">
        <v>Sí</v>
      </c>
      <c r="I43" s="2">
        <v>46104</v>
      </c>
      <c r="J43" s="2">
        <v>46129</v>
      </c>
      <c r="K43" s="2">
        <v>46147</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spans="1:22" x14ac:dyDescent="0.25">
      <c r="A44" s="1">
        <v>43</v>
      </c>
      <c r="B44" s="1" t="str">
        <v>Cecilia Ancajima</v>
      </c>
      <c r="C44" s="1" t="str">
        <v>Asociación La Casa de la Mujer</v>
      </c>
      <c r="D44" s="1" t="str">
        <v>Entrevista de actores clave</v>
      </c>
      <c r="E44" s="1" t="str">
        <v>Actores locales</v>
      </c>
      <c r="F44" s="1" t="str">
        <v>Nacional</v>
      </c>
      <c r="G44" s="1" t="str">
        <v>IJM</v>
      </c>
      <c r="H44" s="1" t="str">
        <v>Sí</v>
      </c>
      <c r="I44" s="2">
        <v>46147</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spans="1:22" x14ac:dyDescent="0.25">
      <c r="A45" s="1">
        <v>44</v>
      </c>
      <c r="B45" s="1" t="str">
        <v>Estrelia Nizama Ruiz</v>
      </c>
      <c r="C45" s="1" t="str">
        <v>Inppares</v>
      </c>
      <c r="D45" s="1" t="str">
        <v>Entrevista de actores clave</v>
      </c>
      <c r="E45" s="1" t="str">
        <v>Actores locales</v>
      </c>
      <c r="F45" s="1" t="str">
        <v>Nacional</v>
      </c>
      <c r="G45" s="1" t="str">
        <v>IJM</v>
      </c>
      <c r="H45" s="1" t="str">
        <v>Sí</v>
      </c>
      <c r="I45" s="2">
        <v>46129</v>
      </c>
      <c r="J45" s="2">
        <v>46147</v>
      </c>
      <c r="K45" s="2" t="str">
        <v/>
      </c>
      <c r="L45" s="1" t="str">
        <v>Realizada completa</v>
      </c>
      <c r="M45" s="2">
        <v>46163</v>
      </c>
      <c r="N45" s="2">
        <v>46163</v>
      </c>
      <c r="O45" s="1" t="str">
        <v>Realizada completa</v>
      </c>
      <c r="P45" s="1">
        <v>43</v>
      </c>
      <c r="Q45" s="1" t="str">
        <v>A distancia asistido</v>
      </c>
      <c r="R45" s="1">
        <f t="shared" si="0"/>
        <v>1</v>
      </c>
      <c r="S45" s="1">
        <f t="shared" si="1"/>
        <v>0</v>
      </c>
      <c r="T45" s="1">
        <f t="shared" si="2"/>
        <v>0</v>
      </c>
      <c r="U45" s="1">
        <f t="shared" si="3"/>
        <v>1</v>
      </c>
      <c r="V45" s="1">
        <f t="shared" si="4"/>
        <v>0</v>
      </c>
    </row>
    <row r="46" spans="1:22" x14ac:dyDescent="0.25">
      <c r="A46" s="1">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spans="1:22" x14ac:dyDescent="0.25">
      <c r="A47" s="1">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v>46105</v>
      </c>
      <c r="J47" s="2" t="str">
        <v/>
      </c>
      <c r="K47" s="2" t="str">
        <v/>
      </c>
      <c r="L47" s="1" t="str">
        <v>Realizada completa</v>
      </c>
      <c r="M47" s="2">
        <v>46105</v>
      </c>
      <c r="N47" s="2">
        <v>46105</v>
      </c>
      <c r="O47" s="1" t="str">
        <v>Realizada completa</v>
      </c>
      <c r="P47" s="1">
        <v>43</v>
      </c>
      <c r="Q47" s="1" t="str">
        <v>A distancia asistido</v>
      </c>
      <c r="R47" s="1">
        <f t="shared" si="0"/>
        <v>1</v>
      </c>
      <c r="S47" s="1">
        <f t="shared" si="1"/>
        <v>0</v>
      </c>
      <c r="T47" s="1">
        <f t="shared" si="2"/>
        <v>0</v>
      </c>
      <c r="U47" s="1">
        <f t="shared" si="3"/>
        <v>1</v>
      </c>
      <c r="V47" s="1">
        <f t="shared" si="4"/>
        <v>0</v>
      </c>
    </row>
    <row r="48" spans="1:22" x14ac:dyDescent="0.25">
      <c r="A48" s="1">
        <v>47</v>
      </c>
      <c r="B48" s="1" t="str">
        <v>Mendoza Barrantes Mericia</v>
      </c>
      <c r="C48" s="1" t="str">
        <v xml:space="preserve">Estrategias Rurales </v>
      </c>
      <c r="D48" s="1" t="str">
        <v>Entrevista de actores clave</v>
      </c>
      <c r="E48" s="1" t="str">
        <v>Actores locales</v>
      </c>
      <c r="F48" s="1" t="str">
        <v>Nacional</v>
      </c>
      <c r="G48" s="1" t="str">
        <v>IJM</v>
      </c>
      <c r="H48" s="1" t="str">
        <v>Sí</v>
      </c>
      <c r="I48" s="2">
        <v>46105</v>
      </c>
      <c r="J48" s="2">
        <v>46111</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spans="1:22" x14ac:dyDescent="0.25">
      <c r="A49" s="1">
        <v>48</v>
      </c>
      <c r="B49" s="1" t="str">
        <v>Calizaya Cruz Nicanor Efrain</v>
      </c>
      <c r="C49" s="1" t="str">
        <v xml:space="preserve">Estrategias Rurales </v>
      </c>
      <c r="D49" s="1" t="str">
        <v>Entrevista de actores clave</v>
      </c>
      <c r="E49" s="1" t="str">
        <v>Actores locales</v>
      </c>
      <c r="F49" s="1" t="str">
        <v>Nacional</v>
      </c>
      <c r="G49" s="1" t="str">
        <v>IJM</v>
      </c>
      <c r="H49" s="1" t="str">
        <v>Sí</v>
      </c>
      <c r="I49" s="2">
        <v>46105</v>
      </c>
      <c r="J49" s="2">
        <v>46111</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spans="1:22" x14ac:dyDescent="0.25">
      <c r="A50" s="1">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v>46147</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spans="1:22" x14ac:dyDescent="0.25">
      <c r="A51" s="1">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spans="1:22" x14ac:dyDescent="0.25">
      <c r="A52" s="1">
        <v>51</v>
      </c>
      <c r="B52" s="1" t="str">
        <v>Kathia Villar</v>
      </c>
      <c r="C52" s="1" t="str">
        <v>Asociación Amar C</v>
      </c>
      <c r="D52" s="1" t="str">
        <v>Entrevista de actores clave</v>
      </c>
      <c r="E52" s="1" t="str">
        <v>Actores locales</v>
      </c>
      <c r="F52" s="1" t="str">
        <v>Distrito Judicial: Lima Norte</v>
      </c>
      <c r="G52" s="1" t="str">
        <v>IJM</v>
      </c>
      <c r="H52" s="1" t="str">
        <v>Sí</v>
      </c>
      <c r="I52" s="2">
        <v>46105</v>
      </c>
      <c r="J52" s="2">
        <v>46107</v>
      </c>
      <c r="K52" s="2">
        <v>46147</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spans="1:22" x14ac:dyDescent="0.25">
      <c r="A53" s="1">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v>46105</v>
      </c>
      <c r="J53" s="2">
        <v>46118</v>
      </c>
      <c r="K53" s="2">
        <v>46119</v>
      </c>
      <c r="L53" s="1" t="str">
        <v>Realizada completa</v>
      </c>
      <c r="M53" s="2">
        <v>46119</v>
      </c>
      <c r="N53" s="2">
        <v>46119</v>
      </c>
      <c r="O53" s="1" t="str">
        <v>Realizada completa</v>
      </c>
      <c r="P53" s="1">
        <v>58</v>
      </c>
      <c r="Q53" s="1" t="str">
        <v>A distancia asistido</v>
      </c>
      <c r="R53" s="1">
        <f t="shared" si="0"/>
        <v>1</v>
      </c>
      <c r="S53" s="1">
        <f t="shared" si="1"/>
        <v>0</v>
      </c>
      <c r="T53" s="1">
        <f t="shared" si="2"/>
        <v>0</v>
      </c>
      <c r="U53" s="1">
        <f t="shared" si="3"/>
        <v>1</v>
      </c>
      <c r="V53" s="1">
        <f t="shared" si="4"/>
        <v>0</v>
      </c>
    </row>
    <row r="54" spans="1:22" x14ac:dyDescent="0.25">
      <c r="A54" s="1">
        <v>53</v>
      </c>
      <c r="B54" s="1" t="str">
        <v>Alejandra Ballón-Gutiérrez</v>
      </c>
      <c r="C54" s="1" t="str">
        <v>Alfombra Roja</v>
      </c>
      <c r="D54" s="1" t="str">
        <v>Entrevista de actores clave</v>
      </c>
      <c r="E54" s="1" t="str">
        <v>Actores locales</v>
      </c>
      <c r="F54" s="1" t="str">
        <v>Distrito Judicial: Ucayali</v>
      </c>
      <c r="G54" s="1" t="str">
        <v>IJM</v>
      </c>
      <c r="H54" s="1" t="str">
        <v>Sí</v>
      </c>
      <c r="I54" s="2">
        <v>46147</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spans="1:22" x14ac:dyDescent="0.25">
      <c r="A55" s="1">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spans="1:22" x14ac:dyDescent="0.25">
      <c r="A56" s="1">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spans="1:22" x14ac:dyDescent="0.25">
      <c r="A57" s="1">
        <v>56</v>
      </c>
      <c r="B57" s="1" t="str">
        <v>Henry Mercado</v>
      </c>
      <c r="C57" s="1" t="str">
        <v>Abogados</v>
      </c>
      <c r="D57" s="1" t="str">
        <v>Entrevista de actores clave</v>
      </c>
      <c r="E57" s="1" t="str">
        <v>Acompañantes</v>
      </c>
      <c r="F57" s="1" t="str">
        <v>Distrito Judicial: Ayacucho</v>
      </c>
      <c r="G57" s="1" t="str">
        <v>IJM</v>
      </c>
      <c r="H57" s="1" t="str">
        <v>Sí</v>
      </c>
      <c r="I57" s="2">
        <v>46105</v>
      </c>
      <c r="J57" s="2">
        <v>46106</v>
      </c>
      <c r="K57" s="2" t="str">
        <v/>
      </c>
      <c r="L57" s="1" t="str">
        <v>Realizada completa</v>
      </c>
      <c r="M57" s="2">
        <v>46113</v>
      </c>
      <c r="N57" s="2">
        <v>46113</v>
      </c>
      <c r="O57" s="1" t="str">
        <v>Realizada completa</v>
      </c>
      <c r="P57" s="1">
        <v>34</v>
      </c>
      <c r="Q57" s="1" t="str">
        <v>A distancia asistido</v>
      </c>
      <c r="R57" s="1">
        <f t="shared" si="0"/>
        <v>1</v>
      </c>
      <c r="S57" s="1">
        <f t="shared" si="1"/>
        <v>0</v>
      </c>
      <c r="T57" s="1">
        <f t="shared" si="2"/>
        <v>0</v>
      </c>
      <c r="U57" s="1">
        <f t="shared" si="3"/>
        <v>1</v>
      </c>
      <c r="V57" s="1">
        <f t="shared" si="4"/>
        <v>0</v>
      </c>
    </row>
    <row r="58" spans="1:22" x14ac:dyDescent="0.25">
      <c r="A58" s="1">
        <v>57</v>
      </c>
      <c r="B58" s="1" t="str">
        <v>Lorena Ruiz</v>
      </c>
      <c r="C58" s="1" t="str">
        <v>ONG: Kids Alive</v>
      </c>
      <c r="D58" s="1" t="str">
        <v>Entrevista de actores clave</v>
      </c>
      <c r="E58" s="1" t="str">
        <v>Actores locales</v>
      </c>
      <c r="F58" s="1" t="str">
        <v>Nacional</v>
      </c>
      <c r="G58" s="1" t="str">
        <v>IJM</v>
      </c>
      <c r="H58" s="1" t="str">
        <v>Sí</v>
      </c>
      <c r="I58" s="2">
        <v>46106</v>
      </c>
      <c r="J58" s="2" t="str">
        <v/>
      </c>
      <c r="K58" s="2" t="str">
        <v/>
      </c>
      <c r="L58" s="1" t="str">
        <v>Realizada completa</v>
      </c>
      <c r="M58" s="2">
        <v>46136</v>
      </c>
      <c r="N58" s="2">
        <v>46136</v>
      </c>
      <c r="O58" s="1" t="str">
        <v>Realizada completa</v>
      </c>
      <c r="P58" s="1">
        <v>42</v>
      </c>
      <c r="Q58" s="1" t="str">
        <v>A distancia asistido</v>
      </c>
      <c r="R58" s="1">
        <f t="shared" si="0"/>
        <v>1</v>
      </c>
      <c r="S58" s="1">
        <f t="shared" si="1"/>
        <v>0</v>
      </c>
      <c r="T58" s="1">
        <f t="shared" si="2"/>
        <v>0</v>
      </c>
      <c r="U58" s="1">
        <f t="shared" si="3"/>
        <v>1</v>
      </c>
      <c r="V58" s="1">
        <f t="shared" si="4"/>
        <v>0</v>
      </c>
    </row>
    <row r="59" spans="1:22" x14ac:dyDescent="0.25">
      <c r="A59" s="1">
        <v>58</v>
      </c>
      <c r="B59" s="1" t="str">
        <v>María Ysabel Cedano</v>
      </c>
      <c r="C59" s="1" t="str">
        <v>Abogados</v>
      </c>
      <c r="D59" s="1" t="str">
        <v>Entrevista de actores clave</v>
      </c>
      <c r="E59" s="1" t="str">
        <v>Acompañantes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spans="1:22" x14ac:dyDescent="0.25">
      <c r="A60" s="1">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spans="1:22" x14ac:dyDescent="0.25">
      <c r="A61" s="1">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spans="1:22" x14ac:dyDescent="0.25">
      <c r="A62" s="1">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v>46105</v>
      </c>
      <c r="J62" s="2">
        <v>46164</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spans="1:22" x14ac:dyDescent="0.25">
      <c r="A63" s="1">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v>46147</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spans="1:22" x14ac:dyDescent="0.25">
      <c r="A64" s="1">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v>46105</v>
      </c>
      <c r="J64" s="2">
        <v>46147</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spans="1:22" x14ac:dyDescent="0.25">
      <c r="A65" s="1">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v>46101</v>
      </c>
      <c r="J65" s="2">
        <v>46105</v>
      </c>
      <c r="K65" s="2" t="str">
        <v/>
      </c>
      <c r="L65" s="1" t="str">
        <v>Sin respuesta</v>
      </c>
      <c r="M65" s="2" t="str">
        <v/>
      </c>
      <c r="N65" s="2" t="str">
        <v/>
      </c>
      <c r="O65" s="1" t="str">
        <v>Sin respuesta</v>
      </c>
      <c r="P65" s="1" t="str">
        <v/>
      </c>
      <c r="Q65" s="1" t="str">
        <v/>
      </c>
      <c r="R65" s="1">
        <f t="shared" si="0"/>
        <v>1</v>
      </c>
      <c r="S65" s="1">
        <f t="shared" si="1"/>
        <v>0</v>
      </c>
      <c r="T65" s="1">
        <f t="shared" si="2"/>
        <v>0</v>
      </c>
      <c r="U65" s="1">
        <f t="shared" si="3"/>
        <v>0</v>
      </c>
      <c r="V65" s="1">
        <f t="shared" si="4"/>
        <v>1</v>
      </c>
    </row>
    <row r="66" spans="1:22" x14ac:dyDescent="0.25">
      <c r="A66" s="1">
        <v>65</v>
      </c>
      <c r="B66" s="1" t="str">
        <v>Juan Carlos Villena Campana</v>
      </c>
      <c r="C66" s="1" t="str">
        <v>Ministerio Público (Fiscalía)</v>
      </c>
      <c r="D66" s="1" t="str">
        <v>Entrevista de actores clave</v>
      </c>
      <c r="E66" s="1" t="str">
        <v>Funcionarios del Sistema</v>
      </c>
      <c r="F66" s="1" t="str">
        <v>Nacional</v>
      </c>
      <c r="G66" s="1" t="str">
        <v>IJM</v>
      </c>
      <c r="H66" s="1" t="str">
        <v>Sí</v>
      </c>
      <c r="I66" s="2">
        <v>46147</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spans="1:22" x14ac:dyDescent="0.25">
      <c r="A67" s="1">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v>46147</v>
      </c>
      <c r="J67" s="2">
        <v>46162</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spans="1:22" x14ac:dyDescent="0.25">
      <c r="A68" s="1">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v>46147</v>
      </c>
      <c r="J68" s="2">
        <v>46162</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spans="1:22" x14ac:dyDescent="0.25">
      <c r="A69" s="1">
        <v>68</v>
      </c>
      <c r="B69" s="1" t="str">
        <v>Sofia Milla Meza</v>
      </c>
      <c r="C69" s="1" t="str">
        <v>Ministerio Público (Fiscalía)</v>
      </c>
      <c r="D69" s="1" t="str">
        <v>Entrevista de actores clave</v>
      </c>
      <c r="E69" s="1" t="str">
        <v>Funcionarios del Sistema</v>
      </c>
      <c r="F69" s="1" t="str">
        <v>Nacional</v>
      </c>
      <c r="G69" s="1" t="str">
        <v>IJM</v>
      </c>
      <c r="H69" s="1" t="str">
        <v>Sí</v>
      </c>
      <c r="I69" s="2">
        <v>46147</v>
      </c>
      <c r="J69" s="2">
        <v>46162</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spans="1:22" x14ac:dyDescent="0.25">
      <c r="A70" s="1">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v>46147</v>
      </c>
      <c r="J70" s="2">
        <v>46162</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spans="1:22" x14ac:dyDescent="0.25">
      <c r="A71" s="1">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v>46147</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spans="1:22" x14ac:dyDescent="0.25">
      <c r="A72" s="1">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v>46147</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spans="1:22" x14ac:dyDescent="0.25">
      <c r="A73" s="1">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v>46101</v>
      </c>
      <c r="J73" s="2">
        <v>46147</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spans="1:22" x14ac:dyDescent="0.25">
      <c r="A74" s="1">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v>46147</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spans="1:22" x14ac:dyDescent="0.25">
      <c r="A75" s="1">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v>46147</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spans="1:22" x14ac:dyDescent="0.25">
      <c r="A76" s="1">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spans="1:22" x14ac:dyDescent="0.25">
      <c r="A77" s="1">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v>46106</v>
      </c>
      <c r="J77" s="2">
        <v>46147</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spans="1:22" x14ac:dyDescent="0.25">
      <c r="A78" s="1">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v>46147</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spans="1:22" x14ac:dyDescent="0.25">
      <c r="A79" s="1">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v>46147</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spans="1:22" x14ac:dyDescent="0.25">
      <c r="A80" s="1">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v>46147</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spans="1:22" x14ac:dyDescent="0.25">
      <c r="A81" s="1">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spans="1:22" x14ac:dyDescent="0.25">
      <c r="A82" s="1">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spans="1:22" x14ac:dyDescent="0.25">
      <c r="A83" s="1">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v>46107</v>
      </c>
      <c r="J83" s="2">
        <v>46147</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spans="1:22" x14ac:dyDescent="0.25">
      <c r="A84" s="1">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v>46147</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spans="1:22" x14ac:dyDescent="0.25">
      <c r="A85" s="1">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v>46147</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spans="1:22" x14ac:dyDescent="0.25">
      <c r="A86" s="1">
        <v>85</v>
      </c>
      <c r="B86" s="1" t="str">
        <v xml:space="preserve">Lilian Rueda Curimanea </v>
      </c>
      <c r="C86" s="1" t="str">
        <v>Ministerio Público (Fiscalía)</v>
      </c>
      <c r="D86" s="1" t="str">
        <v>Entrevista de actores clave</v>
      </c>
      <c r="E86" s="1" t="str">
        <v>Funcionarios del Sistema</v>
      </c>
      <c r="F86" s="1" t="str">
        <v>Distrito Judicial: Cajamarca</v>
      </c>
      <c r="G86" s="1" t="str">
        <v>IJM</v>
      </c>
      <c r="H86" s="1" t="str">
        <v>Sí</v>
      </c>
      <c r="I86" s="2">
        <v>46107</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spans="1:22" x14ac:dyDescent="0.25">
      <c r="A87" s="1">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v>46107</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spans="1:22" x14ac:dyDescent="0.25">
      <c r="A88" s="1">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spans="1:22" x14ac:dyDescent="0.25">
      <c r="A89" s="1">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v>46107</v>
      </c>
      <c r="J89" s="2" t="str">
        <v/>
      </c>
      <c r="K89" s="2" t="str">
        <v/>
      </c>
      <c r="L89" s="1" t="str">
        <v>Realizada completa</v>
      </c>
      <c r="M89" s="2">
        <v>46113</v>
      </c>
      <c r="N89" s="2">
        <v>46113</v>
      </c>
      <c r="O89" s="1" t="str">
        <v>Realizada completa</v>
      </c>
      <c r="P89" s="1">
        <v>42</v>
      </c>
      <c r="Q89" s="1" t="str">
        <v>A distancia asistido</v>
      </c>
      <c r="R89" s="1">
        <f t="shared" si="5"/>
        <v>1</v>
      </c>
      <c r="S89" s="1">
        <f t="shared" si="6"/>
        <v>0</v>
      </c>
      <c r="T89" s="1">
        <f t="shared" si="7"/>
        <v>0</v>
      </c>
      <c r="U89" s="1">
        <f t="shared" si="8"/>
        <v>1</v>
      </c>
      <c r="V89" s="1">
        <f t="shared" si="9"/>
        <v>0</v>
      </c>
    </row>
    <row r="90" spans="1:22" x14ac:dyDescent="0.25">
      <c r="A90" s="1">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spans="1:22" x14ac:dyDescent="0.25">
      <c r="A91" s="1">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spans="1:22" x14ac:dyDescent="0.25">
      <c r="A92" s="1">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spans="1:22" x14ac:dyDescent="0.25">
      <c r="A93" s="1">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v>46107</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spans="1:22" x14ac:dyDescent="0.25">
      <c r="A94" s="1">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v>46107</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spans="1:22" x14ac:dyDescent="0.25">
      <c r="A95" s="1">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spans="1:22" x14ac:dyDescent="0.25">
      <c r="A96" s="1">
        <v>95</v>
      </c>
      <c r="B96" s="1" t="str">
        <v>Abilio Escobar Quispe</v>
      </c>
      <c r="C96" s="1" t="str">
        <v>Ministerio Público (Fiscalía)</v>
      </c>
      <c r="D96" s="1" t="str">
        <v>Entrevista de actores clave</v>
      </c>
      <c r="E96" s="1" t="str">
        <v>Funcionarios del Sistema</v>
      </c>
      <c r="F96" s="1" t="str">
        <v>Nacional</v>
      </c>
      <c r="G96" s="1" t="str">
        <v>IJM</v>
      </c>
      <c r="H96" s="1" t="str">
        <v>Sí</v>
      </c>
      <c r="I96" s="2">
        <v>46107</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spans="1:22" x14ac:dyDescent="0.25">
      <c r="A97" s="1">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v>46101</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spans="1:22" x14ac:dyDescent="0.25">
      <c r="A98" s="1">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v>46107</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spans="1:22" x14ac:dyDescent="0.25">
      <c r="A99" s="1">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spans="1:22" x14ac:dyDescent="0.25">
      <c r="A100" s="1">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spans="1:22" x14ac:dyDescent="0.25">
      <c r="A101" s="1">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v>46107</v>
      </c>
      <c r="J101" s="2" t="str">
        <v/>
      </c>
      <c r="K101" s="2" t="str">
        <v/>
      </c>
      <c r="L101" s="1" t="str">
        <v>Sin respuesta</v>
      </c>
      <c r="M101" s="2" t="str">
        <v/>
      </c>
      <c r="N101" s="2" t="str">
        <v/>
      </c>
      <c r="O101" s="1" t="str">
        <v>Sin respuesta</v>
      </c>
      <c r="P101" s="1" t="str">
        <v/>
      </c>
      <c r="Q101" s="1" t="str">
        <v/>
      </c>
      <c r="R101" s="1">
        <f t="shared" si="5"/>
        <v>1</v>
      </c>
      <c r="S101" s="1">
        <f t="shared" si="6"/>
        <v>0</v>
      </c>
      <c r="T101" s="1">
        <f t="shared" si="7"/>
        <v>0</v>
      </c>
      <c r="U101" s="1">
        <f t="shared" si="8"/>
        <v>0</v>
      </c>
      <c r="V101" s="1">
        <f t="shared" si="9"/>
        <v>1</v>
      </c>
    </row>
    <row r="102" spans="1:22" x14ac:dyDescent="0.25">
      <c r="A102" s="1">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spans="1:22" x14ac:dyDescent="0.25">
      <c r="A103" s="1">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spans="1:22" x14ac:dyDescent="0.25">
      <c r="A104" s="1">
        <v>103</v>
      </c>
      <c r="B104" s="1" t="str">
        <v xml:space="preserve">Victoria  Cuba Sotomayor </v>
      </c>
      <c r="C104" s="1" t="str">
        <v>Ministerio Público (Fiscalía)</v>
      </c>
      <c r="D104" s="1" t="str">
        <v>Entrevista de actores clave</v>
      </c>
      <c r="E104" s="1" t="str">
        <v>Funcionarios del Sistema</v>
      </c>
      <c r="F104" s="1" t="str">
        <v>Distrito Judicial: Ucayali</v>
      </c>
      <c r="G104" s="1" t="str">
        <v>IJM</v>
      </c>
      <c r="H104" s="1" t="str">
        <v>Sí</v>
      </c>
      <c r="I104" s="2">
        <v>46107</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spans="1:22" x14ac:dyDescent="0.25">
      <c r="A105" s="1">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v>46101</v>
      </c>
      <c r="J105" s="2">
        <v>46107</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spans="1:22" x14ac:dyDescent="0.25">
      <c r="A106" s="1">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spans="1:22" x14ac:dyDescent="0.25">
      <c r="A107" s="1">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spans="1:22" x14ac:dyDescent="0.25">
      <c r="A108" s="1">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spans="1:22" x14ac:dyDescent="0.25">
      <c r="A109" s="1">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v>46147</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spans="1:22" x14ac:dyDescent="0.25">
      <c r="A110" s="1">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spans="1:22" x14ac:dyDescent="0.25">
      <c r="A111" s="1">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spans="1:22" x14ac:dyDescent="0.25">
      <c r="A112" s="1">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spans="1:22" x14ac:dyDescent="0.25">
      <c r="A113" s="1">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spans="1:22" x14ac:dyDescent="0.25">
      <c r="A114" s="1">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spans="1:22" x14ac:dyDescent="0.25">
      <c r="A115" s="1">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spans="1:22" x14ac:dyDescent="0.25">
      <c r="A116" s="1">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spans="1:22" x14ac:dyDescent="0.25">
      <c r="A117" s="1">
        <v>116</v>
      </c>
      <c r="B117" s="1" t="str">
        <v>Hermogenes Lima Chayña</v>
      </c>
      <c r="C117" s="1" t="str">
        <v>Poder Judicial</v>
      </c>
      <c r="D117" s="1" t="str">
        <v>Entrevista de actores clave</v>
      </c>
      <c r="E117" s="1" t="str">
        <v>Funcionarios del Sistema</v>
      </c>
      <c r="F117" s="1" t="str">
        <v>Distrito Judicial: Ucayali</v>
      </c>
      <c r="G117" s="1" t="str">
        <v>IJM</v>
      </c>
      <c r="H117" s="1" t="str">
        <v>Sí</v>
      </c>
      <c r="I117" s="2" t="str">
        <v/>
      </c>
      <c r="J117" s="2" t="str">
        <v/>
      </c>
      <c r="K117" s="2" t="str">
        <v/>
      </c>
      <c r="L117" s="1" t="str">
        <v>Realizada completa</v>
      </c>
      <c r="M117" s="2">
        <v>46214</v>
      </c>
      <c r="N117" s="2">
        <v>46214</v>
      </c>
      <c r="O117" s="1" t="str">
        <v>Realizada completa</v>
      </c>
      <c r="P117" s="1">
        <v>36</v>
      </c>
      <c r="Q117" s="1" t="str">
        <v>A distancia asistido</v>
      </c>
      <c r="R117" s="1">
        <f t="shared" si="5"/>
        <v>1</v>
      </c>
      <c r="S117" s="1">
        <f t="shared" si="6"/>
        <v>0</v>
      </c>
      <c r="T117" s="1">
        <f t="shared" si="7"/>
        <v>0</v>
      </c>
      <c r="U117" s="1">
        <f t="shared" si="8"/>
        <v>1</v>
      </c>
      <c r="V117" s="1">
        <f t="shared" si="9"/>
        <v>0</v>
      </c>
    </row>
    <row r="118" spans="1:22" x14ac:dyDescent="0.25">
      <c r="A118" s="1">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spans="1:22" x14ac:dyDescent="0.25">
      <c r="A119" s="1">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spans="1:22" x14ac:dyDescent="0.25">
      <c r="A120" s="1">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spans="1:22" x14ac:dyDescent="0.25">
      <c r="A121" s="1">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spans="1:22" x14ac:dyDescent="0.25">
      <c r="A122" s="1">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spans="1:22" x14ac:dyDescent="0.25">
      <c r="A123" s="1">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spans="1:22" x14ac:dyDescent="0.25">
      <c r="A124" s="1">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spans="1:22" x14ac:dyDescent="0.25">
      <c r="A125" s="1">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spans="1:22" x14ac:dyDescent="0.25">
      <c r="A126" s="1">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spans="1:22" x14ac:dyDescent="0.25">
      <c r="A127" s="1">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spans="1:22" x14ac:dyDescent="0.25">
      <c r="A128" s="1">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spans="1:22" x14ac:dyDescent="0.25">
      <c r="A129" s="1">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spans="1:22" x14ac:dyDescent="0.25">
      <c r="A130" s="1">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spans="1:22" x14ac:dyDescent="0.25">
      <c r="A131" s="1">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spans="1:22" x14ac:dyDescent="0.25">
      <c r="A132" s="1">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spans="1:22" x14ac:dyDescent="0.25">
      <c r="A133" s="1">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spans="1:22" x14ac:dyDescent="0.25">
      <c r="A134" s="1">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spans="1:22" x14ac:dyDescent="0.25">
      <c r="A135" s="1">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spans="1:22" x14ac:dyDescent="0.25">
      <c r="A136" s="1">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spans="1:22" x14ac:dyDescent="0.25">
      <c r="A137" s="1">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spans="1:22" x14ac:dyDescent="0.25">
      <c r="A138" s="1">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spans="1:22" x14ac:dyDescent="0.25">
      <c r="A139" s="1">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spans="1:22" x14ac:dyDescent="0.25">
      <c r="A140" s="1">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spans="1:22" x14ac:dyDescent="0.25">
      <c r="A141" s="1">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v>46107</v>
      </c>
      <c r="J141" s="2">
        <v>46147</v>
      </c>
      <c r="K141" s="2">
        <v>46164</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spans="1:22" x14ac:dyDescent="0.25">
      <c r="A142" s="1">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spans="1:22" x14ac:dyDescent="0.25">
      <c r="A143" s="1">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spans="1:22" x14ac:dyDescent="0.25">
      <c r="A144" s="1">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v>46087</v>
      </c>
      <c r="J144" s="2">
        <v>46107</v>
      </c>
      <c r="K144" s="2">
        <v>46164</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spans="1:22" x14ac:dyDescent="0.25">
      <c r="A145" s="1">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v>46147</v>
      </c>
      <c r="J145" s="2">
        <v>46164</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spans="1:22" x14ac:dyDescent="0.25">
      <c r="A146" s="1">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v>46147</v>
      </c>
      <c r="J146" s="2">
        <v>46164</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spans="1:22" x14ac:dyDescent="0.25">
      <c r="A147" s="1">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v>46147</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spans="1:22" x14ac:dyDescent="0.25">
      <c r="A148" s="1">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v>46147</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spans="1:22" x14ac:dyDescent="0.25">
      <c r="A149" s="1">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v>46147</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spans="1:22" x14ac:dyDescent="0.25">
      <c r="A150" s="1">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v>46147</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spans="1:22" x14ac:dyDescent="0.25">
      <c r="A151" s="1">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v>46147</v>
      </c>
      <c r="J151" s="2" t="str">
        <v/>
      </c>
      <c r="K151" s="2" t="str">
        <v/>
      </c>
      <c r="L151" s="1" t="str">
        <v>Sin respuesta</v>
      </c>
      <c r="M151" s="2" t="str">
        <v/>
      </c>
      <c r="N151" s="2" t="str">
        <v/>
      </c>
      <c r="O151" s="1" t="str">
        <v>Sin respuesta</v>
      </c>
      <c r="P151" s="1" t="str">
        <v/>
      </c>
      <c r="Q151" s="1" t="str">
        <v/>
      </c>
      <c r="R151" s="1">
        <f t="shared" si="10"/>
        <v>1</v>
      </c>
      <c r="S151" s="1">
        <f t="shared" si="11"/>
        <v>0</v>
      </c>
      <c r="T151" s="1">
        <f t="shared" si="12"/>
        <v>0</v>
      </c>
      <c r="U151" s="1">
        <f t="shared" si="13"/>
        <v>0</v>
      </c>
      <c r="V151" s="1">
        <f t="shared" si="14"/>
        <v>1</v>
      </c>
    </row>
    <row r="152" spans="1:22" x14ac:dyDescent="0.25">
      <c r="A152" s="1">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v>46147</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spans="1:22" x14ac:dyDescent="0.25">
      <c r="A153" s="1">
        <v>152</v>
      </c>
      <c r="B153" s="1" t="str">
        <v xml:space="preserve">Región Policial Arequipa de la PNP </v>
      </c>
      <c r="C153" s="1" t="str">
        <v>Policía Nacional del Perú</v>
      </c>
      <c r="D153" s="1" t="str">
        <v>Entrevista de actores clave</v>
      </c>
      <c r="E153" s="1" t="str">
        <v>Funcionarios del Sistema</v>
      </c>
      <c r="F153" s="1" t="str">
        <v>Nacional</v>
      </c>
      <c r="G153" s="1" t="str">
        <v>IJM</v>
      </c>
      <c r="H153" s="1" t="str">
        <v>Sí</v>
      </c>
      <c r="I153" s="2">
        <v>46147</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spans="1:22" x14ac:dyDescent="0.25">
      <c r="A154" s="1">
        <v>153</v>
      </c>
      <c r="B154" s="1" t="str">
        <v xml:space="preserve">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v>46147</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spans="1:22" x14ac:dyDescent="0.25">
      <c r="A155" s="1">
        <v>154</v>
      </c>
      <c r="B155" s="1" t="str">
        <v xml:space="preserve">Región Policial Ucayali de la PNP </v>
      </c>
      <c r="C155" s="1" t="str">
        <v>Policía Nacional del Perú</v>
      </c>
      <c r="D155" s="1" t="str">
        <v>Entrevista de actores clave</v>
      </c>
      <c r="E155" s="1" t="str">
        <v>Funcionarios del Sistema</v>
      </c>
      <c r="F155" s="1" t="str">
        <v>Nacional</v>
      </c>
      <c r="G155" s="1" t="str">
        <v>IJM</v>
      </c>
      <c r="H155" s="1" t="str">
        <v>Sí</v>
      </c>
      <c r="I155" s="2">
        <v>46147</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spans="1:22" x14ac:dyDescent="0.25">
      <c r="A156" s="1">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v>46147</v>
      </c>
      <c r="J156" s="2" t="str">
        <v/>
      </c>
      <c r="K156" s="2" t="str">
        <v/>
      </c>
      <c r="L156" s="1" t="str">
        <v>Realizada completa</v>
      </c>
      <c r="M156" s="2">
        <v>46154</v>
      </c>
      <c r="N156" s="2">
        <v>46154</v>
      </c>
      <c r="O156" s="1" t="str">
        <v>Realizada completa</v>
      </c>
      <c r="P156" s="1">
        <v>43</v>
      </c>
      <c r="Q156" s="1" t="str">
        <v>A distancia asistido</v>
      </c>
      <c r="R156" s="1">
        <f t="shared" si="10"/>
        <v>1</v>
      </c>
      <c r="S156" s="1">
        <f t="shared" si="11"/>
        <v>0</v>
      </c>
      <c r="T156" s="1">
        <f t="shared" si="12"/>
        <v>0</v>
      </c>
      <c r="U156" s="1">
        <f t="shared" si="13"/>
        <v>1</v>
      </c>
      <c r="V156" s="1">
        <f t="shared" si="14"/>
        <v>0</v>
      </c>
    </row>
    <row r="157" spans="1:22" x14ac:dyDescent="0.25">
      <c r="A157" s="1">
        <v>156</v>
      </c>
      <c r="B157" s="1" t="str">
        <v xml:space="preserve">Región Policial Junín de la PNP </v>
      </c>
      <c r="C157" s="1" t="str">
        <v>Policía Nacional del Perú</v>
      </c>
      <c r="D157" s="1" t="str">
        <v>Entrevista de actores clave</v>
      </c>
      <c r="E157" s="1" t="str">
        <v>Funcionarios del Sistema</v>
      </c>
      <c r="F157" s="1" t="str">
        <v>Nacional</v>
      </c>
      <c r="G157" s="1" t="str">
        <v>IJM</v>
      </c>
      <c r="H157" s="1" t="str">
        <v>Sí</v>
      </c>
      <c r="I157" s="2">
        <v>46147</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spans="1:22" x14ac:dyDescent="0.25">
      <c r="A158" s="1">
        <v>157</v>
      </c>
      <c r="B158" s="1" t="str">
        <v xml:space="preserve">Región Policial Cusco de la PNP </v>
      </c>
      <c r="C158" s="1" t="str">
        <v>Policía Nacional del Perú</v>
      </c>
      <c r="D158" s="1" t="str">
        <v>Entrevista de actores clave</v>
      </c>
      <c r="E158" s="1" t="str">
        <v>Funcionarios del Sistema</v>
      </c>
      <c r="F158" s="1" t="str">
        <v>Nacional</v>
      </c>
      <c r="G158" s="1" t="str">
        <v>IJM</v>
      </c>
      <c r="H158" s="1" t="str">
        <v>Sí</v>
      </c>
      <c r="I158" s="2">
        <v>46147</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spans="1:22" x14ac:dyDescent="0.25">
      <c r="A159" s="1">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v>46147</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spans="1:22" x14ac:dyDescent="0.25">
      <c r="A160" s="1">
        <v>159</v>
      </c>
      <c r="B160" s="1" t="str">
        <v xml:space="preserve">Región Policial Arequipa de la PNP </v>
      </c>
      <c r="C160" s="1" t="str">
        <v>Policía Nacional del Perú</v>
      </c>
      <c r="D160" s="1" t="str">
        <v>Entrevista de actores clave</v>
      </c>
      <c r="E160" s="1" t="str">
        <v>Funcionarios del Sistema</v>
      </c>
      <c r="F160" s="1" t="str">
        <v>Nacional</v>
      </c>
      <c r="G160" s="1" t="str">
        <v>IJM</v>
      </c>
      <c r="H160" s="1" t="str">
        <v>Sí</v>
      </c>
      <c r="I160" s="2">
        <v>46147</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spans="1:22" x14ac:dyDescent="0.25">
      <c r="A161" s="1">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v>46147</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spans="1:22" x14ac:dyDescent="0.25">
      <c r="A162" s="1">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v>46147</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spans="1:22" x14ac:dyDescent="0.25">
      <c r="A163" s="1">
        <v>162</v>
      </c>
      <c r="B163" s="1" t="str">
        <v xml:space="preserve">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v>46147</v>
      </c>
      <c r="J163" s="2">
        <v>46161</v>
      </c>
      <c r="K163" s="2" t="str">
        <v/>
      </c>
      <c r="L163" s="1" t="str">
        <v>Sin respuesta</v>
      </c>
      <c r="M163" s="2" t="str">
        <v/>
      </c>
      <c r="N163" s="2" t="str">
        <v/>
      </c>
      <c r="O163" s="1" t="str">
        <v>Sin respuesta</v>
      </c>
      <c r="P163" s="1" t="str">
        <v/>
      </c>
      <c r="Q163" s="1" t="str">
        <v/>
      </c>
      <c r="R163" s="1">
        <f t="shared" si="10"/>
        <v>1</v>
      </c>
      <c r="S163" s="1">
        <f t="shared" si="11"/>
        <v>0</v>
      </c>
      <c r="T163" s="1">
        <f t="shared" si="12"/>
        <v>0</v>
      </c>
      <c r="U163" s="1">
        <f t="shared" si="13"/>
        <v>0</v>
      </c>
      <c r="V163" s="1">
        <f t="shared" si="14"/>
        <v>1</v>
      </c>
    </row>
    <row r="164" spans="1:22" x14ac:dyDescent="0.25">
      <c r="A164" s="1">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v>46147</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spans="1:22" x14ac:dyDescent="0.25">
      <c r="A165" s="1">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spans="1:22" x14ac:dyDescent="0.25">
      <c r="A166" s="1">
        <v>165</v>
      </c>
      <c r="B166" s="1" t="str">
        <v xml:space="preserve">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spans="1:22" x14ac:dyDescent="0.25">
      <c r="A167" s="1">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spans="1:22" x14ac:dyDescent="0.25">
      <c r="A168" s="1">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spans="1:22" x14ac:dyDescent="0.25">
      <c r="A169" s="1">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spans="1:22" x14ac:dyDescent="0.25">
      <c r="A170" s="1">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spans="1:22" x14ac:dyDescent="0.25">
      <c r="A171" s="1">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spans="1:22" x14ac:dyDescent="0.25">
      <c r="A172" s="1">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spans="1:22" x14ac:dyDescent="0.25">
      <c r="A173" s="1">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spans="1:22" x14ac:dyDescent="0.25">
      <c r="A174" s="1">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spans="1:22" x14ac:dyDescent="0.25">
      <c r="A175" s="1">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spans="1:22" x14ac:dyDescent="0.25">
      <c r="A176" s="1">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v>46188</v>
      </c>
      <c r="N176" s="2">
        <v>46188</v>
      </c>
      <c r="O176" s="1" t="str">
        <v>Realizada completa</v>
      </c>
      <c r="P176" s="1">
        <v>36</v>
      </c>
      <c r="Q176" s="1" t="str">
        <v>A distancia asistido</v>
      </c>
      <c r="R176" s="1">
        <f t="shared" si="10"/>
        <v>1</v>
      </c>
      <c r="S176" s="1">
        <f t="shared" si="11"/>
        <v>0</v>
      </c>
      <c r="T176" s="1">
        <f t="shared" si="12"/>
        <v>0</v>
      </c>
      <c r="U176" s="1">
        <f t="shared" si="13"/>
        <v>1</v>
      </c>
      <c r="V176" s="1">
        <f t="shared" si="14"/>
        <v>0</v>
      </c>
    </row>
    <row r="177" spans="1:22" x14ac:dyDescent="0.25">
      <c r="A177" s="1">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spans="1:22" x14ac:dyDescent="0.25">
      <c r="A178" s="1">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spans="1:22" x14ac:dyDescent="0.25">
      <c r="A179" s="1">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spans="1:22" x14ac:dyDescent="0.25">
      <c r="A180" s="1">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spans="1:22" x14ac:dyDescent="0.25">
      <c r="A181" s="1">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spans="1:22" x14ac:dyDescent="0.25">
      <c r="A182" s="1">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spans="1:22" x14ac:dyDescent="0.25">
      <c r="A183" s="1">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spans="1:22" x14ac:dyDescent="0.25">
      <c r="A184" s="1">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spans="1:22" x14ac:dyDescent="0.25">
      <c r="A185" s="1">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spans="1:22" x14ac:dyDescent="0.25">
      <c r="A186" s="1">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v>46147</v>
      </c>
      <c r="J186" s="2">
        <v>46164</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spans="1:22" x14ac:dyDescent="0.25">
      <c r="A187" s="1">
        <v>186</v>
      </c>
      <c r="B187" s="1" t="str">
        <v xml:space="preserve"> Jose Miguel Chavez Montero</v>
      </c>
      <c r="C187" s="1" t="str">
        <v>Centros de Emergencia Mujer</v>
      </c>
      <c r="D187" s="1" t="str">
        <v>Entrevista de actores clave</v>
      </c>
      <c r="E187" s="1" t="str">
        <v>Funcionarios del Sistema</v>
      </c>
      <c r="F187" s="1" t="str">
        <v>Nacional</v>
      </c>
      <c r="G187" s="1" t="str">
        <v>IJM</v>
      </c>
      <c r="H187" s="1" t="str">
        <v>Sí</v>
      </c>
      <c r="I187" s="2">
        <v>46147</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spans="1:22" x14ac:dyDescent="0.25">
      <c r="A188" s="1">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v>46147</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spans="1:22" x14ac:dyDescent="0.25">
      <c r="A189" s="1">
        <v>188</v>
      </c>
      <c r="B189" s="1" t="str">
        <v>Felipe Vara Marquez</v>
      </c>
      <c r="C189" s="1" t="str">
        <v>Centros de Emergencia Mujer</v>
      </c>
      <c r="D189" s="1" t="str">
        <v>Entrevista de actores clave</v>
      </c>
      <c r="E189" s="1" t="str">
        <v>Funcionarios del Sistema</v>
      </c>
      <c r="F189" s="1" t="str">
        <v>Nacional</v>
      </c>
      <c r="G189" s="1" t="str">
        <v>IJM</v>
      </c>
      <c r="H189" s="1" t="str">
        <v>Sí</v>
      </c>
      <c r="I189" s="2">
        <v>46147</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spans="1:22" x14ac:dyDescent="0.25">
      <c r="A190" s="1">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v>46147</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spans="1:22" x14ac:dyDescent="0.25">
      <c r="A191" s="1">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v>46147</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spans="1:22" x14ac:dyDescent="0.25">
      <c r="A192" s="1">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v>46147</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spans="1:22" x14ac:dyDescent="0.25">
      <c r="A193" s="1">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v>46147</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spans="1:22" x14ac:dyDescent="0.25">
      <c r="A194" s="1">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spans="1:22" x14ac:dyDescent="0.25">
      <c r="A195" s="1">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spans="1:22" x14ac:dyDescent="0.25">
      <c r="A196" s="1">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spans="1:22" x14ac:dyDescent="0.25">
      <c r="A197" s="1">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spans="1:22" x14ac:dyDescent="0.25">
      <c r="A198" s="1">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spans="1:22" x14ac:dyDescent="0.25">
      <c r="A199" s="1">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spans="1:22" x14ac:dyDescent="0.25">
      <c r="A200" s="1">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spans="1:22" x14ac:dyDescent="0.25">
      <c r="A201" s="1">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spans="1:22" x14ac:dyDescent="0.25">
      <c r="A202" s="1">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spans="1:22" x14ac:dyDescent="0.25">
      <c r="A203" s="1">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spans="1:22" x14ac:dyDescent="0.25">
      <c r="A204" s="1">
        <v>203</v>
      </c>
      <c r="B204" s="1" t="str">
        <v>Melchora Milagros Ríos García</v>
      </c>
      <c r="C204" s="1" t="str">
        <v>Aurora</v>
      </c>
      <c r="D204" s="1" t="str">
        <v>Entrevista de actores clave</v>
      </c>
      <c r="E204" s="1" t="str">
        <v>Funcionarios del Sistema</v>
      </c>
      <c r="F204" s="1" t="str">
        <v>Nacional</v>
      </c>
      <c r="G204" s="1" t="str">
        <v>IJM</v>
      </c>
      <c r="H204" s="1" t="str">
        <v>Sí</v>
      </c>
      <c r="I204" s="2">
        <v>46147</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spans="1:22" x14ac:dyDescent="0.25">
      <c r="A205" s="1">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v>46147</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spans="1:22" x14ac:dyDescent="0.25">
      <c r="A206" s="1">
        <v>205</v>
      </c>
      <c r="B206" s="1" t="str">
        <v>Gerardo Alfonso Marín Lopez</v>
      </c>
      <c r="C206" s="1" t="str">
        <v>Aurora</v>
      </c>
      <c r="D206" s="1" t="str">
        <v>Entrevista de actores clave</v>
      </c>
      <c r="E206" s="1" t="str">
        <v>Funcionarios del Sistema</v>
      </c>
      <c r="F206" s="1" t="str">
        <v>Nacional</v>
      </c>
      <c r="G206" s="1" t="str">
        <v>IJM</v>
      </c>
      <c r="H206" s="1" t="str">
        <v>Sí</v>
      </c>
      <c r="I206" s="2">
        <v>46147</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spans="1:22" x14ac:dyDescent="0.25">
      <c r="A207" s="1">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v>46107</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spans="1:22" x14ac:dyDescent="0.25">
      <c r="A208" s="1">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spans="1:22" x14ac:dyDescent="0.25">
      <c r="A209" s="1">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spans="1:22" x14ac:dyDescent="0.25">
      <c r="A210" s="1">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spans="1:22" x14ac:dyDescent="0.25">
      <c r="A211" s="1">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spans="1:22" x14ac:dyDescent="0.25">
      <c r="A212" s="1">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v>46111</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spans="1:22" x14ac:dyDescent="0.25">
      <c r="A213" s="1">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v>46111</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spans="1:22" x14ac:dyDescent="0.25">
      <c r="A214" s="1">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spans="1:22" x14ac:dyDescent="0.25">
      <c r="A215" s="1">
        <v>214</v>
      </c>
      <c r="B215" s="1" t="str">
        <v>Mercedes Arce</v>
      </c>
      <c r="C215" s="1" t="str">
        <v>CHS Alternativo</v>
      </c>
      <c r="D215" s="1" t="str">
        <v>Entrevista de actores clave</v>
      </c>
      <c r="E215" s="1" t="str">
        <v>Actores locales</v>
      </c>
      <c r="F215" s="1" t="str">
        <v>Distrito Judicial: Loreto</v>
      </c>
      <c r="G215" s="1" t="str">
        <v>IJM</v>
      </c>
      <c r="H215" s="1" t="str">
        <v>Sí</v>
      </c>
      <c r="I215" s="2">
        <v>46198</v>
      </c>
      <c r="J215" s="2" t="str">
        <v/>
      </c>
      <c r="K215" s="2" t="str">
        <v/>
      </c>
      <c r="L215" s="1" t="str">
        <v>Realizada completa</v>
      </c>
      <c r="M215" s="2">
        <v>46203</v>
      </c>
      <c r="N215" s="2">
        <v>46203</v>
      </c>
      <c r="O215" s="1" t="str">
        <v>Realizada completa</v>
      </c>
      <c r="P215" s="1">
        <v>45</v>
      </c>
      <c r="Q215" s="1" t="str">
        <v>A distancia asistido</v>
      </c>
      <c r="R215" s="1">
        <f t="shared" si="15"/>
        <v>1</v>
      </c>
      <c r="S215" s="1">
        <f t="shared" si="16"/>
        <v>0</v>
      </c>
      <c r="T215" s="1">
        <f t="shared" si="17"/>
        <v>0</v>
      </c>
      <c r="U215" s="1">
        <f t="shared" si="18"/>
        <v>1</v>
      </c>
      <c r="V215" s="1">
        <f t="shared" si="19"/>
        <v>0</v>
      </c>
    </row>
    <row r="216" spans="1:22" x14ac:dyDescent="0.25">
      <c r="A216" s="1">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v>46210</v>
      </c>
      <c r="N216" s="2">
        <v>46210</v>
      </c>
      <c r="O216" s="1" t="str">
        <v>Realizada completa</v>
      </c>
      <c r="P216" s="1">
        <v>41</v>
      </c>
      <c r="Q216" s="1" t="str">
        <v>A distancia asistido</v>
      </c>
      <c r="R216" s="1">
        <f t="shared" si="15"/>
        <v>1</v>
      </c>
      <c r="S216" s="1">
        <f t="shared" si="16"/>
        <v>0</v>
      </c>
      <c r="T216" s="1">
        <f t="shared" si="17"/>
        <v>0</v>
      </c>
      <c r="U216" s="1">
        <f t="shared" si="18"/>
        <v>1</v>
      </c>
      <c r="V216" s="1">
        <f t="shared" si="19"/>
        <v>0</v>
      </c>
    </row>
    <row r="217" spans="1:22" x14ac:dyDescent="0.25">
      <c r="A217" s="1">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spans="1:22" x14ac:dyDescent="0.25">
      <c r="A218" s="1">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spans="1:22" x14ac:dyDescent="0.25">
      <c r="A219" s="1">
        <v>218</v>
      </c>
      <c r="B219" s="1" t="str">
        <v>Luz Medina Gonzales</v>
      </c>
      <c r="C219" s="1" t="str">
        <v xml:space="preserve">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spans="1:22" x14ac:dyDescent="0.25">
      <c r="A220" s="1">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spans="1:22" x14ac:dyDescent="0.25">
      <c r="A221" s="1">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spans="1:22" x14ac:dyDescent="0.25">
      <c r="A222" s="1">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spans="1:22" x14ac:dyDescent="0.25">
      <c r="A223" s="1">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spans="1:22" x14ac:dyDescent="0.25">
      <c r="A224" s="1">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spans="1:22" x14ac:dyDescent="0.25">
      <c r="A225" s="1">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spans="1:22" x14ac:dyDescent="0.25">
      <c r="A226" s="1">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spans="1:22" x14ac:dyDescent="0.25">
      <c r="A227" s="1">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spans="1:22" x14ac:dyDescent="0.25">
      <c r="A228" s="1">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spans="1:22" x14ac:dyDescent="0.25">
      <c r="A229" s="1">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v>46120</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spans="1:22" x14ac:dyDescent="0.25">
      <c r="A230" s="1">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spans="1:22" x14ac:dyDescent="0.25">
      <c r="A231" s="1">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spans="1:22" x14ac:dyDescent="0.25">
      <c r="A232" s="1">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spans="1:22" x14ac:dyDescent="0.25">
      <c r="A233" s="1">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spans="1:22" x14ac:dyDescent="0.25">
      <c r="A234" s="1">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spans="1:22" x14ac:dyDescent="0.25">
      <c r="A235" s="1">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spans="1:22" x14ac:dyDescent="0.25">
      <c r="A236" s="1">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spans="1:22" x14ac:dyDescent="0.25">
      <c r="A237" s="1">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spans="1:22" x14ac:dyDescent="0.25">
      <c r="A238" s="1">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spans="1:22" x14ac:dyDescent="0.25">
      <c r="A239" s="1">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spans="1:22" x14ac:dyDescent="0.25">
      <c r="A240" s="1">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spans="1:22" x14ac:dyDescent="0.25">
      <c r="A241" s="1">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spans="1:22" x14ac:dyDescent="0.25">
      <c r="A242" s="1">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spans="1:22" x14ac:dyDescent="0.25">
      <c r="A243" s="1">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spans="1:22" x14ac:dyDescent="0.25">
      <c r="A244" s="1">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spans="1:22" x14ac:dyDescent="0.25">
      <c r="A245" s="1">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spans="1:22" x14ac:dyDescent="0.25">
      <c r="A246" s="1">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spans="1:22" x14ac:dyDescent="0.25">
      <c r="A247" s="1">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spans="1:22" x14ac:dyDescent="0.25">
      <c r="A248" s="1">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spans="1:22" x14ac:dyDescent="0.25">
      <c r="A249" s="1">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v>46120</v>
      </c>
      <c r="J249" s="2" t="str">
        <v/>
      </c>
      <c r="K249" s="2" t="str">
        <v/>
      </c>
      <c r="L249" s="1" t="str">
        <v>Realizada completa</v>
      </c>
      <c r="M249" s="2">
        <v>46121</v>
      </c>
      <c r="N249" s="2">
        <v>46121</v>
      </c>
      <c r="O249" s="1" t="str">
        <v>Realizada completa</v>
      </c>
      <c r="P249" s="1">
        <v>44</v>
      </c>
      <c r="Q249" s="1" t="str">
        <v>A distancia asistido</v>
      </c>
      <c r="R249" s="1">
        <f t="shared" si="15"/>
        <v>1</v>
      </c>
      <c r="S249" s="1">
        <f t="shared" si="16"/>
        <v>0</v>
      </c>
      <c r="T249" s="1">
        <f t="shared" si="17"/>
        <v>0</v>
      </c>
      <c r="U249" s="1">
        <f t="shared" si="18"/>
        <v>1</v>
      </c>
      <c r="V249" s="1">
        <f t="shared" si="19"/>
        <v>0</v>
      </c>
    </row>
    <row r="250" spans="1:22" x14ac:dyDescent="0.25">
      <c r="A250" s="1">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spans="1:22" x14ac:dyDescent="0.25">
      <c r="A251" s="1">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spans="1:22" x14ac:dyDescent="0.25">
      <c r="A252" s="1">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spans="1:22" x14ac:dyDescent="0.25">
      <c r="A253" s="1">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v>46120</v>
      </c>
      <c r="J253" s="2" t="str">
        <v/>
      </c>
      <c r="K253" s="2" t="str">
        <v/>
      </c>
      <c r="L253" s="1" t="str">
        <v>Realizada completa</v>
      </c>
      <c r="M253" s="2">
        <v>46122</v>
      </c>
      <c r="N253" s="2">
        <v>46122</v>
      </c>
      <c r="O253" s="1" t="str">
        <v>Realizada completa</v>
      </c>
      <c r="P253" s="1">
        <v>52</v>
      </c>
      <c r="Q253" s="1" t="str">
        <v>A distancia asistido</v>
      </c>
      <c r="R253" s="1">
        <f t="shared" si="15"/>
        <v>1</v>
      </c>
      <c r="S253" s="1">
        <f t="shared" si="16"/>
        <v>0</v>
      </c>
      <c r="T253" s="1">
        <f t="shared" si="17"/>
        <v>0</v>
      </c>
      <c r="U253" s="1">
        <f t="shared" si="18"/>
        <v>1</v>
      </c>
      <c r="V253" s="1">
        <f t="shared" si="19"/>
        <v>0</v>
      </c>
    </row>
    <row r="254" spans="1:22" x14ac:dyDescent="0.25">
      <c r="A254" s="1">
        <v>253</v>
      </c>
      <c r="B254" s="1" t="str">
        <v xml:space="preserve">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spans="1:22" x14ac:dyDescent="0.25">
      <c r="A255" s="1">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spans="1:22" x14ac:dyDescent="0.25">
      <c r="A256" s="1">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v>46122</v>
      </c>
      <c r="N256" s="2">
        <v>46122</v>
      </c>
      <c r="O256" s="1" t="str">
        <v>Realizada completa</v>
      </c>
      <c r="P256" s="1">
        <v>48</v>
      </c>
      <c r="Q256" s="1" t="str">
        <v>A distancia asistido</v>
      </c>
      <c r="R256" s="1">
        <f t="shared" si="15"/>
        <v>1</v>
      </c>
      <c r="S256" s="1">
        <f t="shared" si="16"/>
        <v>0</v>
      </c>
      <c r="T256" s="1">
        <f t="shared" si="17"/>
        <v>0</v>
      </c>
      <c r="U256" s="1">
        <f t="shared" si="18"/>
        <v>1</v>
      </c>
      <c r="V256" s="1">
        <f t="shared" si="19"/>
        <v>0</v>
      </c>
    </row>
    <row r="257" spans="1:22" x14ac:dyDescent="0.25">
      <c r="A257" s="1">
        <v>256</v>
      </c>
      <c r="B257" s="1" t="str">
        <v>Leyden María Capa Barrios</v>
      </c>
      <c r="C257" s="1" t="str">
        <v>Orientadoras Judiciales</v>
      </c>
      <c r="D257" s="1" t="str">
        <v>Entrevista de actores clave</v>
      </c>
      <c r="E257" s="1" t="str">
        <v>Acompañantes</v>
      </c>
      <c r="F257" s="1" t="str">
        <v>Nacional</v>
      </c>
      <c r="G257" s="1" t="str">
        <v>IJM</v>
      </c>
      <c r="H257" s="1" t="str">
        <v>Sí</v>
      </c>
      <c r="I257" s="2">
        <v>46120</v>
      </c>
      <c r="J257" s="2" t="str">
        <v/>
      </c>
      <c r="K257" s="2" t="str">
        <v/>
      </c>
      <c r="L257" s="1" t="str">
        <v>Realizada completa</v>
      </c>
      <c r="M257" s="2">
        <v>46126</v>
      </c>
      <c r="N257" s="2">
        <v>46126</v>
      </c>
      <c r="O257" s="1" t="str">
        <v>Realizada completa</v>
      </c>
      <c r="P257" s="1">
        <v>45</v>
      </c>
      <c r="Q257" s="1" t="str">
        <v>A distancia asistido</v>
      </c>
      <c r="R257" s="1">
        <f t="shared" si="15"/>
        <v>1</v>
      </c>
      <c r="S257" s="1">
        <f t="shared" si="16"/>
        <v>0</v>
      </c>
      <c r="T257" s="1">
        <f t="shared" si="17"/>
        <v>0</v>
      </c>
      <c r="U257" s="1">
        <f t="shared" si="18"/>
        <v>1</v>
      </c>
      <c r="V257" s="1">
        <f t="shared" si="19"/>
        <v>0</v>
      </c>
    </row>
    <row r="258" spans="1:22" x14ac:dyDescent="0.25">
      <c r="A258" s="1">
        <v>257</v>
      </c>
      <c r="B258" s="1" t="str">
        <v>Nancy Navarro</v>
      </c>
      <c r="C258" s="1" t="str">
        <v>Orientadoras Judiciales</v>
      </c>
      <c r="D258" s="1" t="str">
        <v>Entrevista de actores clave</v>
      </c>
      <c r="E258" s="1" t="str">
        <v>Acompañantes</v>
      </c>
      <c r="F258" s="1" t="str">
        <v>Nacional</v>
      </c>
      <c r="G258" s="1" t="str">
        <v>IJM</v>
      </c>
      <c r="H258" s="1" t="str">
        <v>No</v>
      </c>
      <c r="I258" s="2">
        <v>46171</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spans="1:22" x14ac:dyDescent="0.25">
      <c r="A259" s="1">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spans="1:22" x14ac:dyDescent="0.25">
      <c r="A260" s="1">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spans="1:22" x14ac:dyDescent="0.25">
      <c r="A261" s="1">
        <v>260</v>
      </c>
      <c r="B261" s="1" t="str">
        <v>Walter Eleodoro Martinez Laura</v>
      </c>
      <c r="C261" s="1" t="str">
        <v>Defensa Pública</v>
      </c>
      <c r="D261" s="1" t="str">
        <v>Entrevista de actores clave</v>
      </c>
      <c r="E261" s="1" t="str">
        <v>Funcionarios del Sistema</v>
      </c>
      <c r="F261" s="1" t="str">
        <v>Nacional</v>
      </c>
      <c r="G261" s="1" t="str">
        <v>IJM</v>
      </c>
      <c r="H261" s="1" t="str">
        <v>Sí</v>
      </c>
      <c r="I261" s="2">
        <v>46147</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spans="1:22" x14ac:dyDescent="0.25">
      <c r="A262" s="1">
        <v>261</v>
      </c>
      <c r="B262" s="1" t="str">
        <v>Julio Cesar Zumaeta Hernandez</v>
      </c>
      <c r="C262" s="1" t="str">
        <v>Defensa Pública</v>
      </c>
      <c r="D262" s="1" t="str">
        <v>Entrevista de actores clave</v>
      </c>
      <c r="E262" s="1" t="str">
        <v>Funcionarios del Sistema</v>
      </c>
      <c r="F262" s="1" t="str">
        <v>Nacional</v>
      </c>
      <c r="G262" s="1" t="str">
        <v>IJM</v>
      </c>
      <c r="H262" s="1" t="str">
        <v>Sí</v>
      </c>
      <c r="I262" s="2">
        <v>46147</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spans="1:22" x14ac:dyDescent="0.25">
      <c r="A263" s="1">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v>46147</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spans="1:22" x14ac:dyDescent="0.25">
      <c r="A264" s="1">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t="str">
        <v>Sin respuesta</v>
      </c>
      <c r="J264" s="2">
        <v>46179</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spans="1:22" x14ac:dyDescent="0.25">
      <c r="A265" s="1">
        <v>264</v>
      </c>
      <c r="B265" s="1" t="str">
        <v>Elena Zoila Villegas Portilla</v>
      </c>
      <c r="C265" s="1" t="str">
        <v>Defensa Pública</v>
      </c>
      <c r="D265" s="1" t="str">
        <v>Entrevista de actores clave</v>
      </c>
      <c r="E265" s="1" t="str">
        <v>Funcionarios del Sistema</v>
      </c>
      <c r="F265" s="1" t="str">
        <v>Nacional</v>
      </c>
      <c r="G265" s="1" t="str">
        <v>IJM</v>
      </c>
      <c r="H265" s="1" t="str">
        <v>Sí</v>
      </c>
      <c r="I265" s="2">
        <v>46147</v>
      </c>
      <c r="J265" s="2" t="str">
        <v/>
      </c>
      <c r="K265" s="2" t="str">
        <v/>
      </c>
      <c r="L265" s="1" t="str">
        <v>Realizada completa</v>
      </c>
      <c r="M265" s="2">
        <v>46136</v>
      </c>
      <c r="N265" s="2">
        <v>46136</v>
      </c>
      <c r="O265" s="1" t="str">
        <v>Realizada completa</v>
      </c>
      <c r="P265" s="1">
        <v>30</v>
      </c>
      <c r="Q265" s="1" t="str">
        <v>A distancia asistido</v>
      </c>
      <c r="R265" s="1">
        <f t="shared" si="20"/>
        <v>1</v>
      </c>
      <c r="S265" s="1">
        <f t="shared" si="21"/>
        <v>0</v>
      </c>
      <c r="T265" s="1">
        <f t="shared" si="22"/>
        <v>0</v>
      </c>
      <c r="U265" s="1">
        <f t="shared" si="23"/>
        <v>1</v>
      </c>
      <c r="V265" s="1">
        <f t="shared" si="24"/>
        <v>0</v>
      </c>
    </row>
    <row r="266" spans="1:22" x14ac:dyDescent="0.25">
      <c r="A266" s="1">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v>46147</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spans="1:22" x14ac:dyDescent="0.25">
      <c r="A267" s="1">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v>46147</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spans="1:22" x14ac:dyDescent="0.25">
      <c r="A268" s="1">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v>46147</v>
      </c>
      <c r="J268" s="2">
        <v>46176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spans="1:22" x14ac:dyDescent="0.25">
      <c r="A269" s="1">
        <v>268</v>
      </c>
      <c r="B269" s="1" t="str">
        <v>Karla Lisseth Medina Grimaldo</v>
      </c>
      <c r="C269" s="1" t="str">
        <v>Defensa Pública</v>
      </c>
      <c r="D269" s="1" t="str">
        <v>Entrevista de actores clave</v>
      </c>
      <c r="E269" s="1" t="str">
        <v>Funcionarios del Sistema</v>
      </c>
      <c r="F269" s="1" t="str">
        <v>Nacional</v>
      </c>
      <c r="G269" s="1" t="str">
        <v>IJM</v>
      </c>
      <c r="H269" s="1" t="str">
        <v>Sí</v>
      </c>
      <c r="I269" s="2">
        <v>46147</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spans="1:22" x14ac:dyDescent="0.25">
      <c r="A270" s="1">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spans="1:22" x14ac:dyDescent="0.25">
      <c r="A271" s="1">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spans="1:22" x14ac:dyDescent="0.25">
      <c r="A272" s="1">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spans="1:22" x14ac:dyDescent="0.25">
      <c r="A273" s="1">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spans="1:22" x14ac:dyDescent="0.25">
      <c r="A274" s="1">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spans="1:22" x14ac:dyDescent="0.25">
      <c r="A275" s="1">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spans="1:22" x14ac:dyDescent="0.25">
      <c r="A276" s="1">
        <v>275</v>
      </c>
      <c r="B276" s="1" t="str">
        <v>Samuel Diaz Gonzales</v>
      </c>
      <c r="C276" s="1" t="str">
        <v>Defensa Pública</v>
      </c>
      <c r="D276" s="1" t="str">
        <v>Entrevista de actores clave</v>
      </c>
      <c r="E276" s="1" t="str">
        <v>Acompañantes</v>
      </c>
      <c r="F276" s="1" t="str">
        <v>Nacional</v>
      </c>
      <c r="G276" s="1" t="str">
        <v>IJM</v>
      </c>
      <c r="H276" s="1" t="str">
        <v>No</v>
      </c>
      <c r="I276" s="2">
        <v>46171</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spans="1:22" x14ac:dyDescent="0.25">
      <c r="A277" s="1">
        <v>276</v>
      </c>
      <c r="B277" s="1" t="str">
        <v>Jorge Manuel Puicon Uceda</v>
      </c>
      <c r="C277" s="1" t="str">
        <v>Defensa Pública</v>
      </c>
      <c r="D277" s="1" t="str">
        <v>Entrevista de actores clave</v>
      </c>
      <c r="E277" s="1" t="str">
        <v>Acompañantes</v>
      </c>
      <c r="F277" s="1" t="str">
        <v>Nacional</v>
      </c>
      <c r="G277" s="1" t="str">
        <v>IJM</v>
      </c>
      <c r="H277" s="1" t="str">
        <v>No</v>
      </c>
      <c r="I277" s="2">
        <v>46171</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spans="1:22" x14ac:dyDescent="0.25">
      <c r="A278" s="1">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v>46171</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spans="1:22" x14ac:dyDescent="0.25">
      <c r="A279" s="1">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v>46171</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spans="1:22" x14ac:dyDescent="0.25">
      <c r="A280" s="1">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spans="1:22" x14ac:dyDescent="0.25">
      <c r="A281" s="1">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v>46171</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spans="1:22" x14ac:dyDescent="0.25">
      <c r="A282" s="1">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v>46171</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spans="1:22" x14ac:dyDescent="0.25">
      <c r="A283" s="1">
        <v>282</v>
      </c>
      <c r="B283" s="1" t="str">
        <v>Cesar Arque Meza</v>
      </c>
      <c r="C283" s="1" t="str">
        <v>Defensa Pública</v>
      </c>
      <c r="D283" s="1" t="str">
        <v>Entrevista de actores clave</v>
      </c>
      <c r="E283" s="1" t="str">
        <v>Acompañantes</v>
      </c>
      <c r="F283" s="1" t="str">
        <v>Nacional</v>
      </c>
      <c r="G283" s="1" t="str">
        <v>IJM</v>
      </c>
      <c r="H283" s="1" t="str">
        <v>Sí</v>
      </c>
      <c r="I283" s="2">
        <v>46202</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spans="1:22" x14ac:dyDescent="0.25">
      <c r="A284" s="1">
        <v>283</v>
      </c>
      <c r="B284" s="1" t="str">
        <v>Ruth Omaira Valdivia Castillo De Mercado</v>
      </c>
      <c r="C284" s="1" t="str">
        <v>Defensa Pública</v>
      </c>
      <c r="D284" s="1" t="str">
        <v>Entrevista de actores clave</v>
      </c>
      <c r="E284" s="1" t="str">
        <v>Acompañantes</v>
      </c>
      <c r="F284" s="1" t="str">
        <v>Nacional</v>
      </c>
      <c r="G284" s="1" t="str">
        <v>IJM</v>
      </c>
      <c r="H284" s="1" t="str">
        <v>No</v>
      </c>
      <c r="I284" s="2">
        <v>46171</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spans="1:22" x14ac:dyDescent="0.25">
      <c r="A285" s="1">
        <v>284</v>
      </c>
      <c r="B285" s="1" t="str">
        <v>Joseph Pasco Campana Porras</v>
      </c>
      <c r="C285" s="1" t="str">
        <v>Defensa Pública</v>
      </c>
      <c r="D285" s="1" t="str">
        <v>Entrevista de actores clave</v>
      </c>
      <c r="E285" s="1" t="str">
        <v>Acompañantes</v>
      </c>
      <c r="F285" s="1" t="str">
        <v>Nacional</v>
      </c>
      <c r="G285" s="1" t="str">
        <v>IJM</v>
      </c>
      <c r="H285" s="1" t="str">
        <v>No</v>
      </c>
      <c r="I285" s="2">
        <v>46171</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spans="1:22" x14ac:dyDescent="0.25">
      <c r="A286" s="1">
        <v>285</v>
      </c>
      <c r="B286" s="1" t="str">
        <v>Pierr Abisai Adrianzen Roman</v>
      </c>
      <c r="C286" s="1" t="str">
        <v>Defensa Pública</v>
      </c>
      <c r="D286" s="1" t="str">
        <v>Entrevista de actores clave</v>
      </c>
      <c r="E286" s="1" t="str">
        <v>Acompañantes</v>
      </c>
      <c r="F286" s="1" t="str">
        <v>Nacional</v>
      </c>
      <c r="G286" s="1" t="str">
        <v>IJM</v>
      </c>
      <c r="H286" s="1" t="str">
        <v>No</v>
      </c>
      <c r="I286" s="2">
        <v>46171</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spans="1:22" x14ac:dyDescent="0.25">
      <c r="A287" s="1">
        <v>286</v>
      </c>
      <c r="B287" s="1" t="str">
        <v>Victor Landa Farati</v>
      </c>
      <c r="C287" s="1" t="str">
        <v>Defensa Pública</v>
      </c>
      <c r="D287" s="1" t="str">
        <v>Entrevista de actores clave</v>
      </c>
      <c r="E287" s="1" t="str">
        <v>Acompañantes</v>
      </c>
      <c r="F287" s="1" t="str">
        <v>Nacional</v>
      </c>
      <c r="G287" s="1" t="str">
        <v>IJM</v>
      </c>
      <c r="H287" s="1" t="str">
        <v>No</v>
      </c>
      <c r="I287" s="2">
        <v>46171</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spans="1:22" x14ac:dyDescent="0.25">
      <c r="A288" s="1">
        <v>287</v>
      </c>
      <c r="B288" s="1" t="str">
        <v>Juan Manuel Vásquez Carranza</v>
      </c>
      <c r="C288" s="1" t="str">
        <v>Defensa Pública</v>
      </c>
      <c r="D288" s="1" t="str">
        <v>Entrevista de actores clave</v>
      </c>
      <c r="E288" s="1" t="str">
        <v>Acompañantes</v>
      </c>
      <c r="F288" s="1" t="str">
        <v>Nacional</v>
      </c>
      <c r="G288" s="1" t="str">
        <v>IJM</v>
      </c>
      <c r="H288" s="1" t="str">
        <v>No</v>
      </c>
      <c r="I288" s="2">
        <v>46171</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spans="1:22" x14ac:dyDescent="0.25">
      <c r="A289" s="1">
        <v>288</v>
      </c>
      <c r="B289" s="1" t="str">
        <v>Henry Valentín Nureña Castillo</v>
      </c>
      <c r="C289" s="1" t="str">
        <v>Defensa Pública</v>
      </c>
      <c r="D289" s="1" t="str">
        <v>Entrevista de actores clave</v>
      </c>
      <c r="E289" s="1" t="str">
        <v>Acompañantes</v>
      </c>
      <c r="F289" s="1" t="str">
        <v>Nacional</v>
      </c>
      <c r="G289" s="1" t="str">
        <v>IJM</v>
      </c>
      <c r="H289" s="1" t="str">
        <v>No</v>
      </c>
      <c r="I289" s="2">
        <v>46171</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spans="1:22" x14ac:dyDescent="0.25">
      <c r="A290" s="1">
        <v>289</v>
      </c>
      <c r="B290" s="1" t="str">
        <v>Jesus Alfonso Jauregui Torres</v>
      </c>
      <c r="C290" s="1" t="str">
        <v>Defensa Pública</v>
      </c>
      <c r="D290" s="1" t="str">
        <v>Entrevista de actores clave</v>
      </c>
      <c r="E290" s="1" t="str">
        <v>Acompañantes</v>
      </c>
      <c r="F290" s="1" t="str">
        <v>Nacional</v>
      </c>
      <c r="G290" s="1" t="str">
        <v>IJM</v>
      </c>
      <c r="H290" s="1" t="str">
        <v>No</v>
      </c>
      <c r="I290" s="2">
        <v>46171</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spans="1:22" x14ac:dyDescent="0.25">
      <c r="A291" s="1">
        <v>290</v>
      </c>
      <c r="B291" s="1" t="str">
        <v>Gregorio Alexander Purizaca Vignolo</v>
      </c>
      <c r="C291" s="1" t="str">
        <v>Defensa Pública</v>
      </c>
      <c r="D291" s="1" t="str">
        <v>Entrevista de actores clave</v>
      </c>
      <c r="E291" s="1" t="str">
        <v>Acompañantes</v>
      </c>
      <c r="F291" s="1" t="str">
        <v>Nacional</v>
      </c>
      <c r="G291" s="1" t="str">
        <v>IJM</v>
      </c>
      <c r="H291" s="1" t="str">
        <v>No</v>
      </c>
      <c r="I291" s="2">
        <v>46171</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spans="1:22" x14ac:dyDescent="0.25">
      <c r="A292" s="1">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v>46171</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spans="1:22" x14ac:dyDescent="0.25">
      <c r="A293" s="1">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v>46171</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spans="1:22" x14ac:dyDescent="0.25">
      <c r="A294" s="1">
        <v>293</v>
      </c>
      <c r="B294" s="1" t="str">
        <v>Jorge Enrique Kaqui Quiñonez</v>
      </c>
      <c r="C294" s="1" t="str">
        <v>Defensa Pública</v>
      </c>
      <c r="D294" s="1" t="str">
        <v>Entrevista de actores clave</v>
      </c>
      <c r="E294" s="1" t="str">
        <v>Acompañantes</v>
      </c>
      <c r="F294" s="1" t="str">
        <v>Distrito Judicial: Cajamarca</v>
      </c>
      <c r="G294" s="1" t="str">
        <v>IJM</v>
      </c>
      <c r="H294" s="1" t="str">
        <v>Sí</v>
      </c>
      <c r="I294" s="2">
        <v>46171</v>
      </c>
      <c r="J294" s="2" t="str">
        <v/>
      </c>
      <c r="K294" s="2" t="str">
        <v/>
      </c>
      <c r="L294" s="1" t="str">
        <v>Realizada completa</v>
      </c>
      <c r="M294" s="2">
        <v>46223</v>
      </c>
      <c r="N294" s="2">
        <v>46223</v>
      </c>
      <c r="O294" s="1" t="str">
        <v>Realizada completa</v>
      </c>
      <c r="P294" s="1">
        <v>41</v>
      </c>
      <c r="Q294" s="1" t="str">
        <v>A distancia asistido</v>
      </c>
      <c r="R294" s="1">
        <f t="shared" si="20"/>
        <v>1</v>
      </c>
      <c r="S294" s="1">
        <f t="shared" si="21"/>
        <v>0</v>
      </c>
      <c r="T294" s="1">
        <f t="shared" si="22"/>
        <v>0</v>
      </c>
      <c r="U294" s="1">
        <f t="shared" si="23"/>
        <v>1</v>
      </c>
      <c r="V294" s="1">
        <f t="shared" si="24"/>
        <v>0</v>
      </c>
    </row>
    <row r="295" spans="1:22" x14ac:dyDescent="0.25">
      <c r="A295" s="1">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spans="1:22" x14ac:dyDescent="0.25">
      <c r="A296" s="1">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spans="1:22" x14ac:dyDescent="0.25">
      <c r="A297" s="1">
        <v>296</v>
      </c>
      <c r="B297" s="1" t="str">
        <v xml:space="preserve">Dayma Gabriela Navia Canal </v>
      </c>
      <c r="C297" s="1" t="str">
        <v>Defensa Pública</v>
      </c>
      <c r="D297" s="1" t="str">
        <v>Entrevista de actores clave</v>
      </c>
      <c r="E297" s="1" t="str">
        <v>Funcionarios del Sistema</v>
      </c>
      <c r="F297" s="1" t="str">
        <v>Nacional</v>
      </c>
      <c r="G297" s="1" t="str">
        <v>IJM</v>
      </c>
      <c r="H297" s="1" t="str">
        <v>Sí</v>
      </c>
      <c r="I297" s="2">
        <v>46107</v>
      </c>
      <c r="J297" s="2" t="str">
        <v/>
      </c>
      <c r="K297" s="2" t="str">
        <v/>
      </c>
      <c r="L297" s="1" t="str">
        <v>Realizada completa</v>
      </c>
      <c r="M297" s="2">
        <v>46111</v>
      </c>
      <c r="N297" s="2">
        <v>46111</v>
      </c>
      <c r="O297" s="1" t="str">
        <v>Realizada completa</v>
      </c>
      <c r="P297" s="1">
        <v>45</v>
      </c>
      <c r="Q297" s="1" t="str">
        <v>A distancia asistido</v>
      </c>
      <c r="R297" s="1">
        <f t="shared" si="20"/>
        <v>1</v>
      </c>
      <c r="S297" s="1">
        <f t="shared" si="21"/>
        <v>0</v>
      </c>
      <c r="T297" s="1">
        <f t="shared" si="22"/>
        <v>0</v>
      </c>
      <c r="U297" s="1">
        <f t="shared" si="23"/>
        <v>1</v>
      </c>
      <c r="V297" s="1">
        <f t="shared" si="24"/>
        <v>0</v>
      </c>
    </row>
    <row r="298" spans="1:22" x14ac:dyDescent="0.25">
      <c r="A298" s="1">
        <v>297</v>
      </c>
      <c r="B298" s="1" t="str">
        <v>Olga Huaman Ortiz</v>
      </c>
      <c r="C298" s="1" t="str">
        <v>Defensa Pública</v>
      </c>
      <c r="D298" s="1" t="str">
        <v>Entrevista de actores clave</v>
      </c>
      <c r="E298" s="1" t="str">
        <v>Funcionarios del Sistema</v>
      </c>
      <c r="F298" s="1" t="str">
        <v>Nacional</v>
      </c>
      <c r="G298" s="1" t="str">
        <v>IJM</v>
      </c>
      <c r="H298" s="1" t="str">
        <v>Sí</v>
      </c>
      <c r="I298" s="2">
        <v>46107</v>
      </c>
      <c r="J298" s="2">
        <v>46111</v>
      </c>
      <c r="K298" s="2" t="str">
        <v/>
      </c>
      <c r="L298" s="1" t="str">
        <v>Realizada completa</v>
      </c>
      <c r="M298" s="2">
        <v>46114</v>
      </c>
      <c r="N298" s="2">
        <v>46120</v>
      </c>
      <c r="O298" s="1" t="str">
        <v>Realizada completa</v>
      </c>
      <c r="P298" s="1">
        <v>38</v>
      </c>
      <c r="Q298" s="1" t="str">
        <v>A distancia asistido</v>
      </c>
      <c r="R298" s="1">
        <f t="shared" si="20"/>
        <v>1</v>
      </c>
      <c r="S298" s="1">
        <f t="shared" si="21"/>
        <v>0</v>
      </c>
      <c r="T298" s="1">
        <f t="shared" si="22"/>
        <v>0</v>
      </c>
      <c r="U298" s="1">
        <f t="shared" si="23"/>
        <v>1</v>
      </c>
      <c r="V298" s="1">
        <f t="shared" si="24"/>
        <v>0</v>
      </c>
    </row>
    <row r="299" spans="1:22" x14ac:dyDescent="0.25">
      <c r="A299" s="1">
        <v>298</v>
      </c>
      <c r="B299" s="1" t="str">
        <v>Jesús Martin Cahua Huamán</v>
      </c>
      <c r="C299" s="1" t="str">
        <v>Defensa Pública</v>
      </c>
      <c r="D299" s="1" t="str">
        <v>Entrevista de actores clave</v>
      </c>
      <c r="E299" s="1" t="str">
        <v>Funcionarios del Sistema</v>
      </c>
      <c r="F299" s="1" t="str">
        <v>Nacional</v>
      </c>
      <c r="G299" s="1" t="str">
        <v>IJM</v>
      </c>
      <c r="H299" s="1" t="str">
        <v>Sí</v>
      </c>
      <c r="I299" s="2">
        <v>46107</v>
      </c>
      <c r="J299" s="2">
        <v>46171</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spans="1:22" x14ac:dyDescent="0.25">
      <c r="A300" s="1">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spans="1:22" x14ac:dyDescent="0.25">
      <c r="A301" s="1">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spans="1:22" x14ac:dyDescent="0.25">
      <c r="A302" s="1">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spans="1:22" x14ac:dyDescent="0.25">
      <c r="A303" s="1">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spans="1:22" x14ac:dyDescent="0.25">
      <c r="A304" s="1">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v>46147</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spans="1:22" x14ac:dyDescent="0.25">
      <c r="A305" s="1">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v>46171</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spans="1:22" x14ac:dyDescent="0.25">
      <c r="A306" s="1">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v>46147</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spans="1:22" x14ac:dyDescent="0.25">
      <c r="A307" s="1">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v>46147</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spans="1:22" x14ac:dyDescent="0.25">
      <c r="A308" s="1">
        <v>307</v>
      </c>
      <c r="B308" s="1" t="str">
        <v>Soledad Elena Rodríguez Loli</v>
      </c>
      <c r="C308" s="1" t="str">
        <v>Defensoría del Pueblo</v>
      </c>
      <c r="D308" s="1" t="str">
        <v>Entrevista de actores clave</v>
      </c>
      <c r="E308" s="1" t="str">
        <v>Acompañantes</v>
      </c>
      <c r="F308" s="1" t="str">
        <v>Nacional</v>
      </c>
      <c r="G308" s="1" t="str">
        <v>IJM</v>
      </c>
      <c r="H308" s="1" t="str">
        <v>No</v>
      </c>
      <c r="I308" s="2">
        <v>46171</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spans="1:22" x14ac:dyDescent="0.25">
      <c r="A309" s="1">
        <v>308</v>
      </c>
      <c r="B309" s="1" t="str">
        <v>Genoveva Gómez Vargas</v>
      </c>
      <c r="C309" s="1" t="str">
        <v>Defensoría del Pueblo</v>
      </c>
      <c r="D309" s="1" t="str">
        <v>Entrevista de actores clave</v>
      </c>
      <c r="E309" s="1" t="str">
        <v>Acompañantes</v>
      </c>
      <c r="F309" s="1" t="str">
        <v>Nacional</v>
      </c>
      <c r="G309" s="1" t="str">
        <v>IJM</v>
      </c>
      <c r="H309" s="1" t="str">
        <v>No</v>
      </c>
      <c r="I309" s="2">
        <v>46171</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spans="1:22" x14ac:dyDescent="0.25">
      <c r="A310" s="1">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spans="1:22" x14ac:dyDescent="0.25">
      <c r="A311" s="1">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spans="1:22" x14ac:dyDescent="0.25">
      <c r="A312" s="1">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spans="1:22" x14ac:dyDescent="0.25">
      <c r="A313" s="1">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spans="1:22" x14ac:dyDescent="0.25">
      <c r="A314" s="1">
        <v>313</v>
      </c>
      <c r="B314" s="1" t="str">
        <v>Gloria Ziegler</v>
      </c>
      <c r="C314" s="1" t="str">
        <v>Ojo Público</v>
      </c>
      <c r="D314" s="1" t="str">
        <v>Entrevista de actores clave</v>
      </c>
      <c r="E314" s="1" t="str">
        <v>Prensa</v>
      </c>
      <c r="F314" s="1" t="str">
        <v>Nacional</v>
      </c>
      <c r="G314" s="1" t="str">
        <v>IJM</v>
      </c>
      <c r="H314" s="1" t="str">
        <v>Sí</v>
      </c>
      <c r="I314" s="2">
        <v>46154</v>
      </c>
      <c r="J314" s="2" t="str">
        <v/>
      </c>
      <c r="K314" s="2" t="str">
        <v/>
      </c>
      <c r="L314" s="1" t="str">
        <v>Realizada completa</v>
      </c>
      <c r="M314" s="2">
        <v>46175</v>
      </c>
      <c r="N314" s="2">
        <v>46175</v>
      </c>
      <c r="O314" s="1" t="str">
        <v>Realizada completa</v>
      </c>
      <c r="P314" s="1">
        <v>44</v>
      </c>
      <c r="Q314" s="1" t="str">
        <v>A distancia asistido</v>
      </c>
      <c r="R314" s="1">
        <f t="shared" si="20"/>
        <v>1</v>
      </c>
      <c r="S314" s="1">
        <f t="shared" si="21"/>
        <v>0</v>
      </c>
      <c r="T314" s="1">
        <f t="shared" si="22"/>
        <v>0</v>
      </c>
      <c r="U314" s="1">
        <f t="shared" si="23"/>
        <v>1</v>
      </c>
      <c r="V314" s="1">
        <f t="shared" si="24"/>
        <v>0</v>
      </c>
    </row>
    <row r="315" spans="1:22" x14ac:dyDescent="0.25">
      <c r="A315" s="1">
        <v>314</v>
      </c>
      <c r="B315" s="1" t="str">
        <v>Paloma Verano</v>
      </c>
      <c r="C315" s="1" t="str">
        <v>RPP</v>
      </c>
      <c r="D315" s="1" t="str">
        <v>Entrevista de actores clave</v>
      </c>
      <c r="E315" s="1" t="str">
        <v>Prensa</v>
      </c>
      <c r="F315" s="1" t="str">
        <v>Nacional</v>
      </c>
      <c r="G315" s="1" t="str">
        <v>IJM</v>
      </c>
      <c r="H315" s="1" t="str">
        <v>No</v>
      </c>
      <c r="I315" s="2">
        <v>46171</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spans="1:22" x14ac:dyDescent="0.25">
      <c r="A316" s="1">
        <v>315</v>
      </c>
      <c r="B316" s="1" t="str">
        <v>Pedro Luis Ramos Martinez</v>
      </c>
      <c r="C316" s="1" t="str">
        <v>RPP</v>
      </c>
      <c r="D316" s="1" t="str">
        <v>Entrevista de actores clave</v>
      </c>
      <c r="E316" s="1" t="str">
        <v>Prensa</v>
      </c>
      <c r="F316" s="1" t="str">
        <v>Nacional</v>
      </c>
      <c r="G316" s="1" t="str">
        <v>IJM</v>
      </c>
      <c r="H316" s="1" t="str">
        <v>No</v>
      </c>
      <c r="I316" s="2">
        <v>46171</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spans="1:22" x14ac:dyDescent="0.25">
      <c r="A317" s="1">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spans="1:22" x14ac:dyDescent="0.25">
      <c r="A318" s="1">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spans="1:22" x14ac:dyDescent="0.25">
      <c r="A319" s="1">
        <v>318</v>
      </c>
      <c r="B319" s="1" t="str">
        <v>Claudia Cisneros</v>
      </c>
      <c r="C319" s="1" t="str">
        <v>Wayka</v>
      </c>
      <c r="D319" s="1" t="str">
        <v>Entrevista de actores clave</v>
      </c>
      <c r="E319" s="1" t="str">
        <v>Prensa</v>
      </c>
      <c r="F319" s="1" t="str">
        <v>Nacional</v>
      </c>
      <c r="G319" s="1" t="str">
        <v>IJM</v>
      </c>
      <c r="H319" s="1" t="str">
        <v>Sí</v>
      </c>
      <c r="I319" s="2">
        <v>46111</v>
      </c>
      <c r="J319" s="2">
        <v>46147</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spans="1:22" x14ac:dyDescent="0.25">
      <c r="A320" s="1">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spans="1:22" x14ac:dyDescent="0.25">
      <c r="A321" s="1">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spans="1:22" x14ac:dyDescent="0.25">
      <c r="A322" s="1">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spans="1:22" x14ac:dyDescent="0.25">
      <c r="A323" s="1">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spans="1:22" x14ac:dyDescent="0.25">
      <c r="A324" s="1">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spans="1:22" x14ac:dyDescent="0.25">
      <c r="A325" s="1">
        <v>324</v>
      </c>
      <c r="B325" s="1" t="str">
        <v>Ariana Lira Delcore</v>
      </c>
      <c r="C325" s="1" t="str">
        <v>El Comercio</v>
      </c>
      <c r="D325" s="1" t="str">
        <v>Entrevista de actores clave</v>
      </c>
      <c r="E325" s="1" t="str">
        <v>Prensa</v>
      </c>
      <c r="F325" s="1" t="str">
        <v>Nacional</v>
      </c>
      <c r="G325" s="1" t="str">
        <v>IJM</v>
      </c>
      <c r="H325" s="1" t="str">
        <v>No</v>
      </c>
      <c r="I325" s="2">
        <v>46171</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spans="1:22" x14ac:dyDescent="0.25">
      <c r="A326" s="1">
        <v>325</v>
      </c>
      <c r="B326" s="1" t="str">
        <v>Pilar Yasmint Sotelo Tello</v>
      </c>
      <c r="C326" s="1" t="str">
        <v xml:space="preserve">Ministerio de la Mujer </v>
      </c>
      <c r="D326" s="1" t="str">
        <v>Entrevista de actores clave</v>
      </c>
      <c r="E326" s="1" t="str">
        <v>Funcionarios del Sistema</v>
      </c>
      <c r="F326" s="1" t="str">
        <v>Distrito Judicial: Apurímac</v>
      </c>
      <c r="G326" s="1" t="str">
        <v>IJM</v>
      </c>
      <c r="H326" s="1" t="str">
        <v>No</v>
      </c>
      <c r="I326" s="2">
        <v>46171</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spans="1:22" x14ac:dyDescent="0.25">
      <c r="A327" s="1">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spans="1:22" x14ac:dyDescent="0.25">
      <c r="A328" s="1">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spans="1:22" x14ac:dyDescent="0.25">
      <c r="A329" s="1">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spans="1:22" x14ac:dyDescent="0.25">
      <c r="A330" s="1">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v>46199</v>
      </c>
      <c r="N330" s="2">
        <v>46199</v>
      </c>
      <c r="O330" s="1" t="str">
        <v>Realizada completa</v>
      </c>
      <c r="P330" s="1">
        <v>33</v>
      </c>
      <c r="Q330" s="1" t="str">
        <v>A distancia asistido</v>
      </c>
      <c r="R330" s="1">
        <f t="shared" si="25"/>
        <v>1</v>
      </c>
      <c r="S330" s="1">
        <f t="shared" si="26"/>
        <v>0</v>
      </c>
      <c r="T330" s="1">
        <f t="shared" si="27"/>
        <v>0</v>
      </c>
      <c r="U330" s="1">
        <f t="shared" si="28"/>
        <v>1</v>
      </c>
      <c r="V330" s="1">
        <f t="shared" si="29"/>
        <v>0</v>
      </c>
    </row>
    <row r="331" spans="1:22" x14ac:dyDescent="0.25">
      <c r="A331" s="1">
        <v>330</v>
      </c>
      <c r="B331" s="1" t="str">
        <v xml:space="preserve">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spans="1:22" x14ac:dyDescent="0.25">
      <c r="A332" s="1">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v>46171</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spans="1:22" x14ac:dyDescent="0.25">
      <c r="A333" s="1">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v>46171</v>
      </c>
      <c r="J333" s="2" t="str">
        <v/>
      </c>
      <c r="K333" s="2" t="str">
        <v/>
      </c>
      <c r="L333" s="1" t="str">
        <v>Realizada completa</v>
      </c>
      <c r="M333" s="2">
        <v>46181</v>
      </c>
      <c r="N333" s="2">
        <v>46181</v>
      </c>
      <c r="O333" s="1" t="str">
        <v>Realizada completa</v>
      </c>
      <c r="P333" s="1">
        <v>28</v>
      </c>
      <c r="Q333" s="1" t="str">
        <v>A distancia asistido</v>
      </c>
      <c r="R333" s="1">
        <f t="shared" si="25"/>
        <v>1</v>
      </c>
      <c r="S333" s="1">
        <f t="shared" si="26"/>
        <v>0</v>
      </c>
      <c r="T333" s="1">
        <f t="shared" si="27"/>
        <v>0</v>
      </c>
      <c r="U333" s="1">
        <f t="shared" si="28"/>
        <v>1</v>
      </c>
      <c r="V333" s="1">
        <f t="shared" si="29"/>
        <v>0</v>
      </c>
    </row>
    <row r="334" spans="1:22" x14ac:dyDescent="0.25">
      <c r="A334" s="1">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spans="1:22" x14ac:dyDescent="0.25">
      <c r="A335" s="1">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v>46147</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spans="1:22" x14ac:dyDescent="0.25">
      <c r="A336" s="1">
        <v>335</v>
      </c>
      <c r="B336" s="1" t="str">
        <v>Rossana Dudziak</v>
      </c>
      <c r="C336" s="1" t="str">
        <v>ONU</v>
      </c>
      <c r="D336" s="1" t="str">
        <v>Entrevista de actores clave</v>
      </c>
      <c r="E336" s="1" t="str">
        <v>Multilaterales</v>
      </c>
      <c r="F336" s="1" t="str">
        <v>Nacional</v>
      </c>
      <c r="G336" s="1" t="str">
        <v>IJM</v>
      </c>
      <c r="H336" s="1" t="str">
        <v>No</v>
      </c>
      <c r="I336" s="2">
        <v>46171</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spans="1:22" x14ac:dyDescent="0.25">
      <c r="A337" s="1">
        <v>336</v>
      </c>
      <c r="B337" s="1" t="str">
        <v>Cristel Damian</v>
      </c>
      <c r="C337" s="1" t="str">
        <v>UNFPA</v>
      </c>
      <c r="D337" s="1" t="str">
        <v>Entrevista de actores clave</v>
      </c>
      <c r="E337" s="1" t="str">
        <v>Multilaterales</v>
      </c>
      <c r="F337" s="1" t="str">
        <v>Nacional</v>
      </c>
      <c r="G337" s="1" t="str">
        <v>IJM</v>
      </c>
      <c r="H337" s="1" t="str">
        <v>No</v>
      </c>
      <c r="I337" s="2">
        <v>46171</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spans="1:22" x14ac:dyDescent="0.25">
      <c r="A338" s="1">
        <v>337</v>
      </c>
      <c r="B338" s="1" t="str">
        <v>Karim Velasco</v>
      </c>
      <c r="C338" s="1" t="str">
        <v>PNUD</v>
      </c>
      <c r="D338" s="1" t="str">
        <v>Entrevista de actores clave</v>
      </c>
      <c r="E338" s="1" t="str">
        <v>Multilaterales</v>
      </c>
      <c r="F338" s="1" t="str">
        <v>Distrito Judicial: Cajamarca</v>
      </c>
      <c r="G338" s="1" t="str">
        <v>IJM</v>
      </c>
      <c r="H338" s="1" t="str">
        <v>Sí</v>
      </c>
      <c r="I338" s="2">
        <v>46178</v>
      </c>
      <c r="J338" s="2" t="str">
        <v/>
      </c>
      <c r="K338" s="2" t="str">
        <v/>
      </c>
      <c r="L338" s="1" t="str">
        <v>Realizada completa</v>
      </c>
      <c r="M338" s="2">
        <v>46184</v>
      </c>
      <c r="N338" s="2">
        <v>46184</v>
      </c>
      <c r="O338" s="1" t="str">
        <v>Realizada completa</v>
      </c>
      <c r="P338" s="1">
        <v>38</v>
      </c>
      <c r="Q338" s="1" t="str">
        <v>A distancia asistido</v>
      </c>
      <c r="R338" s="1">
        <f t="shared" si="25"/>
        <v>1</v>
      </c>
      <c r="S338" s="1">
        <f t="shared" si="26"/>
        <v>0</v>
      </c>
      <c r="T338" s="1">
        <f t="shared" si="27"/>
        <v>0</v>
      </c>
      <c r="U338" s="1">
        <f t="shared" si="28"/>
        <v>1</v>
      </c>
      <c r="V338" s="1">
        <f t="shared" si="29"/>
        <v>0</v>
      </c>
    </row>
    <row r="339" spans="1:22" x14ac:dyDescent="0.25">
      <c r="A339" s="1">
        <v>338</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v>46171</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spans="1:22" x14ac:dyDescent="0.25">
      <c r="A340" s="1">
        <v>339</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spans="1:22" x14ac:dyDescent="0.25">
      <c r="A341" s="1">
        <v>340</v>
      </c>
      <c r="B341" s="1" t="str">
        <v>Teresina Muñoz Najar</v>
      </c>
      <c r="C341" s="1" t="str">
        <v>Independiente</v>
      </c>
      <c r="D341" s="1" t="str">
        <v>Entrevista de actores clave</v>
      </c>
      <c r="E341" s="1" t="str">
        <v>Prensa</v>
      </c>
      <c r="F341" s="1" t="str">
        <v>Nacional</v>
      </c>
      <c r="G341" s="1" t="str">
        <v>IJM</v>
      </c>
      <c r="H341" s="1" t="str">
        <v>No</v>
      </c>
      <c r="I341" s="2">
        <v>46171</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spans="1:22" x14ac:dyDescent="0.25">
      <c r="A342" s="1">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v>46171</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spans="1:22" x14ac:dyDescent="0.25">
      <c r="A343" s="1">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v>46171</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spans="1:22" x14ac:dyDescent="0.25">
      <c r="A344" s="1">
        <v>343</v>
      </c>
      <c r="B344" s="1" t="str">
        <v>Wilson Anthony Siancas</v>
      </c>
      <c r="C344" s="1" t="str">
        <v>Convoca</v>
      </c>
      <c r="D344" s="1" t="str">
        <v>Entrevista de actores clave</v>
      </c>
      <c r="E344" s="1" t="str">
        <v>Prensa</v>
      </c>
      <c r="F344" s="1" t="str">
        <v>Nacional</v>
      </c>
      <c r="G344" s="1" t="str">
        <v>IJM</v>
      </c>
      <c r="H344" s="1" t="str">
        <v>No</v>
      </c>
      <c r="I344" s="2">
        <v>46171</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spans="1:22" x14ac:dyDescent="0.25">
      <c r="A345" s="1">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spans="1:22" x14ac:dyDescent="0.25">
      <c r="A346" s="1">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spans="1:22" x14ac:dyDescent="0.25">
      <c r="A347" s="1">
        <v>346</v>
      </c>
      <c r="B347" s="1" t="str">
        <v>Lourdes Fernández Calvo</v>
      </c>
      <c r="C347" s="1" t="str">
        <v>Mongabay</v>
      </c>
      <c r="D347" s="1" t="str">
        <v>Entrevista de actores clave</v>
      </c>
      <c r="E347" s="1" t="str">
        <v>Prensa</v>
      </c>
      <c r="F347" s="1" t="str">
        <v>Nacional</v>
      </c>
      <c r="G347" s="1" t="str">
        <v>IJM</v>
      </c>
      <c r="H347" s="1" t="str">
        <v>Sí</v>
      </c>
      <c r="I347" s="2">
        <v>46182</v>
      </c>
      <c r="J347" s="2" t="str">
        <v/>
      </c>
      <c r="K347" s="2" t="str">
        <v/>
      </c>
      <c r="L347" s="1" t="str">
        <v>Realizada completa</v>
      </c>
      <c r="M347" s="2">
        <v>46186</v>
      </c>
      <c r="N347" s="2">
        <v>46186</v>
      </c>
      <c r="O347" s="1" t="str">
        <v>Realizada completa</v>
      </c>
      <c r="P347" s="1">
        <v>25</v>
      </c>
      <c r="Q347" s="1" t="str">
        <v>A distancia asistido</v>
      </c>
      <c r="R347" s="1">
        <f t="shared" si="25"/>
        <v>1</v>
      </c>
      <c r="S347" s="1">
        <f t="shared" si="26"/>
        <v>0</v>
      </c>
      <c r="T347" s="1">
        <f t="shared" si="27"/>
        <v>0</v>
      </c>
      <c r="U347" s="1">
        <f t="shared" si="28"/>
        <v>1</v>
      </c>
      <c r="V347" s="1">
        <f t="shared" si="29"/>
        <v>0</v>
      </c>
    </row>
    <row r="348" spans="1:22" x14ac:dyDescent="0.25">
      <c r="A348" s="1">
        <v>347</v>
      </c>
      <c r="B348" s="1" t="str">
        <v>Graciela Tiburcio Loayza</v>
      </c>
      <c r="C348" s="1" t="str">
        <v>Contranoticia</v>
      </c>
      <c r="D348" s="1" t="str">
        <v>Entrevista de actores clave</v>
      </c>
      <c r="E348" s="1" t="str">
        <v>Prensa</v>
      </c>
      <c r="F348" s="1" t="str">
        <v>Nacional</v>
      </c>
      <c r="G348" s="1" t="str">
        <v>IJM</v>
      </c>
      <c r="H348" s="1" t="str">
        <v>No</v>
      </c>
      <c r="I348" s="2">
        <v>46171</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spans="1:22" x14ac:dyDescent="0.25">
      <c r="A349" s="1">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v>46171</v>
      </c>
      <c r="J349" s="2">
        <v>46177</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spans="1:22" x14ac:dyDescent="0.25">
      <c r="A350" s="1">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spans="1:22" x14ac:dyDescent="0.25">
      <c r="A351" s="1">
        <v>350</v>
      </c>
      <c r="B351" s="1" t="str">
        <v>Jimena Chavez</v>
      </c>
      <c r="C351" s="1" t="str">
        <v>DVV International</v>
      </c>
      <c r="D351" s="1" t="str">
        <v>Entrevista de actores clave</v>
      </c>
      <c r="E351" s="1" t="str">
        <v>Actores locales</v>
      </c>
      <c r="F351" s="1" t="str">
        <v>Nacional</v>
      </c>
      <c r="G351" s="1" t="str">
        <v>IJM</v>
      </c>
      <c r="H351" s="1" t="str">
        <v>No</v>
      </c>
      <c r="I351" s="2">
        <v>46171</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spans="1:22" x14ac:dyDescent="0.25">
      <c r="A352" s="1">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v>46171</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spans="1:22" x14ac:dyDescent="0.25">
      <c r="A353" s="1">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v>46171</v>
      </c>
      <c r="J353" s="2" t="str">
        <v/>
      </c>
      <c r="K353" s="2" t="str">
        <v/>
      </c>
      <c r="L353" s="1" t="str">
        <v>Realizada completa</v>
      </c>
      <c r="M353" s="2">
        <v>46182</v>
      </c>
      <c r="N353" s="2">
        <v>46182</v>
      </c>
      <c r="O353" s="1" t="str">
        <v>Realizada completa</v>
      </c>
      <c r="P353" s="1">
        <v>47</v>
      </c>
      <c r="Q353" s="1" t="str">
        <v>A distancia asistido</v>
      </c>
      <c r="R353" s="1">
        <f t="shared" si="25"/>
        <v>1</v>
      </c>
      <c r="S353" s="1">
        <f t="shared" si="26"/>
        <v>0</v>
      </c>
      <c r="T353" s="1">
        <f t="shared" si="27"/>
        <v>0</v>
      </c>
      <c r="U353" s="1">
        <f t="shared" si="28"/>
        <v>1</v>
      </c>
      <c r="V353" s="1">
        <f t="shared" si="29"/>
        <v>0</v>
      </c>
    </row>
    <row r="354" spans="1:22" x14ac:dyDescent="0.25">
      <c r="A354" s="1">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v>46171</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spans="1:22" x14ac:dyDescent="0.25">
      <c r="A355" s="1">
        <v>354</v>
      </c>
      <c r="B355" s="1" t="str">
        <v>Carolina Vera Torres</v>
      </c>
      <c r="C355" s="1" t="str">
        <v>PUCP</v>
      </c>
      <c r="D355" s="1" t="str">
        <v>Entrevista de actores clave</v>
      </c>
      <c r="E355" s="1" t="str">
        <v>Actores locales</v>
      </c>
      <c r="F355" s="1" t="str">
        <v>Nacional</v>
      </c>
      <c r="G355" s="1" t="str">
        <v>IJM</v>
      </c>
      <c r="H355" s="1" t="str">
        <v>No</v>
      </c>
      <c r="I355" s="2">
        <v>46171</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spans="1:22" x14ac:dyDescent="0.25">
      <c r="A356" s="1">
        <v>355</v>
      </c>
      <c r="B356" s="1" t="str">
        <v>Elena Reyes</v>
      </c>
      <c r="C356" s="1" t="str">
        <v>Especialista en Género</v>
      </c>
      <c r="D356" s="1" t="str">
        <v>Entrevista de actores clave</v>
      </c>
      <c r="E356" s="1" t="str">
        <v>Actores locales</v>
      </c>
      <c r="F356" s="1" t="str">
        <v>Nacional</v>
      </c>
      <c r="G356" s="1" t="str">
        <v>IJM</v>
      </c>
      <c r="H356" s="1" t="str">
        <v>No</v>
      </c>
      <c r="I356" s="2">
        <v>46171</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spans="1:22" x14ac:dyDescent="0.25">
      <c r="A357" s="1">
        <v>356</v>
      </c>
      <c r="B357" s="1" t="str">
        <v>Keyland Allca Chacaliaza</v>
      </c>
      <c r="C357" s="1" t="str">
        <v>Lideranda ORG</v>
      </c>
      <c r="D357" s="1" t="str">
        <v>Entrevista de actores clave</v>
      </c>
      <c r="E357" s="1" t="str">
        <v>Acompañantes</v>
      </c>
      <c r="F357" s="1" t="str">
        <v>Nacional</v>
      </c>
      <c r="G357" s="1" t="str">
        <v>IJM</v>
      </c>
      <c r="H357" s="1" t="str">
        <v>No</v>
      </c>
      <c r="I357" s="2">
        <v>46171</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spans="1:22" x14ac:dyDescent="0.25">
      <c r="A358" s="1">
        <v>357</v>
      </c>
      <c r="B358" s="1" t="str">
        <v>Magaly Ávila</v>
      </c>
      <c r="C358" s="1" t="str">
        <v>Proetica</v>
      </c>
      <c r="D358" s="1" t="str">
        <v>Entrevista de actores clave</v>
      </c>
      <c r="E358" s="1" t="str">
        <v>Actores locales</v>
      </c>
      <c r="F358" s="1" t="str">
        <v>Nacional</v>
      </c>
      <c r="G358" s="1" t="str">
        <v>IJM</v>
      </c>
      <c r="H358" s="1" t="str">
        <v>No</v>
      </c>
      <c r="I358" s="2">
        <v>46202</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spans="1:22" x14ac:dyDescent="0.25">
      <c r="A359" s="1">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v>46110</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spans="1:22" x14ac:dyDescent="0.25">
      <c r="A360" s="1">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spans="1:22" x14ac:dyDescent="0.25">
      <c r="A361" s="1">
        <v>360</v>
      </c>
      <c r="B361" s="1" t="str">
        <v>Carmen Espinoza</v>
      </c>
      <c r="C361" s="1" t="str">
        <v>Manuela Ramos</v>
      </c>
      <c r="D361" s="1" t="str">
        <v>Entrevista de actores clave</v>
      </c>
      <c r="E361" s="1" t="str">
        <v>Actores locales</v>
      </c>
      <c r="F361" s="1" t="str">
        <v>Nacional</v>
      </c>
      <c r="G361" s="1" t="str">
        <v>IJM</v>
      </c>
      <c r="H361" s="1" t="str">
        <v>No</v>
      </c>
      <c r="I361" s="2">
        <v>46110</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spans="1:22" x14ac:dyDescent="0.25">
      <c r="A362" s="1">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v>46165</v>
      </c>
      <c r="N362" s="2">
        <v>46165</v>
      </c>
      <c r="O362" s="1" t="str">
        <v>Realizada completa</v>
      </c>
      <c r="P362" s="1">
        <v>82</v>
      </c>
      <c r="Q362" s="1" t="str">
        <v>A distancia asistido</v>
      </c>
      <c r="R362" s="1">
        <f t="shared" si="25"/>
        <v>1</v>
      </c>
      <c r="S362" s="1">
        <f t="shared" si="26"/>
        <v>0</v>
      </c>
      <c r="T362" s="1">
        <f t="shared" si="27"/>
        <v>0</v>
      </c>
      <c r="U362" s="1">
        <f t="shared" si="28"/>
        <v>1</v>
      </c>
      <c r="V362" s="1">
        <f t="shared" si="29"/>
        <v>0</v>
      </c>
    </row>
    <row r="363" spans="1:22" x14ac:dyDescent="0.25">
      <c r="A363" s="1">
        <v>362</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v>46177</v>
      </c>
      <c r="N363" s="2">
        <v>46177</v>
      </c>
      <c r="O363" s="1" t="str">
        <v>Realizada completa</v>
      </c>
      <c r="P363" s="1">
        <v>66</v>
      </c>
      <c r="Q363" s="1" t="str">
        <v>A distancia asistido</v>
      </c>
      <c r="R363" s="1">
        <f t="shared" si="25"/>
        <v>1</v>
      </c>
      <c r="S363" s="1">
        <f t="shared" si="26"/>
        <v>0</v>
      </c>
      <c r="T363" s="1">
        <f t="shared" si="27"/>
        <v>0</v>
      </c>
      <c r="U363" s="1">
        <f t="shared" si="28"/>
        <v>1</v>
      </c>
      <c r="V363" s="1">
        <f t="shared" si="29"/>
        <v>0</v>
      </c>
    </row>
    <row r="364" spans="1:22" x14ac:dyDescent="0.25">
      <c r="A364" s="1">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v>46163</v>
      </c>
      <c r="N364" s="2">
        <v>46163</v>
      </c>
      <c r="O364" s="1" t="str">
        <v>Realizada completa</v>
      </c>
      <c r="P364" s="1">
        <v>35</v>
      </c>
      <c r="Q364" s="1" t="str">
        <v>A distancia asistido</v>
      </c>
      <c r="R364" s="1">
        <f t="shared" si="25"/>
        <v>1</v>
      </c>
      <c r="S364" s="1">
        <f t="shared" si="26"/>
        <v>0</v>
      </c>
      <c r="T364" s="1">
        <f t="shared" si="27"/>
        <v>0</v>
      </c>
      <c r="U364" s="1">
        <f t="shared" si="28"/>
        <v>1</v>
      </c>
      <c r="V364" s="1">
        <f t="shared" si="29"/>
        <v>0</v>
      </c>
    </row>
    <row r="365" spans="1:22" x14ac:dyDescent="0.25">
      <c r="A365" s="1">
        <v>364</v>
      </c>
      <c r="B365" s="1" t="str">
        <v>Pedro Martín Fuentes Sotelo</v>
      </c>
      <c r="C365" s="1" t="str">
        <v>Defensa Pública</v>
      </c>
      <c r="D365" s="1" t="str">
        <v>Entrevista de actores clave</v>
      </c>
      <c r="E365" s="1" t="str">
        <v/>
      </c>
      <c r="F365" s="1" t="str">
        <v>Nacional</v>
      </c>
      <c r="G365" s="1" t="str">
        <v/>
      </c>
      <c r="H365" s="1" t="str">
        <v>no</v>
      </c>
      <c r="I365" s="2">
        <v>46171</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spans="1:22" x14ac:dyDescent="0.25">
      <c r="A366" s="1">
        <v>365</v>
      </c>
      <c r="B366" s="1" t="str">
        <v>Eysler Nieto</v>
      </c>
      <c r="C366" s="1" t="str">
        <v xml:space="preserve">Paz y esperanza </v>
      </c>
      <c r="D366" s="1" t="str">
        <v>Entrevista de actores clave</v>
      </c>
      <c r="E366" s="1" t="str">
        <v>Multilaterales</v>
      </c>
      <c r="F366" s="1" t="str">
        <v>Distrito Judicial: Huánuco</v>
      </c>
      <c r="G366" s="1" t="str">
        <v>IJM</v>
      </c>
      <c r="H366" s="1" t="str">
        <v>Sí</v>
      </c>
      <c r="I366" s="2">
        <v>46189</v>
      </c>
      <c r="J366" s="2" t="str">
        <v/>
      </c>
      <c r="K366" s="2" t="str">
        <v/>
      </c>
      <c r="L366" s="1" t="str">
        <v>Realizada completa</v>
      </c>
      <c r="M366" s="2">
        <v>46190</v>
      </c>
      <c r="N366" s="2">
        <v>46190</v>
      </c>
      <c r="O366" s="1" t="str">
        <v>Realizada completa</v>
      </c>
      <c r="P366" s="1">
        <v>72</v>
      </c>
      <c r="Q366" s="1" t="str">
        <v>A distancia asistido</v>
      </c>
      <c r="R366" s="1">
        <f t="shared" si="25"/>
        <v>1</v>
      </c>
      <c r="S366" s="1">
        <f t="shared" si="26"/>
        <v>0</v>
      </c>
      <c r="T366" s="1">
        <f t="shared" si="27"/>
        <v>0</v>
      </c>
      <c r="U366" s="1">
        <f t="shared" si="28"/>
        <v>1</v>
      </c>
      <c r="V366" s="1">
        <f t="shared" si="29"/>
        <v>0</v>
      </c>
    </row>
    <row r="367" spans="1:22" x14ac:dyDescent="0.25">
      <c r="A367" s="1">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v>46189</v>
      </c>
      <c r="N367" s="2">
        <v>46189</v>
      </c>
      <c r="O367" s="1" t="str">
        <v>Realizada completa</v>
      </c>
      <c r="P367" s="1">
        <v>39</v>
      </c>
      <c r="Q367" s="1" t="str">
        <v>A distancia asistido</v>
      </c>
      <c r="R367" s="1">
        <f t="shared" si="25"/>
        <v>1</v>
      </c>
      <c r="S367" s="1">
        <f t="shared" si="26"/>
        <v>0</v>
      </c>
      <c r="T367" s="1">
        <f t="shared" si="27"/>
        <v>0</v>
      </c>
      <c r="U367" s="1">
        <f t="shared" si="28"/>
        <v>1</v>
      </c>
      <c r="V367" s="1">
        <f t="shared" si="29"/>
        <v>0</v>
      </c>
    </row>
    <row r="368" spans="1:22" x14ac:dyDescent="0.25">
      <c r="A368" s="1">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v>46189</v>
      </c>
      <c r="N368" s="2">
        <v>46189</v>
      </c>
      <c r="O368" s="1" t="str">
        <v>Realizada completa</v>
      </c>
      <c r="P368" s="1">
        <v>55</v>
      </c>
      <c r="Q368" s="1" t="str">
        <v>A distancia asistido</v>
      </c>
      <c r="R368" s="1">
        <f t="shared" si="25"/>
        <v>1</v>
      </c>
      <c r="S368" s="1">
        <f t="shared" si="26"/>
        <v>0</v>
      </c>
      <c r="T368" s="1">
        <f t="shared" si="27"/>
        <v>0</v>
      </c>
      <c r="U368" s="1">
        <f t="shared" si="28"/>
        <v>1</v>
      </c>
      <c r="V368" s="1">
        <f t="shared" si="29"/>
        <v>0</v>
      </c>
    </row>
    <row r="369" spans="1:22" x14ac:dyDescent="0.25">
      <c r="A369" s="1">
        <v>368</v>
      </c>
      <c r="B369" s="1" t="str">
        <v>Giovanna Maria Cavero Mogollon</v>
      </c>
      <c r="C369" s="1" t="str">
        <v>Save The Children</v>
      </c>
      <c r="D369" s="1" t="str">
        <v>Entrevista de actores clave</v>
      </c>
      <c r="E369" s="1" t="str">
        <v>Multilaterales</v>
      </c>
      <c r="F369" s="1" t="str">
        <v>Nacional</v>
      </c>
      <c r="G369" s="1" t="str">
        <v/>
      </c>
      <c r="H369" s="1" t="str">
        <v>Sí</v>
      </c>
      <c r="I369" s="2" t="str">
        <v/>
      </c>
      <c r="J369" s="2" t="str">
        <v/>
      </c>
      <c r="K369" s="2" t="str">
        <v/>
      </c>
      <c r="L369" s="1" t="str">
        <v>Realizada completa</v>
      </c>
      <c r="M369" s="2">
        <v>46195</v>
      </c>
      <c r="N369" s="2">
        <v>46195</v>
      </c>
      <c r="O369" s="1" t="str">
        <v>Realizada completa</v>
      </c>
      <c r="P369" s="1">
        <v>39</v>
      </c>
      <c r="Q369" s="1" t="str">
        <v>A distancia asistido</v>
      </c>
      <c r="R369" s="1">
        <f t="shared" si="25"/>
        <v>1</v>
      </c>
      <c r="S369" s="1">
        <f t="shared" si="26"/>
        <v>0</v>
      </c>
      <c r="T369" s="1">
        <f t="shared" si="27"/>
        <v>0</v>
      </c>
      <c r="U369" s="1">
        <f t="shared" si="28"/>
        <v>1</v>
      </c>
      <c r="V369" s="1">
        <f t="shared" si="29"/>
        <v>0</v>
      </c>
    </row>
    <row r="370" spans="1:22" x14ac:dyDescent="0.25">
      <c r="A370" s="1">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v>46197</v>
      </c>
      <c r="J370" s="2" t="str">
        <v/>
      </c>
      <c r="K370" s="2" t="str">
        <v/>
      </c>
      <c r="L370" s="1" t="str">
        <v>Realizada completa</v>
      </c>
      <c r="M370" s="2">
        <v>46198</v>
      </c>
      <c r="N370" s="2">
        <v>46198</v>
      </c>
      <c r="O370" s="1" t="str">
        <v>Realizada completa</v>
      </c>
      <c r="P370" s="1">
        <v>40</v>
      </c>
      <c r="Q370" s="1" t="str">
        <v>A distancia asistido</v>
      </c>
      <c r="R370" s="1">
        <f t="shared" si="25"/>
        <v>1</v>
      </c>
      <c r="S370" s="1">
        <f t="shared" si="26"/>
        <v>0</v>
      </c>
      <c r="T370" s="1">
        <f t="shared" si="27"/>
        <v>0</v>
      </c>
      <c r="U370" s="1">
        <f t="shared" si="28"/>
        <v>1</v>
      </c>
      <c r="V370" s="1">
        <f t="shared" si="29"/>
        <v>0</v>
      </c>
    </row>
    <row r="371" spans="1:22" x14ac:dyDescent="0.25">
      <c r="A371" s="1">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v>46197</v>
      </c>
      <c r="N371" s="2">
        <v>46197</v>
      </c>
      <c r="O371" s="1" t="str">
        <v>Realizada completa</v>
      </c>
      <c r="P371" s="1">
        <v>44</v>
      </c>
      <c r="Q371" s="1" t="str">
        <v>A distancia asistido</v>
      </c>
      <c r="R371" s="1">
        <f t="shared" si="25"/>
        <v>1</v>
      </c>
      <c r="S371" s="1">
        <f t="shared" si="26"/>
        <v>0</v>
      </c>
      <c r="T371" s="1">
        <f t="shared" si="27"/>
        <v>0</v>
      </c>
      <c r="U371" s="1">
        <f t="shared" si="28"/>
        <v>1</v>
      </c>
      <c r="V371" s="1">
        <f t="shared" si="29"/>
        <v>0</v>
      </c>
    </row>
    <row r="372" spans="1:22" x14ac:dyDescent="0.25">
      <c r="A372" s="1">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v>46199</v>
      </c>
      <c r="N372" s="2">
        <v>46199</v>
      </c>
      <c r="O372" s="1" t="str">
        <v>Realizada completa</v>
      </c>
      <c r="P372" s="1">
        <v>39</v>
      </c>
      <c r="Q372" s="1" t="str">
        <v>A distancia asistido</v>
      </c>
      <c r="R372" s="1">
        <f t="shared" si="25"/>
        <v>1</v>
      </c>
      <c r="S372" s="1">
        <f t="shared" si="26"/>
        <v>0</v>
      </c>
      <c r="T372" s="1">
        <f t="shared" si="27"/>
        <v>0</v>
      </c>
      <c r="U372" s="1">
        <f t="shared" si="28"/>
        <v>1</v>
      </c>
      <c r="V372" s="1">
        <f t="shared" si="29"/>
        <v>0</v>
      </c>
    </row>
    <row r="373" spans="1:22" x14ac:dyDescent="0.25">
      <c r="A373" s="1">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v>46200</v>
      </c>
      <c r="N373" s="2">
        <v>46200</v>
      </c>
      <c r="O373" s="1" t="str">
        <v>Realizada completa</v>
      </c>
      <c r="P373" s="1">
        <v>84</v>
      </c>
      <c r="Q373" s="1" t="str">
        <v>A distancia asistido</v>
      </c>
      <c r="R373" s="1">
        <f t="shared" si="25"/>
        <v>1</v>
      </c>
      <c r="S373" s="1">
        <f t="shared" si="26"/>
        <v>0</v>
      </c>
      <c r="T373" s="1">
        <f t="shared" si="27"/>
        <v>0</v>
      </c>
      <c r="U373" s="1">
        <f t="shared" si="28"/>
        <v>1</v>
      </c>
      <c r="V373" s="1">
        <f t="shared" si="29"/>
        <v>0</v>
      </c>
    </row>
    <row r="374" spans="1:22" x14ac:dyDescent="0.25">
      <c r="A374" s="1">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v>46204</v>
      </c>
      <c r="N374" s="2">
        <v>46204</v>
      </c>
      <c r="O374" s="1" t="str">
        <v>Realizada completa</v>
      </c>
      <c r="P374" s="1">
        <v>48</v>
      </c>
      <c r="Q374" s="1" t="str">
        <v>A distancia asistido</v>
      </c>
      <c r="R374" s="1">
        <f t="shared" si="25"/>
        <v>1</v>
      </c>
      <c r="S374" s="1">
        <f t="shared" si="26"/>
        <v>0</v>
      </c>
      <c r="T374" s="1">
        <f t="shared" si="27"/>
        <v>0</v>
      </c>
      <c r="U374" s="1">
        <f t="shared" si="28"/>
        <v>1</v>
      </c>
      <c r="V374" s="1">
        <f t="shared" si="29"/>
        <v>0</v>
      </c>
    </row>
    <row r="375" spans="1:22" x14ac:dyDescent="0.25">
      <c r="A375" s="1">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v>46206</v>
      </c>
      <c r="N375" s="2">
        <v>46206</v>
      </c>
      <c r="O375" s="1" t="str">
        <v>Realizada completa</v>
      </c>
      <c r="P375" s="1">
        <v>33</v>
      </c>
      <c r="Q375" s="1" t="str">
        <v>A distancia asistido</v>
      </c>
      <c r="R375" s="1">
        <f t="shared" si="25"/>
        <v>1</v>
      </c>
      <c r="S375" s="1">
        <f t="shared" si="26"/>
        <v>0</v>
      </c>
      <c r="T375" s="1">
        <f t="shared" si="27"/>
        <v>0</v>
      </c>
      <c r="U375" s="1">
        <f t="shared" si="28"/>
        <v>1</v>
      </c>
      <c r="V375" s="1">
        <f t="shared" si="29"/>
        <v>0</v>
      </c>
    </row>
    <row r="376" spans="1:22" x14ac:dyDescent="0.25">
      <c r="A376" s="1">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v>46205</v>
      </c>
      <c r="N376" s="2">
        <v>46205</v>
      </c>
      <c r="O376" s="1" t="str">
        <v>Realizada completa</v>
      </c>
      <c r="P376" s="1">
        <v>37</v>
      </c>
      <c r="Q376" s="1" t="str">
        <v>A distancia asistido</v>
      </c>
      <c r="R376" s="1">
        <f t="shared" si="25"/>
        <v>1</v>
      </c>
      <c r="S376" s="1">
        <f t="shared" si="26"/>
        <v>0</v>
      </c>
      <c r="T376" s="1">
        <f t="shared" si="27"/>
        <v>0</v>
      </c>
      <c r="U376" s="1">
        <f t="shared" si="28"/>
        <v>1</v>
      </c>
      <c r="V376" s="1">
        <f t="shared" si="29"/>
        <v>0</v>
      </c>
    </row>
    <row r="377" spans="1:22" x14ac:dyDescent="0.25">
      <c r="A377" s="1">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spans="1:22" x14ac:dyDescent="0.25">
      <c r="A378" s="1">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spans="1:22" x14ac:dyDescent="0.25">
      <c r="A379" s="1">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spans="1:22" x14ac:dyDescent="0.25">
      <c r="A380" s="1">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spans="1:22" x14ac:dyDescent="0.25">
      <c r="A381" s="1">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spans="1:22" x14ac:dyDescent="0.25">
      <c r="A382" s="1">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v>46216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spans="1:22" x14ac:dyDescent="0.25">
      <c r="A383" s="1">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spans="1:22" x14ac:dyDescent="0.25">
      <c r="A384" s="1">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v>46237</v>
      </c>
      <c r="J384" s="2" t="str">
        <v/>
      </c>
      <c r="K384" s="2" t="str">
        <v/>
      </c>
      <c r="L384" s="1" t="str">
        <v>Realizada completa</v>
      </c>
      <c r="M384" s="2">
        <v>46237</v>
      </c>
      <c r="N384" s="2">
        <v>46237</v>
      </c>
      <c r="O384" s="1" t="str">
        <v>Realizada completa</v>
      </c>
      <c r="P384" s="1" t="str">
        <v/>
      </c>
      <c r="Q384" s="1" t="str">
        <v>A distancia asistido</v>
      </c>
      <c r="R384" s="1">
        <f t="shared" si="25"/>
        <v>0</v>
      </c>
      <c r="S384" s="1">
        <f t="shared" si="26"/>
        <v>0</v>
      </c>
      <c r="T384" s="1">
        <f t="shared" si="27"/>
        <v>0</v>
      </c>
      <c r="U384" s="1">
        <f t="shared" si="28"/>
        <v>1</v>
      </c>
      <c r="V384" s="1">
        <f t="shared" si="29"/>
        <v>0</v>
      </c>
    </row>
    <row r="385" spans="1:22" x14ac:dyDescent="0.25">
      <c r="A385" s="1">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Sí</v>
      </c>
      <c r="I385" s="2">
        <v>46216</v>
      </c>
      <c r="J385" s="2" t="str">
        <v/>
      </c>
      <c r="K385" s="2" t="str">
        <v/>
      </c>
      <c r="L385" s="1" t="str">
        <v>Realizada completa</v>
      </c>
      <c r="M385" s="2">
        <v>46217</v>
      </c>
      <c r="N385" s="2">
        <v>46217</v>
      </c>
      <c r="O385" s="1" t="str">
        <v>Realizada completa</v>
      </c>
      <c r="P385" s="1">
        <v>32</v>
      </c>
      <c r="Q385" s="1" t="str">
        <v>A distancia asistido</v>
      </c>
      <c r="R385" s="1">
        <f t="shared" si="25"/>
        <v>1</v>
      </c>
      <c r="S385" s="1">
        <f t="shared" si="26"/>
        <v>0</v>
      </c>
      <c r="T385" s="1">
        <f t="shared" si="27"/>
        <v>0</v>
      </c>
      <c r="U385" s="1">
        <f t="shared" si="28"/>
        <v>1</v>
      </c>
      <c r="V385" s="1">
        <f t="shared" si="29"/>
        <v>0</v>
      </c>
    </row>
    <row r="386" spans="1:22" x14ac:dyDescent="0.25">
      <c r="A386" s="1">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spans="1:22" x14ac:dyDescent="0.25">
      <c r="A387" s="1">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spans="1:22" x14ac:dyDescent="0.25">
      <c r="A388" s="1">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v>46216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spans="1:22" x14ac:dyDescent="0.25">
      <c r="A389" s="1">
        <v>388</v>
      </c>
      <c r="B389" s="1" t="str">
        <v xml:space="preserve">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spans="1:22" x14ac:dyDescent="0.25">
      <c r="A390" s="1">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spans="1:22" x14ac:dyDescent="0.25">
      <c r="A391" s="1">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spans="1:22" x14ac:dyDescent="0.25">
      <c r="A392" s="1">
        <v>391</v>
      </c>
      <c r="B392" s="1" t="str">
        <v>Paul Pilco</v>
      </c>
      <c r="C392" s="1" t="str">
        <v>Radio Titanka</v>
      </c>
      <c r="D392" s="1" t="str">
        <v>Entrevista de actores clave</v>
      </c>
      <c r="E392" s="1" t="str">
        <v>Prensa</v>
      </c>
      <c r="F392" s="1" t="str">
        <v>Distrito Judicial: Apurímac</v>
      </c>
      <c r="G392" s="1" t="str">
        <v>APOYO</v>
      </c>
      <c r="H392" s="1" t="str">
        <v>Sí</v>
      </c>
      <c r="I392" s="2">
        <v>46211</v>
      </c>
      <c r="J392" s="2" t="str">
        <v/>
      </c>
      <c r="K392" s="2" t="str">
        <v/>
      </c>
      <c r="L392" s="1" t="str">
        <v>Realizada completa</v>
      </c>
      <c r="M392" s="2">
        <v>46220</v>
      </c>
      <c r="N392" s="2">
        <v>46220</v>
      </c>
      <c r="O392" s="1" t="str">
        <v>Realizada completa</v>
      </c>
      <c r="P392" s="1">
        <v>32</v>
      </c>
      <c r="Q392" s="1" t="str">
        <v>A distancia asistido</v>
      </c>
      <c r="R392" s="1">
        <f t="shared" si="30"/>
        <v>1</v>
      </c>
      <c r="S392" s="1">
        <f t="shared" si="31"/>
        <v>0</v>
      </c>
      <c r="T392" s="1">
        <f t="shared" si="32"/>
        <v>0</v>
      </c>
      <c r="U392" s="1">
        <f t="shared" si="33"/>
        <v>1</v>
      </c>
      <c r="V392" s="1">
        <f t="shared" si="34"/>
        <v>0</v>
      </c>
    </row>
    <row r="393" spans="1:22" x14ac:dyDescent="0.25">
      <c r="A393" s="1">
        <v>392</v>
      </c>
      <c r="B393" s="1" t="str">
        <v>Geraldine Santos</v>
      </c>
      <c r="C393" s="1" t="str">
        <v>Mongabai Latam</v>
      </c>
      <c r="D393" s="1" t="str">
        <v>Entrevista de actores clave</v>
      </c>
      <c r="E393" s="1" t="str">
        <v>Prensa</v>
      </c>
      <c r="F393" s="1" t="str">
        <v>Distrito Judicial: Huánuco</v>
      </c>
      <c r="G393" s="1" t="str">
        <v>APOYO</v>
      </c>
      <c r="H393" s="1" t="str">
        <v>Sí</v>
      </c>
      <c r="I393" s="2">
        <v>46211</v>
      </c>
      <c r="J393" s="2" t="str">
        <v/>
      </c>
      <c r="K393" s="2" t="str">
        <v/>
      </c>
      <c r="L393" s="1" t="str">
        <v>Realizada completa</v>
      </c>
      <c r="M393" s="2">
        <v>46213</v>
      </c>
      <c r="N393" s="2">
        <v>46213</v>
      </c>
      <c r="O393" s="1" t="str">
        <v>Realizada completa</v>
      </c>
      <c r="P393" s="1">
        <v>29</v>
      </c>
      <c r="Q393" s="1" t="str">
        <v>A distancia asistido</v>
      </c>
      <c r="R393" s="1">
        <f t="shared" si="30"/>
        <v>1</v>
      </c>
      <c r="S393" s="1">
        <f t="shared" si="31"/>
        <v>0</v>
      </c>
      <c r="T393" s="1">
        <f t="shared" si="32"/>
        <v>0</v>
      </c>
      <c r="U393" s="1">
        <f t="shared" si="33"/>
        <v>1</v>
      </c>
      <c r="V393" s="1">
        <f t="shared" si="34"/>
        <v>0</v>
      </c>
    </row>
    <row r="394" spans="1:22" x14ac:dyDescent="0.25">
      <c r="A394" s="1">
        <v>393</v>
      </c>
      <c r="B394" s="1" t="str">
        <v>Alindor Vasquez</v>
      </c>
      <c r="C394" s="1" t="str">
        <v>Independiente</v>
      </c>
      <c r="D394" s="1" t="str">
        <v>Entrevista de actores clave</v>
      </c>
      <c r="E394" s="1" t="str">
        <v>Prensa</v>
      </c>
      <c r="F394" s="1" t="str">
        <v>Distrito Judicial: Cajamarca</v>
      </c>
      <c r="G394" s="1" t="str">
        <v>APOYO</v>
      </c>
      <c r="H394" s="1" t="str">
        <v>Sí</v>
      </c>
      <c r="I394" s="2">
        <v>46211</v>
      </c>
      <c r="J394" s="2" t="str">
        <v/>
      </c>
      <c r="K394" s="2" t="str">
        <v/>
      </c>
      <c r="L394" s="1" t="str">
        <v>Realizada completa</v>
      </c>
      <c r="M394" s="2">
        <v>46219</v>
      </c>
      <c r="N394" s="2">
        <v>46219</v>
      </c>
      <c r="O394" s="1" t="str">
        <v>Realizada completa</v>
      </c>
      <c r="P394" s="1">
        <v>36</v>
      </c>
      <c r="Q394" s="1" t="str">
        <v>A distancia asistido</v>
      </c>
      <c r="R394" s="1">
        <f t="shared" si="30"/>
        <v>1</v>
      </c>
      <c r="S394" s="1">
        <f t="shared" si="31"/>
        <v>0</v>
      </c>
      <c r="T394" s="1">
        <f t="shared" si="32"/>
        <v>0</v>
      </c>
      <c r="U394" s="1">
        <f t="shared" si="33"/>
        <v>1</v>
      </c>
      <c r="V394" s="1">
        <f t="shared" si="34"/>
        <v>0</v>
      </c>
    </row>
    <row r="395" spans="1:22" x14ac:dyDescent="0.25">
      <c r="A395" s="1">
        <v>394</v>
      </c>
      <c r="B395" s="1" t="str">
        <v>Adrián Sarria Muñoz</v>
      </c>
      <c r="C395" s="1" t="str">
        <v>La República</v>
      </c>
      <c r="D395" s="1" t="str">
        <v>Entrevista de actores clave</v>
      </c>
      <c r="E395" s="1" t="str">
        <v>Prensa</v>
      </c>
      <c r="F395" s="1" t="str">
        <v>Distrito Judicial: Ayacucho</v>
      </c>
      <c r="G395" s="1" t="str">
        <v>APOYO</v>
      </c>
      <c r="H395" s="1" t="str">
        <v>Sí</v>
      </c>
      <c r="I395" s="2">
        <v>46211</v>
      </c>
      <c r="J395" s="2" t="str">
        <v/>
      </c>
      <c r="K395" s="2" t="str">
        <v/>
      </c>
      <c r="L395" s="1" t="str">
        <v>Realizada completa</v>
      </c>
      <c r="M395" s="2">
        <v>46217</v>
      </c>
      <c r="N395" s="2">
        <v>46217</v>
      </c>
      <c r="O395" s="1" t="str">
        <v>Realizada completa</v>
      </c>
      <c r="P395" s="1">
        <v>37</v>
      </c>
      <c r="Q395" s="1" t="str">
        <v>A distancia asistido</v>
      </c>
      <c r="R395" s="1">
        <f t="shared" si="30"/>
        <v>1</v>
      </c>
      <c r="S395" s="1">
        <f t="shared" si="31"/>
        <v>0</v>
      </c>
      <c r="T395" s="1">
        <f t="shared" si="32"/>
        <v>0</v>
      </c>
      <c r="U395" s="1">
        <f t="shared" si="33"/>
        <v>1</v>
      </c>
      <c r="V395" s="1">
        <f t="shared" si="34"/>
        <v>0</v>
      </c>
    </row>
    <row r="396" spans="1:22" x14ac:dyDescent="0.25">
      <c r="A396" s="1">
        <v>395</v>
      </c>
      <c r="B396" s="1" t="str">
        <v>Rosario Romani</v>
      </c>
      <c r="C396" s="1" t="str">
        <v>Infopaís</v>
      </c>
      <c r="D396" s="1" t="str">
        <v>Entrevista de actores clave</v>
      </c>
      <c r="E396" s="1" t="str">
        <v>Prensa</v>
      </c>
      <c r="F396" s="1" t="str">
        <v>Distrito Judicial: Ayacucho</v>
      </c>
      <c r="G396" s="1" t="str">
        <v>APOYO</v>
      </c>
      <c r="H396" s="1" t="str">
        <v>Sí</v>
      </c>
      <c r="I396" s="2">
        <v>46211</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spans="1:22" x14ac:dyDescent="0.25">
      <c r="A397" s="1">
        <v>396</v>
      </c>
      <c r="B397" s="1" t="str">
        <v>Jorge Martin Carrillo Rojas</v>
      </c>
      <c r="C397" s="1" t="str">
        <v>Pro y Contra</v>
      </c>
      <c r="D397" s="1" t="str">
        <v>Entrevista de actores clave</v>
      </c>
      <c r="E397" s="1" t="str">
        <v>Prensa</v>
      </c>
      <c r="F397" s="1" t="str">
        <v>Distrito Judicial: Loreto</v>
      </c>
      <c r="G397" s="1" t="str">
        <v>APOYO</v>
      </c>
      <c r="H397" s="1" t="str">
        <v>Sí</v>
      </c>
      <c r="I397" s="2">
        <v>46211</v>
      </c>
      <c r="J397" s="2" t="str">
        <v/>
      </c>
      <c r="K397" s="2" t="str">
        <v/>
      </c>
      <c r="L397" s="1" t="str">
        <v>Realizada completa</v>
      </c>
      <c r="M397" s="2">
        <v>46216</v>
      </c>
      <c r="N397" s="2">
        <v>46216</v>
      </c>
      <c r="O397" s="1" t="str">
        <v>Realizada completa</v>
      </c>
      <c r="P397" s="1">
        <v>48</v>
      </c>
      <c r="Q397" s="1" t="str">
        <v>A distancia asistido</v>
      </c>
      <c r="R397" s="1">
        <f t="shared" si="30"/>
        <v>1</v>
      </c>
      <c r="S397" s="1">
        <f t="shared" si="31"/>
        <v>0</v>
      </c>
      <c r="T397" s="1">
        <f t="shared" si="32"/>
        <v>0</v>
      </c>
      <c r="U397" s="1">
        <f t="shared" si="33"/>
        <v>1</v>
      </c>
      <c r="V397" s="1">
        <f t="shared" si="34"/>
        <v>0</v>
      </c>
    </row>
    <row r="398" spans="1:22" x14ac:dyDescent="0.25">
      <c r="A398" s="1">
        <v>397</v>
      </c>
      <c r="B398" s="1" t="str">
        <v>Fernando Gonzales</v>
      </c>
      <c r="C398" s="1" t="str">
        <v>Selvática Televisión</v>
      </c>
      <c r="D398" s="1" t="str">
        <v>Entrevista de actores clave</v>
      </c>
      <c r="E398" s="1" t="str">
        <v>Prensa</v>
      </c>
      <c r="F398" s="1" t="str">
        <v>Distrito Judicial: Ucayali</v>
      </c>
      <c r="G398" s="1" t="str">
        <v>APOYO</v>
      </c>
      <c r="H398" s="1" t="str">
        <v>Sí</v>
      </c>
      <c r="I398" s="2">
        <v>46211</v>
      </c>
      <c r="J398" s="2" t="str">
        <v/>
      </c>
      <c r="K398" s="2" t="str">
        <v/>
      </c>
      <c r="L398" s="1" t="str">
        <v>Realizada completa</v>
      </c>
      <c r="M398" s="2">
        <v>46212</v>
      </c>
      <c r="N398" s="2">
        <v>46212</v>
      </c>
      <c r="O398" s="1" t="str">
        <v>Realizada completa</v>
      </c>
      <c r="P398" s="1">
        <v>40</v>
      </c>
      <c r="Q398" s="1" t="str">
        <v>A distancia asistido</v>
      </c>
      <c r="R398" s="1">
        <f t="shared" si="30"/>
        <v>1</v>
      </c>
      <c r="S398" s="1">
        <f t="shared" si="31"/>
        <v>0</v>
      </c>
      <c r="T398" s="1">
        <f t="shared" si="32"/>
        <v>0</v>
      </c>
      <c r="U398" s="1">
        <f t="shared" si="33"/>
        <v>1</v>
      </c>
      <c r="V398" s="1">
        <f t="shared" si="34"/>
        <v>0</v>
      </c>
    </row>
    <row r="399" spans="1:22" x14ac:dyDescent="0.25">
      <c r="A399" s="1">
        <v>398</v>
      </c>
      <c r="B399" s="1" t="str">
        <v>Italo García</v>
      </c>
      <c r="C399" s="1" t="str">
        <v/>
      </c>
      <c r="D399" s="1" t="str">
        <v>Entrevista de actores clave</v>
      </c>
      <c r="E399" s="1" t="str">
        <v>Prensa</v>
      </c>
      <c r="F399" s="1" t="str">
        <v>Distrito Judicial: Ucayali</v>
      </c>
      <c r="G399" s="1" t="str">
        <v>APOYO</v>
      </c>
      <c r="H399" s="1" t="str">
        <v>Sí</v>
      </c>
      <c r="I399" s="2">
        <v>46211</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spans="1:22" x14ac:dyDescent="0.25">
      <c r="A400" s="1">
        <v>399</v>
      </c>
      <c r="B400" s="1" t="str">
        <v>JORGE LUIS UPIACHIHUA HIDALGO</v>
      </c>
      <c r="C400" s="1" t="str">
        <v>Abogados</v>
      </c>
      <c r="D400" s="1" t="str">
        <v>Entrevista de actores clave</v>
      </c>
      <c r="E400" s="1" t="str">
        <v>Acompañantes</v>
      </c>
      <c r="F400" s="1" t="str">
        <v/>
      </c>
      <c r="G400" s="1" t="str">
        <v>IJM</v>
      </c>
      <c r="H400" s="1" t="str">
        <v>Sí</v>
      </c>
      <c r="I400" s="2">
        <v>46210</v>
      </c>
      <c r="J400" s="2">
        <v>46211</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spans="1:22" x14ac:dyDescent="0.25">
      <c r="A401" s="1">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v>46209</v>
      </c>
      <c r="N401" s="2">
        <v>46209</v>
      </c>
      <c r="O401" s="1" t="str">
        <v>Realizada completa</v>
      </c>
      <c r="P401" s="1">
        <v>36</v>
      </c>
      <c r="Q401" s="1" t="str">
        <v>A distancia asistido</v>
      </c>
      <c r="R401" s="1">
        <f t="shared" si="30"/>
        <v>1</v>
      </c>
      <c r="S401" s="1">
        <f t="shared" si="31"/>
        <v>0</v>
      </c>
      <c r="T401" s="1">
        <f t="shared" si="32"/>
        <v>0</v>
      </c>
      <c r="U401" s="1">
        <f t="shared" si="33"/>
        <v>1</v>
      </c>
      <c r="V401" s="1">
        <f t="shared" si="34"/>
        <v>0</v>
      </c>
    </row>
    <row r="402" spans="1:22" x14ac:dyDescent="0.25">
      <c r="A402" s="1">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spans="1:22" x14ac:dyDescent="0.25">
      <c r="A403" s="1">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spans="1:22" x14ac:dyDescent="0.25">
      <c r="A404" s="1">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spans="1:22" x14ac:dyDescent="0.25">
      <c r="A405" s="1">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spans="1:22" x14ac:dyDescent="0.25">
      <c r="A406" s="1">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spans="1:22" x14ac:dyDescent="0.25">
      <c r="A407" s="1">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spans="1:22" x14ac:dyDescent="0.25">
      <c r="A408" s="1">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spans="1:22" x14ac:dyDescent="0.25">
      <c r="A409" s="1">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spans="1:22" x14ac:dyDescent="0.25">
      <c r="A410" s="1">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spans="1:22" x14ac:dyDescent="0.25">
      <c r="A411" s="1">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spans="1:22" x14ac:dyDescent="0.25">
      <c r="A412" s="1">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spans="1:22" x14ac:dyDescent="0.25">
      <c r="A413" s="1">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spans="1:22" x14ac:dyDescent="0.25">
      <c r="A414" s="1">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Sin respuesta</v>
      </c>
      <c r="M414" s="2" t="str">
        <v/>
      </c>
      <c r="N414" s="2" t="str">
        <v/>
      </c>
      <c r="O414" s="1" t="str">
        <v>Sin respuesta</v>
      </c>
      <c r="P414" s="1" t="str">
        <v/>
      </c>
      <c r="Q414" s="1" t="str">
        <v/>
      </c>
      <c r="R414" s="1">
        <f t="shared" si="30"/>
        <v>0</v>
      </c>
      <c r="S414" s="1">
        <f t="shared" si="31"/>
        <v>0</v>
      </c>
      <c r="T414" s="1">
        <f t="shared" si="32"/>
        <v>0</v>
      </c>
      <c r="U414" s="1">
        <f t="shared" si="33"/>
        <v>0</v>
      </c>
      <c r="V414" s="1">
        <f t="shared" si="34"/>
        <v>1</v>
      </c>
    </row>
    <row r="415" spans="1:22" x14ac:dyDescent="0.25">
      <c r="A415" s="1">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Sin respuesta</v>
      </c>
      <c r="M415" s="2" t="str">
        <v/>
      </c>
      <c r="N415" s="2" t="str">
        <v/>
      </c>
      <c r="O415" s="1" t="str">
        <v>Sin respuesta</v>
      </c>
      <c r="P415" s="1" t="str">
        <v/>
      </c>
      <c r="Q415" s="1" t="str">
        <v/>
      </c>
      <c r="R415" s="1">
        <f t="shared" si="30"/>
        <v>0</v>
      </c>
      <c r="S415" s="1">
        <f t="shared" si="31"/>
        <v>0</v>
      </c>
      <c r="T415" s="1">
        <f t="shared" si="32"/>
        <v>0</v>
      </c>
      <c r="U415" s="1">
        <f t="shared" si="33"/>
        <v>0</v>
      </c>
      <c r="V415" s="1">
        <f t="shared" si="34"/>
        <v>1</v>
      </c>
    </row>
    <row r="416" spans="1:22" x14ac:dyDescent="0.25">
      <c r="A416" s="1">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spans="1:22" x14ac:dyDescent="0.25">
      <c r="A417" s="1">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spans="1:22" x14ac:dyDescent="0.25">
      <c r="A418" s="1">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spans="1:22" x14ac:dyDescent="0.25">
      <c r="A419" s="1">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spans="1:22" x14ac:dyDescent="0.25">
      <c r="A420" s="1">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spans="1:22" x14ac:dyDescent="0.25">
      <c r="A421" s="1">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spans="1:22" x14ac:dyDescent="0.25">
      <c r="A422" s="1">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spans="1:22" x14ac:dyDescent="0.25">
      <c r="A423" s="1">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spans="1:22" x14ac:dyDescent="0.25">
      <c r="A424" s="1">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spans="1:22" x14ac:dyDescent="0.25">
      <c r="A425" s="1">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spans="1:22" x14ac:dyDescent="0.25">
      <c r="A426" s="1">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spans="1:22" x14ac:dyDescent="0.25">
      <c r="A427" s="1">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spans="1:22" x14ac:dyDescent="0.25">
      <c r="A428" s="1">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spans="1:22" x14ac:dyDescent="0.25">
      <c r="A429" s="1">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spans="1:22" x14ac:dyDescent="0.25">
      <c r="A430" s="1">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spans="1:22" x14ac:dyDescent="0.25">
      <c r="A431" s="1">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spans="1:22" x14ac:dyDescent="0.25">
      <c r="A432" s="1">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spans="1:22" x14ac:dyDescent="0.25">
      <c r="A433" s="1">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spans="1:22" x14ac:dyDescent="0.25">
      <c r="A434" s="1">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spans="1:22" x14ac:dyDescent="0.25">
      <c r="A435" s="1">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spans="1:22" x14ac:dyDescent="0.25">
      <c r="A436" s="1">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spans="1:22" x14ac:dyDescent="0.25">
      <c r="A437" s="1">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spans="1:22" x14ac:dyDescent="0.25">
      <c r="A438" s="1">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spans="1:22" x14ac:dyDescent="0.25">
      <c r="A439" s="1">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spans="1:22" x14ac:dyDescent="0.25">
      <c r="A440" s="1">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spans="1:22" x14ac:dyDescent="0.25">
      <c r="A441" s="1">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spans="1:22" x14ac:dyDescent="0.25">
      <c r="A442" s="1">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spans="1:22" x14ac:dyDescent="0.25">
      <c r="A443" s="1">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spans="1:22" x14ac:dyDescent="0.25">
      <c r="A444" s="1">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v>46216</v>
      </c>
      <c r="N444" s="2">
        <v>46216</v>
      </c>
      <c r="O444" s="1" t="str">
        <v>Realizada completa</v>
      </c>
      <c r="P444" s="1">
        <v>32</v>
      </c>
      <c r="Q444" s="1" t="str">
        <v>A distancia asistido</v>
      </c>
      <c r="R444" s="1">
        <f t="shared" si="30"/>
        <v>1</v>
      </c>
      <c r="S444" s="1">
        <f t="shared" si="31"/>
        <v>0</v>
      </c>
      <c r="T444" s="1">
        <f t="shared" si="32"/>
        <v>0</v>
      </c>
      <c r="U444" s="1">
        <f t="shared" si="33"/>
        <v>1</v>
      </c>
      <c r="V444" s="1">
        <f t="shared" si="34"/>
        <v>0</v>
      </c>
    </row>
    <row r="445" spans="1:22" x14ac:dyDescent="0.25">
      <c r="A445" s="1">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spans="1:22" x14ac:dyDescent="0.25">
      <c r="A446" s="1">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spans="1:22" x14ac:dyDescent="0.25">
      <c r="A447" s="1">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spans="1:22" x14ac:dyDescent="0.25">
      <c r="A448" s="1">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spans="1:22" x14ac:dyDescent="0.25">
      <c r="A449" s="1">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spans="1:22" x14ac:dyDescent="0.25">
      <c r="A450" s="1">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spans="1:22" x14ac:dyDescent="0.25">
      <c r="A451" s="1">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Aceptada</v>
      </c>
      <c r="M451" s="2" t="str">
        <v/>
      </c>
      <c r="N451" s="2" t="str">
        <v/>
      </c>
      <c r="O451" s="1" t="str">
        <v>Aceptada</v>
      </c>
      <c r="P451" s="1" t="str">
        <v/>
      </c>
      <c r="Q451" s="1" t="str">
        <v/>
      </c>
      <c r="R451" s="1">
        <f t="shared" ref="R451:R514" si="35">IF(H451="Sí",1,0)</f>
        <v>0</v>
      </c>
      <c r="S451" s="1">
        <f t="shared" ref="S451:S514" si="36">IF(L451="En coordinación",1,0)</f>
        <v>0</v>
      </c>
      <c r="T451" s="1">
        <f t="shared" ref="T451:T514" si="37">IF(L451="Aceptada",1,0)</f>
        <v>1</v>
      </c>
      <c r="U451" s="1">
        <f t="shared" ref="U451:U514" si="38">IF(OR(L451="Realizada completa",L451="Realizada incompleta"),1,0)</f>
        <v>0</v>
      </c>
      <c r="V451" s="1">
        <f t="shared" ref="V451:V514" si="39">IF(L451="Sin respuesta",1,0)</f>
        <v>0</v>
      </c>
    </row>
    <row r="452" spans="1:22" x14ac:dyDescent="0.25">
      <c r="A452" s="1">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spans="1:22" x14ac:dyDescent="0.25">
      <c r="A453" s="1">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spans="1:22" x14ac:dyDescent="0.25">
      <c r="A454" s="1">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spans="1:22" x14ac:dyDescent="0.25">
      <c r="A455" s="1">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spans="1:22" x14ac:dyDescent="0.25">
      <c r="A456" s="1">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spans="1:22" x14ac:dyDescent="0.25">
      <c r="A457" s="1">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spans="1:22" x14ac:dyDescent="0.25">
      <c r="A458" s="1">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spans="1:22" x14ac:dyDescent="0.25">
      <c r="A459" s="1">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spans="1:22" x14ac:dyDescent="0.25">
      <c r="A460" s="1">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spans="1:22" x14ac:dyDescent="0.25">
      <c r="A461" s="1">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spans="1:22" x14ac:dyDescent="0.25">
      <c r="A462" s="1">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spans="1:22" x14ac:dyDescent="0.25">
      <c r="A463" s="1">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spans="1:22" x14ac:dyDescent="0.25">
      <c r="A464" s="1">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spans="1:22" x14ac:dyDescent="0.25">
      <c r="A465" s="1">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spans="1:22" x14ac:dyDescent="0.25">
      <c r="A466" s="1">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spans="1:22" x14ac:dyDescent="0.25">
      <c r="A467" s="1">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spans="1:22" x14ac:dyDescent="0.25">
      <c r="A468" s="1">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spans="1:22" x14ac:dyDescent="0.25">
      <c r="A469" s="1">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spans="1:22" x14ac:dyDescent="0.25">
      <c r="A470" s="1">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spans="1:22" x14ac:dyDescent="0.25">
      <c r="A471" s="1">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spans="1:22" x14ac:dyDescent="0.25">
      <c r="A472" s="1">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spans="1:22" x14ac:dyDescent="0.25">
      <c r="A473" s="1">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spans="1:22" x14ac:dyDescent="0.25">
      <c r="A474" s="1">
        <v>473</v>
      </c>
      <c r="B474" s="1" t="str">
        <v xml:space="preserve">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spans="1:22" x14ac:dyDescent="0.25">
      <c r="A475" s="1">
        <v>474</v>
      </c>
      <c r="B475" s="1" t="str">
        <v xml:space="preserve">Percy José Paredes Villarreal </v>
      </c>
      <c r="C475" s="1" t="str">
        <v xml:space="preserve">Ministerio de la Mujer </v>
      </c>
      <c r="D475" s="1" t="str">
        <v>Entrevista de actores clave</v>
      </c>
      <c r="E475" s="1" t="str">
        <v>Funcionarios del Sistema</v>
      </c>
      <c r="F475" s="1" t="str">
        <v>Nacional</v>
      </c>
      <c r="G475" s="1" t="str">
        <v/>
      </c>
      <c r="H475" s="1" t="str">
        <v/>
      </c>
      <c r="I475" s="2" t="str">
        <v/>
      </c>
      <c r="J475" s="2" t="str">
        <v/>
      </c>
      <c r="K475" s="2" t="str">
        <v/>
      </c>
      <c r="L475" s="1" t="str">
        <v>Aceptada</v>
      </c>
      <c r="M475" s="2">
        <v>46237</v>
      </c>
      <c r="N475" s="2">
        <v>46237</v>
      </c>
      <c r="O475" s="1" t="str">
        <v>Aceptada</v>
      </c>
      <c r="P475" s="1" t="str">
        <v/>
      </c>
      <c r="Q475" s="1" t="str">
        <v>A distancia asistido</v>
      </c>
      <c r="R475" s="1">
        <f t="shared" si="35"/>
        <v>0</v>
      </c>
      <c r="S475" s="1">
        <f t="shared" si="36"/>
        <v>0</v>
      </c>
      <c r="T475" s="1">
        <f t="shared" si="37"/>
        <v>1</v>
      </c>
      <c r="U475" s="1">
        <f t="shared" si="38"/>
        <v>0</v>
      </c>
      <c r="V475" s="1">
        <f t="shared" si="39"/>
        <v>0</v>
      </c>
    </row>
    <row r="476" spans="1:22" x14ac:dyDescent="0.25">
      <c r="A476" s="1">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v>46213</v>
      </c>
      <c r="N476" s="2">
        <v>46213</v>
      </c>
      <c r="O476" s="1" t="str">
        <v>Realizada completa</v>
      </c>
      <c r="P476" s="1">
        <v>38</v>
      </c>
      <c r="Q476" s="1" t="str">
        <v>A distancia asistido</v>
      </c>
      <c r="R476" s="1">
        <f t="shared" si="35"/>
        <v>1</v>
      </c>
      <c r="S476" s="1">
        <f t="shared" si="36"/>
        <v>0</v>
      </c>
      <c r="T476" s="1">
        <f t="shared" si="37"/>
        <v>0</v>
      </c>
      <c r="U476" s="1">
        <f t="shared" si="38"/>
        <v>1</v>
      </c>
      <c r="V476" s="1">
        <f t="shared" si="39"/>
        <v>0</v>
      </c>
    </row>
    <row r="477" spans="1:22" x14ac:dyDescent="0.25">
      <c r="A477" s="1">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spans="1:22" x14ac:dyDescent="0.25">
      <c r="A478" s="1">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spans="1:22" x14ac:dyDescent="0.25">
      <c r="A479" s="1">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spans="1:22" x14ac:dyDescent="0.25">
      <c r="A480" s="1">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spans="1:22" x14ac:dyDescent="0.25">
      <c r="A481" s="1">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spans="1:22" x14ac:dyDescent="0.25">
      <c r="A482" s="1">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spans="1:22" x14ac:dyDescent="0.25">
      <c r="A483" s="1">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
      </c>
      <c r="M483" s="2" t="str">
        <v/>
      </c>
      <c r="N483" s="2" t="str">
        <v/>
      </c>
      <c r="O483" s="1" t="str">
        <v/>
      </c>
      <c r="P483" s="1" t="str">
        <v/>
      </c>
      <c r="Q483" s="1" t="str">
        <v/>
      </c>
      <c r="R483" s="1">
        <f t="shared" si="35"/>
        <v>0</v>
      </c>
      <c r="S483" s="1">
        <f t="shared" si="36"/>
        <v>0</v>
      </c>
      <c r="T483" s="1">
        <f t="shared" si="37"/>
        <v>0</v>
      </c>
      <c r="U483" s="1">
        <f t="shared" si="38"/>
        <v>0</v>
      </c>
      <c r="V483" s="1">
        <f t="shared" si="39"/>
        <v>0</v>
      </c>
    </row>
    <row r="484" spans="1:22" x14ac:dyDescent="0.25">
      <c r="A484" s="1">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spans="1:22" x14ac:dyDescent="0.25">
      <c r="A485" s="1">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spans="1:22" x14ac:dyDescent="0.25">
      <c r="A486" s="1">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spans="1:22" x14ac:dyDescent="0.25">
      <c r="A487" s="1">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spans="1:22" x14ac:dyDescent="0.25">
      <c r="A488" s="1">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spans="1:22" x14ac:dyDescent="0.25">
      <c r="A489" s="1">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spans="1:22" x14ac:dyDescent="0.25">
      <c r="A490" s="1">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spans="1:22" x14ac:dyDescent="0.25">
      <c r="A491" s="1">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spans="1:22" x14ac:dyDescent="0.25">
      <c r="A492" s="1">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spans="1:22" x14ac:dyDescent="0.25">
      <c r="A493" s="1">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spans="1:22" x14ac:dyDescent="0.25">
      <c r="A494" s="1">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spans="1:22" x14ac:dyDescent="0.25">
      <c r="A495" s="1">
        <v>494</v>
      </c>
      <c r="B495" s="1" t="str">
        <v>Gerald Joseph Kholer Palomino</v>
      </c>
      <c r="C495" s="1" t="str">
        <v>Defensoría del Pueblo</v>
      </c>
      <c r="D495" s="1" t="str">
        <v>Entrevista de actores clave</v>
      </c>
      <c r="E495" s="1" t="str">
        <v>Funcionarios del Sistema</v>
      </c>
      <c r="F495" s="1" t="str">
        <v>Distrito Judicial: Apurímac</v>
      </c>
      <c r="G495" s="1" t="str">
        <v/>
      </c>
      <c r="H495" s="1" t="str">
        <v>Sí</v>
      </c>
      <c r="I495" s="2" t="str">
        <v/>
      </c>
      <c r="J495" s="2" t="str">
        <v/>
      </c>
      <c r="K495" s="2" t="str">
        <v/>
      </c>
      <c r="L495" s="1" t="str">
        <v>Realizada completa</v>
      </c>
      <c r="M495" s="2">
        <v>46220</v>
      </c>
      <c r="N495" s="2">
        <v>46220</v>
      </c>
      <c r="O495" s="1" t="str">
        <v>Realizada completa</v>
      </c>
      <c r="P495" s="1">
        <v>35</v>
      </c>
      <c r="Q495" s="1" t="str">
        <v>A distancia asistido</v>
      </c>
      <c r="R495" s="1">
        <f t="shared" si="35"/>
        <v>1</v>
      </c>
      <c r="S495" s="1">
        <f t="shared" si="36"/>
        <v>0</v>
      </c>
      <c r="T495" s="1">
        <f t="shared" si="37"/>
        <v>0</v>
      </c>
      <c r="U495" s="1">
        <f t="shared" si="38"/>
        <v>1</v>
      </c>
      <c r="V495" s="1">
        <f t="shared" si="39"/>
        <v>0</v>
      </c>
    </row>
    <row r="496" spans="1:22" x14ac:dyDescent="0.25">
      <c r="A496" s="1">
        <v>495</v>
      </c>
      <c r="B496" s="1" t="str">
        <v>Alexandra Corazon Medina Colonia</v>
      </c>
      <c r="C496" s="1" t="str">
        <v>Unidad de Protección Especial</v>
      </c>
      <c r="D496" s="1" t="str">
        <v>Entrevista de actores clave</v>
      </c>
      <c r="E496" s="1" t="str">
        <v>Funcionarios del Sistema</v>
      </c>
      <c r="F496" s="1" t="str">
        <v>Distrito Judicial: Lima Norte</v>
      </c>
      <c r="G496" s="1" t="str">
        <v/>
      </c>
      <c r="H496" s="1" t="str">
        <v>Sí</v>
      </c>
      <c r="I496" s="2" t="str">
        <v/>
      </c>
      <c r="J496" s="2" t="str">
        <v/>
      </c>
      <c r="K496" s="2" t="str">
        <v/>
      </c>
      <c r="L496" s="1" t="str">
        <v>Realizada completa</v>
      </c>
      <c r="M496" s="2">
        <v>46221</v>
      </c>
      <c r="N496" s="2">
        <v>46221</v>
      </c>
      <c r="O496" s="1" t="str">
        <v>Realizada completa</v>
      </c>
      <c r="P496" s="1">
        <v>33</v>
      </c>
      <c r="Q496" s="1" t="str">
        <v>A distancia asistido</v>
      </c>
      <c r="R496" s="1">
        <f t="shared" si="35"/>
        <v>1</v>
      </c>
      <c r="S496" s="1">
        <f t="shared" si="36"/>
        <v>0</v>
      </c>
      <c r="T496" s="1">
        <f t="shared" si="37"/>
        <v>0</v>
      </c>
      <c r="U496" s="1">
        <f t="shared" si="38"/>
        <v>1</v>
      </c>
      <c r="V496" s="1">
        <f t="shared" si="39"/>
        <v>0</v>
      </c>
    </row>
    <row r="497" spans="1:22" x14ac:dyDescent="0.25">
      <c r="A497" s="1">
        <v>496</v>
      </c>
      <c r="B497" s="1" t="str">
        <v xml:space="preserve">
JORGE LUIS UPIACHIHUA HIDALGO</v>
      </c>
      <c r="C497" s="1" t="str">
        <v>Amazon Legal Service - Abogado</v>
      </c>
      <c r="D497" s="1" t="str">
        <v>Entrevista de actores clave</v>
      </c>
      <c r="E497" s="1" t="str">
        <v>Acompañantes</v>
      </c>
      <c r="F497" s="1" t="str">
        <v>Distrito Judicial: Loreto</v>
      </c>
      <c r="G497" s="1" t="str">
        <v/>
      </c>
      <c r="H497" s="1" t="str">
        <v>Sí</v>
      </c>
      <c r="I497" s="2" t="str">
        <v/>
      </c>
      <c r="J497" s="2" t="str">
        <v/>
      </c>
      <c r="K497" s="2" t="str">
        <v/>
      </c>
      <c r="L497" s="1" t="str">
        <v>Realizada completa</v>
      </c>
      <c r="M497" s="2">
        <v>46221</v>
      </c>
      <c r="N497" s="2">
        <v>46221</v>
      </c>
      <c r="O497" s="1" t="str">
        <v>Realizada completa</v>
      </c>
      <c r="P497" s="1">
        <v>35</v>
      </c>
      <c r="Q497" s="1" t="str">
        <v>A distancia asistido</v>
      </c>
      <c r="R497" s="1">
        <f t="shared" si="35"/>
        <v>1</v>
      </c>
      <c r="S497" s="1">
        <f t="shared" si="36"/>
        <v>0</v>
      </c>
      <c r="T497" s="1">
        <f t="shared" si="37"/>
        <v>0</v>
      </c>
      <c r="U497" s="1">
        <f t="shared" si="38"/>
        <v>1</v>
      </c>
      <c r="V497" s="1">
        <f t="shared" si="39"/>
        <v>0</v>
      </c>
    </row>
    <row r="498" spans="1:22" x14ac:dyDescent="0.25">
      <c r="A498" s="1">
        <v>497</v>
      </c>
      <c r="B498" s="1" t="str">
        <v>Manuel Ventura</v>
      </c>
      <c r="C498" s="1" t="str">
        <v/>
      </c>
      <c r="D498" s="1" t="str">
        <v>Entrevista de actores clave</v>
      </c>
      <c r="E498" s="1" t="str">
        <v>Prensa</v>
      </c>
      <c r="F498" s="1" t="str">
        <v>Distrito Judicial: Ayacucho</v>
      </c>
      <c r="G498" s="1" t="str">
        <v>APOYO</v>
      </c>
      <c r="H498" s="1" t="str">
        <v>Sí</v>
      </c>
      <c r="I498" s="2">
        <v>46224</v>
      </c>
      <c r="J498" s="2" t="str">
        <v/>
      </c>
      <c r="K498" s="2" t="str">
        <v/>
      </c>
      <c r="L498" s="1" t="str">
        <v/>
      </c>
      <c r="M498" s="2" t="str">
        <v/>
      </c>
      <c r="N498" s="2" t="str">
        <v/>
      </c>
      <c r="O498" s="1" t="str">
        <v/>
      </c>
      <c r="P498" s="1" t="str">
        <v/>
      </c>
      <c r="Q498" s="1" t="str">
        <v/>
      </c>
      <c r="R498" s="1">
        <f t="shared" si="35"/>
        <v>1</v>
      </c>
      <c r="S498" s="1">
        <f t="shared" si="36"/>
        <v>0</v>
      </c>
      <c r="T498" s="1">
        <f t="shared" si="37"/>
        <v>0</v>
      </c>
      <c r="U498" s="1">
        <f t="shared" si="38"/>
        <v>0</v>
      </c>
      <c r="V498" s="1">
        <f t="shared" si="39"/>
        <v>0</v>
      </c>
    </row>
    <row r="499" spans="1:22" x14ac:dyDescent="0.25">
      <c r="A499" s="1">
        <v>498</v>
      </c>
      <c r="B499" s="1" t="str">
        <v>Analí Andrade</v>
      </c>
      <c r="C499" s="1" t="str">
        <v/>
      </c>
      <c r="D499" s="1" t="str">
        <v>Entrevista de actores clave</v>
      </c>
      <c r="E499" s="1" t="str">
        <v>Prensa</v>
      </c>
      <c r="F499" s="1" t="str">
        <v>Distrito Judicial: Apurímac</v>
      </c>
      <c r="G499" s="1" t="str">
        <v>APOYO</v>
      </c>
      <c r="H499" s="1" t="str">
        <v>Sí</v>
      </c>
      <c r="I499" s="2">
        <v>46224</v>
      </c>
      <c r="J499" s="2" t="str">
        <v/>
      </c>
      <c r="K499" s="2" t="str">
        <v/>
      </c>
      <c r="L499" s="1" t="str">
        <v>Realizada completa</v>
      </c>
      <c r="M499" s="2">
        <v>46230</v>
      </c>
      <c r="N499" s="2">
        <v>46230</v>
      </c>
      <c r="O499" s="1" t="str">
        <v>Realizada completa</v>
      </c>
      <c r="P499" s="1">
        <v>53</v>
      </c>
      <c r="Q499" s="1" t="str">
        <v>A distancia asistido</v>
      </c>
      <c r="R499" s="1">
        <f t="shared" si="35"/>
        <v>1</v>
      </c>
      <c r="S499" s="1">
        <f t="shared" si="36"/>
        <v>0</v>
      </c>
      <c r="T499" s="1">
        <f t="shared" si="37"/>
        <v>0</v>
      </c>
      <c r="U499" s="1">
        <f t="shared" si="38"/>
        <v>1</v>
      </c>
      <c r="V499" s="1">
        <f t="shared" si="39"/>
        <v>0</v>
      </c>
    </row>
    <row r="500" spans="1:22" x14ac:dyDescent="0.25">
      <c r="A500" s="1">
        <v>499</v>
      </c>
      <c r="B500" s="1" t="str">
        <v>Jaime Idrogo</v>
      </c>
      <c r="C500" s="1" t="str">
        <v/>
      </c>
      <c r="D500" s="1" t="str">
        <v>Entrevista de actores clave</v>
      </c>
      <c r="E500" s="1" t="str">
        <v>Prensa</v>
      </c>
      <c r="F500" s="1" t="str">
        <v>Distrito Judicial: Apurímac</v>
      </c>
      <c r="G500" s="1" t="str">
        <v>APOYO</v>
      </c>
      <c r="H500" s="1" t="str">
        <v>Sí</v>
      </c>
      <c r="I500" s="2">
        <v>46224</v>
      </c>
      <c r="J500" s="2" t="str">
        <v/>
      </c>
      <c r="K500" s="2" t="str">
        <v/>
      </c>
      <c r="L500" s="1" t="str">
        <v/>
      </c>
      <c r="M500" s="2" t="str">
        <v/>
      </c>
      <c r="N500" s="2" t="str">
        <v/>
      </c>
      <c r="O500" s="1" t="str">
        <v/>
      </c>
      <c r="P500" s="1" t="str">
        <v/>
      </c>
      <c r="Q500" s="1" t="str">
        <v/>
      </c>
      <c r="R500" s="1">
        <f t="shared" si="35"/>
        <v>1</v>
      </c>
      <c r="S500" s="1">
        <f t="shared" si="36"/>
        <v>0</v>
      </c>
      <c r="T500" s="1">
        <f t="shared" si="37"/>
        <v>0</v>
      </c>
      <c r="U500" s="1">
        <f t="shared" si="38"/>
        <v>0</v>
      </c>
      <c r="V500" s="1">
        <f t="shared" si="39"/>
        <v>0</v>
      </c>
    </row>
    <row r="501" spans="1:22" x14ac:dyDescent="0.25">
      <c r="A501" s="1">
        <v>500</v>
      </c>
      <c r="B501" s="1" t="str">
        <v>Yris Silva</v>
      </c>
      <c r="C501" s="1" t="str">
        <v>Municipalidad Provincial de Coronel Portillo</v>
      </c>
      <c r="D501" s="1" t="str">
        <v>Entrevista de actores clave</v>
      </c>
      <c r="E501" s="1" t="str">
        <v>Prensa</v>
      </c>
      <c r="F501" s="1" t="str">
        <v>Distrito Judicial: Ucayali</v>
      </c>
      <c r="G501" s="1" t="str">
        <v>APOYO</v>
      </c>
      <c r="H501" s="1" t="str">
        <v>Sí</v>
      </c>
      <c r="I501" s="2">
        <v>46224</v>
      </c>
      <c r="J501" s="2" t="str">
        <v/>
      </c>
      <c r="K501" s="2" t="str">
        <v/>
      </c>
      <c r="L501" s="1" t="str">
        <v>Realizada completa</v>
      </c>
      <c r="M501" s="2">
        <v>46227</v>
      </c>
      <c r="N501" s="2">
        <v>46227</v>
      </c>
      <c r="O501" s="1" t="str">
        <v>Realizada completa</v>
      </c>
      <c r="P501" s="1">
        <v>36</v>
      </c>
      <c r="Q501" s="1" t="str">
        <v>A distancia asistido</v>
      </c>
      <c r="R501" s="1">
        <f t="shared" si="35"/>
        <v>1</v>
      </c>
      <c r="S501" s="1">
        <f t="shared" si="36"/>
        <v>0</v>
      </c>
      <c r="T501" s="1">
        <f t="shared" si="37"/>
        <v>0</v>
      </c>
      <c r="U501" s="1">
        <f t="shared" si="38"/>
        <v>1</v>
      </c>
      <c r="V501" s="1">
        <f t="shared" si="39"/>
        <v>0</v>
      </c>
    </row>
    <row r="502" spans="1:22" x14ac:dyDescent="0.25">
      <c r="A502" s="1">
        <v>501</v>
      </c>
      <c r="B502" s="1" t="str">
        <v>Mary Gambini</v>
      </c>
      <c r="C502" s="1" t="str">
        <v>Selvática Televisión</v>
      </c>
      <c r="D502" s="1" t="str">
        <v>Entrevista de actores clave</v>
      </c>
      <c r="E502" s="1" t="str">
        <v>Prensa</v>
      </c>
      <c r="F502" s="1" t="str">
        <v>Distrito Judicial: Ucayali</v>
      </c>
      <c r="G502" s="1" t="str">
        <v>APOYO</v>
      </c>
      <c r="H502" s="1" t="str">
        <v>Sí</v>
      </c>
      <c r="I502" s="2">
        <v>46224</v>
      </c>
      <c r="J502" s="2" t="str">
        <v/>
      </c>
      <c r="K502" s="2" t="str">
        <v/>
      </c>
      <c r="L502" s="1" t="str">
        <v>Realizada completa</v>
      </c>
      <c r="M502" s="2">
        <v>46230</v>
      </c>
      <c r="N502" s="2">
        <v>46230</v>
      </c>
      <c r="O502" s="1" t="str">
        <v>Realizada completa</v>
      </c>
      <c r="P502" s="1">
        <v>30</v>
      </c>
      <c r="Q502" s="1" t="str">
        <v>A distancia asistido</v>
      </c>
      <c r="R502" s="1">
        <f t="shared" si="35"/>
        <v>1</v>
      </c>
      <c r="S502" s="1">
        <f t="shared" si="36"/>
        <v>0</v>
      </c>
      <c r="T502" s="1">
        <f t="shared" si="37"/>
        <v>0</v>
      </c>
      <c r="U502" s="1">
        <f t="shared" si="38"/>
        <v>1</v>
      </c>
      <c r="V502" s="1">
        <f t="shared" si="39"/>
        <v>0</v>
      </c>
    </row>
    <row r="503" spans="1:22" x14ac:dyDescent="0.25">
      <c r="A503" s="1">
        <v>502</v>
      </c>
      <c r="B503" s="1" t="str">
        <v>Carolina Arredondo</v>
      </c>
      <c r="C503" s="1" t="str">
        <v/>
      </c>
      <c r="D503" s="1" t="str">
        <v>Entrevista de actores clave</v>
      </c>
      <c r="E503" s="1" t="str">
        <v>Prensa</v>
      </c>
      <c r="F503" s="1" t="str">
        <v>Distrito Judicial: Loreto</v>
      </c>
      <c r="G503" s="1" t="str">
        <v>APOYO</v>
      </c>
      <c r="H503" s="1" t="str">
        <v>Sí</v>
      </c>
      <c r="I503" s="2">
        <v>46225</v>
      </c>
      <c r="J503" s="2" t="str">
        <v/>
      </c>
      <c r="K503" s="2" t="str">
        <v/>
      </c>
      <c r="L503" s="1" t="str">
        <v>Realizada completa</v>
      </c>
      <c r="M503" s="2" t="str">
        <v/>
      </c>
      <c r="N503" s="2" t="str">
        <v/>
      </c>
      <c r="O503" s="1" t="str">
        <v>Realizada completa</v>
      </c>
      <c r="P503" s="1" t="str">
        <v/>
      </c>
      <c r="Q503" s="1" t="str">
        <v>A distancia asistido</v>
      </c>
      <c r="R503" s="1">
        <f t="shared" si="35"/>
        <v>1</v>
      </c>
      <c r="S503" s="1">
        <f t="shared" si="36"/>
        <v>0</v>
      </c>
      <c r="T503" s="1">
        <f t="shared" si="37"/>
        <v>0</v>
      </c>
      <c r="U503" s="1">
        <f t="shared" si="38"/>
        <v>1</v>
      </c>
      <c r="V503" s="1">
        <f t="shared" si="39"/>
        <v>0</v>
      </c>
    </row>
    <row r="504" spans="1:22" x14ac:dyDescent="0.25">
      <c r="A504" s="1">
        <v>502</v>
      </c>
      <c r="B504" s="1" t="str">
        <v>NICANOR EFRAIN CALIZAYA CRUZ</v>
      </c>
      <c r="C504" s="1" t="str">
        <v>Servicio de Atención Rural</v>
      </c>
      <c r="D504" s="1" t="str">
        <v>Entrevista de actores clave</v>
      </c>
      <c r="E504" s="1" t="str">
        <v>Actores locales</v>
      </c>
      <c r="F504" s="1" t="str">
        <v>Distrito Judicial: Apurímac</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spans="1:22" x14ac:dyDescent="0.25">
      <c r="A505" s="1">
        <v>503</v>
      </c>
      <c r="B505" s="1" t="str">
        <v>ARTEMIO ATAO PAHUARA</v>
      </c>
      <c r="C505" s="1" t="str">
        <v>Servicio de Atención Rural</v>
      </c>
      <c r="D505" s="1" t="str">
        <v>Entrevista de actores clave</v>
      </c>
      <c r="E505" s="1" t="str">
        <v>Actores locales</v>
      </c>
      <c r="F505" s="1" t="str">
        <v>Distrito Judicial: Apurímac</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spans="1:22" x14ac:dyDescent="0.25">
      <c r="A506" s="1">
        <v>504</v>
      </c>
      <c r="B506" s="1" t="str">
        <v>YULISA DIAZ ALCARRAZ</v>
      </c>
      <c r="C506" s="1" t="str">
        <v>Servicio de Atención Rural</v>
      </c>
      <c r="D506" s="1" t="str">
        <v>Entrevista de actores clave</v>
      </c>
      <c r="E506" s="1" t="str">
        <v>Actores locales</v>
      </c>
      <c r="F506" s="1" t="str">
        <v>Distrito Judicial: Apurímac</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spans="1:22" x14ac:dyDescent="0.25">
      <c r="A507" s="1">
        <v>505</v>
      </c>
      <c r="B507" s="1" t="str">
        <v>CHARLYE ANDRES GRACIA TAMANI</v>
      </c>
      <c r="C507" s="1" t="str">
        <v>Servicio de Atención Rural</v>
      </c>
      <c r="D507" s="1" t="str">
        <v>Entrevista de actores clave</v>
      </c>
      <c r="E507" s="1" t="str">
        <v>Actores locales</v>
      </c>
      <c r="F507" s="1" t="str">
        <v>Distrito Judicial: Ucayali</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spans="1:22" x14ac:dyDescent="0.25">
      <c r="A508" s="1">
        <v>506</v>
      </c>
      <c r="B508" s="1" t="str">
        <v>NILDA VANESSA BERROSPI RIMAC</v>
      </c>
      <c r="C508" s="1" t="str">
        <v>Servicio de Atención Rural</v>
      </c>
      <c r="D508" s="1" t="str">
        <v>Entrevista de actores clave</v>
      </c>
      <c r="E508" s="1" t="str">
        <v>Actores locales</v>
      </c>
      <c r="F508" s="1" t="str">
        <v>Distrito Judicial: Ucayali</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spans="1:22" x14ac:dyDescent="0.25">
      <c r="A509" s="1">
        <v>507</v>
      </c>
      <c r="B509" s="1" t="str">
        <v>FRETEL CAHUAS LUPE MELISSA</v>
      </c>
      <c r="C509" s="1" t="str">
        <v>Servicio de Atención Rural</v>
      </c>
      <c r="D509" s="1" t="str">
        <v>Entrevista de actores clave</v>
      </c>
      <c r="E509" s="1" t="str">
        <v>Actores locales</v>
      </c>
      <c r="F509" s="1" t="str">
        <v>Distrito Judicial: Huánuco</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spans="1:22" x14ac:dyDescent="0.25">
      <c r="A510" s="1">
        <v>508</v>
      </c>
      <c r="B510" s="1" t="str">
        <v>ELIZABET SIMONA CONGACHE COSINGA</v>
      </c>
      <c r="C510" s="1" t="str">
        <v>Servicio de Atención Rural</v>
      </c>
      <c r="D510" s="1" t="str">
        <v>Entrevista de actores clave</v>
      </c>
      <c r="E510" s="1" t="str">
        <v>Actores locales</v>
      </c>
      <c r="F510" s="1" t="str">
        <v>Distrito Judicial: Ayacucho</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spans="1:22" x14ac:dyDescent="0.25">
      <c r="A511" s="1">
        <v>509</v>
      </c>
      <c r="B511" s="1" t="str">
        <v>MARIA TERESA VELARDE LETURIA</v>
      </c>
      <c r="C511" s="1" t="str">
        <v>Servicio de Atención Rural</v>
      </c>
      <c r="D511" s="1" t="str">
        <v>Entrevista de actores clave</v>
      </c>
      <c r="E511" s="1" t="str">
        <v>Actores locales</v>
      </c>
      <c r="F511" s="1" t="str">
        <v>Distrito Judicial: Ayacucho</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spans="1:22" x14ac:dyDescent="0.25">
      <c r="A512" s="1">
        <v>510</v>
      </c>
      <c r="B512" s="1" t="str">
        <v>OSLER ADEMIR TONQUI TORRES</v>
      </c>
      <c r="C512" s="1" t="str">
        <v>Servicio de Atención Rural</v>
      </c>
      <c r="D512" s="1" t="str">
        <v>Entrevista de actores clave</v>
      </c>
      <c r="E512" s="1" t="str">
        <v>Actores locales</v>
      </c>
      <c r="F512" s="1" t="str">
        <v>Distrito Judicial: Ayacucho</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spans="1:22" x14ac:dyDescent="0.25">
      <c r="A513" s="1">
        <v>511</v>
      </c>
      <c r="B513" s="1" t="str">
        <v>MIRNA ELIZABETH HUARANCA ROMANI</v>
      </c>
      <c r="C513" s="1" t="str">
        <v>Servicio de Atención Rural</v>
      </c>
      <c r="D513" s="1" t="str">
        <v>Entrevista de actores clave</v>
      </c>
      <c r="E513" s="1" t="str">
        <v>Actores locales</v>
      </c>
      <c r="F513" s="1" t="str">
        <v>Distrito Judicial: Ayacucho</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spans="1:22" x14ac:dyDescent="0.25">
      <c r="A514" s="1">
        <v>512</v>
      </c>
      <c r="B514" s="1" t="str">
        <v>RONALD DAVID BAUTISTA QUISPE</v>
      </c>
      <c r="C514" s="1" t="str">
        <v>Servicio de Atención Rural</v>
      </c>
      <c r="D514" s="1" t="str">
        <v>Entrevista de actores clave</v>
      </c>
      <c r="E514" s="1" t="str">
        <v>Actores locales</v>
      </c>
      <c r="F514" s="1" t="str">
        <v>Distrito Judicial: Ayacucho</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spans="1:22" x14ac:dyDescent="0.25">
      <c r="A515" s="1">
        <v>513</v>
      </c>
      <c r="B515" s="1" t="str">
        <v>DAN NIX RAMIREZ SILVA</v>
      </c>
      <c r="C515" s="1" t="str">
        <v>Servicio de Atención Rural</v>
      </c>
      <c r="D515" s="1" t="str">
        <v>Entrevista de actores clave</v>
      </c>
      <c r="E515" s="1" t="str">
        <v>Actores locales</v>
      </c>
      <c r="F515" s="1" t="str">
        <v>Distrito Judicial: Loreto</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spans="1:22" x14ac:dyDescent="0.25">
      <c r="A516" s="1">
        <v>514</v>
      </c>
      <c r="B516" s="1" t="str">
        <v>JOHANA AMERICA RODRIGUEZ CARCAUSTO</v>
      </c>
      <c r="C516" s="1" t="str">
        <v>Servicio de Atención Rural</v>
      </c>
      <c r="D516" s="1" t="str">
        <v>Entrevista de actores clave</v>
      </c>
      <c r="E516" s="1" t="str">
        <v>Actores locales</v>
      </c>
      <c r="F516" s="1" t="str">
        <v>Distrito Judicial: Loreto</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spans="1:22" x14ac:dyDescent="0.25">
      <c r="A517" s="1">
        <v>515</v>
      </c>
      <c r="B517" s="1" t="str">
        <v>DENIS ALONSO SALAZAR MIO</v>
      </c>
      <c r="C517" s="1" t="str">
        <v>Servicio de Atención Rural</v>
      </c>
      <c r="D517" s="1" t="str">
        <v>Entrevista de actores clave</v>
      </c>
      <c r="E517" s="1" t="str">
        <v>Actores locales</v>
      </c>
      <c r="F517" s="1" t="str">
        <v>Distrito Judicial: Loreto</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spans="1:22" x14ac:dyDescent="0.25">
      <c r="A518" s="1">
        <v>516</v>
      </c>
      <c r="B518" s="1" t="str">
        <v>ALBERT WILLIAM IMAN TORRES</v>
      </c>
      <c r="C518" s="1" t="str">
        <v>Servicio de Atención Rural</v>
      </c>
      <c r="D518" s="1" t="str">
        <v>Entrevista de actores clave</v>
      </c>
      <c r="E518" s="1" t="str">
        <v>Actores locales</v>
      </c>
      <c r="F518" s="1" t="str">
        <v>Distrito Judicial: Loreto</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spans="1:22" x14ac:dyDescent="0.25">
      <c r="A519" s="1">
        <v>517</v>
      </c>
      <c r="B519" s="1" t="str">
        <v>KARINA JANETH LOZANO TORRES</v>
      </c>
      <c r="C519" s="1" t="str">
        <v>Servicio de Atención Rural</v>
      </c>
      <c r="D519" s="1" t="str">
        <v>Entrevista de actores clave</v>
      </c>
      <c r="E519" s="1" t="str">
        <v>Actores locales</v>
      </c>
      <c r="F519" s="1" t="str">
        <v>Distrito Judicial: Loreto</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spans="1:22" x14ac:dyDescent="0.25">
      <c r="A520" s="1">
        <v>518</v>
      </c>
      <c r="B520" s="1" t="str">
        <v>ANALETHY SOTO VASQUEZ</v>
      </c>
      <c r="C520" s="1" t="str">
        <v>Servicio de Atención Rural</v>
      </c>
      <c r="D520" s="1" t="str">
        <v>Entrevista de actores clave</v>
      </c>
      <c r="E520" s="1" t="str">
        <v>Actores locales</v>
      </c>
      <c r="F520" s="1" t="str">
        <v>Distrito Judicial: Loreto</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spans="1:22" x14ac:dyDescent="0.25">
      <c r="A521" s="1">
        <v>519</v>
      </c>
      <c r="B521" s="1" t="str">
        <v>MENDOZA BARRANTES MERICIA</v>
      </c>
      <c r="C521" s="1" t="str">
        <v>Servicio de Atención Rural</v>
      </c>
      <c r="D521" s="1" t="str">
        <v>Entrevista de actores clave</v>
      </c>
      <c r="E521" s="1" t="str">
        <v>Actores locales</v>
      </c>
      <c r="F521" s="1" t="str">
        <v>Distrito Judicial: Cajamarca</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spans="1:22" x14ac:dyDescent="0.25">
      <c r="A522" s="1">
        <v>520</v>
      </c>
      <c r="B522" s="1" t="str">
        <v>JULCA CHUGNAS MARINO ASTERIO</v>
      </c>
      <c r="C522" s="1" t="str">
        <v>Servicio de Atención Rural</v>
      </c>
      <c r="D522" s="1" t="str">
        <v>Entrevista de actores clave</v>
      </c>
      <c r="E522" s="1" t="str">
        <v>Actores locales</v>
      </c>
      <c r="F522" s="1" t="str">
        <v>Distrito Judicial: Cajamarca</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spans="1:22" x14ac:dyDescent="0.25">
      <c r="A523" s="1">
        <v>521</v>
      </c>
      <c r="B523" s="1" t="str">
        <v>CHAVEZ SANTA CRUZ YIMI ALEXANDER</v>
      </c>
      <c r="C523" s="1" t="str">
        <v>Servicio de Atención Rural</v>
      </c>
      <c r="D523" s="1" t="str">
        <v>Entrevista de actores clave</v>
      </c>
      <c r="E523" s="1" t="str">
        <v>Actores locales</v>
      </c>
      <c r="F523" s="1" t="str">
        <v>Distrito Judicial: Cajamarca</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spans="1:22" x14ac:dyDescent="0.25">
      <c r="A524" s="1">
        <v>522</v>
      </c>
      <c r="B524" s="1" t="str">
        <v/>
      </c>
      <c r="C524" s="1" t="str">
        <v>Red de Mujeres Emprendedoras y Empresarias de la Región Huánuco</v>
      </c>
      <c r="D524" s="1" t="str">
        <v>Entrevista de actores clave</v>
      </c>
      <c r="E524" s="1" t="str">
        <v>Actores locales</v>
      </c>
      <c r="F524" s="1" t="str">
        <v>Distrito Judicial: Huánuco</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spans="1:22" x14ac:dyDescent="0.25">
      <c r="A525" s="1">
        <v>523</v>
      </c>
      <c r="B525" s="1" t="str">
        <v>Ketty Marcelo López</v>
      </c>
      <c r="C525" s="1" t="str">
        <v>Organización Nacional de Mujeres Indígenas Andinas y Amazónicas del Perú ONAMIAP</v>
      </c>
      <c r="D525" s="1" t="str">
        <v>Entrevista de actores clave</v>
      </c>
      <c r="E525" s="1" t="str">
        <v>Actores locales</v>
      </c>
      <c r="F525" s="1" t="str">
        <v>Nacional</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spans="1:22" x14ac:dyDescent="0.25">
      <c r="A526" s="1">
        <v>524</v>
      </c>
      <c r="B526" s="1" t="str">
        <v>Lourdes Huanca Atencio</v>
      </c>
      <c r="C526" s="1" t="str">
        <v>Federación Nacional de Mujeres Campesinas, Artesanas, Indígenas, Nativas y Asalariadas del Perú</v>
      </c>
      <c r="D526" s="1" t="str">
        <v>Entrevista de actores clave</v>
      </c>
      <c r="E526" s="1" t="str">
        <v>Actores locales</v>
      </c>
      <c r="F526" s="1" t="str">
        <v>Nacional</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spans="1:22" x14ac:dyDescent="0.25">
      <c r="A527" s="1">
        <v>525</v>
      </c>
      <c r="B527" s="1" t="str">
        <v/>
      </c>
      <c r="C527" s="1" t="str">
        <v>Mujer &amp; Sociedad</v>
      </c>
      <c r="D527" s="1" t="str">
        <v>Entrevista de actores clave</v>
      </c>
      <c r="E527" s="1" t="str">
        <v/>
      </c>
      <c r="F527" s="1" t="str">
        <v>Nacional</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spans="1:22" x14ac:dyDescent="0.25">
      <c r="A528" s="1">
        <v>526</v>
      </c>
      <c r="B528" s="1" t="str">
        <v/>
      </c>
      <c r="C528" s="1" t="str">
        <v xml:space="preserve">Centro de Estudios de Problemas Económicos y sociales de la Juventud </v>
      </c>
      <c r="D528" s="1" t="str">
        <v>Entrevista de actores clave</v>
      </c>
      <c r="E528" s="1" t="str">
        <v>Actores locales</v>
      </c>
      <c r="F528" s="1" t="str">
        <v>Nacional</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spans="1:22" x14ac:dyDescent="0.25">
      <c r="A529" s="1">
        <v>527</v>
      </c>
      <c r="B529" s="1" t="str">
        <v>Rosa del Carmen Hurtado Chota</v>
      </c>
      <c r="C529" s="1" t="str">
        <v>Caritas - Proyecto Luchando Contra la Violencia a orillas del río Itaya</v>
      </c>
      <c r="D529" s="1" t="str">
        <v>Entrevista de actores clave</v>
      </c>
      <c r="E529" s="1" t="str">
        <v>Actores locales</v>
      </c>
      <c r="F529" s="1" t="str">
        <v>Distrito Judicial: Loreto</v>
      </c>
      <c r="G529" s="1" t="str">
        <v/>
      </c>
      <c r="H529" s="1" t="str">
        <v>Sí</v>
      </c>
      <c r="I529" s="2" t="str">
        <v/>
      </c>
      <c r="J529" s="2" t="str">
        <v/>
      </c>
      <c r="K529" s="2" t="str">
        <v/>
      </c>
      <c r="L529" s="1" t="str">
        <v>Realizada completa</v>
      </c>
      <c r="M529" s="2">
        <v>46224</v>
      </c>
      <c r="N529" s="2">
        <v>46224</v>
      </c>
      <c r="O529" s="1" t="str">
        <v>Realizada completa</v>
      </c>
      <c r="P529" s="1">
        <v>42</v>
      </c>
      <c r="Q529" s="1" t="str">
        <v>A distancia asistido</v>
      </c>
      <c r="R529" s="1">
        <f t="shared" si="40"/>
        <v>1</v>
      </c>
      <c r="S529" s="1">
        <f t="shared" si="41"/>
        <v>0</v>
      </c>
      <c r="T529" s="1">
        <f t="shared" si="42"/>
        <v>0</v>
      </c>
      <c r="U529" s="1">
        <f t="shared" si="43"/>
        <v>1</v>
      </c>
      <c r="V529" s="1">
        <f t="shared" si="44"/>
        <v>0</v>
      </c>
    </row>
    <row r="530" spans="1:22" x14ac:dyDescent="0.25">
      <c r="A530" s="1">
        <v>528</v>
      </c>
      <c r="B530" s="1" t="str">
        <v>Abel Chiroque Becerra</v>
      </c>
      <c r="C530" s="1" t="str">
        <v>Defensoría del Pueblo</v>
      </c>
      <c r="D530" s="1" t="str">
        <v>Entrevista de actores clave</v>
      </c>
      <c r="E530" s="1" t="str">
        <v>Funcionarios del Sistema</v>
      </c>
      <c r="F530" s="1" t="str">
        <v>Distrito Judicial: Loreto</v>
      </c>
      <c r="G530" s="1" t="str">
        <v/>
      </c>
      <c r="H530" s="1" t="str">
        <v>Sí</v>
      </c>
      <c r="I530" s="2" t="str">
        <v/>
      </c>
      <c r="J530" s="2" t="str">
        <v/>
      </c>
      <c r="K530" s="2" t="str">
        <v/>
      </c>
      <c r="L530" s="1" t="str">
        <v>Realizada completa</v>
      </c>
      <c r="M530" s="2">
        <v>46224</v>
      </c>
      <c r="N530" s="2">
        <v>46224</v>
      </c>
      <c r="O530" s="1" t="str">
        <v>Realizada completa</v>
      </c>
      <c r="P530" s="1">
        <v>31</v>
      </c>
      <c r="Q530" s="1" t="str">
        <v>A distancia asistido</v>
      </c>
      <c r="R530" s="1">
        <f t="shared" si="40"/>
        <v>1</v>
      </c>
      <c r="S530" s="1">
        <f t="shared" si="41"/>
        <v>0</v>
      </c>
      <c r="T530" s="1">
        <f t="shared" si="42"/>
        <v>0</v>
      </c>
      <c r="U530" s="1">
        <f t="shared" si="43"/>
        <v>1</v>
      </c>
      <c r="V530" s="1">
        <f t="shared" si="44"/>
        <v>0</v>
      </c>
    </row>
    <row r="531" spans="1:22" x14ac:dyDescent="0.25">
      <c r="A531" s="1">
        <v>529</v>
      </c>
      <c r="B531" s="1" t="str">
        <v>Virna Quinteros Cavalcanti</v>
      </c>
      <c r="C531" s="1" t="str">
        <v>Centros de Emergencia Mujer</v>
      </c>
      <c r="D531" s="1" t="str">
        <v>Entrevista de actores clave</v>
      </c>
      <c r="E531" s="1" t="str">
        <v>Acompañantes</v>
      </c>
      <c r="F531" s="1" t="str">
        <v>Nacional</v>
      </c>
      <c r="G531" s="1" t="str">
        <v/>
      </c>
      <c r="H531" s="1" t="str">
        <v>Sí</v>
      </c>
      <c r="I531" s="2" t="str">
        <v/>
      </c>
      <c r="J531" s="2" t="str">
        <v/>
      </c>
      <c r="K531" s="2" t="str">
        <v/>
      </c>
      <c r="L531" s="1" t="str">
        <v>Realizada completa</v>
      </c>
      <c r="M531" s="2">
        <v>46224</v>
      </c>
      <c r="N531" s="2">
        <v>46224</v>
      </c>
      <c r="O531" s="1" t="str">
        <v>Realizada completa</v>
      </c>
      <c r="P531" s="1">
        <v>30</v>
      </c>
      <c r="Q531" s="1" t="str">
        <v>A distancia asistido</v>
      </c>
      <c r="R531" s="1">
        <f t="shared" si="40"/>
        <v>1</v>
      </c>
      <c r="S531" s="1">
        <f t="shared" si="41"/>
        <v>0</v>
      </c>
      <c r="T531" s="1">
        <f t="shared" si="42"/>
        <v>0</v>
      </c>
      <c r="U531" s="1">
        <f t="shared" si="43"/>
        <v>1</v>
      </c>
      <c r="V531" s="1">
        <f t="shared" si="44"/>
        <v>0</v>
      </c>
    </row>
    <row r="532" spans="1:22" x14ac:dyDescent="0.25">
      <c r="A532" s="1">
        <v>530</v>
      </c>
      <c r="B532" s="1" t="str">
        <v>Marco Octavio Durand Rocca</v>
      </c>
      <c r="C532" s="1" t="str">
        <v>Defensoría del Pueblo</v>
      </c>
      <c r="D532" s="1" t="str">
        <v>Entrevista de actores clave</v>
      </c>
      <c r="E532" s="1" t="str">
        <v>Funcionarios del Sistema</v>
      </c>
      <c r="F532" s="1" t="str">
        <v>Distrito Judicial: Huánuco</v>
      </c>
      <c r="G532" s="1" t="str">
        <v/>
      </c>
      <c r="H532" s="1" t="str">
        <v>Sí</v>
      </c>
      <c r="I532" s="2" t="str">
        <v/>
      </c>
      <c r="J532" s="2" t="str">
        <v/>
      </c>
      <c r="K532" s="2" t="str">
        <v/>
      </c>
      <c r="L532" s="1" t="str">
        <v>Realizada completa</v>
      </c>
      <c r="M532" s="2">
        <v>46227</v>
      </c>
      <c r="N532" s="2">
        <v>46227</v>
      </c>
      <c r="O532" s="1" t="str">
        <v>Realizada completa</v>
      </c>
      <c r="P532" s="1">
        <v>45</v>
      </c>
      <c r="Q532" s="1" t="str">
        <v>A distancia asistido</v>
      </c>
      <c r="R532" s="1">
        <f t="shared" si="40"/>
        <v>1</v>
      </c>
      <c r="S532" s="1">
        <f t="shared" si="41"/>
        <v>0</v>
      </c>
      <c r="T532" s="1">
        <f t="shared" si="42"/>
        <v>0</v>
      </c>
      <c r="U532" s="1">
        <f t="shared" si="43"/>
        <v>1</v>
      </c>
      <c r="V532" s="1">
        <f t="shared" si="44"/>
        <v>0</v>
      </c>
    </row>
    <row r="533" spans="1:22" x14ac:dyDescent="0.25">
      <c r="A533" s="1">
        <v>531</v>
      </c>
      <c r="B533" s="1" t="str">
        <v>Eutropía Delgado Castro</v>
      </c>
      <c r="C533" s="1" t="str">
        <v>Asociación Kallpa</v>
      </c>
      <c r="D533" s="1" t="str">
        <v>Entrevista de actores clave</v>
      </c>
      <c r="E533" s="1" t="str">
        <v>Actores locales</v>
      </c>
      <c r="F533" s="1" t="str">
        <v>Distrito Judicial: Ayacucho</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spans="1:22" x14ac:dyDescent="0.25">
      <c r="A534" s="1">
        <v>532</v>
      </c>
      <c r="B534" s="1" t="str">
        <v>Ana María Reyes Carranza</v>
      </c>
      <c r="C534" s="1" t="str">
        <v>Centros de Emergencia Mujer</v>
      </c>
      <c r="D534" s="1" t="str">
        <v>Entrevista de actores clave</v>
      </c>
      <c r="E534" s="1" t="str">
        <v>Funcionarios del Sistema</v>
      </c>
      <c r="F534" s="1" t="str">
        <v>Distrito Judicial: Cajamarca</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spans="1:22" x14ac:dyDescent="0.25">
      <c r="A535" s="1">
        <v>533</v>
      </c>
      <c r="B535" s="1" t="str">
        <v>Jonatan Basagoitia Cárdenas</v>
      </c>
      <c r="C535" s="1" t="str">
        <v>Poder Judicial</v>
      </c>
      <c r="D535" s="1" t="str">
        <v>Entrevista de actores clave</v>
      </c>
      <c r="E535" s="1" t="str">
        <v>Funcionarios del Sistema</v>
      </c>
      <c r="F535" s="1" t="str">
        <v>Distrito Judicial: Ucayali</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spans="1:22" x14ac:dyDescent="0.25">
      <c r="A536" s="1">
        <v>534</v>
      </c>
      <c r="B536" s="1" t="str">
        <v>Lily Tomas</v>
      </c>
      <c r="C536" s="1" t="str">
        <v>Ministerio Público (Fiscalía)</v>
      </c>
      <c r="D536" s="1" t="str">
        <v>Entrevista de actores clave</v>
      </c>
      <c r="E536" s="1" t="str">
        <v>Funcionarios del Sistema</v>
      </c>
      <c r="F536" s="1" t="str">
        <v>Distrito Judicial: Ucayali</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spans="1:22" x14ac:dyDescent="0.25">
      <c r="A537" s="1">
        <v>535</v>
      </c>
      <c r="B537" s="1" t="str">
        <v>Fernando Merino</v>
      </c>
      <c r="C537" s="1" t="str">
        <v>Instituto de Medicina Legal</v>
      </c>
      <c r="D537" s="1" t="str">
        <v>Entrevista de actores clave</v>
      </c>
      <c r="E537" s="1" t="str">
        <v>Actores locales</v>
      </c>
      <c r="F537" s="1" t="str">
        <v>Distrito Judicial: Ucayali</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spans="1:22" x14ac:dyDescent="0.25">
      <c r="A538" s="1">
        <v>536</v>
      </c>
      <c r="B538" s="1" t="str">
        <v>Esther Costa</v>
      </c>
      <c r="C538" s="1" t="str">
        <v>Policía Nacional del Perú</v>
      </c>
      <c r="D538" s="1" t="str">
        <v>Entrevista de actores clave</v>
      </c>
      <c r="E538" s="1" t="str">
        <v>Funcionarios del Sistema</v>
      </c>
      <c r="F538" s="1" t="str">
        <v>Nacional</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spans="1:22" x14ac:dyDescent="0.25">
      <c r="A539" s="1">
        <v>537</v>
      </c>
      <c r="B539" s="1" t="str">
        <v>Wilson Hernández Breña</v>
      </c>
      <c r="C539" s="1" t="str">
        <v>GRADE</v>
      </c>
      <c r="D539" s="1" t="str">
        <v>Entrevista de actores clave</v>
      </c>
      <c r="E539" s="1" t="str">
        <v>Multilaterales</v>
      </c>
      <c r="F539" s="1" t="str">
        <v>Distrito Judicial: Cajamarca</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spans="1:22" x14ac:dyDescent="0.25">
      <c r="A540" s="1">
        <v>538</v>
      </c>
      <c r="B540" s="1" t="str">
        <v>Percy Paredes</v>
      </c>
      <c r="C540" s="1" t="str">
        <v>MIMP</v>
      </c>
      <c r="D540" s="1" t="str">
        <v>Entrevista de actores clave</v>
      </c>
      <c r="E540" s="1" t="str">
        <v>Funcionarios del Sistema</v>
      </c>
      <c r="F540" s="1" t="str">
        <v>Distrito Judicial: Cajamarca</v>
      </c>
      <c r="G540" s="1" t="str">
        <v/>
      </c>
      <c r="H540" s="1" t="str">
        <v/>
      </c>
      <c r="I540" s="2" t="str">
        <v/>
      </c>
      <c r="J540" s="2" t="str">
        <v/>
      </c>
      <c r="K540" s="2" t="str">
        <v/>
      </c>
      <c r="L540" s="1" t="str">
        <v>Realizada completa</v>
      </c>
      <c r="M540" s="2" t="str">
        <v/>
      </c>
      <c r="N540" s="2" t="str">
        <v/>
      </c>
      <c r="O540" s="1" t="str">
        <v>Realizada completa</v>
      </c>
      <c r="P540" s="1" t="str">
        <v/>
      </c>
      <c r="Q540" s="1" t="str">
        <v>A distancia asistido</v>
      </c>
      <c r="R540" s="1">
        <f t="shared" si="40"/>
        <v>0</v>
      </c>
      <c r="S540" s="1">
        <f t="shared" si="41"/>
        <v>0</v>
      </c>
      <c r="T540" s="1">
        <f t="shared" si="42"/>
        <v>0</v>
      </c>
      <c r="U540" s="1">
        <f t="shared" si="43"/>
        <v>1</v>
      </c>
      <c r="V540" s="1">
        <f t="shared" si="44"/>
        <v>0</v>
      </c>
    </row>
    <row r="541" spans="1:22" x14ac:dyDescent="0.25">
      <c r="A541" s="1">
        <v>539</v>
      </c>
      <c r="B541" s="1" t="str">
        <v>Rosa Elizabeth Gallardo</v>
      </c>
      <c r="C541" s="1" t="str">
        <v>Warmi Ñan</v>
      </c>
      <c r="D541" s="1" t="str">
        <v>Entrevista de actores clave</v>
      </c>
      <c r="E541" s="1" t="str">
        <v>Funcionarios del Sistema</v>
      </c>
      <c r="F541" s="1" t="str">
        <v>Distrito Judicial: Huánuco</v>
      </c>
      <c r="G541" s="1" t="str">
        <v/>
      </c>
      <c r="H541" s="1" t="str">
        <v/>
      </c>
      <c r="I541" s="2" t="str">
        <v/>
      </c>
      <c r="J541" s="2" t="str">
        <v/>
      </c>
      <c r="K541" s="2" t="str">
        <v/>
      </c>
      <c r="L541" s="1" t="str">
        <v>Realizada completa</v>
      </c>
      <c r="M541" s="2" t="str">
        <v/>
      </c>
      <c r="N541" s="2" t="str">
        <v/>
      </c>
      <c r="O541" s="1" t="str">
        <v>Realizada completa</v>
      </c>
      <c r="P541" s="1" t="str">
        <v/>
      </c>
      <c r="Q541" s="1" t="str">
        <v>A distancia asistido</v>
      </c>
      <c r="R541" s="1">
        <f t="shared" si="40"/>
        <v>0</v>
      </c>
      <c r="S541" s="1">
        <f t="shared" si="41"/>
        <v>0</v>
      </c>
      <c r="T541" s="1">
        <f t="shared" si="42"/>
        <v>0</v>
      </c>
      <c r="U541" s="1">
        <f t="shared" si="43"/>
        <v>1</v>
      </c>
      <c r="V541" s="1">
        <f t="shared" si="44"/>
        <v>0</v>
      </c>
    </row>
    <row r="542" spans="1:22" x14ac:dyDescent="0.25">
      <c r="A542" s="1">
        <v>540</v>
      </c>
      <c r="B542" s="1" t="str">
        <v>Rosa Elizabeth Gallardo</v>
      </c>
      <c r="C542" s="1" t="str">
        <v>Warmi Ñan</v>
      </c>
      <c r="D542" s="1" t="str">
        <v>Entrevista de actores clave</v>
      </c>
      <c r="E542" s="1" t="str">
        <v>Funcionarios del Sistema</v>
      </c>
      <c r="F542" s="1" t="str">
        <v>Distrito Judicial: Huánuco</v>
      </c>
      <c r="G542" s="1" t="str">
        <v/>
      </c>
      <c r="H542" s="1" t="str">
        <v/>
      </c>
      <c r="I542" s="2" t="str">
        <v/>
      </c>
      <c r="J542" s="2" t="str">
        <v/>
      </c>
      <c r="K542" s="2" t="str">
        <v/>
      </c>
      <c r="L542" s="1" t="str">
        <v>Realizada completa</v>
      </c>
      <c r="M542" s="2" t="str">
        <v/>
      </c>
      <c r="N542" s="2" t="str">
        <v/>
      </c>
      <c r="O542" s="1" t="str">
        <v>Realizada completa</v>
      </c>
      <c r="P542" s="1" t="str">
        <v/>
      </c>
      <c r="Q542" s="1" t="str">
        <v/>
      </c>
      <c r="R542" s="1">
        <f t="shared" si="40"/>
        <v>0</v>
      </c>
      <c r="S542" s="1">
        <f t="shared" si="41"/>
        <v>0</v>
      </c>
      <c r="T542" s="1">
        <f t="shared" si="42"/>
        <v>0</v>
      </c>
      <c r="U542" s="1">
        <f t="shared" si="43"/>
        <v>1</v>
      </c>
      <c r="V542" s="1">
        <f t="shared" si="44"/>
        <v>0</v>
      </c>
    </row>
    <row r="543" spans="1:22"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spans="1:22"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spans="1:22"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spans="1:22"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spans="1:22"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spans="1:22"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spans="1:22"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spans="1:22"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spans="1:22"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spans="1:2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spans="1:22"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spans="1:22"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spans="1:22"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spans="1:22"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spans="1:22"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spans="1:22"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spans="1:22"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spans="1:22"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spans="1:22"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spans="1:2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spans="1:22"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spans="1:22"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spans="1:22"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spans="1:22"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spans="1:22"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spans="1:22"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spans="1:22"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spans="1:22"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spans="1:22"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spans="1:2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spans="1:22"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spans="1:22"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spans="1:22"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spans="1:22"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spans="1:22"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spans="1:22"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spans="1:22"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spans="1:22"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spans="1:22"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spans="1:2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spans="1:22"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spans="1:22"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spans="1:22"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spans="1:22"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spans="1:22"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spans="1:22"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spans="1:22"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spans="1:22"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spans="1:22"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spans="1:2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spans="1:22"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spans="1:22"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spans="1:22"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spans="1:22"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spans="1:22"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spans="1:22"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spans="1:22"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spans="1:22"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spans="1:22"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spans="1:2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spans="1:22"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spans="1:22"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spans="1:22"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spans="1:22"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spans="1:22"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spans="1:22"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spans="1:22"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spans="1:22"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spans="1:22"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spans="1:2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spans="1:22"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spans="1:22"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spans="1:22"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spans="1:22"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spans="1:22"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spans="1:22"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spans="1:22"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spans="1:22"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spans="1:22"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spans="1: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spans="1:22"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spans="1:22"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spans="1:22"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spans="1:22"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spans="1:22"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spans="1:22"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spans="1:22"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spans="1:22"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spans="1:22"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spans="1:2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spans="1:22"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spans="1:22"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spans="1:22"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spans="1:22"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spans="1:22"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spans="1:22"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spans="1:22"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spans="1:22"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spans="1:22"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spans="1:2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spans="1:22"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spans="1:22"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spans="1:22"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spans="1:22"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spans="1:22"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spans="1:22"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spans="1:22"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spans="1:22"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spans="1:22"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spans="1:2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spans="1:22"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spans="1:22"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spans="1:22"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spans="1:22"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spans="1:22"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spans="1:22"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spans="1:22"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spans="1:22"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spans="1:22"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spans="1:2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spans="1:22"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spans="1:22"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spans="1:22"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spans="1:22"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spans="1:22"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spans="1:22"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spans="1:22"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spans="1:22"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spans="1:22"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spans="1:2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spans="1:22"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spans="1:22"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spans="1:22"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spans="1:22"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spans="1:22"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spans="1:22"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spans="1:22"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spans="1:22"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spans="1:22"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spans="1:2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spans="1:22"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spans="1:22"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spans="1:22"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spans="1:22"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spans="1:22"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spans="1:22"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spans="1:22"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spans="1:22"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spans="1:22"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spans="1:2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spans="1:22"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spans="1:22"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spans="1:22"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spans="1:22"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spans="1:22"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spans="1:22"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spans="1:22"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spans="1:22"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spans="1:22"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spans="1:2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spans="1:22"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spans="1:22"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spans="1:22"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spans="1:22"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spans="1:22"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spans="1:22"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spans="1:22"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spans="1:22"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spans="1:22"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spans="1:2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spans="1:22"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spans="1:22"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spans="1:22"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spans="1:22"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spans="1:22"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spans="1:22"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spans="1:22"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spans="1:22"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spans="1:22"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spans="1: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spans="1:22"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spans="1:22"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spans="1:22"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spans="1:22"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spans="1:22"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spans="1:22"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spans="1:22"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spans="1:22"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spans="1:22"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spans="1:2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spans="1:22"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spans="1:22"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spans="1:22"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spans="1:22"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spans="1:22"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spans="1:22"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spans="1:22"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spans="1:22"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spans="1:22"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spans="1:2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spans="1:22"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spans="1:22"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spans="1:22"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spans="1:22"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spans="1:22"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spans="1:22"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spans="1:22"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spans="1:22"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spans="1:22"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spans="1:2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spans="1:22"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spans="1:22"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spans="1:22"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spans="1:22"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spans="1:22"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spans="1:22"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spans="1:22"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spans="1:22"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spans="1:22"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spans="1:2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spans="1:22"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spans="1:22"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spans="1:22"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spans="1:22"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spans="1:22"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spans="1:22"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spans="1:22"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spans="1:22"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spans="1:22"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spans="1:2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spans="1:22"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spans="1:22"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spans="1:22"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spans="1:22"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spans="1:22"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spans="1:22"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spans="1:22"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spans="1:22"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spans="1:22"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spans="1:2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spans="1:22"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spans="1:22"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spans="1:22"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spans="1:22"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spans="1:22"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spans="1:22"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spans="1:22"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spans="1:22"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spans="1:22"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spans="1:2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spans="1:22"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spans="1:22"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spans="1:22"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spans="1:22"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spans="1:22"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spans="1:22"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spans="1:22"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spans="1:22"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spans="1:22"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spans="1:2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spans="1:22"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spans="1:22"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spans="1:22"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spans="1:22"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spans="1:22"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spans="1:22"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spans="1:22"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spans="1:22"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spans="1:22"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spans="1:2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spans="1:22"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spans="1:22"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spans="1:22"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spans="1:22"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spans="1:22"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spans="1:22"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spans="1:22"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spans="1:22"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spans="1:22"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spans="1: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spans="1:22"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spans="1:22"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spans="1:22"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spans="1:22"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spans="1:22"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spans="1:22"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spans="1:22"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spans="1:22"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spans="1:22"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spans="1:2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spans="1:22"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spans="1:22"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spans="1:22"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spans="1:22"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spans="1:22"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spans="1:22"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spans="1:22"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spans="1:22"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spans="1:22"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spans="1:2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spans="1:22"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spans="1:22"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spans="1:22"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spans="1:22"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spans="1:22"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spans="1:22"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spans="1:22"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spans="1:22"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spans="1:22"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spans="1:2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spans="1:22"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spans="1:22"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spans="1:22"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spans="1:22"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spans="1:22"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spans="1:22"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spans="1:22"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spans="1:22"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spans="1:22"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spans="1:2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spans="1:22"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spans="1:22"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spans="1:22"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spans="1:22"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spans="1:22"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spans="1:22"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spans="1:22"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spans="1:22"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spans="1:22"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spans="1:2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spans="1:22"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spans="1:22"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spans="1:22"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spans="1:22"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spans="1:22"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spans="1:22"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spans="1:22"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spans="1:22"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spans="1:22"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spans="1:2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spans="1:22"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spans="1:22"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spans="1:22"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spans="1:22"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spans="1:22"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spans="1:22"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spans="1:22"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spans="1:22"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spans="1:22"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spans="1:2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spans="1:22"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spans="1:22"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spans="1:22"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spans="1:22"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spans="1:22"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spans="1:22"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spans="1:22"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spans="1:22"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spans="1:22"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spans="1:2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spans="1:22"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spans="1:22"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spans="1:22"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spans="1:22"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spans="1:22"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spans="1:22"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spans="1:22"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spans="1:22"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spans="1:22"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spans="1:2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spans="1:22"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spans="1:22"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spans="1:22"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spans="1:22"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spans="1:22"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spans="1:22"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spans="1:22"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spans="1:22"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spans="1:22"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spans="1: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spans="1:22"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spans="1:22"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spans="1:22"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spans="1:22"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spans="1:22"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spans="1:22"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spans="1:22"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spans="1:22"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spans="1:22"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spans="1:2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spans="1:22"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spans="1:22"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spans="1:22"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spans="1:22"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spans="1:22"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spans="1:22"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spans="1:22"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spans="1:22"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spans="1:22"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spans="1:2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spans="1:22"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spans="1:22"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spans="1:22"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spans="1:22"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spans="1:22"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spans="1:22"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spans="1:22"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spans="1:22"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spans="1:22"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spans="1:2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spans="1:22"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spans="1:22"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spans="1:22"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spans="1:22"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spans="1:22"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spans="1:22"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spans="1:22"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spans="1:22"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spans="1:22"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spans="1:2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spans="1:22"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spans="1:22"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spans="1:22"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spans="1:22"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spans="1:22"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spans="1:22"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spans="1:22"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spans="1:22"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spans="1:22"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spans="1:2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spans="1:22"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spans="1:22"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spans="1:22"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spans="1:22"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spans="1:22"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spans="1:22"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spans="1:22"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spans="1:22"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spans="1:22"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spans="1:2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spans="1:22"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spans="1:22"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spans="1:22"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spans="1:22"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spans="1:22"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spans="1:22"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spans="1:22"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spans="1:22"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spans="1:22"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spans="1:2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spans="1:22"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spans="1:22"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spans="1:22"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xr:uid="{00000000-0009-0000-0000-000009000000}"/>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1"/>
    <col min="2" max="2" width="24.7265625" bestFit="1" customWidth="1"/>
    <col min="3" max="3" width="22.453125" bestFit="1" customWidth="1"/>
    <col min="4" max="5" width="22.453125" customWidth="1"/>
    <col min="6" max="9" width="16" customWidth="1"/>
    <col min="10" max="10" width="23" bestFit="1" customWidth="1"/>
    <col min="11" max="11" width="16" customWidth="1"/>
    <col min="12" max="12" width="26.1796875" bestFit="1" customWidth="1"/>
    <col min="13" max="13" width="23.7265625" bestFit="1" customWidth="1"/>
    <col min="14" max="21" width="16" customWidth="1"/>
  </cols>
  <sheetData>
    <row r="1" spans="1:21" s="15" customFormat="1"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spans="1:21"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 xml:space="preserve">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spans="1:21"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spans="1:21"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spans="1:21"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spans="1:21"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spans="1:21"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spans="1:21"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spans="1:21"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spans="1:21"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spans="1:2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spans="1:21" x14ac:dyDescent="0.35">
      <c r="A12" t="str">
        <v>11</v>
      </c>
      <c r="B12" t="str">
        <v>Sobreviviente02</v>
      </c>
      <c r="C12" t="str">
        <v/>
      </c>
      <c r="D12" t="str">
        <v>Sobreviviente</v>
      </c>
      <c r="E12" t="str">
        <v>Distrito Judicial: Apurímac</v>
      </c>
      <c r="F12" t="str">
        <v>APOYO</v>
      </c>
      <c r="G12" t="str">
        <v>Sí</v>
      </c>
      <c r="H12" t="str">
        <v/>
      </c>
      <c r="I12" t="str">
        <v/>
      </c>
      <c r="J12" t="str">
        <v/>
      </c>
      <c r="K12" t="str">
        <v>Realizada incompleta</v>
      </c>
      <c r="L12" t="str">
        <v/>
      </c>
      <c r="M12" t="str">
        <v/>
      </c>
      <c r="N12" t="str">
        <v>Realizada completa</v>
      </c>
      <c r="O12" t="str">
        <v>Presencial</v>
      </c>
      <c r="P12" t="str">
        <v/>
      </c>
      <c r="Q12">
        <f t="shared" si="5"/>
        <v>1</v>
      </c>
      <c r="R12">
        <f t="shared" si="6"/>
        <v>0</v>
      </c>
      <c r="S12">
        <f t="shared" si="7"/>
        <v>0</v>
      </c>
      <c r="T12">
        <f t="shared" si="3"/>
        <v>0</v>
      </c>
      <c r="U12">
        <f t="shared" si="4"/>
        <v>0</v>
      </c>
    </row>
    <row r="13" spans="1:21"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spans="1:21"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spans="1:21"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spans="1:21"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spans="1:21"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spans="1:21"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spans="1:21"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spans="1:21"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spans="1: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spans="1:21"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spans="1:21"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spans="1:21"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spans="1:21"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spans="1:21"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spans="1:21"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spans="1:21"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spans="1:21"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spans="1:21"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spans="1:2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spans="1:21"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spans="1:21"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spans="1:21"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spans="1:21"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spans="1:21"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spans="1:21"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spans="1:21"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spans="1:21"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spans="1:21"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spans="1:2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spans="1:21"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spans="1:21"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spans="1:21"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spans="1:21"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spans="1:21"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spans="1:21"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spans="1:21"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spans="1:21"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spans="1:21"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spans="1:2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spans="1:21"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spans="1:21"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spans="1:21"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spans="1:21"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spans="1:21"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spans="1:21"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spans="1:21"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spans="1:21"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spans="1:21"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spans="1:2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spans="1:21"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spans="1:21"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spans="1:21"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spans="1:21"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spans="1:21"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spans="1:21"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spans="1:21"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spans="1:21"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spans="1:21"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spans="1:2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spans="1:21"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spans="1:21"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spans="1:21"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spans="1:21"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spans="1:21"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spans="1:21"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spans="1:21"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spans="1:21"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spans="1:21"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spans="1:2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spans="1:21"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spans="1:21"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spans="1:21"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spans="1:21"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spans="1:21"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spans="1:21"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spans="1:21"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spans="1:21"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spans="1:21"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spans="1:2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spans="1:21"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spans="1:21"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spans="1:21"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spans="1:21"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spans="1:21"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spans="1:21"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spans="1:21"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spans="1:21"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spans="1:21"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spans="1:2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spans="1:21"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spans="1:21"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spans="1:21"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spans="1:21"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spans="1:21"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spans="1:21"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spans="1:21"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spans="1:21"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spans="1:21"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spans="1:2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spans="1:21"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spans="1:21"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spans="1:21"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spans="1:21"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spans="1:21"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spans="1:21"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spans="1:21"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spans="1:21"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spans="1:21"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spans="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spans="1:21"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spans="1:21"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spans="1:21"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spans="1:21"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spans="1:21"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spans="1:21"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spans="1:21"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spans="1:21"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spans="1:21"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spans="1:2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spans="1:21"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spans="1:21"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spans="1:21"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spans="1:21"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spans="1:21"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spans="1:21"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spans="1:21"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spans="1:21"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spans="1:21"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spans="1:2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spans="1:21"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spans="1:21"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spans="1:21"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spans="1:21"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spans="1:21"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spans="1:21"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spans="1:21"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spans="1:21"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spans="1:21"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spans="1:2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spans="1:21"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spans="1:21"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spans="1:21"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spans="1:21"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spans="1:21"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spans="1:21"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spans="1:21"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spans="1:21"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spans="1:21"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spans="1:2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spans="1:21"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spans="1:21"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spans="1:21"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spans="1:21"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spans="1:21"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spans="1:21"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spans="1:21"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spans="1:21"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spans="1:21"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spans="1:2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spans="1:21"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spans="1:21"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spans="1:21"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spans="1:21"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spans="1:21"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spans="1:21"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spans="1:21"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spans="1:21"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spans="1:21"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spans="1:2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spans="1:21"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spans="1:21"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spans="1:21"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spans="1:21"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spans="1:21"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spans="1:21"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spans="1:21"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spans="1:21"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spans="1:21"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spans="1:2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spans="1:21"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spans="1:21"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spans="1:21"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spans="1:21"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spans="1:21"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spans="1:21"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spans="1:21"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spans="1:21"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spans="1:21"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spans="1:2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spans="1:21"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spans="1:21"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spans="1:21"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spans="1:21"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spans="1:21"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spans="1:21"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spans="1:21"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spans="1:21"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spans="1:21"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spans="1:2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spans="1:21"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spans="1:21"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spans="1:21"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spans="1:21"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spans="1:21"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spans="1:21"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spans="1:21"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spans="1:21"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spans="1:21"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spans="1: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spans="1:21"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spans="1:21"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spans="1:21"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spans="1:21"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spans="1:21"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spans="1:21"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spans="1:21"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spans="1:21"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spans="1:21"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spans="1:2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spans="1:21"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spans="1:21"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spans="1:21"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spans="1:21"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spans="1:21"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spans="1:21"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spans="1:21"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spans="1:21"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spans="1:21"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spans="1:2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spans="1:21"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spans="1:21"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spans="1:21"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spans="1:21"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spans="1:21"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spans="1:21"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spans="1:21"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spans="1:21"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spans="1:21"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spans="1:2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spans="1:21"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spans="1:21"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spans="1:21"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spans="1:21"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spans="1:21"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spans="1:21"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spans="1:21"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spans="1:21"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spans="1:21"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spans="1:2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spans="1:21"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spans="1:21"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spans="1:21"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spans="1:21"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spans="1:21"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spans="1:21"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spans="1:21"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spans="1:21"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spans="1:21"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spans="1:2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spans="1:21"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spans="1:21"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spans="1:21"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spans="1:21"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spans="1:21"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spans="1:21"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spans="1:21"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spans="1:21"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spans="1:21"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spans="1:2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spans="1:21"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spans="1:21"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spans="1:21"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spans="1:21"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spans="1:21"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spans="1:21"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spans="1:21"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spans="1:21"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spans="1:21"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spans="1:2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spans="1:21"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spans="1:21"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spans="1:21"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spans="1:21"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spans="1:21"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spans="1:21"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spans="1:21"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spans="1:21"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spans="1:21"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spans="1:2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spans="1:21"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spans="1:21"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spans="1:21"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spans="1:21"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spans="1:21"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spans="1:21"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spans="1:21"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spans="1:21"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spans="1:21"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spans="1:2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spans="1:21"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spans="1:21"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spans="1:21"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spans="1:21"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spans="1:21"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spans="1:21"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spans="1:21"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spans="1:21"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spans="1:21"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spans="1: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spans="1:21"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spans="1:21"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spans="1:21"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spans="1:21"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spans="1:21"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spans="1:21"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spans="1:21"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spans="1:21"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spans="1:21"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spans="1:2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spans="1:21"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spans="1:21"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spans="1:21"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spans="1:21"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spans="1:21"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spans="1:21"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spans="1:21"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spans="1:21"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spans="1:21"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spans="1:2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spans="1:21"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spans="1:21"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spans="1:21"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spans="1:21"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spans="1:21"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spans="1:21"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spans="1:21"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spans="1:21"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spans="1:21"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spans="1:2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spans="1:21"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spans="1:21"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spans="1:21"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spans="1:21"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spans="1:21"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spans="1:21"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spans="1:21"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spans="1:21"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spans="1:21"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spans="1:2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spans="1:21"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spans="1:21"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spans="1:21"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spans="1:21"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spans="1:21"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spans="1:21"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spans="1:21"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spans="1:21"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spans="1:21"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spans="1:2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spans="1:21"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spans="1:21"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spans="1:21"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spans="1:21"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spans="1:21"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spans="1:21"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spans="1:21"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spans="1:21"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spans="1:21"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spans="1:2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spans="1:21"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spans="1:21"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spans="1:21"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spans="1:21"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spans="1:21"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spans="1:21"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spans="1:21"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spans="1:21"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spans="1:21"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spans="1:2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spans="1:21"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spans="1:21"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spans="1:21"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spans="1:21"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spans="1:21"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spans="1:21"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spans="1:21"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spans="1:21"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spans="1:21"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spans="1:2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spans="1:21"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spans="1:21"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spans="1:21"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spans="1:21"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spans="1:21"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spans="1:21"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spans="1:21"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spans="1:21"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spans="1:21"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spans="1:2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spans="1:21"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spans="1:21"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spans="1:21"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spans="1:21"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spans="1:21"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spans="1:21"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spans="1:21"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spans="1:21"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spans="1:21"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spans="1: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spans="1:21"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spans="1:21"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spans="1:21"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spans="1:21"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spans="1:21"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spans="1:21"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spans="1:21"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spans="1:21"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spans="1:21"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spans="1:2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spans="1:21"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spans="1:21"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spans="1:21"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spans="1:21"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spans="1:21"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spans="1:21"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spans="1:21"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spans="1:21"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spans="1:21"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spans="1:2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spans="1:21"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spans="1:21"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spans="1:21"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spans="1:21"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spans="1:21"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spans="1:21"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spans="1:21"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spans="1:21"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spans="1:21"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spans="1:2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spans="1:21"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spans="1:21"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spans="1:21"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spans="1:21"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spans="1:21"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spans="1:21"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spans="1:21"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spans="1:21"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spans="1:21"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spans="1:2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spans="1:21"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spans="1:21"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spans="1:21"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spans="1:21"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spans="1:21"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spans="1:21"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spans="1:21"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spans="1:21"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spans="1:21"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spans="1:2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spans="1:21"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spans="1:21"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spans="1:21"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spans="1:21"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spans="1:21"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spans="1:21"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spans="1:21"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spans="1:21"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spans="1:21"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spans="1:2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spans="1:21"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spans="1:21"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spans="1:21"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spans="1:21"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spans="1:21"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spans="1:21"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spans="1:21"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spans="1:21"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spans="1:21"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spans="1:2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spans="1:21"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spans="1:21"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spans="1:21"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spans="1:21"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spans="1:21"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spans="1:21"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spans="1:21"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spans="1:21"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spans="1:21"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spans="1:2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spans="1:21"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spans="1:21"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spans="1:21"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spans="1:21"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spans="1:21"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spans="1:21"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spans="1:21"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spans="1:21"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spans="1:21"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spans="1:2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spans="1:21"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spans="1:21"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spans="1:21"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spans="1:21"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spans="1:21"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spans="1:21"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spans="1:21"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spans="1:21"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spans="1:21"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spans="1: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spans="1:21"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spans="1:21"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spans="1:21"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spans="1:21"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spans="1:21"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spans="1:21"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spans="1:21"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spans="1:21"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spans="1:21"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spans="1:2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spans="1:21"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spans="1:21"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spans="1:21"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spans="1:21"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spans="1:21"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spans="1:21"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spans="1:21"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spans="1:21"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spans="1:21"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spans="1:2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spans="1:21"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spans="1:21"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spans="1:21"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spans="1:21"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spans="1:21"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spans="1:21"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spans="1:21"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spans="1:21"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spans="1:21"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spans="1:2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spans="1:21"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spans="1:21"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spans="1:21"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spans="1:21"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spans="1:21"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spans="1:21"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spans="1:21"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spans="1:21"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spans="1:21"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spans="1:2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spans="1:21"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spans="1:21"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spans="1:21"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spans="1:21"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spans="1:21"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spans="1:21"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spans="1:21"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spans="1:21"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spans="1:21"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spans="1:2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spans="1:21"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spans="1:21"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spans="1:21"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spans="1:21"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spans="1:21"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spans="1:21"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spans="1:21"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spans="1:21"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spans="1:21"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spans="1:2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spans="1:21"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spans="1:21"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spans="1:21"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spans="1:21"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spans="1:21"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spans="1:21"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spans="1:21"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spans="1:21"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spans="1:21"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spans="1:2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spans="1:21"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spans="1:21"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spans="1:21"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spans="1:21"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spans="1:21"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spans="1:21"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spans="1:21"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spans="1:21"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spans="1:21"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1" customWidth="1"/>
    <col min="2" max="2" width="38.7265625" style="23" customWidth="1"/>
    <col min="3" max="3" width="26.1796875" bestFit="1" customWidth="1"/>
    <col min="4" max="4" width="55.1796875" bestFit="1" customWidth="1"/>
    <col min="5" max="5" width="35.54296875" customWidth="1"/>
    <col min="6" max="6" width="30.54296875" customWidth="1"/>
    <col min="7" max="7" width="22.453125" bestFit="1" customWidth="1"/>
    <col min="9" max="11" width="21" style="2" bestFit="1" customWidth="1"/>
    <col min="12" max="12" width="21" style="1" bestFit="1" customWidth="1"/>
    <col min="13" max="13" width="21" style="2" bestFit="1" customWidth="1"/>
    <col min="14" max="14" width="21" style="1" customWidth="1"/>
    <col min="15" max="16" width="21" style="1" bestFit="1" customWidth="1"/>
    <col min="17" max="18" width="21" style="1" customWidth="1"/>
  </cols>
  <sheetData>
    <row r="1" spans="1:2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spans="1:21"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xml:space="preserve"> 4/27/2026</v>
      </c>
      <c r="J2" s="2" t="str" cm="1">
        <f t="array" ref="J2:J994">+IF('Seguimiento grupos focales'!V7:V999&lt;&gt;"",'Seguimiento grupos focales'!V7:V999,"")</f>
        <v xml:space="preserve">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spans="1:21" x14ac:dyDescent="0.35">
      <c r="A3" s="15" t="str">
        <v>2</v>
      </c>
      <c r="B3" s="5" t="str">
        <v>Cinthia Navarro</v>
      </c>
      <c r="C3" s="1" t="str">
        <v>Grupo focal de reconocimiento</v>
      </c>
      <c r="D3" s="1" t="str">
        <v>Oxfam</v>
      </c>
      <c r="E3" s="1" t="str">
        <v>Multilaterales</v>
      </c>
      <c r="F3" s="1" t="str">
        <v>Nacional</v>
      </c>
      <c r="G3" s="1" t="str">
        <v>IJM</v>
      </c>
      <c r="H3" s="1" t="str">
        <v>Sí</v>
      </c>
      <c r="I3" s="2" t="str">
        <v xml:space="preserve"> 4/27/2026</v>
      </c>
      <c r="J3" s="2" t="str">
        <v xml:space="preserve">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spans="1:21"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xml:space="preserve">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spans="1:21" x14ac:dyDescent="0.35">
      <c r="A5" s="15" t="str">
        <v>4</v>
      </c>
      <c r="B5" s="5" t="str">
        <v>Sandra Contreras</v>
      </c>
      <c r="C5" s="1" t="str">
        <v>Grupo focal de reconocimiento</v>
      </c>
      <c r="D5" s="1" t="str">
        <v>World Vision</v>
      </c>
      <c r="E5" s="1" t="str">
        <v>Multilaterales</v>
      </c>
      <c r="F5" s="1" t="str">
        <v>Nacional</v>
      </c>
      <c r="G5" s="1" t="str">
        <v>APOYO</v>
      </c>
      <c r="H5" s="1" t="str">
        <v>Sí</v>
      </c>
      <c r="I5" s="2" t="str">
        <v xml:space="preserve"> 9-Apr</v>
      </c>
      <c r="J5" s="2" t="str">
        <v xml:space="preserve"> 6-May</v>
      </c>
      <c r="K5" s="2" t="str">
        <v/>
      </c>
      <c r="L5" s="1" t="str">
        <v>Sin respuesta</v>
      </c>
      <c r="M5" s="2" t="str">
        <v/>
      </c>
      <c r="N5" s="1" t="str">
        <v/>
      </c>
      <c r="O5" s="1" t="str">
        <v>Grupo focal 2</v>
      </c>
      <c r="P5" s="1" t="str">
        <v/>
      </c>
      <c r="Q5" s="1">
        <f t="shared" si="0"/>
        <v>1</v>
      </c>
      <c r="R5" s="1">
        <f t="shared" si="1"/>
        <v>0</v>
      </c>
      <c r="S5">
        <v>1</v>
      </c>
      <c r="T5">
        <f t="shared" si="2"/>
        <v>0</v>
      </c>
      <c r="U5">
        <f t="shared" si="3"/>
        <v>0</v>
      </c>
    </row>
    <row r="6" spans="1:21" x14ac:dyDescent="0.35">
      <c r="A6" s="15" t="str">
        <v>5</v>
      </c>
      <c r="B6" s="5" t="str">
        <v>Silvia Romero Borda</v>
      </c>
      <c r="C6" s="1" t="str">
        <v>Grupo focal de reconocimiento</v>
      </c>
      <c r="D6" s="1" t="str">
        <v>GIZ</v>
      </c>
      <c r="E6" s="1" t="str">
        <v>Multilaterales</v>
      </c>
      <c r="F6" s="1" t="str">
        <v>Nacional</v>
      </c>
      <c r="G6" s="1" t="str">
        <v>IJM</v>
      </c>
      <c r="H6" s="1" t="str">
        <v>Sí</v>
      </c>
      <c r="I6" s="2" t="str">
        <v xml:space="preserve">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spans="1:21"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spans="1:21"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xml:space="preserve"> 4/27/2026</v>
      </c>
      <c r="J8" s="2" t="str">
        <v xml:space="preserve">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spans="1:21"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xml:space="preserve">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spans="1:21" x14ac:dyDescent="0.35">
      <c r="A10" s="15" t="str">
        <v>9</v>
      </c>
      <c r="B10" s="5" t="str">
        <v>Oscar Andrés Alva Arías</v>
      </c>
      <c r="C10" s="1" t="str">
        <v>Grupo focal de reconocimiento</v>
      </c>
      <c r="D10" s="1" t="str">
        <v xml:space="preserve">Ministerio de la Mujer </v>
      </c>
      <c r="E10" s="1" t="str">
        <v>Actores locales</v>
      </c>
      <c r="F10" s="1" t="str">
        <v>Nacional</v>
      </c>
      <c r="G10" s="1" t="str">
        <v>IJM</v>
      </c>
      <c r="H10" s="1" t="str">
        <v>Sí</v>
      </c>
      <c r="I10" s="2" t="str">
        <v xml:space="preserve">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spans="1:2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xml:space="preserve">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spans="1:21"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xml:space="preserve"> 6-May</v>
      </c>
      <c r="K12" s="2" t="str">
        <v xml:space="preserve"> 8-May</v>
      </c>
      <c r="L12" s="1" t="str">
        <v>Sin respuesta</v>
      </c>
      <c r="M12" s="2" t="str">
        <v/>
      </c>
      <c r="N12" s="1" t="str">
        <v/>
      </c>
      <c r="O12" s="1" t="str">
        <v>Grupo focal 2</v>
      </c>
      <c r="P12" s="1" t="str">
        <v/>
      </c>
      <c r="Q12" s="1">
        <f t="shared" si="0"/>
        <v>1</v>
      </c>
      <c r="R12" s="1">
        <f t="shared" si="1"/>
        <v>0</v>
      </c>
      <c r="S12">
        <v>1</v>
      </c>
      <c r="T12">
        <f t="shared" si="2"/>
        <v>0</v>
      </c>
      <c r="U12">
        <f t="shared" si="3"/>
        <v>0</v>
      </c>
    </row>
    <row r="13" spans="1:21"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xml:space="preserve"> 6-May</v>
      </c>
      <c r="K13" s="2" t="str">
        <v xml:space="preserve"> 8-May</v>
      </c>
      <c r="L13" s="1" t="str">
        <v>Sin respuesta</v>
      </c>
      <c r="M13" s="2" t="str">
        <v/>
      </c>
      <c r="N13" s="1" t="str">
        <v/>
      </c>
      <c r="O13" s="1" t="str">
        <v>Grupo focal 1</v>
      </c>
      <c r="P13" s="1" t="str">
        <v/>
      </c>
      <c r="Q13" s="1">
        <f t="shared" si="0"/>
        <v>1</v>
      </c>
      <c r="R13" s="1">
        <f t="shared" si="1"/>
        <v>0</v>
      </c>
      <c r="S13">
        <v>1</v>
      </c>
      <c r="T13">
        <f t="shared" si="2"/>
        <v>0</v>
      </c>
      <c r="U13">
        <f t="shared" si="3"/>
        <v>0</v>
      </c>
    </row>
    <row r="14" spans="1:21"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xml:space="preserve">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spans="1:21"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xml:space="preserve"> 6-May</v>
      </c>
      <c r="K15" s="2" t="str">
        <v xml:space="preserve"> 8-May</v>
      </c>
      <c r="L15" s="1" t="str">
        <v>Aceptada</v>
      </c>
      <c r="M15" s="2" t="str">
        <v>20-May</v>
      </c>
      <c r="N15" s="1" t="str">
        <v/>
      </c>
      <c r="O15" s="1" t="str">
        <v>Grupo focal 2</v>
      </c>
      <c r="P15" s="1" t="str">
        <v/>
      </c>
      <c r="Q15" s="1">
        <f t="shared" si="0"/>
        <v>1</v>
      </c>
      <c r="R15" s="1">
        <f t="shared" si="1"/>
        <v>0</v>
      </c>
      <c r="S15">
        <v>1</v>
      </c>
      <c r="T15">
        <f t="shared" si="2"/>
        <v>0</v>
      </c>
      <c r="U15">
        <f t="shared" si="3"/>
        <v>1</v>
      </c>
    </row>
    <row r="16" spans="1:21"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spans="1:21"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xml:space="preserve">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spans="1:21"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xml:space="preserve"> 6-May</v>
      </c>
      <c r="K18" s="2" t="str">
        <v xml:space="preserve"> 8-May</v>
      </c>
      <c r="L18" s="1" t="str">
        <v>Sin respuesta</v>
      </c>
      <c r="M18" s="2" t="str">
        <v/>
      </c>
      <c r="N18" s="1" t="str">
        <v/>
      </c>
      <c r="O18" s="1" t="str">
        <v>Grupo focal 1</v>
      </c>
      <c r="P18" s="1" t="str">
        <v/>
      </c>
      <c r="Q18" s="1">
        <f t="shared" si="0"/>
        <v>1</v>
      </c>
      <c r="R18" s="1">
        <f t="shared" si="1"/>
        <v>0</v>
      </c>
      <c r="S18">
        <v>1</v>
      </c>
      <c r="T18">
        <f t="shared" si="2"/>
        <v>0</v>
      </c>
      <c r="U18">
        <f t="shared" si="3"/>
        <v>0</v>
      </c>
    </row>
    <row r="19" spans="1:21"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xml:space="preserve"> 6-May</v>
      </c>
      <c r="K19" s="2" t="str">
        <v xml:space="preserve"> 8-May</v>
      </c>
      <c r="L19" s="1" t="str">
        <v>Sin respuesta</v>
      </c>
      <c r="M19" s="2" t="str">
        <v/>
      </c>
      <c r="N19" s="1" t="str">
        <v/>
      </c>
      <c r="O19" s="1" t="str">
        <v>Grupo focal 2</v>
      </c>
      <c r="P19" s="1" t="str">
        <v/>
      </c>
      <c r="Q19" s="1">
        <f t="shared" si="0"/>
        <v>1</v>
      </c>
      <c r="R19" s="1">
        <f t="shared" si="1"/>
        <v>0</v>
      </c>
      <c r="S19">
        <v>1</v>
      </c>
      <c r="T19">
        <f t="shared" si="2"/>
        <v>0</v>
      </c>
      <c r="U19">
        <f t="shared" si="3"/>
        <v>0</v>
      </c>
    </row>
    <row r="20" spans="1:21"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xml:space="preserve">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spans="1: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xml:space="preserve">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spans="1:21"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xml:space="preserve">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spans="1:21"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xml:space="preserve">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spans="1:21"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xml:space="preserve">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spans="1:21"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spans="1:21" x14ac:dyDescent="0.35">
      <c r="A26" s="15" t="str">
        <v>25</v>
      </c>
      <c r="B26" s="5" t="str">
        <v xml:space="preserve">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xml:space="preserve"> 4/27/2026</v>
      </c>
      <c r="J26" s="2" t="str">
        <v xml:space="preserve">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spans="1:21"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xml:space="preserve">  5/7/2026</v>
      </c>
      <c r="J27" s="2" t="str">
        <v xml:space="preserve">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spans="1:21" x14ac:dyDescent="0.35">
      <c r="A28" s="15" t="str">
        <v>27</v>
      </c>
      <c r="B28" s="5" t="str">
        <v xml:space="preserve">Norma Rojas </v>
      </c>
      <c r="C28" s="1" t="str">
        <v>Grupo focal de reconocimiento</v>
      </c>
      <c r="D28" s="1" t="str">
        <v>Ministerio del Interior</v>
      </c>
      <c r="E28" s="1" t="str">
        <v>Funcionarios del Sistema</v>
      </c>
      <c r="F28" s="1" t="str">
        <v>Distrito Judicial: Apurímac</v>
      </c>
      <c r="G28" s="1" t="str">
        <v>IJM</v>
      </c>
      <c r="H28" s="1" t="str">
        <v>Sí</v>
      </c>
      <c r="I28" s="2" t="str">
        <v xml:space="preserve">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spans="1:21"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xml:space="preserve"> 4/27/2026</v>
      </c>
      <c r="J29" s="2" t="str">
        <v xml:space="preserve">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spans="1:21"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xml:space="preserve"> 6-May</v>
      </c>
      <c r="J30" s="2" t="str">
        <v xml:space="preserve">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spans="1:2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xml:space="preserve"> 6-May</v>
      </c>
      <c r="J31" s="2" t="str">
        <v xml:space="preserve">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spans="1:21"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xml:space="preserve">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spans="1:21"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xml:space="preserve"> 6-May</v>
      </c>
      <c r="J33" s="2" t="str">
        <v xml:space="preserve"> 8-May</v>
      </c>
      <c r="K33" s="2" t="str">
        <v/>
      </c>
      <c r="L33" s="1" t="str">
        <v>En coordinación</v>
      </c>
      <c r="M33" s="2" t="str">
        <v/>
      </c>
      <c r="N33" s="1" t="str">
        <v/>
      </c>
      <c r="O33" s="1" t="str">
        <v/>
      </c>
      <c r="P33" s="1" t="str">
        <v/>
      </c>
      <c r="Q33" s="1">
        <f t="shared" si="0"/>
        <v>1</v>
      </c>
      <c r="R33" s="1">
        <f t="shared" si="1"/>
        <v>1</v>
      </c>
      <c r="S33">
        <v>1</v>
      </c>
      <c r="T33">
        <f t="shared" si="2"/>
        <v>0</v>
      </c>
      <c r="U33">
        <f t="shared" si="3"/>
        <v>0</v>
      </c>
    </row>
    <row r="34" spans="1:21"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xml:space="preserve"> 4/27/2026</v>
      </c>
      <c r="J34" s="2" t="str">
        <v xml:space="preserve">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spans="1:21" x14ac:dyDescent="0.35">
      <c r="A35" s="15" t="str">
        <v>34</v>
      </c>
      <c r="B35" s="23" t="str">
        <v>Zoila Cabanillas</v>
      </c>
      <c r="C35" t="str">
        <v>Grupo focal de reconocimiento</v>
      </c>
      <c r="D35" t="str">
        <v>Wami Ñan</v>
      </c>
      <c r="E35" t="str">
        <v>Acompañantes</v>
      </c>
      <c r="F35" t="str">
        <v>Distrito Judicial: Lima</v>
      </c>
      <c r="G35" t="str">
        <v>IJM</v>
      </c>
      <c r="H35" t="str">
        <v>Sí</v>
      </c>
      <c r="I35" s="2" t="str">
        <v xml:space="preserve"> 4/27/2026</v>
      </c>
      <c r="J35" s="2" t="str">
        <v xml:space="preserve">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spans="1:21"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spans="1:21"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xml:space="preserve"> 6-May</v>
      </c>
      <c r="K37" s="2" t="str">
        <v xml:space="preserve">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spans="1:21"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xml:space="preserve">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spans="1:21"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spans="1:21"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xml:space="preserve"> 6-May</v>
      </c>
      <c r="K40" s="2" t="str">
        <v xml:space="preserve"> 8-May</v>
      </c>
      <c r="L40" s="1" t="str">
        <v>Sin respuesta</v>
      </c>
      <c r="M40" s="2" t="str">
        <v/>
      </c>
      <c r="N40" s="1" t="str">
        <v/>
      </c>
      <c r="O40" s="1" t="str">
        <v>Grupo focal 2</v>
      </c>
      <c r="P40" s="1" t="str">
        <v/>
      </c>
      <c r="Q40" s="1">
        <f t="shared" si="0"/>
        <v>1</v>
      </c>
      <c r="R40" s="1">
        <f t="shared" si="1"/>
        <v>0</v>
      </c>
      <c r="S40">
        <v>1</v>
      </c>
      <c r="T40">
        <f t="shared" si="2"/>
        <v>0</v>
      </c>
      <c r="U40">
        <f t="shared" si="3"/>
        <v>0</v>
      </c>
    </row>
    <row r="41" spans="1:2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xml:space="preserve">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spans="1:21"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xml:space="preserve">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spans="1:21"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xml:space="preserve">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spans="1:21" x14ac:dyDescent="0.35">
      <c r="A44" s="21" t="str">
        <v>43</v>
      </c>
      <c r="B44" s="23" t="str">
        <v>Elga Prado</v>
      </c>
      <c r="C44" t="str">
        <v>Grupo focal de reconocimiento</v>
      </c>
      <c r="D44" t="str">
        <v>Manuela Ramos</v>
      </c>
      <c r="E44" t="str">
        <v>Actores locales</v>
      </c>
      <c r="F44" t="str">
        <v>Nacional</v>
      </c>
      <c r="G44" t="str">
        <v>IJM</v>
      </c>
      <c r="H44" t="str">
        <v>Sí</v>
      </c>
      <c r="I44" s="2" t="str">
        <v xml:space="preserve">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spans="1:21" x14ac:dyDescent="0.35">
      <c r="A45" s="21" t="str">
        <v>44</v>
      </c>
      <c r="B45" s="23" t="str">
        <v xml:space="preserve">Fabiana Rodari </v>
      </c>
      <c r="C45" t="str">
        <v>Grupo focal de reconocimiento</v>
      </c>
      <c r="D45" t="str">
        <v>Apurímac ETS</v>
      </c>
      <c r="E45" t="str">
        <v>Acompañantes</v>
      </c>
      <c r="F45" t="str">
        <v>Distrito Judicial: Apurímac</v>
      </c>
      <c r="G45" t="str">
        <v>IJM</v>
      </c>
      <c r="H45" t="str">
        <v>Sí</v>
      </c>
      <c r="I45" s="2" t="str">
        <v xml:space="preserve">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spans="1:21"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spans="1:21" x14ac:dyDescent="0.35">
      <c r="A47" s="21" t="str">
        <v>46</v>
      </c>
      <c r="B47" s="23" t="str">
        <v>Patricia Nieto</v>
      </c>
      <c r="C47" t="str">
        <v>Grupo focal de reconocimiento</v>
      </c>
      <c r="D47" t="str">
        <v>ONG Buckner</v>
      </c>
      <c r="E47" t="str">
        <v>Actores locales</v>
      </c>
      <c r="F47" t="str">
        <v>Nacional</v>
      </c>
      <c r="G47" t="str">
        <v>IJM</v>
      </c>
      <c r="H47" t="str">
        <v>Sí</v>
      </c>
      <c r="I47" s="2" t="str">
        <v xml:space="preserve">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spans="1:21"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spans="1:21"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spans="1:21" x14ac:dyDescent="0.35">
      <c r="A50" s="21" t="str">
        <v>49</v>
      </c>
      <c r="B50" s="23" t="str">
        <v>Susana Osorio</v>
      </c>
      <c r="C50" t="str">
        <v>Grupo focal de reconocimiento</v>
      </c>
      <c r="D50" t="str">
        <v xml:space="preserve">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spans="1:21" x14ac:dyDescent="0.35">
      <c r="A51" s="21" t="str">
        <v>50</v>
      </c>
      <c r="B51" s="23" t="str">
        <v>Diana Rodriguez / Antonella Rojas</v>
      </c>
      <c r="C51" t="str">
        <v>Grupo focal de reconocimiento</v>
      </c>
      <c r="D51" t="str">
        <v xml:space="preserve">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spans="1:21"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spans="1:21"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spans="1:21"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spans="1:21"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spans="1:21"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spans="1:21"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spans="1:21"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spans="1:21"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spans="1:21"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spans="1:2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spans="1:21"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spans="1:21"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spans="1:21"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spans="1:21"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spans="1:21"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spans="1:21"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spans="1:21"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spans="1:21"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spans="1:21"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spans="1:2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spans="1:21"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spans="1:21"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spans="1:21"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spans="1:21"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spans="1:21"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spans="1:21"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spans="1:21"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spans="1:21"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spans="1:21"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spans="1:2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spans="1:21"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spans="1:21"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spans="1:21"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spans="1:21"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spans="1:21"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spans="1:21"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spans="1:21"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spans="1:21"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spans="1:21"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spans="1:2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spans="1:21"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spans="1:21"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spans="1:21"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spans="1:21"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spans="1:21"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spans="1:21"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spans="1:21"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spans="1:21"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spans="1:21"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spans="1:2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spans="1:21"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spans="1:21"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spans="1:21"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spans="1:21"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spans="1:21"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spans="1:21"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spans="1:21"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spans="1:21"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spans="1:21"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spans="1:2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spans="1:21"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spans="1:21"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spans="1:21"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spans="1:21"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spans="1:21"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spans="1:21"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spans="1:21"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spans="1:21"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spans="1:21"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spans="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spans="1:21"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spans="1:21"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spans="1:21"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spans="1:21"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spans="1:21"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spans="1:21"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spans="1:21"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spans="1:21"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spans="1:21"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spans="1:2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spans="1:21"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spans="1:21"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spans="1:21"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spans="1:21"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spans="1:21"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spans="1:21"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spans="1:21"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spans="1:21"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spans="1:21"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spans="1:2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spans="1:21"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spans="1:21"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spans="1:21"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spans="1:21"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spans="1:21"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spans="1:21"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spans="1:21"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spans="1:21"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spans="1:21"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spans="1:2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spans="1:21"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spans="1:21"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spans="1:21"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spans="1:21"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spans="1:21"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spans="1:21"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spans="1:21"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spans="1:21"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spans="1:21"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spans="1:2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spans="1:21"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spans="1:21"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spans="1:21"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spans="1:21"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spans="1:21"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spans="1:21"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spans="1:21"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spans="1:21"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spans="1:21"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spans="1:2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spans="1:21"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spans="1:21"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spans="1:21"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spans="1:21"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spans="1:21"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spans="1:21"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spans="1:21"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spans="1:21"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spans="1:21"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spans="1:2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spans="1:21"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spans="1:21"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spans="1:21"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spans="1:21"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spans="1:21"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spans="1:21"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spans="1:21"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spans="1:21"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spans="1:21"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spans="1:2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spans="1:21"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spans="1:21"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spans="1:21"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spans="1:21"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spans="1:21"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spans="1:21"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spans="1:21"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spans="1:21"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spans="1:21"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spans="1:2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spans="1:21"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spans="1:21"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spans="1:21"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spans="1:21"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spans="1:21"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spans="1:21"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spans="1:21"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spans="1:21"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spans="1:21"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spans="1:2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spans="1:21"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spans="1:21"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spans="1:21"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spans="1:21"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spans="1:21"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spans="1:21"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spans="1:21"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spans="1:21"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spans="1:21"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spans="1: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spans="1:21"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spans="1:21"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spans="1:21"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spans="1:21"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spans="1:21"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spans="1:21"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spans="1:21"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spans="1:21"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spans="1:21"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spans="1:2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spans="1:21"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spans="1:21"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spans="1:21"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spans="1:21"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spans="1:21"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spans="1:21"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spans="1:21"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spans="1:21"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spans="1:21"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spans="1:2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spans="1:21"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spans="1:21"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spans="1:21"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spans="1:21"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spans="1:21"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spans="1:21"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spans="1:21"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spans="1:21"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spans="1:21"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spans="1:2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spans="1:21"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spans="1:21"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spans="1:21"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spans="1:21"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spans="1:21"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spans="1:21"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spans="1:21"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spans="1:21"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spans="1:21"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spans="1:2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spans="1:21"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spans="1:21"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spans="1:21"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spans="1:21"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spans="1:21"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spans="1:21"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spans="1:21"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spans="1:21"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spans="1:21"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spans="1:2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spans="1:21"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spans="1:21"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spans="1:21"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spans="1:21"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spans="1:21"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spans="1:21"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spans="1:21"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spans="1:21"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spans="1:21"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spans="1:2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spans="1:21"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spans="1:21"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spans="1:21"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spans="1:21"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spans="1:21"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spans="1:21"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spans="1:21"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spans="1:21"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spans="1:21"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spans="1:2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spans="1:21"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spans="1:21"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spans="1:21"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spans="1:21"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spans="1:21"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spans="1:21"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spans="1:21"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spans="1:21"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spans="1:21"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spans="1:2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spans="1:21"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spans="1:21"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spans="1:21"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spans="1:21"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spans="1:21"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spans="1:21"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spans="1:21"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spans="1:21"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spans="1:21"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spans="1:2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spans="1:21"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spans="1:21"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spans="1:21"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spans="1:21"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spans="1:21"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spans="1:21"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spans="1:21"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spans="1:21"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spans="1:21"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spans="1: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spans="1:21"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spans="1:21"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spans="1:21"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spans="1:21"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spans="1:21"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spans="1:21"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spans="1:21"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spans="1:21"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spans="1:21"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spans="1:2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spans="1:21"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spans="1:21"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spans="1:21"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spans="1:21"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spans="1:21"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spans="1:21"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spans="1:21"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spans="1:21"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spans="1:21"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spans="1:2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spans="1:21"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spans="1:21"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spans="1:21"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spans="1:21"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spans="1:21"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spans="1:21"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spans="1:21"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spans="1:21"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spans="1:21"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spans="1:2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spans="1:21"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spans="1:21"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spans="1:21"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spans="1:21"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spans="1:21"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spans="1:21"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spans="1:21"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spans="1:21"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spans="1:21"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spans="1:2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spans="1:21"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spans="1:21"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spans="1:21"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spans="1:21"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spans="1:21"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spans="1:21"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spans="1:21"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spans="1:21"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spans="1:21"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spans="1:2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spans="1:21"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spans="1:21"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spans="1:21"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spans="1:21"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spans="1:21"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spans="1:21"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spans="1:21"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spans="1:21"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spans="1:21"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spans="1:2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spans="1:21"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spans="1:21"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spans="1:21"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spans="1:21"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spans="1:21"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spans="1:21"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spans="1:21"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spans="1:21"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spans="1:21"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spans="1:2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spans="1:21"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spans="1:21"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spans="1:21"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spans="1:21"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spans="1:21"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spans="1:21"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spans="1:21"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spans="1:21"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spans="1:21"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spans="1:2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spans="1:21"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spans="1:21"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spans="1:21"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spans="1:21"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spans="1:21"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spans="1:21"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spans="1:21"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spans="1:21"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spans="1:21"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spans="1:2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spans="1:21"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spans="1:21"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spans="1:21"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spans="1:21"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spans="1:21"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spans="1:21"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spans="1:21"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spans="1:21"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spans="1:21"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spans="1: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spans="1:21"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spans="1:21"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spans="1:21"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spans="1:21"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spans="1:21"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spans="1:21"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spans="1:21"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spans="1:21"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spans="1:21"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spans="1:2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spans="1:21"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spans="1:21"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spans="1:21"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spans="1:21"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spans="1:21"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spans="1:21"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spans="1:21"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spans="1:21"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spans="1:21"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spans="1:2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spans="1:21"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spans="1:21"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spans="1:21"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spans="1:21"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spans="1:21"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spans="1:21"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spans="1:21"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spans="1:21"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spans="1:21"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spans="1:2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spans="1:21"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spans="1:21"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spans="1:21"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spans="1:21"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spans="1:21"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spans="1:21"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spans="1:21"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spans="1:21"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spans="1:21"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spans="1:2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spans="1:21"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spans="1:21"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spans="1:21"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spans="1:21"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spans="1:21"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spans="1:21"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spans="1:21"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spans="1:21"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spans="1:21"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spans="1:2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spans="1:21"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spans="1:21"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spans="1:21"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spans="1:21"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spans="1:21"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spans="1:21"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spans="1:21"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spans="1:21"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spans="1:21"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spans="1:2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spans="1:21"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spans="1:21"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spans="1:21"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spans="1:21"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spans="1:21"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spans="1:21"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spans="1:21"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spans="1:21"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spans="1:21"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spans="1:2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spans="1:21"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spans="1:21"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spans="1:21"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spans="1:21"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spans="1:21"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spans="1:21"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spans="1:21"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spans="1:21"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spans="1:21"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spans="1:2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spans="1:21"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spans="1:21"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spans="1:21"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spans="1:21"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spans="1:21"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spans="1:21"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spans="1:21"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spans="1:21"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spans="1:21"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spans="1:2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spans="1:21"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spans="1:21"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spans="1:21"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spans="1:21"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spans="1:21"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spans="1:21"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spans="1:21"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spans="1:21"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spans="1:21"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spans="1: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spans="1:21"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spans="1:21"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spans="1:21"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spans="1:21"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spans="1:21"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spans="1:21"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spans="1:21"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spans="1:21"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spans="1:21"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spans="1:2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spans="1:21"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spans="1:21"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spans="1:21"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spans="1:21"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spans="1:21"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spans="1:21"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spans="1:21"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spans="1:21"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spans="1:21"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spans="1:2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spans="1:21"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spans="1:21"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spans="1:21"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spans="1:21"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spans="1:21"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spans="1:21"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spans="1:21"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spans="1:21"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spans="1:21"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spans="1:2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spans="1:21"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spans="1:21"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spans="1:21"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spans="1:21"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spans="1:21"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spans="1:21"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spans="1:21"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spans="1:21"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spans="1:21"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spans="1:2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spans="1:21"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spans="1:21"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spans="1:21"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spans="1:21"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spans="1:21"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spans="1:21"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spans="1:21"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spans="1:21"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spans="1:21"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spans="1:2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spans="1:21"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spans="1:21"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spans="1:21"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spans="1:21"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spans="1:21"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spans="1:21"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spans="1:21"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spans="1:21"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spans="1:21"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spans="1:2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spans="1:21"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spans="1:21"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spans="1:21"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spans="1:21"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spans="1:21"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spans="1:21"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spans="1:21"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spans="1:21"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spans="1:21"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spans="1:2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spans="1:21"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spans="1:21"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spans="1:21"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spans="1:21"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spans="1:21"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spans="1:21"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spans="1:21"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spans="1:21"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spans="1:21"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spans="1:2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spans="1:21"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spans="1:21"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spans="1:21"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spans="1:21"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spans="1:21"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spans="1:21"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spans="1:21"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spans="1:21"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spans="1:21"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spans="1:2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spans="1:21"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spans="1:21"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spans="1:21"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spans="1:21"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spans="1:21"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spans="1:21"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spans="1:21"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spans="1:21"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spans="1:21"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spans="1: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spans="1:21"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spans="1:21"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spans="1:21"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spans="1:21"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spans="1:21"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spans="1:21"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spans="1:21"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spans="1:21"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spans="1:21"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spans="1:2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spans="1:21"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spans="1:21"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spans="1:21"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spans="1:21"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spans="1:21"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spans="1:21"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spans="1:21"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spans="1:21"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spans="1:21"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spans="1:2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spans="1:21"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spans="1:21"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spans="1:21"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spans="1:21"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spans="1:21"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spans="1:21"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spans="1:21"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spans="1:21"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spans="1:21"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spans="1:2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spans="1:21"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spans="1:21"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spans="1:21"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spans="1:21"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spans="1:21"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spans="1:21"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spans="1:21"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spans="1:21"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spans="1:21"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spans="1:2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spans="1:21"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spans="1:21"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spans="1:21"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spans="1:21"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spans="1:21"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spans="1:21"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spans="1:21"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spans="1:21"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spans="1:21"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spans="1:2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spans="1:21"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spans="1:21"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spans="1:21"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spans="1:21"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spans="1:21"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spans="1:21"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spans="1:21"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spans="1:21"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spans="1:21"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spans="1:2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spans="1:21"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spans="1:21"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spans="1:21"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spans="1:21"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spans="1:21"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spans="1:21"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spans="1:21"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spans="1:21"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spans="1:21"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spans="1:2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spans="1:21"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spans="1:21"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spans="1:21"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spans="1:21"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spans="1:21"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spans="1:21"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spans="1:21"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spans="1:21"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spans="1:21"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spans="1:2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spans="1:21"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spans="1:21"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spans="1:21"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spans="1:21"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spans="1:21"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spans="1:21"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spans="1:21"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spans="1:21"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spans="1:21"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spans="1:2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spans="1:21"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spans="1:21"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spans="1:21"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spans="1:21"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spans="1:21"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spans="1:21"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spans="1:21"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spans="1:21"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spans="1:21"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spans="1: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spans="1:21"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spans="1:21"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spans="1:21"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spans="1:21"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spans="1:21"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spans="1:21"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spans="1:21"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spans="1:21"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spans="1:21"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spans="1:2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spans="1:21"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spans="1:21"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spans="1:21"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spans="1:21"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spans="1:21"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spans="1:21"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spans="1:21"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spans="1:21"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spans="1:21"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spans="1:2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spans="1:21"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spans="1:21"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spans="1:21"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spans="1:21"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spans="1:21"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spans="1:21"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spans="1:21"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spans="1:21"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spans="1:21"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spans="1:2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spans="1:21"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spans="1:21"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spans="1:21"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spans="1:21"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spans="1:21"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spans="1:21"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spans="1:21"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spans="1:21"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spans="1:21"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spans="1:2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spans="1:21"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spans="1:21"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spans="1:21"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spans="1:21"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spans="1:21"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spans="1:21"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spans="1:21"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spans="1:21"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spans="1:21"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spans="1:2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spans="1:21"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spans="1:21"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spans="1:21"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spans="1:21"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spans="1:21"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spans="1:21"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spans="1:21"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spans="1:21"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spans="1:21"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spans="1:2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spans="1:21"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spans="1:21"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spans="1:21"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spans="1:21"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spans="1:21"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spans="1:21"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spans="1:21"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spans="1:21"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spans="1:21"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spans="1:2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spans="1:21"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spans="1:21"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spans="1:21"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spans="1:21"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spans="1:21"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spans="1:21"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spans="1:21"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spans="1:21"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spans="1:21"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spans="1:2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spans="1:21"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spans="1:21"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spans="1:21"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spans="1:21"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spans="1:21"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spans="1:21"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spans="1:21"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spans="1:21"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spans="1:21"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spans="1:2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spans="1:21"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spans="1:21"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spans="1:21"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spans="1:21"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spans="1:21"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spans="1:21"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spans="1:21"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spans="1:21"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spans="1:21"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spans="1: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spans="1:21"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spans="1:21"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spans="1:21"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spans="1:21"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spans="1:21"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spans="1:21"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spans="1:21"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spans="1:21"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spans="1:21"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spans="1:2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spans="1:21"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spans="1:21"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spans="1:21"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spans="1:21"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spans="1:21"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spans="1:21"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spans="1:21"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spans="1:21"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spans="1:21"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spans="1:2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spans="1:21"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spans="1:21"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spans="1:21"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spans="1:21"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spans="1:21"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spans="1:21"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spans="1:21"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spans="1:21"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spans="1:21"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spans="1:2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spans="1:21"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spans="1:21"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spans="1:21"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spans="1:21"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spans="1:21"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spans="1:21"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spans="1:21"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spans="1:21"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spans="1:21"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spans="1:2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spans="1:21"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spans="1:21"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spans="1:21"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spans="1:21"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spans="1:21"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spans="1:21"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spans="1:21"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spans="1:21"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spans="1:21"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spans="1:2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spans="1:21"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spans="1:21"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spans="1:21"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spans="1:21"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spans="1:21"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spans="1:21"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spans="1:21"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spans="1:21"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spans="1:21"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spans="1:2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spans="1:21"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spans="1:21"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spans="1:21"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spans="1:21"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spans="1:21"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spans="1:21"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spans="1:21"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spans="1:21"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spans="1:21"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spans="1:2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spans="1:21"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spans="1:21"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spans="1:21"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spans="1:21"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spans="1:21"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spans="1:21"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spans="1:21"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spans="1:21"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spans="1:21"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spans="1:2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spans="1:21"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spans="1:21"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spans="1:21"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spans="1:21"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spans="1:21"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spans="1:21"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spans="1:21"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spans="1:21"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spans="1:21"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spans="1:2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spans="1:21"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spans="1:21"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spans="1:21"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spans="1:21"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spans="1:21"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spans="1:21"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spans="1:21"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spans="1:21"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spans="1:21"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spans="1: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spans="1:21"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spans="1:21"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spans="1:21"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spans="1:21"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spans="1:21"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spans="1:21"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spans="1:21"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spans="1:21"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spans="1:21"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spans="1:2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spans="1:21"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spans="1:21"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spans="1:21"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spans="1:21"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spans="1:21"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spans="1:21"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spans="1:21"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spans="1:21"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spans="1:21"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spans="1:2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spans="1:21"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spans="1:21"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spans="1:21"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spans="1:21"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spans="1:21"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spans="1:21"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spans="1:21"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spans="1:21"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spans="1:21"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spans="1:2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spans="1:21"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spans="1:21"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spans="1:21"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spans="1:21"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spans="1:21"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spans="1:21"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spans="1:21"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spans="1:21"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spans="1:21"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spans="1:2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spans="1:21"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spans="1:21"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spans="1:21"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spans="1:21"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spans="1:21"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spans="1:21"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spans="1:21"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spans="1:21"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spans="1:21"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spans="1:2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spans="1:21"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spans="1:21"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spans="1:21"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spans="1:21"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spans="1:21"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spans="1:21"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spans="1:21"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spans="1:21"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spans="1:21"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spans="1:2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spans="1:21"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spans="1:21"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spans="1:21"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spans="1:21"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spans="1:21"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spans="1:21"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spans="1:21"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spans="1:21"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spans="1:21"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spans="1:2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spans="1:21"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spans="1:21"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spans="1:21"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spans="1:21" x14ac:dyDescent="0.35">
      <c r="Q995" s="1">
        <f t="shared" si="60"/>
        <v>0</v>
      </c>
      <c r="R995" s="1">
        <f t="shared" si="61"/>
        <v>0</v>
      </c>
      <c r="T995">
        <f t="shared" si="62"/>
        <v>0</v>
      </c>
      <c r="U995">
        <f t="shared" si="63"/>
        <v>0</v>
      </c>
    </row>
    <row r="996" spans="1:21"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1"/>
    <col min="3" max="4" width="23.54296875" style="19" customWidth="1"/>
    <col min="5" max="5" width="10.81640625" style="19"/>
  </cols>
  <sheetData>
    <row r="1" spans="1:5" x14ac:dyDescent="0.35">
      <c r="A1" t="s">
        <v>1034</v>
      </c>
      <c r="B1" t="s">
        <v>6</v>
      </c>
      <c r="C1" s="19" t="s">
        <v>1033</v>
      </c>
      <c r="D1" s="19" t="s">
        <v>7</v>
      </c>
      <c r="E1" s="19" t="s">
        <v>173</v>
      </c>
    </row>
    <row r="2" spans="1:5" x14ac:dyDescent="0.35">
      <c r="A2">
        <v>1</v>
      </c>
      <c r="B2" t="s">
        <v>247</v>
      </c>
      <c r="C2" s="19" t="s">
        <v>49</v>
      </c>
      <c r="D2" s="19" t="s">
        <v>82</v>
      </c>
      <c r="E2" s="19">
        <v>10</v>
      </c>
    </row>
    <row r="3" spans="1:5" x14ac:dyDescent="0.35">
      <c r="A3">
        <f>+A2+1</f>
        <v>2</v>
      </c>
      <c r="B3" t="s">
        <v>247</v>
      </c>
      <c r="C3" s="19" t="s">
        <v>49</v>
      </c>
      <c r="D3" s="19" t="s">
        <v>111</v>
      </c>
      <c r="E3" s="19">
        <v>10</v>
      </c>
    </row>
    <row r="4" spans="1:5" x14ac:dyDescent="0.35">
      <c r="A4">
        <f t="shared" ref="A4:A30" si="0">+A3+1</f>
        <v>3</v>
      </c>
      <c r="B4" t="s">
        <v>247</v>
      </c>
      <c r="C4" s="19" t="s">
        <v>49</v>
      </c>
      <c r="D4" s="19" t="s">
        <v>37</v>
      </c>
      <c r="E4" s="20">
        <v>8</v>
      </c>
    </row>
    <row r="5" spans="1:5" x14ac:dyDescent="0.35">
      <c r="A5">
        <f t="shared" si="0"/>
        <v>4</v>
      </c>
      <c r="B5" t="s">
        <v>247</v>
      </c>
      <c r="C5" s="19" t="s">
        <v>49</v>
      </c>
      <c r="D5" s="19" t="s">
        <v>430</v>
      </c>
      <c r="E5" s="20">
        <v>16</v>
      </c>
    </row>
    <row r="6" spans="1:5" x14ac:dyDescent="0.35">
      <c r="A6">
        <f t="shared" si="0"/>
        <v>5</v>
      </c>
      <c r="B6" t="s">
        <v>247</v>
      </c>
      <c r="C6" s="19" t="s">
        <v>49</v>
      </c>
      <c r="D6" s="19" t="s">
        <v>60</v>
      </c>
      <c r="E6" s="20">
        <v>16</v>
      </c>
    </row>
    <row r="7" spans="1:5" x14ac:dyDescent="0.35">
      <c r="A7">
        <f t="shared" si="0"/>
        <v>6</v>
      </c>
      <c r="B7" t="s">
        <v>247</v>
      </c>
      <c r="C7" s="19" t="s">
        <v>109</v>
      </c>
      <c r="D7" s="19" t="s">
        <v>37</v>
      </c>
      <c r="E7" s="19">
        <v>1</v>
      </c>
    </row>
    <row r="8" spans="1:5" x14ac:dyDescent="0.35">
      <c r="A8">
        <f t="shared" si="0"/>
        <v>7</v>
      </c>
      <c r="B8" t="s">
        <v>247</v>
      </c>
      <c r="C8" s="19" t="s">
        <v>109</v>
      </c>
      <c r="D8" s="19" t="s">
        <v>430</v>
      </c>
      <c r="E8" s="19">
        <v>2</v>
      </c>
    </row>
    <row r="9" spans="1:5" x14ac:dyDescent="0.35">
      <c r="A9">
        <f t="shared" si="0"/>
        <v>8</v>
      </c>
      <c r="B9" t="s">
        <v>247</v>
      </c>
      <c r="C9" s="19" t="s">
        <v>109</v>
      </c>
      <c r="D9" s="19" t="s">
        <v>60</v>
      </c>
      <c r="E9" s="19">
        <v>2</v>
      </c>
    </row>
    <row r="10" spans="1:5" x14ac:dyDescent="0.35">
      <c r="A10">
        <f t="shared" si="0"/>
        <v>9</v>
      </c>
      <c r="B10" t="s">
        <v>247</v>
      </c>
      <c r="C10" s="19" t="s">
        <v>61</v>
      </c>
      <c r="D10" s="19" t="s">
        <v>37</v>
      </c>
      <c r="E10" s="19">
        <v>1</v>
      </c>
    </row>
    <row r="11" spans="1:5" x14ac:dyDescent="0.35">
      <c r="A11">
        <f t="shared" si="0"/>
        <v>10</v>
      </c>
      <c r="B11" t="s">
        <v>247</v>
      </c>
      <c r="C11" s="19" t="s">
        <v>61</v>
      </c>
      <c r="D11" s="19" t="s">
        <v>430</v>
      </c>
      <c r="E11" s="19">
        <v>2</v>
      </c>
    </row>
    <row r="12" spans="1:5" x14ac:dyDescent="0.35">
      <c r="A12">
        <f t="shared" si="0"/>
        <v>11</v>
      </c>
      <c r="B12" t="s">
        <v>247</v>
      </c>
      <c r="C12" s="19" t="s">
        <v>61</v>
      </c>
      <c r="D12" s="19" t="s">
        <v>60</v>
      </c>
      <c r="E12" s="19">
        <v>2</v>
      </c>
    </row>
    <row r="13" spans="1:5" x14ac:dyDescent="0.35">
      <c r="A13">
        <f t="shared" si="0"/>
        <v>12</v>
      </c>
      <c r="B13" t="s">
        <v>247</v>
      </c>
      <c r="C13" s="19" t="s">
        <v>56</v>
      </c>
      <c r="D13" s="19" t="s">
        <v>37</v>
      </c>
      <c r="E13" s="19">
        <v>1</v>
      </c>
    </row>
    <row r="14" spans="1:5" x14ac:dyDescent="0.35">
      <c r="A14">
        <f t="shared" si="0"/>
        <v>13</v>
      </c>
      <c r="B14" t="s">
        <v>247</v>
      </c>
      <c r="C14" s="19" t="s">
        <v>56</v>
      </c>
      <c r="D14" s="19" t="s">
        <v>430</v>
      </c>
      <c r="E14" s="19">
        <v>2</v>
      </c>
    </row>
    <row r="15" spans="1:5" x14ac:dyDescent="0.35">
      <c r="A15">
        <f t="shared" si="0"/>
        <v>14</v>
      </c>
      <c r="B15" t="s">
        <v>247</v>
      </c>
      <c r="C15" s="19" t="s">
        <v>56</v>
      </c>
      <c r="D15" s="19" t="s">
        <v>60</v>
      </c>
      <c r="E15" s="19">
        <v>2</v>
      </c>
    </row>
    <row r="16" spans="1:5" x14ac:dyDescent="0.35">
      <c r="A16">
        <f t="shared" si="0"/>
        <v>15</v>
      </c>
      <c r="B16" t="s">
        <v>247</v>
      </c>
      <c r="C16" s="19" t="s">
        <v>44</v>
      </c>
      <c r="D16" s="19" t="s">
        <v>37</v>
      </c>
      <c r="E16" s="19">
        <v>1</v>
      </c>
    </row>
    <row r="17" spans="1:5" x14ac:dyDescent="0.35">
      <c r="A17">
        <f t="shared" si="0"/>
        <v>16</v>
      </c>
      <c r="B17" t="s">
        <v>247</v>
      </c>
      <c r="C17" s="19" t="s">
        <v>44</v>
      </c>
      <c r="D17" s="19" t="s">
        <v>430</v>
      </c>
      <c r="E17" s="19">
        <v>2</v>
      </c>
    </row>
    <row r="18" spans="1:5" x14ac:dyDescent="0.35">
      <c r="A18">
        <f t="shared" si="0"/>
        <v>17</v>
      </c>
      <c r="B18" t="s">
        <v>247</v>
      </c>
      <c r="C18" s="19" t="s">
        <v>44</v>
      </c>
      <c r="D18" s="19" t="s">
        <v>60</v>
      </c>
      <c r="E18" s="19">
        <v>2</v>
      </c>
    </row>
    <row r="19" spans="1:5" x14ac:dyDescent="0.35">
      <c r="A19">
        <f t="shared" si="0"/>
        <v>18</v>
      </c>
      <c r="B19" t="s">
        <v>247</v>
      </c>
      <c r="C19" s="19" t="s">
        <v>41</v>
      </c>
      <c r="D19" s="19" t="s">
        <v>37</v>
      </c>
      <c r="E19" s="19">
        <v>1</v>
      </c>
    </row>
    <row r="20" spans="1:5" x14ac:dyDescent="0.35">
      <c r="A20">
        <f t="shared" si="0"/>
        <v>19</v>
      </c>
      <c r="B20" t="s">
        <v>247</v>
      </c>
      <c r="C20" s="19" t="s">
        <v>41</v>
      </c>
      <c r="D20" s="19" t="s">
        <v>430</v>
      </c>
      <c r="E20" s="19">
        <v>2</v>
      </c>
    </row>
    <row r="21" spans="1:5" x14ac:dyDescent="0.35">
      <c r="A21">
        <f t="shared" si="0"/>
        <v>20</v>
      </c>
      <c r="B21" t="s">
        <v>247</v>
      </c>
      <c r="C21" s="19" t="s">
        <v>41</v>
      </c>
      <c r="D21" s="19" t="s">
        <v>60</v>
      </c>
      <c r="E21" s="19">
        <v>2</v>
      </c>
    </row>
    <row r="22" spans="1:5" x14ac:dyDescent="0.35">
      <c r="A22">
        <f t="shared" si="0"/>
        <v>21</v>
      </c>
      <c r="B22" t="s">
        <v>247</v>
      </c>
      <c r="C22" s="19" t="s">
        <v>65</v>
      </c>
      <c r="D22" s="19" t="s">
        <v>37</v>
      </c>
      <c r="E22" s="19">
        <v>1</v>
      </c>
    </row>
    <row r="23" spans="1:5" x14ac:dyDescent="0.35">
      <c r="A23">
        <f t="shared" si="0"/>
        <v>22</v>
      </c>
      <c r="B23" t="s">
        <v>247</v>
      </c>
      <c r="C23" s="19" t="s">
        <v>65</v>
      </c>
      <c r="D23" s="19" t="s">
        <v>430</v>
      </c>
      <c r="E23" s="19">
        <v>2</v>
      </c>
    </row>
    <row r="24" spans="1:5" x14ac:dyDescent="0.35">
      <c r="A24">
        <f t="shared" si="0"/>
        <v>23</v>
      </c>
      <c r="B24" t="s">
        <v>247</v>
      </c>
      <c r="C24" s="19" t="s">
        <v>65</v>
      </c>
      <c r="D24" s="19" t="s">
        <v>60</v>
      </c>
      <c r="E24" s="19">
        <v>2</v>
      </c>
    </row>
    <row r="25" spans="1:5" x14ac:dyDescent="0.35">
      <c r="A25">
        <f t="shared" si="0"/>
        <v>24</v>
      </c>
      <c r="B25" t="s">
        <v>247</v>
      </c>
      <c r="C25" s="19" t="s">
        <v>1035</v>
      </c>
      <c r="D25" s="19" t="s">
        <v>37</v>
      </c>
      <c r="E25" s="19">
        <v>1</v>
      </c>
    </row>
    <row r="26" spans="1:5" x14ac:dyDescent="0.35">
      <c r="A26">
        <f t="shared" si="0"/>
        <v>25</v>
      </c>
      <c r="B26" t="s">
        <v>247</v>
      </c>
      <c r="C26" s="19" t="s">
        <v>1035</v>
      </c>
      <c r="D26" s="19" t="s">
        <v>430</v>
      </c>
      <c r="E26" s="19">
        <v>2</v>
      </c>
    </row>
    <row r="27" spans="1:5" x14ac:dyDescent="0.35">
      <c r="A27">
        <f t="shared" si="0"/>
        <v>26</v>
      </c>
      <c r="B27" t="s">
        <v>247</v>
      </c>
      <c r="C27" s="19" t="s">
        <v>1035</v>
      </c>
      <c r="D27" s="19" t="s">
        <v>60</v>
      </c>
      <c r="E27" s="19">
        <v>2</v>
      </c>
    </row>
    <row r="28" spans="1:5" x14ac:dyDescent="0.35">
      <c r="A28">
        <f t="shared" si="0"/>
        <v>27</v>
      </c>
      <c r="B28" t="s">
        <v>247</v>
      </c>
      <c r="C28" s="19" t="s">
        <v>23</v>
      </c>
      <c r="D28" s="19" t="s">
        <v>37</v>
      </c>
      <c r="E28" s="19">
        <v>1</v>
      </c>
    </row>
    <row r="29" spans="1:5" x14ac:dyDescent="0.35">
      <c r="A29">
        <f t="shared" si="0"/>
        <v>28</v>
      </c>
      <c r="B29" t="s">
        <v>247</v>
      </c>
      <c r="C29" s="19" t="s">
        <v>23</v>
      </c>
      <c r="D29" s="19" t="s">
        <v>430</v>
      </c>
      <c r="E29" s="19">
        <v>2</v>
      </c>
    </row>
    <row r="30" spans="1:5" x14ac:dyDescent="0.35">
      <c r="A30">
        <f t="shared" si="0"/>
        <v>29</v>
      </c>
      <c r="B30" t="s">
        <v>247</v>
      </c>
      <c r="C30" s="19" t="s">
        <v>23</v>
      </c>
      <c r="D30" s="19" t="s">
        <v>60</v>
      </c>
      <c r="E30" s="19">
        <v>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F247058-F464-4576-85DB-4D3805486100}">
  <ds:schemaRefs>
    <ds:schemaRef ds:uri="http://schemas.microsoft.com/sharepoint/v3/contenttype/forms"/>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1984E949-7D20-4DFF-9E43-FB80F6255D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2026-08-05T17:45:56Z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